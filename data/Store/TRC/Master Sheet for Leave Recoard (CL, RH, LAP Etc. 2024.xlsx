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IMSD-SMUN absentee &amp; Leave Records\Leave attachment\"/>
    </mc:Choice>
  </mc:AlternateContent>
  <xr:revisionPtr revIDLastSave="0" documentId="13_ncr:1_{F3E6961D-A04B-46E3-A0C7-48353FD9EEDB}" xr6:coauthVersionLast="47" xr6:coauthVersionMax="47" xr10:uidLastSave="{00000000-0000-0000-0000-000000000000}"/>
  <bookViews>
    <workbookView xWindow="-120" yWindow="-120" windowWidth="29040" windowHeight="15720" xr2:uid="{00000000-000D-0000-FFFF-FFFF00000000}"/>
  </bookViews>
  <sheets>
    <sheet name="Leave Report 2024" sheetId="2" r:id="rId1"/>
    <sheet name="Master Sheet 2024" sheetId="1" r:id="rId2"/>
    <sheet name="CL CARD-24" sheetId="3" r:id="rId3"/>
  </sheets>
  <definedNames>
    <definedName name="_xlnm.Print_Area" localSheetId="2">'CL CARD-24'!$F$1:$P$43</definedName>
    <definedName name="_xlnm.Print_Area" localSheetId="0">'Leave Report 2024'!$A$1:$I$7</definedName>
    <definedName name="_xlnm.Print_Area" localSheetId="1">'Master Sheet 2024'!$A$1:$F$21</definedName>
    <definedName name="_xlnm.Print_Titles" localSheetId="0">'Leave Report 2024'!$B:$I,'Leave Report 2024'!$1:$3</definedName>
    <definedName name="_xlnm.Print_Titles" localSheetId="1">'Master Sheet 2024'!$A:$F,'Master Sheet 2024'!$1:$3</definedName>
    <definedName name="Slicer_Emp_Id">#N/A</definedName>
    <definedName name="Slicer_Type_of_leav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3" i="2" l="1"/>
  <c r="J22" i="2"/>
  <c r="J21" i="2"/>
  <c r="J20" i="2"/>
  <c r="J19" i="2"/>
  <c r="J18" i="2"/>
  <c r="J17" i="2"/>
  <c r="J16" i="2"/>
  <c r="J15" i="2"/>
  <c r="J14" i="2"/>
  <c r="J13" i="2"/>
  <c r="J5" i="2"/>
  <c r="J6" i="2"/>
  <c r="J7" i="2"/>
  <c r="J8" i="2"/>
  <c r="J9" i="2"/>
  <c r="J10" i="2"/>
  <c r="J11" i="2"/>
  <c r="J12" i="2"/>
  <c r="A34" i="2"/>
  <c r="C34" i="2"/>
  <c r="D34" i="2"/>
  <c r="E34" i="2"/>
  <c r="J34" i="2"/>
  <c r="A35" i="2"/>
  <c r="C35" i="2"/>
  <c r="D35" i="2"/>
  <c r="E35" i="2"/>
  <c r="J35" i="2"/>
  <c r="A36" i="2"/>
  <c r="C36" i="2"/>
  <c r="D36" i="2"/>
  <c r="E36" i="2"/>
  <c r="J36" i="2"/>
  <c r="A37" i="2"/>
  <c r="C37" i="2"/>
  <c r="D37" i="2"/>
  <c r="E37" i="2"/>
  <c r="J37" i="2"/>
  <c r="A38" i="2"/>
  <c r="C38" i="2"/>
  <c r="D38" i="2"/>
  <c r="E38" i="2"/>
  <c r="J38" i="2"/>
  <c r="A39" i="2"/>
  <c r="C39" i="2"/>
  <c r="D39" i="2"/>
  <c r="E39" i="2"/>
  <c r="J39" i="2"/>
  <c r="A40" i="2"/>
  <c r="C40" i="2"/>
  <c r="D40" i="2"/>
  <c r="E40" i="2"/>
  <c r="J40" i="2"/>
  <c r="A41" i="2"/>
  <c r="C41" i="2"/>
  <c r="D41" i="2"/>
  <c r="E41" i="2"/>
  <c r="J41" i="2"/>
  <c r="A42" i="2"/>
  <c r="C42" i="2"/>
  <c r="D42" i="2"/>
  <c r="E42" i="2"/>
  <c r="J42" i="2"/>
  <c r="A43" i="2"/>
  <c r="C43" i="2"/>
  <c r="D43" i="2"/>
  <c r="E43" i="2"/>
  <c r="J43" i="2"/>
  <c r="A44" i="2"/>
  <c r="C44" i="2"/>
  <c r="D44" i="2"/>
  <c r="E44" i="2"/>
  <c r="J44" i="2"/>
  <c r="A45" i="2"/>
  <c r="C45" i="2"/>
  <c r="D45" i="2"/>
  <c r="E45" i="2"/>
  <c r="J45" i="2"/>
  <c r="A46" i="2"/>
  <c r="C46" i="2"/>
  <c r="D46" i="2"/>
  <c r="E46" i="2"/>
  <c r="J46" i="2"/>
  <c r="A47" i="2"/>
  <c r="C47" i="2"/>
  <c r="D47" i="2"/>
  <c r="E47" i="2"/>
  <c r="J47" i="2"/>
  <c r="A48" i="2"/>
  <c r="C48" i="2"/>
  <c r="D48" i="2"/>
  <c r="E48" i="2"/>
  <c r="J48" i="2"/>
  <c r="E12" i="2"/>
  <c r="D12" i="2"/>
  <c r="C12" i="2"/>
  <c r="A12" i="2"/>
  <c r="A13" i="2"/>
  <c r="C13" i="2"/>
  <c r="D13" i="2"/>
  <c r="E13" i="2"/>
  <c r="A14" i="2"/>
  <c r="C14" i="2"/>
  <c r="D14" i="2"/>
  <c r="E14" i="2"/>
  <c r="A15" i="2"/>
  <c r="C15" i="2"/>
  <c r="D15" i="2"/>
  <c r="E15" i="2"/>
  <c r="A16" i="2"/>
  <c r="C16" i="2"/>
  <c r="D16" i="2"/>
  <c r="E16" i="2"/>
  <c r="A17" i="2"/>
  <c r="C17" i="2"/>
  <c r="D17" i="2"/>
  <c r="E17" i="2"/>
  <c r="A18" i="2"/>
  <c r="C18" i="2"/>
  <c r="D18" i="2"/>
  <c r="E18" i="2"/>
  <c r="A19" i="2"/>
  <c r="C19" i="2"/>
  <c r="D19" i="2"/>
  <c r="E19" i="2"/>
  <c r="A20" i="2"/>
  <c r="C20" i="2"/>
  <c r="D20" i="2"/>
  <c r="E20" i="2"/>
  <c r="A21" i="2"/>
  <c r="C21" i="2"/>
  <c r="D21" i="2"/>
  <c r="E21" i="2"/>
  <c r="A22" i="2"/>
  <c r="C22" i="2"/>
  <c r="D22" i="2"/>
  <c r="E22" i="2"/>
  <c r="A23" i="2"/>
  <c r="C23" i="2"/>
  <c r="D23" i="2"/>
  <c r="E23" i="2"/>
  <c r="A24" i="2"/>
  <c r="C24" i="2"/>
  <c r="D24" i="2"/>
  <c r="E24" i="2"/>
  <c r="J24" i="2"/>
  <c r="A25" i="2"/>
  <c r="C25" i="2"/>
  <c r="D25" i="2"/>
  <c r="E25" i="2"/>
  <c r="J25" i="2"/>
  <c r="A26" i="2"/>
  <c r="C26" i="2"/>
  <c r="D26" i="2"/>
  <c r="E26" i="2"/>
  <c r="J26" i="2"/>
  <c r="A27" i="2"/>
  <c r="C27" i="2"/>
  <c r="D27" i="2"/>
  <c r="E27" i="2"/>
  <c r="J27" i="2"/>
  <c r="A28" i="2"/>
  <c r="C28" i="2"/>
  <c r="D28" i="2"/>
  <c r="E28" i="2"/>
  <c r="J28" i="2"/>
  <c r="A29" i="2"/>
  <c r="C29" i="2"/>
  <c r="D29" i="2"/>
  <c r="E29" i="2"/>
  <c r="J29" i="2"/>
  <c r="A30" i="2"/>
  <c r="C30" i="2"/>
  <c r="D30" i="2"/>
  <c r="E30" i="2"/>
  <c r="J30" i="2"/>
  <c r="A31" i="2"/>
  <c r="C31" i="2"/>
  <c r="D31" i="2"/>
  <c r="E31" i="2"/>
  <c r="J31" i="2"/>
  <c r="A32" i="2"/>
  <c r="C32" i="2"/>
  <c r="D32" i="2"/>
  <c r="E32" i="2"/>
  <c r="J32" i="2"/>
  <c r="A33" i="2"/>
  <c r="C33" i="2"/>
  <c r="D33" i="2"/>
  <c r="E33" i="2"/>
  <c r="J33" i="2"/>
  <c r="A49" i="2"/>
  <c r="C49" i="2"/>
  <c r="D49" i="2"/>
  <c r="E49" i="2"/>
  <c r="J49" i="2"/>
  <c r="J50" i="2"/>
  <c r="P4" i="3"/>
  <c r="I4" i="3"/>
  <c r="A8" i="2"/>
  <c r="A9" i="2"/>
  <c r="A10" i="2"/>
  <c r="A11" i="2"/>
  <c r="A50" i="2"/>
  <c r="A51" i="2"/>
  <c r="A52" i="2"/>
  <c r="A53" i="2"/>
  <c r="A54" i="2"/>
  <c r="A55" i="2"/>
  <c r="A56" i="2"/>
  <c r="A57" i="2"/>
  <c r="A58" i="2"/>
  <c r="A59" i="2"/>
  <c r="A60" i="2"/>
  <c r="C8" i="2"/>
  <c r="C9" i="2"/>
  <c r="C10" i="2"/>
  <c r="C11" i="2"/>
  <c r="C50" i="2"/>
  <c r="C51" i="2"/>
  <c r="C52" i="2"/>
  <c r="C53" i="2"/>
  <c r="C54" i="2"/>
  <c r="C55" i="2"/>
  <c r="C56" i="2"/>
  <c r="C57" i="2"/>
  <c r="C58" i="2"/>
  <c r="C59" i="2"/>
  <c r="C60" i="2"/>
  <c r="D8" i="2"/>
  <c r="D9" i="2"/>
  <c r="D10" i="2"/>
  <c r="D11" i="2"/>
  <c r="D50" i="2"/>
  <c r="D51" i="2"/>
  <c r="D52" i="2"/>
  <c r="D53" i="2"/>
  <c r="D54" i="2"/>
  <c r="D55" i="2"/>
  <c r="D56" i="2"/>
  <c r="D57" i="2"/>
  <c r="D58" i="2"/>
  <c r="D59" i="2"/>
  <c r="D60" i="2"/>
  <c r="E8" i="2"/>
  <c r="E9" i="2"/>
  <c r="E10" i="2"/>
  <c r="E11" i="2"/>
  <c r="E50" i="2"/>
  <c r="E51" i="2"/>
  <c r="E52" i="2"/>
  <c r="E53" i="2"/>
  <c r="E54" i="2"/>
  <c r="E55" i="2"/>
  <c r="E56" i="2"/>
  <c r="E57" i="2"/>
  <c r="E58" i="2"/>
  <c r="E59" i="2"/>
  <c r="E60" i="2"/>
  <c r="J51" i="2"/>
  <c r="J52" i="2"/>
  <c r="J53" i="2"/>
  <c r="J54" i="2"/>
  <c r="J55" i="2"/>
  <c r="J56" i="2"/>
  <c r="J57" i="2"/>
  <c r="J58" i="2"/>
  <c r="J59" i="2"/>
  <c r="J60" i="2"/>
  <c r="J4" i="2"/>
  <c r="G4" i="3"/>
  <c r="A4" i="2"/>
  <c r="C4" i="2"/>
  <c r="D4" i="2"/>
  <c r="E4" i="2"/>
  <c r="A5" i="2"/>
  <c r="C5" i="2"/>
  <c r="D5" i="2"/>
  <c r="E5" i="2"/>
  <c r="A6" i="2"/>
  <c r="C6" i="2"/>
  <c r="D6" i="2"/>
  <c r="E6" i="2"/>
  <c r="A7" i="2"/>
  <c r="C7" i="2"/>
  <c r="D7" i="2"/>
  <c r="E7" i="2"/>
  <c r="Q8" i="1" l="1"/>
  <c r="N4" i="3" l="1"/>
  <c r="I29" i="3"/>
  <c r="I30" i="3" s="1"/>
  <c r="G8" i="3" l="1"/>
  <c r="H12" i="3"/>
  <c r="F8" i="3"/>
  <c r="F9" i="3"/>
  <c r="G14" i="3"/>
  <c r="G11" i="3"/>
  <c r="H16" i="3"/>
  <c r="F11" i="3"/>
  <c r="F10" i="3"/>
  <c r="G16" i="3"/>
  <c r="G15" i="3"/>
  <c r="H9" i="3"/>
  <c r="F15" i="3"/>
  <c r="F16" i="3"/>
  <c r="G12" i="3"/>
  <c r="H8" i="3"/>
  <c r="I8" i="3" s="1"/>
  <c r="F13" i="3"/>
  <c r="F12" i="3"/>
  <c r="G10" i="3"/>
  <c r="F14" i="3"/>
  <c r="G9" i="3"/>
  <c r="H11" i="3"/>
  <c r="G13" i="3"/>
  <c r="H15" i="3"/>
  <c r="H13" i="3"/>
  <c r="H10" i="3"/>
  <c r="H14" i="3"/>
  <c r="I9" i="3" l="1"/>
  <c r="I10" i="3" s="1"/>
  <c r="I11" i="3" s="1"/>
  <c r="I12" i="3" s="1"/>
  <c r="I13" i="3" s="1"/>
  <c r="I14" i="3" s="1"/>
  <c r="I15" i="3" s="1"/>
  <c r="I1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New Jawali</author>
  </authors>
  <commentList>
    <comment ref="J1" authorId="0" shapeId="0" xr:uid="{00000000-0006-0000-0000-000001000000}">
      <text>
        <r>
          <rPr>
            <b/>
            <sz val="9"/>
            <color indexed="81"/>
            <rFont val="Tahoma"/>
            <family val="2"/>
          </rPr>
          <t>New Jawali:</t>
        </r>
        <r>
          <rPr>
            <sz val="9"/>
            <color indexed="81"/>
            <rFont val="Tahoma"/>
            <family val="2"/>
          </rPr>
          <t xml:space="preserve">
</t>
        </r>
        <r>
          <rPr>
            <b/>
            <sz val="12"/>
            <color indexed="81"/>
            <rFont val="Tahoma"/>
            <family val="2"/>
          </rPr>
          <t xml:space="preserve">LAP – Leave on Average Pay </t>
        </r>
        <r>
          <rPr>
            <sz val="9"/>
            <color indexed="81"/>
            <rFont val="Tahoma"/>
            <family val="2"/>
          </rPr>
          <t xml:space="preserve">
employees are eligible for advance credit of 30 days LAP in their leave account every year.
The credit is given in two installments e. 15 days on 1 st January and 15 days on 1 st July of every year.
In case of appointment or retirement in any part of half year credit shall be given at the rate of 2 ½ days per month up to the end of that half year.
In case   of   unauthorized    absence,   suspension,   Dies-non   etc, 1/10 th of such period will be debited to the leave account.
Maximum 300 days can be accumulated.
Advance credit of 15 days of next half year will be kept (300 + 15)
Maximum 180 days LAP can be sanctioned at a time
On retirement, 300 days LAP can be en-cashed.
LAP cannot be combined with CL
***
</t>
        </r>
        <r>
          <rPr>
            <b/>
            <sz val="12"/>
            <color indexed="81"/>
            <rFont val="Tahoma"/>
            <family val="2"/>
          </rPr>
          <t>LHAP – Leave on Half Average Pay</t>
        </r>
        <r>
          <rPr>
            <sz val="9"/>
            <color indexed="81"/>
            <rFont val="Tahoma"/>
            <family val="2"/>
          </rPr>
          <t xml:space="preserve">
➢ Railway employees are eligible for 20 days LHAP in a year.
➢ It is credited to the leave account in two installments @ 10 days each. ( 10 days on 1 st January and 10 days on 1st July).
➢ In the case of appointment or retirement in any part of half year credit shall be given at the rate of 5/3 days per month up to the end of that half year.
➢ In case of unauthorized absence, suspension, dies-non etc, 1/18 th of such period to the LHAP account.
➢ There is no maximum limit for accumulation.
➢ During LHAP employees are paid half pay salary.
➢ On retirement LHAP can not been-cashed. However, if 300 days of LAP is not available for encashment, LHAP to the extent of the difference can be en-cashed.
➢ Employees can opt for conversion of sick period into LHAP, it can be accepted and double the amount of sick period will be debited to LHAP account.
**
</t>
        </r>
        <r>
          <rPr>
            <b/>
            <sz val="12"/>
            <color indexed="81"/>
            <rFont val="Tahoma"/>
            <family val="2"/>
          </rPr>
          <t>CL – Casual Leave</t>
        </r>
        <r>
          <rPr>
            <sz val="9"/>
            <color indexed="81"/>
            <rFont val="Tahoma"/>
            <family val="2"/>
          </rPr>
          <t xml:space="preserve">
➔ Casual  Leave  is  sanctioned  to  attend  to  sudden  and  urgent personal work.
➔ Full salary is paid for the CL period.
➔ Employees who are allowed to avail public holidays are eligible for 8 days CL in a year.
➔ Others are eligible for 11 days CL in a year.
➔ Half  day  CL  can  be  sanctioned  to  the  employees  working  in Administrative Offices.
➔ CL cannot be combined with any other kind of leave and joining Time.
➔ Employees appointed on any day in the year are eligible to avail full CL i.e. 8 or 11 days.
➔ Physically Challenged employees are eligible for additional 4 days CL in a year.
➔ Un-availed CL will lapse and will not be carried forward to next year.
***
</t>
        </r>
        <r>
          <rPr>
            <b/>
            <sz val="12"/>
            <color indexed="81"/>
            <rFont val="Tahoma"/>
            <family val="2"/>
          </rPr>
          <t>PL – Paternity Leave</t>
        </r>
        <r>
          <rPr>
            <sz val="9"/>
            <color indexed="81"/>
            <rFont val="Tahoma"/>
            <family val="2"/>
          </rPr>
          <t xml:space="preserve">
PL is sanctioned to male employees.
Employees should have less than 2 surviving children.
Period of this leave is 15 days.
PL is  sanctioned  during  confinement  of  the  wife  (i.e.  15  days before or within 6 months from delivery date).
If PL is not availed within the above period, it will lapse.
PL is sanctioned even for adoption of a child of less than one year age.
PL is not debited to any leave account.
Full salary is paid during PL.
PL can be combined with any other kind of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New Jawali</author>
  </authors>
  <commentList>
    <comment ref="F4" authorId="0" shapeId="0" xr:uid="{00000000-0006-0000-0100-000001000000}">
      <text>
        <r>
          <rPr>
            <b/>
            <sz val="9"/>
            <color indexed="81"/>
            <rFont val="Tahoma"/>
            <family val="2"/>
          </rPr>
          <t>New Shambhu:</t>
        </r>
        <r>
          <rPr>
            <sz val="9"/>
            <color indexed="81"/>
            <rFont val="Tahoma"/>
            <family val="2"/>
          </rPr>
          <t xml:space="preserve">
</t>
        </r>
        <r>
          <rPr>
            <b/>
            <sz val="14"/>
            <color indexed="81"/>
            <rFont val="Tahoma"/>
            <family val="2"/>
          </rPr>
          <t>CL – Casual Leave</t>
        </r>
        <r>
          <rPr>
            <sz val="9"/>
            <color indexed="81"/>
            <rFont val="Tahoma"/>
            <family val="2"/>
          </rPr>
          <t xml:space="preserve">
➔ Casual  Leave  is  sanctioned  to  attend  to  sudden  and  urgent personal work.
➔ Full salary is paid for the CL period.
➔ Employees who are allowed to avail public holidays are eligible for 8 days CL in a year.
➔ Others are eligible for 11 days CL in a year.
➔ Half  day  CL  can  be  sanctioned  to  the  employees  working  in Administrative Offices.
➔ CL cannot be combined with any other kind of leave and joining Time.
➔ Employees appointed on any day in the year are eligible to avail full CL i.e. 8 or 11 days.
➔ Physically Challenged employees are eligible for additional 4 days CL in a year.
➔ Un-availed CL will lapse and will not be carried forward to next year.</t>
        </r>
      </text>
    </comment>
    <comment ref="F7" authorId="0" shapeId="0" xr:uid="{00000000-0006-0000-0100-000002000000}">
      <text>
        <r>
          <rPr>
            <b/>
            <sz val="9"/>
            <color indexed="81"/>
            <rFont val="Tahoma"/>
            <family val="2"/>
          </rPr>
          <t>New Shambhu:</t>
        </r>
        <r>
          <rPr>
            <sz val="9"/>
            <color indexed="81"/>
            <rFont val="Tahoma"/>
            <family val="2"/>
          </rPr>
          <t xml:space="preserve">
</t>
        </r>
        <r>
          <rPr>
            <b/>
            <sz val="12"/>
            <color indexed="81"/>
            <rFont val="Tahoma"/>
            <family val="2"/>
          </rPr>
          <t xml:space="preserve">LAP – Leave on Average Pay </t>
        </r>
        <r>
          <rPr>
            <sz val="9"/>
            <color indexed="81"/>
            <rFont val="Tahoma"/>
            <family val="2"/>
          </rPr>
          <t xml:space="preserve">
employees are eligible for advance credit of 30 days LAP in their leave account every year.
The credit is given in two installments e. 15 days on 1 st January and 15 days on 1 st July of every year.
In case of appointment or retirement in any part of half year credit shall be given at the rate of 2 ½ days per month up to the end of that half year.
In case   of   unauthorized    absence,   suspension,   Dies-non   etc, 1/10 th of such period will be debited to the leave account.
Maximum 300 days can be accumulated.
Advance credit of 15 days of next half year will be kept (300 + 15)
Maximum 180 days LAP can be sanctioned at a time
On retirement, 300 days LAP can be en-cashed.
LAP cannot be combined with CL
***</t>
        </r>
      </text>
    </comment>
    <comment ref="F8" authorId="0" shapeId="0" xr:uid="{00000000-0006-0000-0100-000003000000}">
      <text>
        <r>
          <rPr>
            <b/>
            <sz val="9"/>
            <color indexed="81"/>
            <rFont val="Tahoma"/>
            <family val="2"/>
          </rPr>
          <t>New Shambhu:</t>
        </r>
        <r>
          <rPr>
            <sz val="9"/>
            <color indexed="81"/>
            <rFont val="Tahoma"/>
            <family val="2"/>
          </rPr>
          <t xml:space="preserve">
</t>
        </r>
        <r>
          <rPr>
            <b/>
            <sz val="12"/>
            <color indexed="81"/>
            <rFont val="Tahoma"/>
            <family val="2"/>
          </rPr>
          <t xml:space="preserve">
LHAP – Leave on Half Average Pay</t>
        </r>
        <r>
          <rPr>
            <sz val="9"/>
            <color indexed="81"/>
            <rFont val="Tahoma"/>
            <family val="2"/>
          </rPr>
          <t xml:space="preserve">
➢ Railway employees are eligible for 20 days LHAP in a year.
➢ It is credited to the leave account in two installments @ 10 days each. ( 10 days on 1 st January and 10 days on 1st July).
➢ In the case of appointment or retirement in any part of half year credit shall be given at the rate of 5/3 days per month up to the end of that half year.
➢ In case of unauthorized absence, suspension, dies-non etc, 1/18 th of such period to the LHAP account.
➢ There is no maximum limit for accumulation.
➢ During LHAP employees are paid half pay salary.
➢ On retirement LHAP can not been-cashed. However, if 300 days of LAP is not available for encashment, LHAP to the extent of the difference can be en-cashed.
➢ Employees can opt for conversion of sick period into LHAP, it can be accepted and double the amount of sick period will be debited to LHAP account.</t>
        </r>
      </text>
    </comment>
    <comment ref="F9" authorId="0" shapeId="0" xr:uid="{00000000-0006-0000-0100-000004000000}">
      <text>
        <r>
          <rPr>
            <b/>
            <sz val="9"/>
            <color indexed="81"/>
            <rFont val="Tahoma"/>
            <family val="2"/>
          </rPr>
          <t>New Shambhu:</t>
        </r>
        <r>
          <rPr>
            <sz val="9"/>
            <color indexed="81"/>
            <rFont val="Tahoma"/>
            <family val="2"/>
          </rPr>
          <t xml:space="preserve">
</t>
        </r>
        <r>
          <rPr>
            <b/>
            <sz val="14"/>
            <color indexed="81"/>
            <rFont val="Tahoma"/>
            <family val="2"/>
          </rPr>
          <t>PL – Paternity Leave</t>
        </r>
        <r>
          <rPr>
            <sz val="9"/>
            <color indexed="81"/>
            <rFont val="Tahoma"/>
            <family val="2"/>
          </rPr>
          <t xml:space="preserve">
PL is sanctioned to male employees.
Employees should have less than 2 surviving children.
Period of this leave is 15 days.
PL is  sanctioned  during  confinement  of  the  wife  (i.e.  15  days before or within 6 months from delivery date).
If PL is not availed within the above period, it will lapse.
PL is sanctioned even for adoption of a child of less than one year age.
PL is not debited to any leave account.
Full salary is paid during PL.
PL can be combined with any other kind of</t>
        </r>
      </text>
    </comment>
    <comment ref="F10" authorId="0" shapeId="0" xr:uid="{F35A7D7C-20BF-44DF-9FA7-AD1BD8E86335}">
      <text>
        <r>
          <rPr>
            <b/>
            <sz val="9"/>
            <color indexed="81"/>
            <rFont val="Tahoma"/>
            <family val="2"/>
          </rPr>
          <t>New Shambhu:</t>
        </r>
        <r>
          <rPr>
            <sz val="9"/>
            <color indexed="81"/>
            <rFont val="Tahoma"/>
            <family val="2"/>
          </rPr>
          <t xml:space="preserve">
TL-Transfer Leave
</t>
        </r>
      </text>
    </comment>
  </commentList>
</comments>
</file>

<file path=xl/sharedStrings.xml><?xml version="1.0" encoding="utf-8"?>
<sst xmlns="http://schemas.openxmlformats.org/spreadsheetml/2006/main" count="170" uniqueCount="88">
  <si>
    <t xml:space="preserve"> </t>
  </si>
  <si>
    <t>LHAP</t>
  </si>
  <si>
    <t>LAP</t>
  </si>
  <si>
    <t>Place of posting</t>
  </si>
  <si>
    <t>Designation</t>
  </si>
  <si>
    <t>Name of Employee</t>
  </si>
  <si>
    <t>Emp-Id</t>
  </si>
  <si>
    <t>From</t>
  </si>
  <si>
    <t>To</t>
  </si>
  <si>
    <t>Type of leave</t>
  </si>
  <si>
    <t>CL</t>
  </si>
  <si>
    <t>RH</t>
  </si>
  <si>
    <t>HALF CL</t>
  </si>
  <si>
    <t>PATERNITY</t>
  </si>
  <si>
    <t>No of days</t>
  </si>
  <si>
    <t>Annexure-III</t>
  </si>
  <si>
    <t>S.No:</t>
  </si>
  <si>
    <t>Name of Emp.:</t>
  </si>
  <si>
    <t>Emp. Coade:</t>
  </si>
  <si>
    <t>No.of days</t>
  </si>
  <si>
    <t>Balance</t>
  </si>
  <si>
    <t>Brief reason for leave</t>
  </si>
  <si>
    <t>Sanctioned by</t>
  </si>
  <si>
    <t>Forwarded by if any</t>
  </si>
  <si>
    <t>Sig.of Employee</t>
  </si>
  <si>
    <t>Designation:</t>
  </si>
  <si>
    <t>Posted at:</t>
  </si>
  <si>
    <t>Restricted Holidays (RH)-02</t>
  </si>
  <si>
    <t>Instructions:</t>
  </si>
  <si>
    <t>1. A total of 08 CL and 02 RH shall be admissible year, as per the terms and condition contained in DFCCIL Leave Rules.</t>
  </si>
  <si>
    <t>2. This card shall be maintained by the Holder and CL/RH will be sanctioned only in it.</t>
  </si>
  <si>
    <t>3.In case of this card, it will be presumed that the holder has availed of all the CL/RH due to him/her.No duplicate card will be issued</t>
  </si>
  <si>
    <t>Issued by HR/CGM Ajmer Unit on 02.01.2023</t>
  </si>
  <si>
    <t>.</t>
  </si>
  <si>
    <t>Posted at</t>
  </si>
  <si>
    <t>Remark</t>
  </si>
  <si>
    <t>CL Avialed on</t>
  </si>
  <si>
    <t>Year</t>
  </si>
  <si>
    <t>0</t>
  </si>
  <si>
    <t>EMP-ID</t>
  </si>
  <si>
    <t xml:space="preserve">                  Leave Report Emplyee working under JPM/Civil/SMUN
 (Ambala Unit)               </t>
  </si>
  <si>
    <t>Session- 2025</t>
  </si>
  <si>
    <t>Shri Vivek Kumar Azad</t>
  </si>
  <si>
    <t>Shri Tej Pal</t>
  </si>
  <si>
    <t>Shri Ved Prakash</t>
  </si>
  <si>
    <t>Shri Sanni Kumar Sharma</t>
  </si>
  <si>
    <t>MTS/CIVIL</t>
  </si>
  <si>
    <t>Shri Gautam Kumar</t>
  </si>
  <si>
    <t>Shri Lal Chand</t>
  </si>
  <si>
    <t>Shri Sudhir Kumar</t>
  </si>
  <si>
    <t>Shri Suraj Verma</t>
  </si>
  <si>
    <t>Shri Amar Molana</t>
  </si>
  <si>
    <t>Shri Harpal Singh</t>
  </si>
  <si>
    <t>JPM/CIVIL</t>
  </si>
  <si>
    <t>Jr. Executive/CIVIL</t>
  </si>
  <si>
    <t>Executive/CIVIL</t>
  </si>
  <si>
    <t>Sr. Executive/CIVIL 
(Re-employed)</t>
  </si>
  <si>
    <t>Sh. Dayal Singh (Black-Smith)</t>
  </si>
  <si>
    <t>Jr. Executive/Civil
Re-employed</t>
  </si>
  <si>
    <t>SMUN</t>
  </si>
  <si>
    <t>Sh. Swarn Singh (Black-Smith)</t>
  </si>
  <si>
    <t>Sr.Executive/Civil
Re-employed</t>
  </si>
  <si>
    <t>CHAN</t>
  </si>
  <si>
    <t>NSIR</t>
  </si>
  <si>
    <t>KNNN</t>
  </si>
  <si>
    <t>TRANSFER LEAVE</t>
  </si>
  <si>
    <t>Shri Surender Kumar</t>
  </si>
  <si>
    <t>Shri Ranjit Kumar</t>
  </si>
  <si>
    <r>
      <rPr>
        <b/>
        <sz val="11"/>
        <color rgb="FF7030A0"/>
        <rFont val="Times New Roman"/>
        <family val="1"/>
      </rPr>
      <t>CASUAL LEAVE/</t>
    </r>
    <r>
      <rPr>
        <b/>
        <sz val="11"/>
        <color theme="1"/>
        <rFont val="Times New Roman"/>
        <family val="1"/>
      </rPr>
      <t xml:space="preserve"> </t>
    </r>
    <r>
      <rPr>
        <b/>
        <sz val="11"/>
        <color rgb="FF00B050"/>
        <rFont val="Times New Roman"/>
        <family val="1"/>
      </rPr>
      <t>RH RECORD -</t>
    </r>
    <r>
      <rPr>
        <b/>
        <sz val="11"/>
        <color rgb="FF7030A0"/>
        <rFont val="Times New Roman"/>
        <family val="1"/>
      </rPr>
      <t>2025</t>
    </r>
  </si>
  <si>
    <r>
      <rPr>
        <b/>
        <u/>
        <sz val="14"/>
        <color rgb="FFFF0000"/>
        <rFont val="Times New Roman"/>
        <family val="1"/>
      </rPr>
      <t>Dedicated Frieght Corridor Corporation of India Limited</t>
    </r>
    <r>
      <rPr>
        <b/>
        <u/>
        <sz val="14"/>
        <color theme="1"/>
        <rFont val="Times New Roman"/>
        <family val="1"/>
      </rPr>
      <t xml:space="preserve"> - </t>
    </r>
    <r>
      <rPr>
        <b/>
        <u/>
        <sz val="14"/>
        <color rgb="FFC00000"/>
        <rFont val="Times New Roman"/>
        <family val="1"/>
      </rPr>
      <t>CGM</t>
    </r>
    <r>
      <rPr>
        <b/>
        <u/>
        <sz val="14"/>
        <color theme="1"/>
        <rFont val="Times New Roman"/>
        <family val="1"/>
      </rPr>
      <t xml:space="preserve">/ </t>
    </r>
    <r>
      <rPr>
        <b/>
        <u/>
        <sz val="14"/>
        <color rgb="FF00B0F0"/>
        <rFont val="Times New Roman"/>
        <family val="1"/>
      </rPr>
      <t>AMBALA</t>
    </r>
  </si>
  <si>
    <t>14/08/2025</t>
  </si>
  <si>
    <t>16/07/2025</t>
  </si>
  <si>
    <t>19/07/2025</t>
  </si>
  <si>
    <t>29/07/2025</t>
  </si>
  <si>
    <t>21/08/2025</t>
  </si>
  <si>
    <t>30/09/2025</t>
  </si>
  <si>
    <t>14/09/2025</t>
  </si>
  <si>
    <t>13/9/2025</t>
  </si>
  <si>
    <t>28/8/2025</t>
  </si>
  <si>
    <t>21/10/2025</t>
  </si>
  <si>
    <t>29/10/2025</t>
  </si>
  <si>
    <t>30/10/2025</t>
  </si>
  <si>
    <t>31/10/2025</t>
  </si>
  <si>
    <t>22/10/2025</t>
  </si>
  <si>
    <t>24/10/2025</t>
  </si>
  <si>
    <t>25/10/2025</t>
  </si>
  <si>
    <t>26/10/2025</t>
  </si>
  <si>
    <t xml:space="preserve">        Leave Report Emplyee working under APM/Civil/SMUN
 (Ambala Unit)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</si>
</sst>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quot;&quot;"/>
  </numFmts>
  <fonts count="42" x14ac:knownFonts="1">
    <font>
      <sz val="11"/>
      <color theme="1"/>
      <name val="Calibri"/>
      <family val="2"/>
      <scheme val="minor"/>
    </font>
    <font>
      <sz val="14"/>
      <color theme="1"/>
      <name val="Calibri"/>
      <family val="2"/>
      <scheme val="minor"/>
    </font>
    <font>
      <b/>
      <sz val="14"/>
      <color theme="1"/>
      <name val="Arial"/>
      <family val="2"/>
    </font>
    <font>
      <b/>
      <sz val="22"/>
      <color rgb="FFFF0000"/>
      <name val="Arial"/>
      <family val="2"/>
    </font>
    <font>
      <b/>
      <sz val="12"/>
      <color rgb="FFFF0000"/>
      <name val="Times New Roman"/>
      <family val="1"/>
    </font>
    <font>
      <sz val="12"/>
      <color theme="1"/>
      <name val="Times New Roman"/>
      <family val="1"/>
    </font>
    <font>
      <b/>
      <sz val="22"/>
      <color theme="1"/>
      <name val="Arial"/>
      <family val="2"/>
    </font>
    <font>
      <b/>
      <sz val="18"/>
      <color rgb="FFFF0000"/>
      <name val="Arial"/>
      <family val="2"/>
    </font>
    <font>
      <b/>
      <sz val="11"/>
      <color theme="1"/>
      <name val="Times New Roman"/>
      <family val="1"/>
    </font>
    <font>
      <sz val="11"/>
      <color theme="1"/>
      <name val="Times New Roman"/>
      <family val="1"/>
    </font>
    <font>
      <b/>
      <sz val="11"/>
      <color rgb="FF00B050"/>
      <name val="Times New Roman"/>
      <family val="1"/>
    </font>
    <font>
      <b/>
      <sz val="12"/>
      <color theme="1"/>
      <name val="Times New Roman"/>
      <family val="1"/>
    </font>
    <font>
      <b/>
      <sz val="14"/>
      <color theme="1"/>
      <name val="Times New Roman"/>
      <family val="1"/>
    </font>
    <font>
      <b/>
      <u/>
      <sz val="14"/>
      <color theme="1"/>
      <name val="Times New Roman"/>
      <family val="1"/>
    </font>
    <font>
      <b/>
      <u/>
      <sz val="14"/>
      <color rgb="FFFF0000"/>
      <name val="Times New Roman"/>
      <family val="1"/>
    </font>
    <font>
      <b/>
      <u/>
      <sz val="14"/>
      <color rgb="FFC00000"/>
      <name val="Times New Roman"/>
      <family val="1"/>
    </font>
    <font>
      <b/>
      <u/>
      <sz val="14"/>
      <color rgb="FF00B0F0"/>
      <name val="Times New Roman"/>
      <family val="1"/>
    </font>
    <font>
      <b/>
      <sz val="11"/>
      <color rgb="FF7030A0"/>
      <name val="Times New Roman"/>
      <family val="1"/>
    </font>
    <font>
      <sz val="12"/>
      <color rgb="FFFF0000"/>
      <name val="Times New Roman"/>
      <family val="1"/>
    </font>
    <font>
      <sz val="14"/>
      <color rgb="FFFF0000"/>
      <name val="Times New Roman"/>
      <family val="1"/>
    </font>
    <font>
      <sz val="14"/>
      <color theme="1"/>
      <name val="Times New Roman"/>
      <family val="1"/>
    </font>
    <font>
      <u/>
      <sz val="12"/>
      <color rgb="FF00B050"/>
      <name val="Times New Roman"/>
      <family val="1"/>
    </font>
    <font>
      <b/>
      <sz val="12"/>
      <color rgb="FF00B050"/>
      <name val="Times New Roman"/>
      <family val="1"/>
    </font>
    <font>
      <sz val="12"/>
      <color theme="0"/>
      <name val="Times New Roman"/>
      <family val="1"/>
    </font>
    <font>
      <b/>
      <sz val="11"/>
      <color rgb="FFFF0000"/>
      <name val="Times New Roman"/>
      <family val="1"/>
    </font>
    <font>
      <b/>
      <sz val="36"/>
      <color rgb="FFFF0000"/>
      <name val="Times New Roman"/>
      <family val="1"/>
    </font>
    <font>
      <sz val="12"/>
      <name val="Times New Roman"/>
      <family val="1"/>
    </font>
    <font>
      <b/>
      <sz val="14"/>
      <name val="Times New Roman"/>
      <family val="1"/>
    </font>
    <font>
      <sz val="14"/>
      <name val="Times New Roman"/>
      <family val="1"/>
    </font>
    <font>
      <sz val="9"/>
      <color indexed="81"/>
      <name val="Tahoma"/>
      <family val="2"/>
    </font>
    <font>
      <b/>
      <sz val="9"/>
      <color indexed="81"/>
      <name val="Tahoma"/>
      <family val="2"/>
    </font>
    <font>
      <b/>
      <sz val="12"/>
      <color indexed="81"/>
      <name val="Tahoma"/>
      <family val="2"/>
    </font>
    <font>
      <b/>
      <sz val="14"/>
      <color indexed="81"/>
      <name val="Tahoma"/>
      <family val="2"/>
    </font>
    <font>
      <b/>
      <sz val="20"/>
      <color theme="1"/>
      <name val="Times New Roman"/>
      <family val="1"/>
    </font>
    <font>
      <b/>
      <sz val="28"/>
      <color theme="1"/>
      <name val="Times New Roman"/>
      <family val="1"/>
    </font>
    <font>
      <b/>
      <sz val="24"/>
      <color theme="1"/>
      <name val="Arial"/>
      <family val="2"/>
    </font>
    <font>
      <b/>
      <sz val="18"/>
      <color theme="1"/>
      <name val="Times New Roman"/>
      <family val="1"/>
    </font>
    <font>
      <sz val="18"/>
      <color theme="1"/>
      <name val="Times New Roman"/>
      <family val="1"/>
    </font>
    <font>
      <sz val="12"/>
      <name val="Times New Roman"/>
      <family val="1"/>
    </font>
    <font>
      <sz val="14"/>
      <color rgb="FFFF0000"/>
      <name val="Times New Roman"/>
      <family val="1"/>
    </font>
    <font>
      <b/>
      <sz val="12"/>
      <color rgb="FFFF0000"/>
      <name val="Times New Roman"/>
      <family val="1"/>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3"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medium">
        <color auto="1"/>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46">
    <xf numFmtId="0" fontId="0" fillId="0" borderId="0" xfId="0"/>
    <xf numFmtId="0" fontId="0" fillId="0" borderId="0" xfId="0" applyAlignment="1">
      <alignment vertical="center"/>
    </xf>
    <xf numFmtId="0" fontId="0" fillId="2" borderId="0" xfId="0" applyFill="1" applyAlignment="1">
      <alignment vertical="center"/>
    </xf>
    <xf numFmtId="0" fontId="1" fillId="0" borderId="0" xfId="0" applyFont="1" applyAlignment="1">
      <alignment vertical="center"/>
    </xf>
    <xf numFmtId="0" fontId="2" fillId="2" borderId="1" xfId="0" applyFont="1" applyFill="1" applyBorder="1" applyAlignment="1">
      <alignment horizontal="center" vertical="center"/>
    </xf>
    <xf numFmtId="0" fontId="1" fillId="2" borderId="0" xfId="0" applyFont="1" applyFill="1" applyAlignment="1">
      <alignment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0" fillId="0" borderId="0" xfId="0" applyAlignment="1">
      <alignment horizontal="center" vertical="center"/>
    </xf>
    <xf numFmtId="0" fontId="9" fillId="0" borderId="0" xfId="0" applyFont="1"/>
    <xf numFmtId="0" fontId="9" fillId="0" borderId="0" xfId="0" applyFont="1" applyAlignment="1">
      <alignment horizontal="center" vertical="center"/>
    </xf>
    <xf numFmtId="0" fontId="5" fillId="0" borderId="18" xfId="0" applyFont="1" applyBorder="1" applyAlignment="1">
      <alignment horizontal="center"/>
    </xf>
    <xf numFmtId="0" fontId="5" fillId="0" borderId="8" xfId="0" applyFont="1" applyBorder="1" applyAlignment="1">
      <alignment horizontal="center"/>
    </xf>
    <xf numFmtId="0" fontId="11" fillId="0" borderId="10" xfId="0" applyFont="1" applyBorder="1" applyAlignment="1">
      <alignment horizontal="left" vertical="center" wrapText="1"/>
    </xf>
    <xf numFmtId="0" fontId="11" fillId="0" borderId="23" xfId="0" applyFont="1" applyBorder="1" applyAlignment="1">
      <alignment horizontal="center" vertical="center" wrapText="1"/>
    </xf>
    <xf numFmtId="0" fontId="11" fillId="0" borderId="23" xfId="0" applyFont="1" applyBorder="1" applyAlignment="1">
      <alignment horizontal="left" vertical="center" wrapText="1"/>
    </xf>
    <xf numFmtId="0" fontId="11" fillId="0" borderId="10" xfId="0" applyFont="1" applyBorder="1" applyAlignment="1">
      <alignment horizontal="center" vertical="center" wrapText="1"/>
    </xf>
    <xf numFmtId="0" fontId="9" fillId="0" borderId="1" xfId="0" applyFont="1" applyBorder="1" applyAlignment="1">
      <alignment horizontal="center" vertical="center"/>
    </xf>
    <xf numFmtId="0" fontId="5" fillId="0" borderId="1" xfId="0" applyFont="1" applyBorder="1" applyAlignment="1">
      <alignment horizontal="center" vertical="center"/>
    </xf>
    <xf numFmtId="0" fontId="5" fillId="0" borderId="33" xfId="0" applyFont="1" applyBorder="1" applyAlignment="1">
      <alignment horizontal="center" vertical="center"/>
    </xf>
    <xf numFmtId="0" fontId="5" fillId="0" borderId="34" xfId="0" applyFont="1"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4" fillId="0" borderId="26" xfId="0" applyFont="1" applyBorder="1" applyAlignment="1">
      <alignment horizontal="center" vertical="center" wrapText="1"/>
    </xf>
    <xf numFmtId="0" fontId="5" fillId="0" borderId="25" xfId="0" applyFont="1" applyBorder="1" applyAlignment="1">
      <alignment horizontal="center" wrapText="1"/>
    </xf>
    <xf numFmtId="164" fontId="8" fillId="0" borderId="3" xfId="0" applyNumberFormat="1" applyFont="1" applyBorder="1" applyAlignment="1">
      <alignment horizontal="center" vertical="center"/>
    </xf>
    <xf numFmtId="0" fontId="9" fillId="0" borderId="13" xfId="0" applyFont="1" applyBorder="1" applyAlignment="1">
      <alignment horizontal="center" vertical="center"/>
    </xf>
    <xf numFmtId="0" fontId="11" fillId="0" borderId="13" xfId="0" applyFont="1" applyBorder="1" applyAlignment="1">
      <alignment horizontal="center" vertical="center"/>
    </xf>
    <xf numFmtId="0" fontId="11" fillId="0" borderId="1" xfId="0" applyFont="1" applyBorder="1" applyAlignment="1">
      <alignment horizontal="center" vertical="center"/>
    </xf>
    <xf numFmtId="0" fontId="9" fillId="0" borderId="16" xfId="0" applyFont="1" applyBorder="1" applyAlignment="1">
      <alignment horizontal="center" vertical="center"/>
    </xf>
    <xf numFmtId="0" fontId="11" fillId="0" borderId="16" xfId="0" applyFont="1" applyBorder="1" applyAlignment="1">
      <alignment horizontal="center" vertical="center"/>
    </xf>
    <xf numFmtId="0" fontId="11" fillId="0" borderId="12" xfId="0" applyFont="1" applyBorder="1" applyAlignment="1">
      <alignment horizontal="center" vertical="center"/>
    </xf>
    <xf numFmtId="0" fontId="9" fillId="0" borderId="14" xfId="0" applyFont="1" applyBorder="1" applyAlignment="1">
      <alignment horizontal="center" vertical="center"/>
    </xf>
    <xf numFmtId="0" fontId="11" fillId="0" borderId="33" xfId="0" applyFont="1" applyBorder="1" applyAlignment="1">
      <alignment horizontal="center" vertical="center"/>
    </xf>
    <xf numFmtId="0" fontId="9" fillId="0" borderId="34" xfId="0" applyFont="1" applyBorder="1" applyAlignment="1">
      <alignment horizontal="center" vertical="center"/>
    </xf>
    <xf numFmtId="0" fontId="11" fillId="0" borderId="15" xfId="0" applyFont="1" applyBorder="1" applyAlignment="1">
      <alignment horizontal="center" vertical="center"/>
    </xf>
    <xf numFmtId="0" fontId="9" fillId="0" borderId="17" xfId="0" applyFont="1" applyBorder="1" applyAlignment="1">
      <alignment horizontal="center" vertical="center"/>
    </xf>
    <xf numFmtId="164" fontId="23" fillId="0" borderId="16" xfId="0" applyNumberFormat="1" applyFont="1" applyBorder="1" applyAlignment="1">
      <alignment horizontal="center" vertical="center"/>
    </xf>
    <xf numFmtId="164" fontId="24" fillId="0" borderId="3" xfId="0" applyNumberFormat="1" applyFont="1" applyBorder="1" applyAlignment="1">
      <alignment horizontal="center" vertical="center"/>
    </xf>
    <xf numFmtId="164" fontId="4" fillId="0" borderId="37" xfId="0" applyNumberFormat="1" applyFont="1" applyBorder="1" applyAlignment="1">
      <alignment horizontal="center" vertical="center"/>
    </xf>
    <xf numFmtId="0" fontId="4" fillId="0" borderId="1" xfId="0" applyFont="1" applyBorder="1" applyAlignment="1">
      <alignment horizontal="center" vertical="center"/>
    </xf>
    <xf numFmtId="0" fontId="11" fillId="0" borderId="10" xfId="0" applyFont="1" applyBorder="1" applyAlignment="1">
      <alignment horizontal="center" vertical="center"/>
    </xf>
    <xf numFmtId="0" fontId="9" fillId="0" borderId="24" xfId="0" applyFont="1" applyBorder="1" applyAlignment="1">
      <alignment horizontal="center" vertical="center" wrapText="1"/>
    </xf>
    <xf numFmtId="164" fontId="24" fillId="0" borderId="1" xfId="0" applyNumberFormat="1" applyFont="1" applyBorder="1" applyAlignment="1">
      <alignment horizontal="center" vertical="center"/>
    </xf>
    <xf numFmtId="0" fontId="9" fillId="0" borderId="3" xfId="0" applyFont="1" applyBorder="1"/>
    <xf numFmtId="0" fontId="5" fillId="0" borderId="8" xfId="0" applyFont="1" applyBorder="1" applyAlignment="1">
      <alignment horizontal="center" vertical="center" wrapText="1"/>
    </xf>
    <xf numFmtId="0" fontId="1" fillId="0" borderId="0" xfId="0" applyFont="1" applyAlignment="1">
      <alignment horizontal="center" vertical="center"/>
    </xf>
    <xf numFmtId="14" fontId="26" fillId="2" borderId="3" xfId="0" applyNumberFormat="1" applyFont="1" applyFill="1" applyBorder="1" applyAlignment="1">
      <alignment horizontal="center" vertical="center"/>
    </xf>
    <xf numFmtId="0" fontId="26" fillId="2" borderId="1" xfId="0" applyFont="1" applyFill="1" applyBorder="1" applyAlignment="1">
      <alignment horizontal="center" vertical="center"/>
    </xf>
    <xf numFmtId="0" fontId="26" fillId="2" borderId="3" xfId="0" applyFont="1" applyFill="1" applyBorder="1" applyAlignment="1">
      <alignment horizontal="center" vertical="center"/>
    </xf>
    <xf numFmtId="0" fontId="27" fillId="3" borderId="8" xfId="0" applyFont="1" applyFill="1" applyBorder="1" applyAlignment="1">
      <alignment horizontal="center" vertical="center" wrapText="1"/>
    </xf>
    <xf numFmtId="0" fontId="27" fillId="3" borderId="10"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27" fillId="3" borderId="6" xfId="0" applyFont="1" applyFill="1" applyBorder="1" applyAlignment="1">
      <alignment horizontal="center" vertical="center" wrapText="1"/>
    </xf>
    <xf numFmtId="0" fontId="27" fillId="3" borderId="7" xfId="0" applyFont="1" applyFill="1" applyBorder="1" applyAlignment="1">
      <alignment horizontal="center" vertical="center" wrapText="1"/>
    </xf>
    <xf numFmtId="1" fontId="0" fillId="0" borderId="3" xfId="0" applyNumberFormat="1" applyBorder="1" applyAlignment="1">
      <alignment horizontal="center" vertical="center"/>
    </xf>
    <xf numFmtId="0" fontId="26" fillId="2" borderId="29" xfId="0" applyFont="1" applyFill="1" applyBorder="1" applyAlignment="1">
      <alignment horizontal="center" vertical="center"/>
    </xf>
    <xf numFmtId="0" fontId="27" fillId="3" borderId="4" xfId="0" applyFont="1" applyFill="1" applyBorder="1" applyAlignment="1">
      <alignment horizontal="center" vertical="center" wrapText="1"/>
    </xf>
    <xf numFmtId="0" fontId="1" fillId="0" borderId="0" xfId="0" applyFont="1" applyAlignment="1">
      <alignment vertical="center" wrapText="1"/>
    </xf>
    <xf numFmtId="0" fontId="27" fillId="3" borderId="38" xfId="0" applyFont="1" applyFill="1" applyBorder="1" applyAlignment="1">
      <alignment horizontal="center" vertical="center" wrapText="1"/>
    </xf>
    <xf numFmtId="0" fontId="0" fillId="2" borderId="0" xfId="0" applyFill="1" applyAlignment="1">
      <alignment horizontal="center" vertical="center"/>
    </xf>
    <xf numFmtId="0" fontId="19" fillId="2" borderId="29" xfId="0" applyFont="1" applyFill="1" applyBorder="1" applyAlignment="1">
      <alignment horizontal="center" vertical="center"/>
    </xf>
    <xf numFmtId="0" fontId="4" fillId="2" borderId="3" xfId="0" applyFont="1" applyFill="1" applyBorder="1" applyAlignment="1">
      <alignment horizontal="center" vertical="center"/>
    </xf>
    <xf numFmtId="14" fontId="0" fillId="0" borderId="3" xfId="0" applyNumberFormat="1" applyBorder="1" applyAlignment="1">
      <alignment vertical="center"/>
    </xf>
    <xf numFmtId="0" fontId="1" fillId="6" borderId="0" xfId="0" applyFont="1" applyFill="1" applyAlignment="1">
      <alignment horizontal="center" vertical="center"/>
    </xf>
    <xf numFmtId="0" fontId="1" fillId="0" borderId="8" xfId="0" applyFont="1" applyBorder="1" applyAlignment="1">
      <alignment horizontal="center" vertical="center" wrapText="1"/>
    </xf>
    <xf numFmtId="0" fontId="1" fillId="6" borderId="8"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4" xfId="0" applyFont="1" applyFill="1" applyBorder="1" applyAlignment="1">
      <alignment horizontal="center" vertical="center"/>
    </xf>
    <xf numFmtId="0" fontId="26" fillId="2" borderId="0" xfId="0" applyFont="1" applyFill="1" applyAlignment="1">
      <alignment horizontal="center" vertical="center"/>
    </xf>
    <xf numFmtId="0" fontId="27" fillId="3" borderId="26" xfId="0" applyFont="1" applyFill="1" applyBorder="1" applyAlignment="1">
      <alignment horizontal="center" vertical="center" wrapText="1"/>
    </xf>
    <xf numFmtId="0" fontId="36" fillId="0" borderId="12" xfId="0" applyFont="1" applyBorder="1" applyAlignment="1">
      <alignment horizontal="center" vertical="center"/>
    </xf>
    <xf numFmtId="0" fontId="20" fillId="0" borderId="13" xfId="0" applyFont="1" applyBorder="1" applyAlignment="1">
      <alignment horizontal="left" vertical="center"/>
    </xf>
    <xf numFmtId="0" fontId="20" fillId="0" borderId="13" xfId="0" applyFont="1" applyBorder="1" applyAlignment="1">
      <alignment horizontal="center" vertical="center"/>
    </xf>
    <xf numFmtId="0" fontId="37" fillId="0" borderId="13" xfId="0" applyFont="1" applyBorder="1" applyAlignment="1">
      <alignment horizontal="center" vertical="center"/>
    </xf>
    <xf numFmtId="0" fontId="36" fillId="0" borderId="33" xfId="0" applyFont="1" applyBorder="1" applyAlignment="1">
      <alignment horizontal="center" vertical="center"/>
    </xf>
    <xf numFmtId="0" fontId="20" fillId="2" borderId="1" xfId="0" applyFont="1" applyFill="1" applyBorder="1" applyAlignment="1">
      <alignment horizontal="left" vertical="center"/>
    </xf>
    <xf numFmtId="0" fontId="20" fillId="2" borderId="1" xfId="0" applyFont="1" applyFill="1" applyBorder="1" applyAlignment="1">
      <alignment horizontal="center" vertical="center"/>
    </xf>
    <xf numFmtId="0" fontId="37" fillId="2" borderId="1" xfId="0" applyFont="1" applyFill="1" applyBorder="1" applyAlignment="1">
      <alignment horizontal="center" vertical="center"/>
    </xf>
    <xf numFmtId="0" fontId="20" fillId="0" borderId="1" xfId="0" applyFont="1" applyBorder="1" applyAlignment="1">
      <alignment horizontal="left" vertical="center"/>
    </xf>
    <xf numFmtId="0" fontId="20" fillId="0" borderId="1" xfId="0" applyFont="1" applyBorder="1" applyAlignment="1">
      <alignment horizontal="center" vertical="center"/>
    </xf>
    <xf numFmtId="0" fontId="37" fillId="0" borderId="1" xfId="0" applyFont="1" applyBorder="1" applyAlignment="1">
      <alignment horizontal="center" vertical="center"/>
    </xf>
    <xf numFmtId="0" fontId="20" fillId="0" borderId="1" xfId="0" applyFont="1" applyBorder="1" applyAlignment="1">
      <alignment horizontal="center" vertical="center" wrapText="1"/>
    </xf>
    <xf numFmtId="0" fontId="28" fillId="2" borderId="29" xfId="0" applyFont="1" applyFill="1" applyBorder="1" applyAlignment="1">
      <alignment horizontal="left" vertical="center"/>
    </xf>
    <xf numFmtId="0" fontId="0" fillId="0" borderId="0" xfId="0" applyAlignment="1">
      <alignment horizontal="left" vertical="center"/>
    </xf>
    <xf numFmtId="0" fontId="38" fillId="2" borderId="29" xfId="0" applyFont="1" applyFill="1" applyBorder="1" applyAlignment="1">
      <alignment horizontal="center" vertical="center"/>
    </xf>
    <xf numFmtId="0" fontId="39" fillId="2" borderId="29" xfId="0" applyFont="1" applyFill="1" applyBorder="1" applyAlignment="1">
      <alignment horizontal="center" vertical="center"/>
    </xf>
    <xf numFmtId="0" fontId="38" fillId="2" borderId="28" xfId="0" applyFont="1" applyFill="1" applyBorder="1" applyAlignment="1">
      <alignment horizontal="center" vertical="center"/>
    </xf>
    <xf numFmtId="0" fontId="40" fillId="2" borderId="3" xfId="0" applyFont="1" applyFill="1" applyBorder="1" applyAlignment="1">
      <alignment horizontal="center" vertical="center"/>
    </xf>
    <xf numFmtId="0" fontId="38" fillId="2" borderId="1" xfId="0" applyFont="1" applyFill="1" applyBorder="1" applyAlignment="1">
      <alignment horizontal="center" vertical="center"/>
    </xf>
    <xf numFmtId="0" fontId="38" fillId="2" borderId="39" xfId="0" applyFont="1" applyFill="1" applyBorder="1" applyAlignment="1">
      <alignment horizontal="center" vertical="center"/>
    </xf>
    <xf numFmtId="0" fontId="38" fillId="2" borderId="40" xfId="0" applyFont="1" applyFill="1" applyBorder="1" applyAlignment="1">
      <alignment horizontal="center" vertical="center"/>
    </xf>
    <xf numFmtId="0" fontId="28" fillId="2" borderId="1" xfId="0" applyFont="1" applyFill="1" applyBorder="1" applyAlignment="1">
      <alignment horizontal="left" vertical="center"/>
    </xf>
    <xf numFmtId="0" fontId="28" fillId="2" borderId="3" xfId="0" applyFont="1" applyFill="1" applyBorder="1" applyAlignment="1">
      <alignment horizontal="left" vertical="center"/>
    </xf>
    <xf numFmtId="1" fontId="9" fillId="0" borderId="0" xfId="0" applyNumberFormat="1" applyFont="1"/>
    <xf numFmtId="14" fontId="38" fillId="2" borderId="29" xfId="0" applyNumberFormat="1" applyFont="1" applyFill="1" applyBorder="1" applyAlignment="1">
      <alignment horizontal="center" vertical="center"/>
    </xf>
    <xf numFmtId="14" fontId="38" fillId="2" borderId="3" xfId="0" applyNumberFormat="1" applyFont="1" applyFill="1" applyBorder="1" applyAlignment="1">
      <alignment horizontal="center" vertical="center"/>
    </xf>
    <xf numFmtId="0" fontId="26" fillId="2" borderId="28" xfId="0" applyFont="1" applyFill="1" applyBorder="1" applyAlignment="1">
      <alignment horizontal="center" vertical="center"/>
    </xf>
    <xf numFmtId="14" fontId="26" fillId="2" borderId="29" xfId="0" applyNumberFormat="1" applyFont="1" applyFill="1" applyBorder="1" applyAlignment="1">
      <alignment horizontal="center" vertical="center"/>
    </xf>
    <xf numFmtId="0" fontId="38" fillId="2" borderId="1" xfId="0" applyFont="1" applyFill="1" applyBorder="1" applyAlignment="1">
      <alignment horizontal="left" vertical="center"/>
    </xf>
    <xf numFmtId="0" fontId="6" fillId="0" borderId="0" xfId="0" applyFont="1" applyAlignment="1">
      <alignment horizontal="center" vertical="center" wrapText="1"/>
    </xf>
    <xf numFmtId="0" fontId="7" fillId="0" borderId="0" xfId="0" applyFont="1" applyAlignment="1">
      <alignment horizontal="center" vertical="center" wrapText="1"/>
    </xf>
    <xf numFmtId="0" fontId="33" fillId="5" borderId="30" xfId="0" applyFont="1" applyFill="1" applyBorder="1" applyAlignment="1">
      <alignment horizontal="center" vertical="center"/>
    </xf>
    <xf numFmtId="0" fontId="33" fillId="5" borderId="23" xfId="0" applyFont="1" applyFill="1" applyBorder="1" applyAlignment="1">
      <alignment horizontal="center" vertical="center"/>
    </xf>
    <xf numFmtId="0" fontId="33" fillId="5" borderId="24" xfId="0" applyFont="1" applyFill="1" applyBorder="1" applyAlignment="1">
      <alignment horizontal="center" vertical="center"/>
    </xf>
    <xf numFmtId="1" fontId="34" fillId="4" borderId="10" xfId="0" applyNumberFormat="1" applyFont="1" applyFill="1" applyBorder="1" applyAlignment="1">
      <alignment horizontal="center" vertical="center"/>
    </xf>
    <xf numFmtId="1" fontId="34" fillId="4" borderId="23" xfId="0" applyNumberFormat="1" applyFont="1" applyFill="1" applyBorder="1" applyAlignment="1">
      <alignment horizontal="center" vertical="center"/>
    </xf>
    <xf numFmtId="1" fontId="34" fillId="4" borderId="24" xfId="0" applyNumberFormat="1" applyFont="1" applyFill="1" applyBorder="1" applyAlignment="1">
      <alignment horizontal="center" vertical="center"/>
    </xf>
    <xf numFmtId="0" fontId="35" fillId="0" borderId="0" xfId="0" applyFont="1" applyAlignment="1">
      <alignment horizontal="center" vertical="center" wrapText="1"/>
    </xf>
    <xf numFmtId="0" fontId="3" fillId="0" borderId="0" xfId="0" applyFont="1" applyAlignment="1">
      <alignment horizontal="center" vertical="center" wrapText="1"/>
    </xf>
    <xf numFmtId="1" fontId="25" fillId="4" borderId="25" xfId="0" applyNumberFormat="1" applyFont="1" applyFill="1" applyBorder="1" applyAlignment="1">
      <alignment horizontal="center" vertical="center"/>
    </xf>
    <xf numFmtId="1" fontId="25" fillId="4" borderId="26" xfId="0" applyNumberFormat="1" applyFont="1" applyFill="1" applyBorder="1" applyAlignment="1">
      <alignment horizontal="center" vertical="center"/>
    </xf>
    <xf numFmtId="0" fontId="11" fillId="0" borderId="0" xfId="0" applyFont="1" applyAlignment="1">
      <alignment horizontal="right"/>
    </xf>
    <xf numFmtId="0" fontId="13" fillId="0" borderId="0" xfId="0" applyFont="1" applyAlignment="1">
      <alignment horizontal="center" vertical="center"/>
    </xf>
    <xf numFmtId="0" fontId="12" fillId="0" borderId="0" xfId="0" applyFont="1" applyAlignment="1">
      <alignment horizontal="center" vertical="center"/>
    </xf>
    <xf numFmtId="0" fontId="8" fillId="0" borderId="0" xfId="0" applyFont="1" applyAlignment="1">
      <alignment horizontal="center"/>
    </xf>
    <xf numFmtId="0" fontId="5" fillId="0" borderId="21"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11" fillId="0" borderId="0" xfId="0" applyFont="1" applyAlignment="1">
      <alignment horizontal="center"/>
    </xf>
    <xf numFmtId="2" fontId="9" fillId="0" borderId="23" xfId="0" applyNumberFormat="1" applyFont="1" applyBorder="1" applyAlignment="1">
      <alignment horizontal="center" vertical="center"/>
    </xf>
    <xf numFmtId="2" fontId="9" fillId="0" borderId="24" xfId="0" applyNumberFormat="1" applyFont="1" applyBorder="1" applyAlignment="1">
      <alignment horizontal="center" vertical="center"/>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5" fillId="0" borderId="31" xfId="0" applyFont="1" applyBorder="1" applyAlignment="1">
      <alignment horizontal="center" vertical="center"/>
    </xf>
    <xf numFmtId="0" fontId="5" fillId="0" borderId="27" xfId="0" applyFont="1" applyBorder="1" applyAlignment="1">
      <alignment horizontal="center" vertical="center"/>
    </xf>
    <xf numFmtId="0" fontId="5" fillId="0" borderId="2" xfId="0" applyFont="1" applyBorder="1" applyAlignment="1">
      <alignment horizontal="center" vertical="center"/>
    </xf>
    <xf numFmtId="0" fontId="5" fillId="0" borderId="32" xfId="0" applyFont="1" applyBorder="1" applyAlignment="1">
      <alignment horizontal="center" vertical="center"/>
    </xf>
    <xf numFmtId="0" fontId="5" fillId="0" borderId="30"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9" fillId="0" borderId="3" xfId="0" applyFont="1" applyBorder="1" applyAlignment="1">
      <alignment horizontal="center"/>
    </xf>
    <xf numFmtId="0" fontId="9" fillId="0" borderId="1" xfId="0" applyFont="1" applyBorder="1" applyAlignment="1">
      <alignment horizontal="center"/>
    </xf>
    <xf numFmtId="0" fontId="9" fillId="0" borderId="28" xfId="0" applyFont="1" applyBorder="1" applyAlignment="1">
      <alignment horizontal="center"/>
    </xf>
    <xf numFmtId="0" fontId="9" fillId="0" borderId="9" xfId="0" applyFont="1" applyBorder="1" applyAlignment="1">
      <alignment horizontal="center"/>
    </xf>
    <xf numFmtId="0" fontId="9" fillId="0" borderId="29" xfId="0" applyFont="1" applyBorder="1" applyAlignment="1">
      <alignment horizontal="center"/>
    </xf>
    <xf numFmtId="0" fontId="22" fillId="0" borderId="0" xfId="0" applyFont="1" applyAlignment="1">
      <alignment horizontal="center"/>
    </xf>
    <xf numFmtId="0" fontId="21" fillId="0" borderId="0" xfId="0" applyFont="1" applyAlignment="1">
      <alignment horizontal="center" vertical="center"/>
    </xf>
    <xf numFmtId="0" fontId="19" fillId="0" borderId="0" xfId="0" applyFont="1" applyAlignment="1">
      <alignment horizontal="center"/>
    </xf>
    <xf numFmtId="0" fontId="9" fillId="0" borderId="35" xfId="0" applyFont="1" applyBorder="1" applyAlignment="1">
      <alignment horizontal="center"/>
    </xf>
    <xf numFmtId="0" fontId="9" fillId="0" borderId="2" xfId="0" applyFont="1" applyBorder="1" applyAlignment="1">
      <alignment horizontal="center"/>
    </xf>
    <xf numFmtId="0" fontId="9" fillId="0" borderId="36" xfId="0" applyFont="1" applyBorder="1" applyAlignment="1">
      <alignment horizontal="center"/>
    </xf>
    <xf numFmtId="0" fontId="20" fillId="0" borderId="0" xfId="0" applyFont="1" applyAlignment="1">
      <alignment horizontal="left" vertical="top" wrapText="1"/>
    </xf>
  </cellXfs>
  <cellStyles count="1">
    <cellStyle name="Normal" xfId="0" builtinId="0"/>
  </cellStyles>
  <dxfs count="19">
    <dxf>
      <fill>
        <patternFill patternType="mediumGray">
          <fgColor auto="1"/>
          <bgColor auto="1"/>
        </patternFill>
      </fill>
    </dxf>
    <dxf>
      <font>
        <b/>
        <i val="0"/>
      </font>
      <fill>
        <gradientFill type="path" left="0.5" right="0.5" top="0.5" bottom="0.5">
          <stop position="0">
            <color theme="0"/>
          </stop>
          <stop position="1">
            <color theme="4"/>
          </stop>
        </gradientFill>
      </fill>
    </dxf>
    <dxf>
      <fill>
        <gradientFill type="path" left="0.5" right="0.5" top="0.5" bottom="0.5">
          <stop position="0">
            <color rgb="FFFFFF00"/>
          </stop>
          <stop position="1">
            <color theme="0"/>
          </stop>
        </gradientFill>
      </fill>
    </dxf>
    <dxf>
      <fill>
        <gradientFill type="path" left="0.5" right="0.5" top="0.5" bottom="0.5">
          <stop position="0">
            <color rgb="FFFFFF00"/>
          </stop>
          <stop position="1">
            <color theme="0"/>
          </stop>
        </gradientFill>
      </fill>
    </dxf>
    <dxf>
      <font>
        <b/>
        <i val="0"/>
        <color theme="0"/>
      </font>
      <fill>
        <patternFill>
          <bgColor theme="2" tint="-0.89996032593768116"/>
        </patternFill>
      </fill>
    </dxf>
    <dxf>
      <font>
        <b val="0"/>
        <i val="0"/>
        <strike val="0"/>
        <condense val="0"/>
        <extend val="0"/>
        <outline val="0"/>
        <shadow val="0"/>
        <u val="none"/>
        <vertAlign val="baseline"/>
        <sz val="12"/>
        <color auto="1"/>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font>
        <b/>
        <i val="0"/>
        <strike val="0"/>
        <condense val="0"/>
        <extend val="0"/>
        <outline val="0"/>
        <shadow val="0"/>
        <u val="none"/>
        <vertAlign val="baseline"/>
        <sz val="12"/>
        <color rgb="FFFF0000"/>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font>
        <b val="0"/>
        <i val="0"/>
        <strike val="0"/>
        <condense val="0"/>
        <extend val="0"/>
        <outline val="0"/>
        <shadow val="0"/>
        <u val="none"/>
        <vertAlign val="baseline"/>
        <sz val="14"/>
        <color rgb="FFFF0000"/>
        <name val="Times New Roman"/>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left" vertical="center" textRotation="0" wrapText="0" indent="0" justifyLastLine="0" shrinkToFit="0" readingOrder="0"/>
      <border diagonalUp="0" diagonalDown="0" outline="0">
        <left/>
        <right/>
        <top/>
        <bottom style="thin">
          <color indexed="64"/>
        </bottom>
      </border>
    </dxf>
    <dxf>
      <font>
        <b val="0"/>
        <i val="0"/>
        <strike val="0"/>
        <condense val="0"/>
        <extend val="0"/>
        <outline val="0"/>
        <shadow val="0"/>
        <u val="none"/>
        <vertAlign val="baseline"/>
        <sz val="12"/>
        <color auto="1"/>
        <name val="Times New Roman"/>
        <scheme val="none"/>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bottom style="thin">
          <color indexed="64"/>
        </bottom>
      </border>
    </dxf>
    <dxf>
      <border outline="0">
        <top style="medium">
          <color indexed="64"/>
        </top>
        <bottom style="thin">
          <color indexed="64"/>
        </bottom>
      </border>
    </dxf>
    <dxf>
      <font>
        <strike val="0"/>
        <outline val="0"/>
        <shadow val="0"/>
        <u val="none"/>
        <vertAlign val="baseline"/>
        <sz val="12"/>
        <color auto="1"/>
        <name val="Times New Roman"/>
        <scheme val="none"/>
      </font>
    </dxf>
    <dxf>
      <border>
        <bottom style="medium">
          <color indexed="64"/>
        </bottom>
      </border>
    </dxf>
    <dxf>
      <font>
        <b/>
        <i val="0"/>
        <strike val="0"/>
        <condense val="0"/>
        <extend val="0"/>
        <outline val="0"/>
        <shadow val="0"/>
        <u val="none"/>
        <vertAlign val="baseline"/>
        <sz val="14"/>
        <color auto="1"/>
        <name val="Times New Roman"/>
        <scheme val="none"/>
      </font>
      <fill>
        <patternFill patternType="solid">
          <fgColor indexed="64"/>
          <bgColor theme="7" tint="0.79998168889431442"/>
        </patternFill>
      </fill>
      <alignment horizontal="center" vertical="center" textRotation="0" wrapText="1" indent="0" justifyLastLine="0" shrinkToFit="0" readingOrder="0"/>
      <border diagonalUp="0" diagonalDown="0" outline="0">
        <left style="medium">
          <color auto="1"/>
        </left>
        <right style="medium">
          <color auto="1"/>
        </right>
        <top/>
        <bottom/>
      </border>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12</xdr:col>
      <xdr:colOff>371475</xdr:colOff>
      <xdr:row>3</xdr:row>
      <xdr:rowOff>123825</xdr:rowOff>
    </xdr:from>
    <xdr:to>
      <xdr:col>14</xdr:col>
      <xdr:colOff>447675</xdr:colOff>
      <xdr:row>14</xdr:row>
      <xdr:rowOff>28575</xdr:rowOff>
    </xdr:to>
    <mc:AlternateContent xmlns:mc="http://schemas.openxmlformats.org/markup-compatibility/2006" xmlns:sle15="http://schemas.microsoft.com/office/drawing/2012/slicer">
      <mc:Choice Requires="sle15">
        <xdr:graphicFrame macro="">
          <xdr:nvGraphicFramePr>
            <xdr:cNvPr id="2" name="Emp-Id">
              <a:extLst>
                <a:ext uri="{FF2B5EF4-FFF2-40B4-BE49-F238E27FC236}">
                  <a16:creationId xmlns:a16="http://schemas.microsoft.com/office/drawing/2014/main" id="{6A14E1A9-17FD-A06A-1FDB-69817C4EDB73}"/>
                </a:ext>
              </a:extLst>
            </xdr:cNvPr>
            <xdr:cNvGraphicFramePr/>
          </xdr:nvGraphicFramePr>
          <xdr:xfrm>
            <a:off x="0" y="0"/>
            <a:ext cx="0" cy="0"/>
          </xdr:xfrm>
          <a:graphic>
            <a:graphicData uri="http://schemas.microsoft.com/office/drawing/2010/slicer">
              <sle:slicer xmlns:sle="http://schemas.microsoft.com/office/drawing/2010/slicer" name="Emp-Id"/>
            </a:graphicData>
          </a:graphic>
        </xdr:graphicFrame>
      </mc:Choice>
      <mc:Fallback xmlns="">
        <xdr:sp macro="" textlink="">
          <xdr:nvSpPr>
            <xdr:cNvPr id="0" name=""/>
            <xdr:cNvSpPr>
              <a:spLocks noTextEdit="1"/>
            </xdr:cNvSpPr>
          </xdr:nvSpPr>
          <xdr:spPr>
            <a:xfrm>
              <a:off x="15849600" y="1676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161924</xdr:colOff>
      <xdr:row>4</xdr:row>
      <xdr:rowOff>0</xdr:rowOff>
    </xdr:from>
    <xdr:to>
      <xdr:col>12</xdr:col>
      <xdr:colOff>228599</xdr:colOff>
      <xdr:row>12</xdr:row>
      <xdr:rowOff>133350</xdr:rowOff>
    </xdr:to>
    <mc:AlternateContent xmlns:mc="http://schemas.openxmlformats.org/markup-compatibility/2006" xmlns:sle15="http://schemas.microsoft.com/office/drawing/2012/slicer">
      <mc:Choice Requires="sle15">
        <xdr:graphicFrame macro="">
          <xdr:nvGraphicFramePr>
            <xdr:cNvPr id="3" name="Type of leave">
              <a:extLst>
                <a:ext uri="{FF2B5EF4-FFF2-40B4-BE49-F238E27FC236}">
                  <a16:creationId xmlns:a16="http://schemas.microsoft.com/office/drawing/2014/main" id="{521E0B84-56E4-7DBD-7017-2B2B22BA3FCD}"/>
                </a:ext>
              </a:extLst>
            </xdr:cNvPr>
            <xdr:cNvGraphicFramePr/>
          </xdr:nvGraphicFramePr>
          <xdr:xfrm>
            <a:off x="0" y="0"/>
            <a:ext cx="0" cy="0"/>
          </xdr:xfrm>
          <a:graphic>
            <a:graphicData uri="http://schemas.microsoft.com/office/drawing/2010/slicer">
              <sle:slicer xmlns:sle="http://schemas.microsoft.com/office/drawing/2010/slicer" name="Type of leave"/>
            </a:graphicData>
          </a:graphic>
        </xdr:graphicFrame>
      </mc:Choice>
      <mc:Fallback xmlns="">
        <xdr:sp macro="" textlink="">
          <xdr:nvSpPr>
            <xdr:cNvPr id="0" name=""/>
            <xdr:cNvSpPr>
              <a:spLocks noTextEdit="1"/>
            </xdr:cNvSpPr>
          </xdr:nvSpPr>
          <xdr:spPr>
            <a:xfrm>
              <a:off x="13868399" y="1790700"/>
              <a:ext cx="1838325" cy="20383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133350</xdr:colOff>
      <xdr:row>0</xdr:row>
      <xdr:rowOff>257175</xdr:rowOff>
    </xdr:from>
    <xdr:to>
      <xdr:col>6</xdr:col>
      <xdr:colOff>28575</xdr:colOff>
      <xdr:row>2</xdr:row>
      <xdr:rowOff>123825</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 y="257175"/>
          <a:ext cx="790575" cy="514350"/>
        </a:xfrm>
        <a:prstGeom prst="rect">
          <a:avLst/>
        </a:prstGeom>
        <a:noFill/>
      </xdr:spPr>
    </xdr:pic>
    <xdr:clientData/>
  </xdr:twoCellAnchor>
  <xdr:twoCellAnchor>
    <xdr:from>
      <xdr:col>19</xdr:col>
      <xdr:colOff>0</xdr:colOff>
      <xdr:row>0</xdr:row>
      <xdr:rowOff>24848</xdr:rowOff>
    </xdr:from>
    <xdr:to>
      <xdr:col>20</xdr:col>
      <xdr:colOff>0</xdr:colOff>
      <xdr:row>7</xdr:row>
      <xdr:rowOff>347871</xdr:rowOff>
    </xdr:to>
    <xdr:sp macro="" textlink="">
      <xdr:nvSpPr>
        <xdr:cNvPr id="4" name="Down Arrow 3">
          <a:extLst>
            <a:ext uri="{FF2B5EF4-FFF2-40B4-BE49-F238E27FC236}">
              <a16:creationId xmlns:a16="http://schemas.microsoft.com/office/drawing/2014/main" id="{00000000-0008-0000-0200-000004000000}"/>
            </a:ext>
          </a:extLst>
        </xdr:cNvPr>
        <xdr:cNvSpPr/>
      </xdr:nvSpPr>
      <xdr:spPr>
        <a:xfrm>
          <a:off x="11661914" y="24848"/>
          <a:ext cx="2965174" cy="2708414"/>
        </a:xfrm>
        <a:prstGeom prst="down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IN" sz="2400" b="1">
              <a:solidFill>
                <a:srgbClr val="FF0000"/>
              </a:solidFill>
              <a:latin typeface="Times New Roman" panose="02020603050405020304" pitchFamily="18" charset="0"/>
              <a:cs typeface="Times New Roman" panose="02020603050405020304" pitchFamily="18" charset="0"/>
            </a:rPr>
            <a:t>Please Enter Employee ID</a:t>
          </a:r>
        </a:p>
      </xdr:txBody>
    </xdr:sp>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Id" xr10:uid="{EFE5C1AA-D2E2-4FDC-9A4C-E65428CF89A5}" sourceName="Emp-Id">
  <extLst>
    <x:ext xmlns:x15="http://schemas.microsoft.com/office/spreadsheetml/2010/11/main" uri="{2F2917AC-EB37-4324-AD4E-5DD8C200BD13}">
      <x15:tableSlicerCache tableId="2"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_of_leave" xr10:uid="{986666BB-6B5C-4723-A4E0-C3DD8CEEB2CB}" sourceName="Type of leave">
  <extLst>
    <x:ext xmlns:x15="http://schemas.microsoft.com/office/spreadsheetml/2010/11/main" uri="{2F2917AC-EB37-4324-AD4E-5DD8C200BD13}">
      <x15:tableSlicerCache tableId="2"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Id" xr10:uid="{49760097-358B-4742-9F10-AD2DAFB204C3}" cache="Slicer_Emp_Id" caption="Emp-Id" rowHeight="241300"/>
  <slicer name="Type of leave" xr10:uid="{D6132BD9-3841-4AEE-B8B9-B60D5B9E2D42}" cache="Slicer_Type_of_leave" caption="Type of leav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3:J60" totalsRowShown="0" headerRowDxfId="18" dataDxfId="16" headerRowBorderDxfId="17" tableBorderDxfId="15">
  <autoFilter ref="A3:J60" xr:uid="{00000000-000C-0000-FFFF-FFFF00000000}">
    <filterColumn colId="9">
      <filters>
        <filter val="2025"/>
      </filters>
    </filterColumn>
  </autoFilter>
  <tableColumns count="10">
    <tableColumn id="1" xr3:uid="{00000000-0010-0000-0000-000001000000}" name="S.No:" dataDxfId="14">
      <calculatedColumnFormula>ROW()-3</calculatedColumnFormula>
    </tableColumn>
    <tableColumn id="2" xr3:uid="{00000000-0010-0000-0000-000002000000}" name="Name of Employee" dataDxfId="13"/>
    <tableColumn id="3" xr3:uid="{00000000-0010-0000-0000-000003000000}" name="Emp-Id" dataDxfId="12">
      <calculatedColumnFormula>IFERROR(VLOOKUP(B4,'Master Sheet 2024'!$B$4:$F$17,2,0),"")</calculatedColumnFormula>
    </tableColumn>
    <tableColumn id="4" xr3:uid="{00000000-0010-0000-0000-000004000000}" name="Designation" dataDxfId="11">
      <calculatedColumnFormula>IFERROR(VLOOKUP(B4,'Master Sheet 2024'!$B$4:$F$17,3,0),"")</calculatedColumnFormula>
    </tableColumn>
    <tableColumn id="5" xr3:uid="{00000000-0010-0000-0000-000005000000}" name="Place of posting" dataDxfId="10">
      <calculatedColumnFormula>IFERROR(VLOOKUP(B4,'Master Sheet 2024'!$B$4:$F$17,4,0),"")</calculatedColumnFormula>
    </tableColumn>
    <tableColumn id="6" xr3:uid="{00000000-0010-0000-0000-000006000000}" name="Type of leave" dataDxfId="9"/>
    <tableColumn id="10" xr3:uid="{00000000-0010-0000-0000-00000A000000}" name="No of days" dataDxfId="8"/>
    <tableColumn id="7" xr3:uid="{00000000-0010-0000-0000-000007000000}" name="From" dataDxfId="7"/>
    <tableColumn id="8" xr3:uid="{00000000-0010-0000-0000-000008000000}" name="To" dataDxfId="6"/>
    <tableColumn id="11" xr3:uid="{00000000-0010-0000-0000-00000B000000}" name="Year" dataDxfId="5">
      <calculatedColumnFormula>TEXT(H4,"YYYY")</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P61"/>
  <sheetViews>
    <sheetView showGridLines="0" tabSelected="1" zoomScaleNormal="100" zoomScaleSheetLayoutView="55" workbookViewId="0">
      <selection activeCell="F14" sqref="F14"/>
    </sheetView>
  </sheetViews>
  <sheetFormatPr defaultRowHeight="15" x14ac:dyDescent="0.25"/>
  <cols>
    <col min="1" max="1" width="9" style="8" customWidth="1"/>
    <col min="2" max="2" width="28.28515625" style="85" bestFit="1" customWidth="1"/>
    <col min="3" max="3" width="24.42578125" style="1" customWidth="1"/>
    <col min="4" max="4" width="35.5703125" style="1" customWidth="1"/>
    <col min="5" max="5" width="24.7109375" style="1" bestFit="1" customWidth="1"/>
    <col min="6" max="6" width="18.85546875" style="1" customWidth="1"/>
    <col min="7" max="7" width="12.5703125" style="1" customWidth="1"/>
    <col min="8" max="8" width="16.140625" style="1" customWidth="1"/>
    <col min="9" max="9" width="16.7109375" style="1" customWidth="1"/>
    <col min="10" max="10" width="19.28515625" style="2" customWidth="1"/>
    <col min="11" max="13" width="13.28515625" style="8" customWidth="1"/>
    <col min="14" max="16" width="13" style="8" customWidth="1"/>
    <col min="17" max="16384" width="9.140625" style="1"/>
  </cols>
  <sheetData>
    <row r="1" spans="1:16" ht="55.5" customHeight="1" thickBot="1" x14ac:dyDescent="0.3">
      <c r="B1" s="101" t="s">
        <v>87</v>
      </c>
      <c r="C1" s="101"/>
      <c r="D1" s="101"/>
      <c r="E1" s="101"/>
      <c r="F1" s="101"/>
      <c r="G1" s="101"/>
      <c r="H1" s="101"/>
      <c r="I1" s="101"/>
      <c r="K1" s="103" t="s">
        <v>39</v>
      </c>
      <c r="L1" s="104"/>
      <c r="M1" s="105"/>
      <c r="N1" s="106">
        <v>101518</v>
      </c>
      <c r="O1" s="107"/>
      <c r="P1" s="108"/>
    </row>
    <row r="2" spans="1:16" s="3" customFormat="1" ht="21" customHeight="1" thickBot="1" x14ac:dyDescent="0.3">
      <c r="A2" s="47"/>
      <c r="B2" s="102" t="s">
        <v>41</v>
      </c>
      <c r="C2" s="102"/>
      <c r="D2" s="102"/>
      <c r="E2" s="102"/>
      <c r="F2" s="102"/>
      <c r="G2" s="102"/>
      <c r="H2" s="102"/>
      <c r="I2" s="102"/>
      <c r="J2" s="5"/>
      <c r="K2" s="67" t="s">
        <v>10</v>
      </c>
      <c r="L2" s="69" t="s">
        <v>12</v>
      </c>
      <c r="M2" s="67" t="s">
        <v>11</v>
      </c>
      <c r="N2" s="65" t="s">
        <v>2</v>
      </c>
      <c r="O2" s="67" t="s">
        <v>1</v>
      </c>
      <c r="P2" s="67" t="s">
        <v>13</v>
      </c>
    </row>
    <row r="3" spans="1:16" s="59" customFormat="1" ht="45.75" customHeight="1" thickBot="1" x14ac:dyDescent="0.3">
      <c r="A3" s="51" t="s">
        <v>16</v>
      </c>
      <c r="B3" s="58" t="s">
        <v>5</v>
      </c>
      <c r="C3" s="52" t="s">
        <v>6</v>
      </c>
      <c r="D3" s="53" t="s">
        <v>4</v>
      </c>
      <c r="E3" s="53" t="s">
        <v>3</v>
      </c>
      <c r="F3" s="54" t="s">
        <v>9</v>
      </c>
      <c r="G3" s="55" t="s">
        <v>14</v>
      </c>
      <c r="H3" s="54" t="s">
        <v>7</v>
      </c>
      <c r="I3" s="55" t="s">
        <v>8</v>
      </c>
      <c r="J3" s="60" t="s">
        <v>37</v>
      </c>
      <c r="K3" s="71" t="s">
        <v>38</v>
      </c>
      <c r="L3" s="68"/>
      <c r="M3" s="66"/>
      <c r="N3" s="66"/>
      <c r="O3" s="68"/>
      <c r="P3" s="66"/>
    </row>
    <row r="4" spans="1:16" s="2" customFormat="1" ht="18.75" x14ac:dyDescent="0.25">
      <c r="A4" s="57">
        <f t="shared" ref="A4:A7" si="0">ROW()-3</f>
        <v>1</v>
      </c>
      <c r="B4" s="84" t="s">
        <v>42</v>
      </c>
      <c r="C4" s="62">
        <f>IFERROR(VLOOKUP(B4,'Master Sheet 2024'!$B$4:$F$17,2,0),"")</f>
        <v>101518</v>
      </c>
      <c r="D4" s="57" t="str">
        <f>IFERROR(VLOOKUP(B4,'Master Sheet 2024'!$B$4:$F$17,3,0),"")</f>
        <v>JPM/CIVIL</v>
      </c>
      <c r="E4" s="57" t="str">
        <f>IFERROR(VLOOKUP(B4,'Master Sheet 2024'!$B$4:$F$17,4,0),"")</f>
        <v>SMUN</v>
      </c>
      <c r="F4" s="50" t="s">
        <v>2</v>
      </c>
      <c r="G4" s="63">
        <v>5</v>
      </c>
      <c r="H4" s="48">
        <v>45733</v>
      </c>
      <c r="I4" s="48">
        <v>45737</v>
      </c>
      <c r="J4" s="49" t="str">
        <f t="shared" ref="J4:J23" si="1">TEXT(H4,"YYYY")</f>
        <v>2025</v>
      </c>
      <c r="K4" s="70"/>
      <c r="L4" s="61" t="s">
        <v>33</v>
      </c>
      <c r="M4" s="61"/>
      <c r="N4" s="61"/>
      <c r="O4" s="61"/>
      <c r="P4" s="61"/>
    </row>
    <row r="5" spans="1:16" s="2" customFormat="1" ht="18.75" x14ac:dyDescent="0.25">
      <c r="A5" s="57">
        <f t="shared" si="0"/>
        <v>2</v>
      </c>
      <c r="B5" s="84" t="s">
        <v>43</v>
      </c>
      <c r="C5" s="62">
        <f>IFERROR(VLOOKUP(B5,'Master Sheet 2024'!$B$4:$F$17,2,0),"")</f>
        <v>101686</v>
      </c>
      <c r="D5" s="57" t="str">
        <f>IFERROR(VLOOKUP(B5,'Master Sheet 2024'!$B$4:$F$17,3,0),"")</f>
        <v>Jr. Executive/CIVIL</v>
      </c>
      <c r="E5" s="57" t="str">
        <f>IFERROR(VLOOKUP(B5,'Master Sheet 2024'!$B$4:$F$17,4,0),"")</f>
        <v>NSIR</v>
      </c>
      <c r="F5" s="50" t="s">
        <v>10</v>
      </c>
      <c r="G5" s="63">
        <v>2</v>
      </c>
      <c r="H5" s="48">
        <v>45698</v>
      </c>
      <c r="I5" s="48">
        <v>45699</v>
      </c>
      <c r="J5" s="49" t="str">
        <f t="shared" si="1"/>
        <v>2025</v>
      </c>
      <c r="K5" s="70"/>
      <c r="L5" s="61"/>
      <c r="M5" s="61"/>
      <c r="N5" s="61"/>
      <c r="O5" s="61"/>
      <c r="P5" s="61"/>
    </row>
    <row r="6" spans="1:16" s="2" customFormat="1" ht="18.75" x14ac:dyDescent="0.25">
      <c r="A6" s="57">
        <f t="shared" si="0"/>
        <v>3</v>
      </c>
      <c r="B6" s="84" t="s">
        <v>43</v>
      </c>
      <c r="C6" s="62">
        <f>IFERROR(VLOOKUP(B6,'Master Sheet 2024'!$B$4:$F$17,2,0),"")</f>
        <v>101686</v>
      </c>
      <c r="D6" s="57" t="str">
        <f>IFERROR(VLOOKUP(B6,'Master Sheet 2024'!$B$4:$F$17,3,0),"")</f>
        <v>Jr. Executive/CIVIL</v>
      </c>
      <c r="E6" s="57" t="str">
        <f>IFERROR(VLOOKUP(B6,'Master Sheet 2024'!$B$4:$F$17,4,0),"")</f>
        <v>NSIR</v>
      </c>
      <c r="F6" s="50" t="s">
        <v>10</v>
      </c>
      <c r="G6" s="63">
        <v>1</v>
      </c>
      <c r="H6" s="48">
        <v>45701</v>
      </c>
      <c r="I6" s="48">
        <v>45701</v>
      </c>
      <c r="J6" s="49" t="str">
        <f t="shared" si="1"/>
        <v>2025</v>
      </c>
      <c r="K6" s="70"/>
      <c r="L6" s="61"/>
      <c r="M6" s="61"/>
      <c r="N6" s="61"/>
      <c r="O6" s="61"/>
      <c r="P6" s="61"/>
    </row>
    <row r="7" spans="1:16" s="2" customFormat="1" ht="18.75" x14ac:dyDescent="0.25">
      <c r="A7" s="57">
        <f t="shared" si="0"/>
        <v>4</v>
      </c>
      <c r="B7" s="84" t="s">
        <v>44</v>
      </c>
      <c r="C7" s="62">
        <f>IFERROR(VLOOKUP(B7,'Master Sheet 2024'!$B$4:$F$17,2,0),"")</f>
        <v>101646</v>
      </c>
      <c r="D7" s="57" t="str">
        <f>IFERROR(VLOOKUP(B7,'Master Sheet 2024'!$B$4:$F$17,3,0),"")</f>
        <v>Executive/CIVIL</v>
      </c>
      <c r="E7" s="57" t="str">
        <f>IFERROR(VLOOKUP(B7,'Master Sheet 2024'!$B$4:$F$17,4,0),"")</f>
        <v>KNNN</v>
      </c>
      <c r="F7" s="50" t="s">
        <v>2</v>
      </c>
      <c r="G7" s="63">
        <v>3</v>
      </c>
      <c r="H7" s="48">
        <v>45754</v>
      </c>
      <c r="I7" s="48">
        <v>45756</v>
      </c>
      <c r="J7" s="49" t="str">
        <f t="shared" si="1"/>
        <v>2025</v>
      </c>
      <c r="K7" s="70"/>
      <c r="L7" s="61"/>
      <c r="M7" s="61"/>
      <c r="N7" s="61"/>
      <c r="O7" s="61"/>
      <c r="P7" s="61"/>
    </row>
    <row r="8" spans="1:16" ht="18.75" x14ac:dyDescent="0.25">
      <c r="A8" s="86">
        <f t="shared" ref="A8:A60" si="2">ROW()-3</f>
        <v>5</v>
      </c>
      <c r="B8" s="93" t="s">
        <v>67</v>
      </c>
      <c r="C8" s="87">
        <f>IFERROR(VLOOKUP(B8,'Master Sheet 2024'!$B$4:$F$17,2,0),"")</f>
        <v>103258</v>
      </c>
      <c r="D8" s="86" t="str">
        <f>IFERROR(VLOOKUP(B8,'Master Sheet 2024'!$B$4:$F$17,3,0),"")</f>
        <v>MTS/CIVIL</v>
      </c>
      <c r="E8" s="86" t="str">
        <f>IFERROR(VLOOKUP(B8,'Master Sheet 2024'!$B$4:$F$17,4,0),"")</f>
        <v>SMUN</v>
      </c>
      <c r="F8" s="88" t="s">
        <v>2</v>
      </c>
      <c r="G8" s="89">
        <v>10</v>
      </c>
      <c r="H8" s="48">
        <v>45750</v>
      </c>
      <c r="I8" s="48">
        <v>45759</v>
      </c>
      <c r="J8" s="49" t="str">
        <f t="shared" si="1"/>
        <v>2025</v>
      </c>
    </row>
    <row r="9" spans="1:16" ht="18.75" x14ac:dyDescent="0.25">
      <c r="A9" s="86">
        <f t="shared" si="2"/>
        <v>6</v>
      </c>
      <c r="B9" s="94" t="s">
        <v>48</v>
      </c>
      <c r="C9" s="87">
        <f>IFERROR(VLOOKUP(B9,'Master Sheet 2024'!$B$4:$F$17,2,0),"")</f>
        <v>102924</v>
      </c>
      <c r="D9" s="86" t="str">
        <f>IFERROR(VLOOKUP(B9,'Master Sheet 2024'!$B$4:$F$17,3,0),"")</f>
        <v>MTS/CIVIL</v>
      </c>
      <c r="E9" s="86" t="str">
        <f>IFERROR(VLOOKUP(B9,'Master Sheet 2024'!$B$4:$F$17,4,0),"")</f>
        <v>NSIR</v>
      </c>
      <c r="F9" s="88" t="s">
        <v>2</v>
      </c>
      <c r="G9" s="89">
        <v>10</v>
      </c>
      <c r="H9" s="48">
        <v>45701</v>
      </c>
      <c r="I9" s="48">
        <v>45710</v>
      </c>
      <c r="J9" s="49" t="str">
        <f t="shared" si="1"/>
        <v>2025</v>
      </c>
    </row>
    <row r="10" spans="1:16" ht="18.75" x14ac:dyDescent="0.25">
      <c r="A10" s="86">
        <f t="shared" si="2"/>
        <v>7</v>
      </c>
      <c r="B10" s="84" t="s">
        <v>66</v>
      </c>
      <c r="C10" s="62">
        <f>IFERROR(VLOOKUP(B10,'Master Sheet 2024'!$B$4:$F$17,2,0),"")</f>
        <v>104962</v>
      </c>
      <c r="D10" s="57" t="str">
        <f>IFERROR(VLOOKUP(B10,'Master Sheet 2024'!$B$4:$F$17,3,0),"")</f>
        <v>Sr. Executive/CIVIL 
(Re-employed)</v>
      </c>
      <c r="E10" s="57" t="str">
        <f>IFERROR(VLOOKUP(B10,'Master Sheet 2024'!$B$4:$F$17,4,0),"")</f>
        <v>KNNN</v>
      </c>
      <c r="F10" s="50" t="s">
        <v>10</v>
      </c>
      <c r="G10" s="63">
        <v>2</v>
      </c>
      <c r="H10" s="48">
        <v>45754</v>
      </c>
      <c r="I10" s="48">
        <v>45755</v>
      </c>
      <c r="J10" s="49" t="str">
        <f t="shared" si="1"/>
        <v>2025</v>
      </c>
    </row>
    <row r="11" spans="1:16" ht="18.75" x14ac:dyDescent="0.25">
      <c r="A11" s="86">
        <f t="shared" si="2"/>
        <v>8</v>
      </c>
      <c r="B11" s="84" t="s">
        <v>51</v>
      </c>
      <c r="C11" s="62">
        <f>IFERROR(VLOOKUP(B11,'Master Sheet 2024'!$B$4:$F$17,2,0),"")</f>
        <v>102460</v>
      </c>
      <c r="D11" s="57" t="str">
        <f>IFERROR(VLOOKUP(B11,'Master Sheet 2024'!$B$4:$F$17,3,0),"")</f>
        <v>MTS/CIVIL</v>
      </c>
      <c r="E11" s="57" t="str">
        <f>IFERROR(VLOOKUP(B11,'Master Sheet 2024'!$B$4:$F$17,4,0),"")</f>
        <v>CHAN</v>
      </c>
      <c r="F11" s="50" t="s">
        <v>2</v>
      </c>
      <c r="G11" s="63">
        <v>24</v>
      </c>
      <c r="H11" s="48">
        <v>45715</v>
      </c>
      <c r="I11" s="48">
        <v>45738</v>
      </c>
      <c r="J11" s="49" t="str">
        <f t="shared" si="1"/>
        <v>2025</v>
      </c>
    </row>
    <row r="12" spans="1:16" ht="18.75" x14ac:dyDescent="0.25">
      <c r="A12" s="86">
        <f t="shared" ref="A12:A49" si="3">ROW()-3</f>
        <v>9</v>
      </c>
      <c r="B12" s="84" t="s">
        <v>51</v>
      </c>
      <c r="C12" s="62">
        <f>IFERROR(VLOOKUP(B12,'Master Sheet 2024'!$B$4:$F$17,2,0),"")</f>
        <v>102460</v>
      </c>
      <c r="D12" s="57" t="str">
        <f>IFERROR(VLOOKUP(B12,'Master Sheet 2024'!$B$4:$F$17,3,0),"")</f>
        <v>MTS/CIVIL</v>
      </c>
      <c r="E12" s="57" t="str">
        <f>IFERROR(VLOOKUP(B12,'Master Sheet 2024'!$B$4:$F$17,4,0),"")</f>
        <v>CHAN</v>
      </c>
      <c r="F12" s="50" t="s">
        <v>1</v>
      </c>
      <c r="G12" s="63">
        <v>7</v>
      </c>
      <c r="H12" s="48">
        <v>45739</v>
      </c>
      <c r="I12" s="48">
        <v>45745</v>
      </c>
      <c r="J12" s="49" t="str">
        <f t="shared" si="1"/>
        <v>2025</v>
      </c>
    </row>
    <row r="13" spans="1:16" ht="18.75" x14ac:dyDescent="0.25">
      <c r="A13" s="86">
        <f t="shared" si="3"/>
        <v>10</v>
      </c>
      <c r="B13" s="93" t="s">
        <v>42</v>
      </c>
      <c r="C13" s="62">
        <f>IFERROR(VLOOKUP(B13,'Master Sheet 2024'!$B$4:$F$17,2,0),"")</f>
        <v>101518</v>
      </c>
      <c r="D13" s="57" t="str">
        <f>IFERROR(VLOOKUP(B13,'Master Sheet 2024'!$B$4:$F$17,3,0),"")</f>
        <v>JPM/CIVIL</v>
      </c>
      <c r="E13" s="57" t="str">
        <f>IFERROR(VLOOKUP(B13,'Master Sheet 2024'!$B$4:$F$17,4,0),"")</f>
        <v>SMUN</v>
      </c>
      <c r="F13" s="98" t="s">
        <v>10</v>
      </c>
      <c r="G13" s="63">
        <v>1</v>
      </c>
      <c r="H13" s="99" t="s">
        <v>70</v>
      </c>
      <c r="I13" s="48" t="s">
        <v>70</v>
      </c>
      <c r="J13" s="49" t="str">
        <f t="shared" si="1"/>
        <v>14/08/2025</v>
      </c>
    </row>
    <row r="14" spans="1:16" ht="18.75" x14ac:dyDescent="0.25">
      <c r="A14" s="86">
        <f t="shared" si="3"/>
        <v>11</v>
      </c>
      <c r="B14" s="93" t="s">
        <v>47</v>
      </c>
      <c r="C14" s="62">
        <f>IFERROR(VLOOKUP(B14,'Master Sheet 2024'!$B$4:$F$17,2,0),"")</f>
        <v>103259</v>
      </c>
      <c r="D14" s="57" t="str">
        <f>IFERROR(VLOOKUP(B14,'Master Sheet 2024'!$B$4:$F$17,3,0),"")</f>
        <v>MTS/CIVIL</v>
      </c>
      <c r="E14" s="57" t="str">
        <f>IFERROR(VLOOKUP(B14,'Master Sheet 2024'!$B$4:$F$17,4,0),"")</f>
        <v>SMUN</v>
      </c>
      <c r="F14" s="98" t="s">
        <v>2</v>
      </c>
      <c r="G14" s="63">
        <v>4</v>
      </c>
      <c r="H14" s="99" t="s">
        <v>71</v>
      </c>
      <c r="I14" s="48" t="s">
        <v>72</v>
      </c>
      <c r="J14" s="49" t="str">
        <f t="shared" si="1"/>
        <v>16/07/2025</v>
      </c>
    </row>
    <row r="15" spans="1:16" ht="18.75" x14ac:dyDescent="0.25">
      <c r="A15" s="86">
        <f t="shared" si="3"/>
        <v>12</v>
      </c>
      <c r="B15" s="93" t="s">
        <v>49</v>
      </c>
      <c r="C15" s="62">
        <f>IFERROR(VLOOKUP(B15,'Master Sheet 2024'!$B$4:$F$17,2,0),"")</f>
        <v>103257</v>
      </c>
      <c r="D15" s="57" t="str">
        <f>IFERROR(VLOOKUP(B15,'Master Sheet 2024'!$B$4:$F$17,3,0),"")</f>
        <v>MTS/CIVIL</v>
      </c>
      <c r="E15" s="57" t="str">
        <f>IFERROR(VLOOKUP(B15,'Master Sheet 2024'!$B$4:$F$17,4,0),"")</f>
        <v>KNNN</v>
      </c>
      <c r="F15" s="98" t="s">
        <v>2</v>
      </c>
      <c r="G15" s="63">
        <v>17</v>
      </c>
      <c r="H15" s="99" t="s">
        <v>73</v>
      </c>
      <c r="I15" s="48" t="s">
        <v>70</v>
      </c>
      <c r="J15" s="49" t="str">
        <f t="shared" si="1"/>
        <v>29/07/2025</v>
      </c>
    </row>
    <row r="16" spans="1:16" ht="18.75" x14ac:dyDescent="0.25">
      <c r="A16" s="86">
        <f t="shared" si="3"/>
        <v>13</v>
      </c>
      <c r="B16" s="93" t="s">
        <v>45</v>
      </c>
      <c r="C16" s="62">
        <f>IFERROR(VLOOKUP(B16,'Master Sheet 2024'!$B$4:$F$17,2,0),"")</f>
        <v>102431</v>
      </c>
      <c r="D16" s="57" t="str">
        <f>IFERROR(VLOOKUP(B16,'Master Sheet 2024'!$B$4:$F$17,3,0),"")</f>
        <v>MTS/CIVIL</v>
      </c>
      <c r="E16" s="57" t="str">
        <f>IFERROR(VLOOKUP(B16,'Master Sheet 2024'!$B$4:$F$17,4,0),"")</f>
        <v>SMUN</v>
      </c>
      <c r="F16" s="98" t="s">
        <v>2</v>
      </c>
      <c r="G16" s="63">
        <v>10</v>
      </c>
      <c r="H16" s="99" t="s">
        <v>74</v>
      </c>
      <c r="I16" s="48" t="s">
        <v>75</v>
      </c>
      <c r="J16" s="49" t="str">
        <f t="shared" si="1"/>
        <v>21/08/2025</v>
      </c>
    </row>
    <row r="17" spans="1:10" ht="18.75" x14ac:dyDescent="0.25">
      <c r="A17" s="86">
        <f t="shared" si="3"/>
        <v>14</v>
      </c>
      <c r="B17" s="93" t="s">
        <v>50</v>
      </c>
      <c r="C17" s="62">
        <f>IFERROR(VLOOKUP(B17,'Master Sheet 2024'!$B$4:$F$17,2,0),"")</f>
        <v>102623</v>
      </c>
      <c r="D17" s="57" t="str">
        <f>IFERROR(VLOOKUP(B17,'Master Sheet 2024'!$B$4:$F$17,3,0),"")</f>
        <v>MTS/CIVIL</v>
      </c>
      <c r="E17" s="57" t="str">
        <f>IFERROR(VLOOKUP(B17,'Master Sheet 2024'!$B$4:$F$17,4,0),"")</f>
        <v>KNNN</v>
      </c>
      <c r="F17" s="98" t="s">
        <v>2</v>
      </c>
      <c r="G17" s="63">
        <v>9</v>
      </c>
      <c r="H17" s="99">
        <v>45817</v>
      </c>
      <c r="I17" s="48" t="s">
        <v>76</v>
      </c>
      <c r="J17" s="49" t="str">
        <f t="shared" si="1"/>
        <v>2025</v>
      </c>
    </row>
    <row r="18" spans="1:10" ht="18.75" x14ac:dyDescent="0.25">
      <c r="A18" s="86">
        <f t="shared" si="3"/>
        <v>15</v>
      </c>
      <c r="B18" s="93" t="s">
        <v>52</v>
      </c>
      <c r="C18" s="62">
        <f>IFERROR(VLOOKUP(B18,'Master Sheet 2024'!$B$4:$F$17,2,0),"")</f>
        <v>105102</v>
      </c>
      <c r="D18" s="57" t="str">
        <f>IFERROR(VLOOKUP(B18,'Master Sheet 2024'!$B$4:$F$17,3,0),"")</f>
        <v>Sr. Executive/CIVIL 
(Re-employed)</v>
      </c>
      <c r="E18" s="57" t="str">
        <f>IFERROR(VLOOKUP(B18,'Master Sheet 2024'!$B$4:$F$17,4,0),"")</f>
        <v>SMUN</v>
      </c>
      <c r="F18" s="98" t="s">
        <v>10</v>
      </c>
      <c r="G18" s="63">
        <v>4</v>
      </c>
      <c r="H18" s="99">
        <v>45909</v>
      </c>
      <c r="I18" s="48" t="s">
        <v>77</v>
      </c>
      <c r="J18" s="49" t="str">
        <f t="shared" si="1"/>
        <v>2025</v>
      </c>
    </row>
    <row r="19" spans="1:10" ht="18.75" x14ac:dyDescent="0.25">
      <c r="A19" s="86">
        <f t="shared" si="3"/>
        <v>16</v>
      </c>
      <c r="B19" s="93" t="s">
        <v>57</v>
      </c>
      <c r="C19" s="62">
        <f>IFERROR(VLOOKUP(B19,'Master Sheet 2024'!$B$4:$F$17,2,0),"")</f>
        <v>105900</v>
      </c>
      <c r="D19" s="57" t="str">
        <f>IFERROR(VLOOKUP(B19,'Master Sheet 2024'!$B$4:$F$17,3,0),"")</f>
        <v>Jr. Executive/Civil
Re-employed</v>
      </c>
      <c r="E19" s="57" t="str">
        <f>IFERROR(VLOOKUP(B19,'Master Sheet 2024'!$B$4:$F$17,4,0),"")</f>
        <v>SMUN</v>
      </c>
      <c r="F19" s="98" t="s">
        <v>10</v>
      </c>
      <c r="G19" s="63">
        <v>1</v>
      </c>
      <c r="H19" s="99" t="s">
        <v>78</v>
      </c>
      <c r="I19" s="48" t="s">
        <v>78</v>
      </c>
      <c r="J19" s="49" t="str">
        <f t="shared" si="1"/>
        <v>28/8/2025</v>
      </c>
    </row>
    <row r="20" spans="1:10" ht="18.75" x14ac:dyDescent="0.25">
      <c r="A20" s="86">
        <f t="shared" si="3"/>
        <v>17</v>
      </c>
      <c r="B20" s="93" t="s">
        <v>67</v>
      </c>
      <c r="C20" s="62">
        <f>IFERROR(VLOOKUP(B20,'Master Sheet 2024'!$B$4:$F$17,2,0),"")</f>
        <v>103258</v>
      </c>
      <c r="D20" s="57" t="str">
        <f>IFERROR(VLOOKUP(B20,'Master Sheet 2024'!$B$4:$F$17,3,0),"")</f>
        <v>MTS/CIVIL</v>
      </c>
      <c r="E20" s="57" t="str">
        <f>IFERROR(VLOOKUP(B20,'Master Sheet 2024'!$B$4:$F$17,4,0),"")</f>
        <v>SMUN</v>
      </c>
      <c r="F20" s="98" t="s">
        <v>10</v>
      </c>
      <c r="G20" s="63">
        <v>8</v>
      </c>
      <c r="H20" s="99" t="s">
        <v>79</v>
      </c>
      <c r="I20" s="48" t="s">
        <v>80</v>
      </c>
      <c r="J20" s="49" t="str">
        <f t="shared" si="1"/>
        <v>21/10/2025</v>
      </c>
    </row>
    <row r="21" spans="1:10" ht="18.75" x14ac:dyDescent="0.25">
      <c r="A21" s="86">
        <f t="shared" si="3"/>
        <v>18</v>
      </c>
      <c r="B21" s="93" t="s">
        <v>67</v>
      </c>
      <c r="C21" s="62">
        <f>IFERROR(VLOOKUP(B21,'Master Sheet 2024'!$B$4:$F$17,2,0),"")</f>
        <v>103258</v>
      </c>
      <c r="D21" s="57" t="str">
        <f>IFERROR(VLOOKUP(B21,'Master Sheet 2024'!$B$4:$F$17,3,0),"")</f>
        <v>MTS/CIVIL</v>
      </c>
      <c r="E21" s="57" t="str">
        <f>IFERROR(VLOOKUP(B21,'Master Sheet 2024'!$B$4:$F$17,4,0),"")</f>
        <v>SMUN</v>
      </c>
      <c r="F21" s="98" t="s">
        <v>11</v>
      </c>
      <c r="G21" s="63">
        <v>2</v>
      </c>
      <c r="H21" s="99" t="s">
        <v>81</v>
      </c>
      <c r="I21" s="48" t="s">
        <v>82</v>
      </c>
      <c r="J21" s="49" t="str">
        <f t="shared" si="1"/>
        <v>30/10/2025</v>
      </c>
    </row>
    <row r="22" spans="1:10" ht="18.75" x14ac:dyDescent="0.25">
      <c r="A22" s="86">
        <f t="shared" si="3"/>
        <v>19</v>
      </c>
      <c r="B22" s="93" t="s">
        <v>47</v>
      </c>
      <c r="C22" s="62">
        <f>IFERROR(VLOOKUP(B22,'Master Sheet 2024'!$B$4:$F$17,2,0),"")</f>
        <v>103259</v>
      </c>
      <c r="D22" s="57" t="str">
        <f>IFERROR(VLOOKUP(B22,'Master Sheet 2024'!$B$4:$F$17,3,0),"")</f>
        <v>MTS/CIVIL</v>
      </c>
      <c r="E22" s="57" t="str">
        <f>IFERROR(VLOOKUP(B22,'Master Sheet 2024'!$B$4:$F$17,4,0),"")</f>
        <v>SMUN</v>
      </c>
      <c r="F22" s="98" t="s">
        <v>10</v>
      </c>
      <c r="G22" s="63">
        <v>3</v>
      </c>
      <c r="H22" s="99" t="s">
        <v>83</v>
      </c>
      <c r="I22" s="48" t="s">
        <v>84</v>
      </c>
      <c r="J22" s="49" t="str">
        <f t="shared" si="1"/>
        <v>22/10/2025</v>
      </c>
    </row>
    <row r="23" spans="1:10" ht="18.75" x14ac:dyDescent="0.25">
      <c r="A23" s="86">
        <f t="shared" si="3"/>
        <v>20</v>
      </c>
      <c r="B23" s="93" t="s">
        <v>47</v>
      </c>
      <c r="C23" s="62">
        <f>IFERROR(VLOOKUP(B23,'Master Sheet 2024'!$B$4:$F$17,2,0),"")</f>
        <v>103259</v>
      </c>
      <c r="D23" s="57" t="str">
        <f>IFERROR(VLOOKUP(B23,'Master Sheet 2024'!$B$4:$F$17,3,0),"")</f>
        <v>MTS/CIVIL</v>
      </c>
      <c r="E23" s="57" t="str">
        <f>IFERROR(VLOOKUP(B23,'Master Sheet 2024'!$B$4:$F$17,4,0),"")</f>
        <v>SMUN</v>
      </c>
      <c r="F23" s="98" t="s">
        <v>11</v>
      </c>
      <c r="G23" s="63">
        <v>2</v>
      </c>
      <c r="H23" s="99" t="s">
        <v>85</v>
      </c>
      <c r="I23" s="48" t="s">
        <v>86</v>
      </c>
      <c r="J23" s="49" t="str">
        <f t="shared" si="1"/>
        <v>25/10/2025</v>
      </c>
    </row>
    <row r="24" spans="1:10" ht="18.75" x14ac:dyDescent="0.25">
      <c r="A24" s="86">
        <f t="shared" si="3"/>
        <v>21</v>
      </c>
      <c r="B24" s="93"/>
      <c r="C24" s="62" t="str">
        <f>IFERROR(VLOOKUP(B24,'Master Sheet 2024'!$B$4:$F$17,2,0),"")</f>
        <v/>
      </c>
      <c r="D24" s="57" t="str">
        <f>IFERROR(VLOOKUP(B24,'Master Sheet 2024'!$B$4:$F$17,3,0),"")</f>
        <v/>
      </c>
      <c r="E24" s="57" t="str">
        <f>IFERROR(VLOOKUP(B24,'Master Sheet 2024'!$B$4:$F$17,4,0),"")</f>
        <v/>
      </c>
      <c r="F24" s="98"/>
      <c r="G24" s="63"/>
      <c r="H24" s="99"/>
      <c r="I24" s="48"/>
      <c r="J24" s="90" t="str">
        <f t="shared" ref="J24:J50" si="4">TEXT(H24,"YYYY")</f>
        <v>1900</v>
      </c>
    </row>
    <row r="25" spans="1:10" ht="18.75" x14ac:dyDescent="0.25">
      <c r="A25" s="86">
        <f t="shared" si="3"/>
        <v>22</v>
      </c>
      <c r="B25" s="93"/>
      <c r="C25" s="62" t="str">
        <f>IFERROR(VLOOKUP(B25,'Master Sheet 2024'!$B$4:$F$17,2,0),"")</f>
        <v/>
      </c>
      <c r="D25" s="57" t="str">
        <f>IFERROR(VLOOKUP(B25,'Master Sheet 2024'!$B$4:$F$17,3,0),"")</f>
        <v/>
      </c>
      <c r="E25" s="57" t="str">
        <f>IFERROR(VLOOKUP(B25,'Master Sheet 2024'!$B$4:$F$17,4,0),"")</f>
        <v/>
      </c>
      <c r="F25" s="98"/>
      <c r="G25" s="63"/>
      <c r="H25" s="99"/>
      <c r="I25" s="48"/>
      <c r="J25" s="90" t="str">
        <f t="shared" si="4"/>
        <v>1900</v>
      </c>
    </row>
    <row r="26" spans="1:10" ht="18.75" x14ac:dyDescent="0.25">
      <c r="A26" s="86">
        <f t="shared" si="3"/>
        <v>23</v>
      </c>
      <c r="B26" s="93"/>
      <c r="C26" s="62" t="str">
        <f>IFERROR(VLOOKUP(B26,'Master Sheet 2024'!$B$4:$F$17,2,0),"")</f>
        <v/>
      </c>
      <c r="D26" s="57" t="str">
        <f>IFERROR(VLOOKUP(B26,'Master Sheet 2024'!$B$4:$F$17,3,0),"")</f>
        <v/>
      </c>
      <c r="E26" s="57" t="str">
        <f>IFERROR(VLOOKUP(B26,'Master Sheet 2024'!$B$4:$F$17,4,0),"")</f>
        <v/>
      </c>
      <c r="F26" s="98"/>
      <c r="G26" s="63"/>
      <c r="H26" s="99"/>
      <c r="I26" s="48"/>
      <c r="J26" s="90" t="str">
        <f t="shared" si="4"/>
        <v>1900</v>
      </c>
    </row>
    <row r="27" spans="1:10" ht="18.75" x14ac:dyDescent="0.25">
      <c r="A27" s="86">
        <f t="shared" si="3"/>
        <v>24</v>
      </c>
      <c r="B27" s="93"/>
      <c r="C27" s="62" t="str">
        <f>IFERROR(VLOOKUP(B27,'Master Sheet 2024'!$B$4:$F$17,2,0),"")</f>
        <v/>
      </c>
      <c r="D27" s="57" t="str">
        <f>IFERROR(VLOOKUP(B27,'Master Sheet 2024'!$B$4:$F$17,3,0),"")</f>
        <v/>
      </c>
      <c r="E27" s="57" t="str">
        <f>IFERROR(VLOOKUP(B27,'Master Sheet 2024'!$B$4:$F$17,4,0),"")</f>
        <v/>
      </c>
      <c r="F27" s="98"/>
      <c r="G27" s="63"/>
      <c r="H27" s="99"/>
      <c r="I27" s="48"/>
      <c r="J27" s="90" t="str">
        <f t="shared" si="4"/>
        <v>1900</v>
      </c>
    </row>
    <row r="28" spans="1:10" ht="18.75" x14ac:dyDescent="0.25">
      <c r="A28" s="86">
        <f t="shared" si="3"/>
        <v>25</v>
      </c>
      <c r="B28" s="93"/>
      <c r="C28" s="62" t="str">
        <f>IFERROR(VLOOKUP(B28,'Master Sheet 2024'!$B$4:$F$17,2,0),"")</f>
        <v/>
      </c>
      <c r="D28" s="57" t="str">
        <f>IFERROR(VLOOKUP(B28,'Master Sheet 2024'!$B$4:$F$17,3,0),"")</f>
        <v/>
      </c>
      <c r="E28" s="57" t="str">
        <f>IFERROR(VLOOKUP(B28,'Master Sheet 2024'!$B$4:$F$17,4,0),"")</f>
        <v/>
      </c>
      <c r="F28" s="98"/>
      <c r="G28" s="63"/>
      <c r="H28" s="99"/>
      <c r="I28" s="48"/>
      <c r="J28" s="90" t="str">
        <f t="shared" si="4"/>
        <v>1900</v>
      </c>
    </row>
    <row r="29" spans="1:10" ht="18.75" x14ac:dyDescent="0.25">
      <c r="A29" s="86">
        <f t="shared" si="3"/>
        <v>26</v>
      </c>
      <c r="B29" s="93"/>
      <c r="C29" s="62" t="str">
        <f>IFERROR(VLOOKUP(B29,'Master Sheet 2024'!$B$4:$F$17,2,0),"")</f>
        <v/>
      </c>
      <c r="D29" s="57" t="str">
        <f>IFERROR(VLOOKUP(B29,'Master Sheet 2024'!$B$4:$F$17,3,0),"")</f>
        <v/>
      </c>
      <c r="E29" s="57" t="str">
        <f>IFERROR(VLOOKUP(B29,'Master Sheet 2024'!$B$4:$F$17,4,0),"")</f>
        <v/>
      </c>
      <c r="F29" s="98"/>
      <c r="G29" s="63"/>
      <c r="H29" s="99"/>
      <c r="I29" s="48"/>
      <c r="J29" s="90" t="str">
        <f t="shared" si="4"/>
        <v>1900</v>
      </c>
    </row>
    <row r="30" spans="1:10" ht="18.75" x14ac:dyDescent="0.25">
      <c r="A30" s="86">
        <f t="shared" si="3"/>
        <v>27</v>
      </c>
      <c r="B30" s="93"/>
      <c r="C30" s="62" t="str">
        <f>IFERROR(VLOOKUP(B30,'Master Sheet 2024'!$B$4:$F$17,2,0),"")</f>
        <v/>
      </c>
      <c r="D30" s="57" t="str">
        <f>IFERROR(VLOOKUP(B30,'Master Sheet 2024'!$B$4:$F$17,3,0),"")</f>
        <v/>
      </c>
      <c r="E30" s="57" t="str">
        <f>IFERROR(VLOOKUP(B30,'Master Sheet 2024'!$B$4:$F$17,4,0),"")</f>
        <v/>
      </c>
      <c r="F30" s="98"/>
      <c r="G30" s="63"/>
      <c r="H30" s="99"/>
      <c r="I30" s="48"/>
      <c r="J30" s="90" t="str">
        <f t="shared" si="4"/>
        <v>1900</v>
      </c>
    </row>
    <row r="31" spans="1:10" ht="18.75" x14ac:dyDescent="0.25">
      <c r="A31" s="86">
        <f t="shared" si="3"/>
        <v>28</v>
      </c>
      <c r="B31" s="93"/>
      <c r="C31" s="62" t="str">
        <f>IFERROR(VLOOKUP(B31,'Master Sheet 2024'!$B$4:$F$17,2,0),"")</f>
        <v/>
      </c>
      <c r="D31" s="57" t="str">
        <f>IFERROR(VLOOKUP(B31,'Master Sheet 2024'!$B$4:$F$17,3,0),"")</f>
        <v/>
      </c>
      <c r="E31" s="57" t="str">
        <f>IFERROR(VLOOKUP(B31,'Master Sheet 2024'!$B$4:$F$17,4,0),"")</f>
        <v/>
      </c>
      <c r="F31" s="98"/>
      <c r="G31" s="63"/>
      <c r="H31" s="99"/>
      <c r="I31" s="48"/>
      <c r="J31" s="90" t="str">
        <f t="shared" si="4"/>
        <v>1900</v>
      </c>
    </row>
    <row r="32" spans="1:10" ht="18.75" x14ac:dyDescent="0.25">
      <c r="A32" s="86">
        <f t="shared" si="3"/>
        <v>29</v>
      </c>
      <c r="B32" s="93"/>
      <c r="C32" s="62" t="str">
        <f>IFERROR(VLOOKUP(B32,'Master Sheet 2024'!$B$4:$F$17,2,0),"")</f>
        <v/>
      </c>
      <c r="D32" s="57" t="str">
        <f>IFERROR(VLOOKUP(B32,'Master Sheet 2024'!$B$4:$F$17,3,0),"")</f>
        <v/>
      </c>
      <c r="E32" s="57" t="str">
        <f>IFERROR(VLOOKUP(B32,'Master Sheet 2024'!$B$4:$F$17,4,0),"")</f>
        <v/>
      </c>
      <c r="F32" s="98"/>
      <c r="G32" s="63"/>
      <c r="H32" s="99"/>
      <c r="I32" s="48"/>
      <c r="J32" s="90" t="str">
        <f t="shared" si="4"/>
        <v>1900</v>
      </c>
    </row>
    <row r="33" spans="1:10" ht="18.75" x14ac:dyDescent="0.25">
      <c r="A33" s="86">
        <f t="shared" si="3"/>
        <v>30</v>
      </c>
      <c r="B33" s="100"/>
      <c r="C33" s="87" t="str">
        <f>IFERROR(VLOOKUP(B33,'Master Sheet 2024'!$B$4:$F$17,2,0),"")</f>
        <v/>
      </c>
      <c r="D33" s="86" t="str">
        <f>IFERROR(VLOOKUP(B33,'Master Sheet 2024'!$B$4:$F$17,3,0),"")</f>
        <v/>
      </c>
      <c r="E33" s="86" t="str">
        <f>IFERROR(VLOOKUP(B33,'Master Sheet 2024'!$B$4:$F$17,4,0),"")</f>
        <v/>
      </c>
      <c r="F33" s="88"/>
      <c r="G33" s="89"/>
      <c r="H33" s="96"/>
      <c r="I33" s="97"/>
      <c r="J33" s="90" t="str">
        <f t="shared" si="4"/>
        <v>1900</v>
      </c>
    </row>
    <row r="34" spans="1:10" ht="18.75" x14ac:dyDescent="0.25">
      <c r="A34" s="86">
        <f t="shared" si="3"/>
        <v>31</v>
      </c>
      <c r="B34" s="100"/>
      <c r="C34" s="87" t="str">
        <f>IFERROR(VLOOKUP(B34,'Master Sheet 2024'!$B$4:$F$17,2,0),"")</f>
        <v/>
      </c>
      <c r="D34" s="86" t="str">
        <f>IFERROR(VLOOKUP(B34,'Master Sheet 2024'!$B$4:$F$17,3,0),"")</f>
        <v/>
      </c>
      <c r="E34" s="86" t="str">
        <f>IFERROR(VLOOKUP(B34,'Master Sheet 2024'!$B$4:$F$17,4,0),"")</f>
        <v/>
      </c>
      <c r="F34" s="88"/>
      <c r="G34" s="89"/>
      <c r="H34" s="96"/>
      <c r="I34" s="97"/>
      <c r="J34" s="90" t="str">
        <f t="shared" si="4"/>
        <v>1900</v>
      </c>
    </row>
    <row r="35" spans="1:10" ht="18.75" x14ac:dyDescent="0.25">
      <c r="A35" s="86">
        <f t="shared" si="3"/>
        <v>32</v>
      </c>
      <c r="B35" s="100"/>
      <c r="C35" s="87" t="str">
        <f>IFERROR(VLOOKUP(B35,'Master Sheet 2024'!$B$4:$F$17,2,0),"")</f>
        <v/>
      </c>
      <c r="D35" s="86" t="str">
        <f>IFERROR(VLOOKUP(B35,'Master Sheet 2024'!$B$4:$F$17,3,0),"")</f>
        <v/>
      </c>
      <c r="E35" s="86" t="str">
        <f>IFERROR(VLOOKUP(B35,'Master Sheet 2024'!$B$4:$F$17,4,0),"")</f>
        <v/>
      </c>
      <c r="F35" s="88"/>
      <c r="G35" s="89"/>
      <c r="H35" s="96"/>
      <c r="I35" s="97"/>
      <c r="J35" s="90" t="str">
        <f t="shared" si="4"/>
        <v>1900</v>
      </c>
    </row>
    <row r="36" spans="1:10" ht="18.75" x14ac:dyDescent="0.25">
      <c r="A36" s="86">
        <f t="shared" si="3"/>
        <v>33</v>
      </c>
      <c r="B36" s="100"/>
      <c r="C36" s="87" t="str">
        <f>IFERROR(VLOOKUP(B36,'Master Sheet 2024'!$B$4:$F$17,2,0),"")</f>
        <v/>
      </c>
      <c r="D36" s="86" t="str">
        <f>IFERROR(VLOOKUP(B36,'Master Sheet 2024'!$B$4:$F$17,3,0),"")</f>
        <v/>
      </c>
      <c r="E36" s="86" t="str">
        <f>IFERROR(VLOOKUP(B36,'Master Sheet 2024'!$B$4:$F$17,4,0),"")</f>
        <v/>
      </c>
      <c r="F36" s="88"/>
      <c r="G36" s="89"/>
      <c r="H36" s="96"/>
      <c r="I36" s="97"/>
      <c r="J36" s="90" t="str">
        <f t="shared" si="4"/>
        <v>1900</v>
      </c>
    </row>
    <row r="37" spans="1:10" ht="18.75" x14ac:dyDescent="0.25">
      <c r="A37" s="86">
        <f t="shared" si="3"/>
        <v>34</v>
      </c>
      <c r="B37" s="100"/>
      <c r="C37" s="87" t="str">
        <f>IFERROR(VLOOKUP(B37,'Master Sheet 2024'!$B$4:$F$17,2,0),"")</f>
        <v/>
      </c>
      <c r="D37" s="86" t="str">
        <f>IFERROR(VLOOKUP(B37,'Master Sheet 2024'!$B$4:$F$17,3,0),"")</f>
        <v/>
      </c>
      <c r="E37" s="86" t="str">
        <f>IFERROR(VLOOKUP(B37,'Master Sheet 2024'!$B$4:$F$17,4,0),"")</f>
        <v/>
      </c>
      <c r="F37" s="88"/>
      <c r="G37" s="89"/>
      <c r="H37" s="96"/>
      <c r="I37" s="97"/>
      <c r="J37" s="90" t="str">
        <f t="shared" si="4"/>
        <v>1900</v>
      </c>
    </row>
    <row r="38" spans="1:10" ht="18.75" x14ac:dyDescent="0.25">
      <c r="A38" s="86">
        <f t="shared" si="3"/>
        <v>35</v>
      </c>
      <c r="B38" s="100"/>
      <c r="C38" s="87" t="str">
        <f>IFERROR(VLOOKUP(B38,'Master Sheet 2024'!$B$4:$F$17,2,0),"")</f>
        <v/>
      </c>
      <c r="D38" s="86" t="str">
        <f>IFERROR(VLOOKUP(B38,'Master Sheet 2024'!$B$4:$F$17,3,0),"")</f>
        <v/>
      </c>
      <c r="E38" s="86" t="str">
        <f>IFERROR(VLOOKUP(B38,'Master Sheet 2024'!$B$4:$F$17,4,0),"")</f>
        <v/>
      </c>
      <c r="F38" s="88"/>
      <c r="G38" s="89"/>
      <c r="H38" s="96"/>
      <c r="I38" s="97"/>
      <c r="J38" s="90" t="str">
        <f t="shared" si="4"/>
        <v>1900</v>
      </c>
    </row>
    <row r="39" spans="1:10" ht="18.75" x14ac:dyDescent="0.25">
      <c r="A39" s="86">
        <f t="shared" si="3"/>
        <v>36</v>
      </c>
      <c r="B39" s="100"/>
      <c r="C39" s="87" t="str">
        <f>IFERROR(VLOOKUP(B39,'Master Sheet 2024'!$B$4:$F$17,2,0),"")</f>
        <v/>
      </c>
      <c r="D39" s="86" t="str">
        <f>IFERROR(VLOOKUP(B39,'Master Sheet 2024'!$B$4:$F$17,3,0),"")</f>
        <v/>
      </c>
      <c r="E39" s="86" t="str">
        <f>IFERROR(VLOOKUP(B39,'Master Sheet 2024'!$B$4:$F$17,4,0),"")</f>
        <v/>
      </c>
      <c r="F39" s="88"/>
      <c r="G39" s="89"/>
      <c r="H39" s="96"/>
      <c r="I39" s="97"/>
      <c r="J39" s="90" t="str">
        <f t="shared" si="4"/>
        <v>1900</v>
      </c>
    </row>
    <row r="40" spans="1:10" ht="18.75" x14ac:dyDescent="0.25">
      <c r="A40" s="86">
        <f t="shared" si="3"/>
        <v>37</v>
      </c>
      <c r="B40" s="100"/>
      <c r="C40" s="87" t="str">
        <f>IFERROR(VLOOKUP(B40,'Master Sheet 2024'!$B$4:$F$17,2,0),"")</f>
        <v/>
      </c>
      <c r="D40" s="86" t="str">
        <f>IFERROR(VLOOKUP(B40,'Master Sheet 2024'!$B$4:$F$17,3,0),"")</f>
        <v/>
      </c>
      <c r="E40" s="86" t="str">
        <f>IFERROR(VLOOKUP(B40,'Master Sheet 2024'!$B$4:$F$17,4,0),"")</f>
        <v/>
      </c>
      <c r="F40" s="88"/>
      <c r="G40" s="89"/>
      <c r="H40" s="96"/>
      <c r="I40" s="97"/>
      <c r="J40" s="90" t="str">
        <f t="shared" si="4"/>
        <v>1900</v>
      </c>
    </row>
    <row r="41" spans="1:10" ht="18.75" x14ac:dyDescent="0.25">
      <c r="A41" s="86">
        <f t="shared" si="3"/>
        <v>38</v>
      </c>
      <c r="B41" s="100"/>
      <c r="C41" s="87" t="str">
        <f>IFERROR(VLOOKUP(B41,'Master Sheet 2024'!$B$4:$F$17,2,0),"")</f>
        <v/>
      </c>
      <c r="D41" s="86" t="str">
        <f>IFERROR(VLOOKUP(B41,'Master Sheet 2024'!$B$4:$F$17,3,0),"")</f>
        <v/>
      </c>
      <c r="E41" s="86" t="str">
        <f>IFERROR(VLOOKUP(B41,'Master Sheet 2024'!$B$4:$F$17,4,0),"")</f>
        <v/>
      </c>
      <c r="F41" s="88"/>
      <c r="G41" s="89"/>
      <c r="H41" s="96"/>
      <c r="I41" s="97"/>
      <c r="J41" s="90" t="str">
        <f t="shared" si="4"/>
        <v>1900</v>
      </c>
    </row>
    <row r="42" spans="1:10" ht="18.75" x14ac:dyDescent="0.25">
      <c r="A42" s="86">
        <f t="shared" si="3"/>
        <v>39</v>
      </c>
      <c r="B42" s="100"/>
      <c r="C42" s="87" t="str">
        <f>IFERROR(VLOOKUP(B42,'Master Sheet 2024'!$B$4:$F$17,2,0),"")</f>
        <v/>
      </c>
      <c r="D42" s="86" t="str">
        <f>IFERROR(VLOOKUP(B42,'Master Sheet 2024'!$B$4:$F$17,3,0),"")</f>
        <v/>
      </c>
      <c r="E42" s="86" t="str">
        <f>IFERROR(VLOOKUP(B42,'Master Sheet 2024'!$B$4:$F$17,4,0),"")</f>
        <v/>
      </c>
      <c r="F42" s="88"/>
      <c r="G42" s="89"/>
      <c r="H42" s="96"/>
      <c r="I42" s="97"/>
      <c r="J42" s="90" t="str">
        <f t="shared" si="4"/>
        <v>1900</v>
      </c>
    </row>
    <row r="43" spans="1:10" ht="18.75" x14ac:dyDescent="0.25">
      <c r="A43" s="86">
        <f t="shared" si="3"/>
        <v>40</v>
      </c>
      <c r="B43" s="100"/>
      <c r="C43" s="87" t="str">
        <f>IFERROR(VLOOKUP(B43,'Master Sheet 2024'!$B$4:$F$17,2,0),"")</f>
        <v/>
      </c>
      <c r="D43" s="86" t="str">
        <f>IFERROR(VLOOKUP(B43,'Master Sheet 2024'!$B$4:$F$17,3,0),"")</f>
        <v/>
      </c>
      <c r="E43" s="86" t="str">
        <f>IFERROR(VLOOKUP(B43,'Master Sheet 2024'!$B$4:$F$17,4,0),"")</f>
        <v/>
      </c>
      <c r="F43" s="88"/>
      <c r="G43" s="89"/>
      <c r="H43" s="96"/>
      <c r="I43" s="97"/>
      <c r="J43" s="90" t="str">
        <f t="shared" si="4"/>
        <v>1900</v>
      </c>
    </row>
    <row r="44" spans="1:10" ht="18.75" x14ac:dyDescent="0.25">
      <c r="A44" s="86">
        <f t="shared" si="3"/>
        <v>41</v>
      </c>
      <c r="B44" s="100"/>
      <c r="C44" s="87" t="str">
        <f>IFERROR(VLOOKUP(B44,'Master Sheet 2024'!$B$4:$F$17,2,0),"")</f>
        <v/>
      </c>
      <c r="D44" s="86" t="str">
        <f>IFERROR(VLOOKUP(B44,'Master Sheet 2024'!$B$4:$F$17,3,0),"")</f>
        <v/>
      </c>
      <c r="E44" s="86" t="str">
        <f>IFERROR(VLOOKUP(B44,'Master Sheet 2024'!$B$4:$F$17,4,0),"")</f>
        <v/>
      </c>
      <c r="F44" s="88"/>
      <c r="G44" s="89"/>
      <c r="H44" s="96"/>
      <c r="I44" s="97"/>
      <c r="J44" s="90" t="str">
        <f t="shared" si="4"/>
        <v>1900</v>
      </c>
    </row>
    <row r="45" spans="1:10" ht="18.75" x14ac:dyDescent="0.25">
      <c r="A45" s="86">
        <f t="shared" si="3"/>
        <v>42</v>
      </c>
      <c r="B45" s="100"/>
      <c r="C45" s="87" t="str">
        <f>IFERROR(VLOOKUP(B45,'Master Sheet 2024'!$B$4:$F$17,2,0),"")</f>
        <v/>
      </c>
      <c r="D45" s="86" t="str">
        <f>IFERROR(VLOOKUP(B45,'Master Sheet 2024'!$B$4:$F$17,3,0),"")</f>
        <v/>
      </c>
      <c r="E45" s="86" t="str">
        <f>IFERROR(VLOOKUP(B45,'Master Sheet 2024'!$B$4:$F$17,4,0),"")</f>
        <v/>
      </c>
      <c r="F45" s="88"/>
      <c r="G45" s="89"/>
      <c r="H45" s="96"/>
      <c r="I45" s="97"/>
      <c r="J45" s="90" t="str">
        <f t="shared" si="4"/>
        <v>1900</v>
      </c>
    </row>
    <row r="46" spans="1:10" ht="18.75" x14ac:dyDescent="0.25">
      <c r="A46" s="86">
        <f t="shared" si="3"/>
        <v>43</v>
      </c>
      <c r="B46" s="100"/>
      <c r="C46" s="87" t="str">
        <f>IFERROR(VLOOKUP(B46,'Master Sheet 2024'!$B$4:$F$17,2,0),"")</f>
        <v/>
      </c>
      <c r="D46" s="86" t="str">
        <f>IFERROR(VLOOKUP(B46,'Master Sheet 2024'!$B$4:$F$17,3,0),"")</f>
        <v/>
      </c>
      <c r="E46" s="86" t="str">
        <f>IFERROR(VLOOKUP(B46,'Master Sheet 2024'!$B$4:$F$17,4,0),"")</f>
        <v/>
      </c>
      <c r="F46" s="88"/>
      <c r="G46" s="89"/>
      <c r="H46" s="96"/>
      <c r="I46" s="97"/>
      <c r="J46" s="90" t="str">
        <f t="shared" si="4"/>
        <v>1900</v>
      </c>
    </row>
    <row r="47" spans="1:10" ht="18.75" x14ac:dyDescent="0.25">
      <c r="A47" s="86">
        <f t="shared" si="3"/>
        <v>44</v>
      </c>
      <c r="B47" s="100"/>
      <c r="C47" s="87" t="str">
        <f>IFERROR(VLOOKUP(B47,'Master Sheet 2024'!$B$4:$F$17,2,0),"")</f>
        <v/>
      </c>
      <c r="D47" s="86" t="str">
        <f>IFERROR(VLOOKUP(B47,'Master Sheet 2024'!$B$4:$F$17,3,0),"")</f>
        <v/>
      </c>
      <c r="E47" s="86" t="str">
        <f>IFERROR(VLOOKUP(B47,'Master Sheet 2024'!$B$4:$F$17,4,0),"")</f>
        <v/>
      </c>
      <c r="F47" s="88"/>
      <c r="G47" s="89"/>
      <c r="H47" s="96"/>
      <c r="I47" s="97"/>
      <c r="J47" s="90" t="str">
        <f t="shared" si="4"/>
        <v>1900</v>
      </c>
    </row>
    <row r="48" spans="1:10" ht="18.75" x14ac:dyDescent="0.25">
      <c r="A48" s="86">
        <f t="shared" si="3"/>
        <v>45</v>
      </c>
      <c r="B48" s="100"/>
      <c r="C48" s="87" t="str">
        <f>IFERROR(VLOOKUP(B48,'Master Sheet 2024'!$B$4:$F$17,2,0),"")</f>
        <v/>
      </c>
      <c r="D48" s="86" t="str">
        <f>IFERROR(VLOOKUP(B48,'Master Sheet 2024'!$B$4:$F$17,3,0),"")</f>
        <v/>
      </c>
      <c r="E48" s="86" t="str">
        <f>IFERROR(VLOOKUP(B48,'Master Sheet 2024'!$B$4:$F$17,4,0),"")</f>
        <v/>
      </c>
      <c r="F48" s="88"/>
      <c r="G48" s="89"/>
      <c r="H48" s="96"/>
      <c r="I48" s="97"/>
      <c r="J48" s="90" t="str">
        <f t="shared" si="4"/>
        <v>1900</v>
      </c>
    </row>
    <row r="49" spans="1:10" ht="18.75" x14ac:dyDescent="0.25">
      <c r="A49" s="86">
        <f t="shared" si="3"/>
        <v>46</v>
      </c>
      <c r="B49" s="100"/>
      <c r="C49" s="87" t="str">
        <f>IFERROR(VLOOKUP(B49,'Master Sheet 2024'!$B$4:$F$17,2,0),"")</f>
        <v/>
      </c>
      <c r="D49" s="86" t="str">
        <f>IFERROR(VLOOKUP(B49,'Master Sheet 2024'!$B$4:$F$17,3,0),"")</f>
        <v/>
      </c>
      <c r="E49" s="86" t="str">
        <f>IFERROR(VLOOKUP(B49,'Master Sheet 2024'!$B$4:$F$17,4,0),"")</f>
        <v/>
      </c>
      <c r="F49" s="88"/>
      <c r="G49" s="89"/>
      <c r="H49" s="96"/>
      <c r="I49" s="97"/>
      <c r="J49" s="90" t="str">
        <f t="shared" si="4"/>
        <v>1900</v>
      </c>
    </row>
    <row r="50" spans="1:10" ht="18.75" hidden="1" x14ac:dyDescent="0.25">
      <c r="A50" s="86">
        <f t="shared" si="2"/>
        <v>47</v>
      </c>
      <c r="B50" s="84" t="s">
        <v>42</v>
      </c>
      <c r="C50" s="62">
        <f>IFERROR(VLOOKUP(B50,'Master Sheet 2024'!$B$4:$F$17,2,0),"")</f>
        <v>101518</v>
      </c>
      <c r="D50" s="57" t="str">
        <f>IFERROR(VLOOKUP(B50,'Master Sheet 2024'!$B$4:$F$17,3,0),"")</f>
        <v>JPM/CIVIL</v>
      </c>
      <c r="E50" s="57" t="str">
        <f>IFERROR(VLOOKUP(B50,'Master Sheet 2024'!$B$4:$F$17,4,0),"")</f>
        <v>SMUN</v>
      </c>
      <c r="F50" s="50" t="s">
        <v>10</v>
      </c>
      <c r="G50" s="63">
        <v>1</v>
      </c>
      <c r="H50" s="48" t="s">
        <v>70</v>
      </c>
      <c r="I50" s="48" t="s">
        <v>70</v>
      </c>
      <c r="J50" s="90" t="str">
        <f t="shared" si="4"/>
        <v>14/08/2025</v>
      </c>
    </row>
    <row r="51" spans="1:10" ht="18.75" hidden="1" x14ac:dyDescent="0.25">
      <c r="A51" s="86">
        <f t="shared" si="2"/>
        <v>48</v>
      </c>
      <c r="B51" s="84" t="s">
        <v>47</v>
      </c>
      <c r="C51" s="62">
        <f>IFERROR(VLOOKUP(B51,'Master Sheet 2024'!$B$4:$F$17,2,0),"")</f>
        <v>103259</v>
      </c>
      <c r="D51" s="57" t="str">
        <f>IFERROR(VLOOKUP(B51,'Master Sheet 2024'!$B$4:$F$17,3,0),"")</f>
        <v>MTS/CIVIL</v>
      </c>
      <c r="E51" s="57" t="str">
        <f>IFERROR(VLOOKUP(B51,'Master Sheet 2024'!$B$4:$F$17,4,0),"")</f>
        <v>SMUN</v>
      </c>
      <c r="F51" s="50" t="s">
        <v>2</v>
      </c>
      <c r="G51" s="63">
        <v>4</v>
      </c>
      <c r="H51" s="48" t="s">
        <v>71</v>
      </c>
      <c r="I51" s="48" t="s">
        <v>72</v>
      </c>
      <c r="J51" s="90" t="str">
        <f t="shared" ref="J51:J60" si="5">TEXT(H51,"YYYY")</f>
        <v>16/07/2025</v>
      </c>
    </row>
    <row r="52" spans="1:10" ht="18.75" hidden="1" x14ac:dyDescent="0.25">
      <c r="A52" s="86">
        <f t="shared" si="2"/>
        <v>49</v>
      </c>
      <c r="B52" s="84"/>
      <c r="C52" s="62" t="str">
        <f>IFERROR(VLOOKUP(B52,'Master Sheet 2024'!$B$4:$F$17,2,0),"")</f>
        <v/>
      </c>
      <c r="D52" s="57" t="str">
        <f>IFERROR(VLOOKUP(B52,'Master Sheet 2024'!$B$4:$F$17,3,0),"")</f>
        <v/>
      </c>
      <c r="E52" s="57" t="str">
        <f>IFERROR(VLOOKUP(B52,'Master Sheet 2024'!$B$4:$F$17,4,0),"")</f>
        <v/>
      </c>
      <c r="F52" s="50"/>
      <c r="G52" s="63"/>
      <c r="H52" s="48"/>
      <c r="I52" s="48"/>
      <c r="J52" s="90" t="str">
        <f t="shared" si="5"/>
        <v>1900</v>
      </c>
    </row>
    <row r="53" spans="1:10" ht="18.75" hidden="1" x14ac:dyDescent="0.25">
      <c r="A53" s="86">
        <f t="shared" si="2"/>
        <v>50</v>
      </c>
      <c r="B53" s="84"/>
      <c r="C53" s="62" t="str">
        <f>IFERROR(VLOOKUP(B53,'Master Sheet 2024'!$B$4:$F$17,2,0),"")</f>
        <v/>
      </c>
      <c r="D53" s="57" t="str">
        <f>IFERROR(VLOOKUP(B53,'Master Sheet 2024'!$B$4:$F$17,3,0),"")</f>
        <v/>
      </c>
      <c r="E53" s="57" t="str">
        <f>IFERROR(VLOOKUP(B53,'Master Sheet 2024'!$B$4:$F$17,4,0),"")</f>
        <v/>
      </c>
      <c r="F53" s="50"/>
      <c r="G53" s="63"/>
      <c r="H53" s="48"/>
      <c r="I53" s="48"/>
      <c r="J53" s="90" t="str">
        <f t="shared" si="5"/>
        <v>1900</v>
      </c>
    </row>
    <row r="54" spans="1:10" ht="18.75" hidden="1" x14ac:dyDescent="0.25">
      <c r="A54" s="86">
        <f t="shared" si="2"/>
        <v>51</v>
      </c>
      <c r="B54" s="84"/>
      <c r="C54" s="62" t="str">
        <f>IFERROR(VLOOKUP(B54,'Master Sheet 2024'!$B$4:$F$17,2,0),"")</f>
        <v/>
      </c>
      <c r="D54" s="57" t="str">
        <f>IFERROR(VLOOKUP(B54,'Master Sheet 2024'!$B$4:$F$17,3,0),"")</f>
        <v/>
      </c>
      <c r="E54" s="57" t="str">
        <f>IFERROR(VLOOKUP(B54,'Master Sheet 2024'!$B$4:$F$17,4,0),"")</f>
        <v/>
      </c>
      <c r="F54" s="50"/>
      <c r="G54" s="63"/>
      <c r="H54" s="48"/>
      <c r="I54" s="48"/>
      <c r="J54" s="90" t="str">
        <f t="shared" si="5"/>
        <v>1900</v>
      </c>
    </row>
    <row r="55" spans="1:10" ht="18.75" hidden="1" x14ac:dyDescent="0.25">
      <c r="A55" s="86">
        <f t="shared" si="2"/>
        <v>52</v>
      </c>
      <c r="B55" s="84"/>
      <c r="C55" s="62" t="str">
        <f>IFERROR(VLOOKUP(B55,'Master Sheet 2024'!$B$4:$F$17,2,0),"")</f>
        <v/>
      </c>
      <c r="D55" s="57" t="str">
        <f>IFERROR(VLOOKUP(B55,'Master Sheet 2024'!$B$4:$F$17,3,0),"")</f>
        <v/>
      </c>
      <c r="E55" s="57" t="str">
        <f>IFERROR(VLOOKUP(B55,'Master Sheet 2024'!$B$4:$F$17,4,0),"")</f>
        <v/>
      </c>
      <c r="F55" s="50"/>
      <c r="G55" s="63"/>
      <c r="H55" s="48"/>
      <c r="I55" s="48"/>
      <c r="J55" s="90" t="str">
        <f t="shared" si="5"/>
        <v>1900</v>
      </c>
    </row>
    <row r="56" spans="1:10" ht="18.75" hidden="1" x14ac:dyDescent="0.25">
      <c r="A56" s="86">
        <f t="shared" si="2"/>
        <v>53</v>
      </c>
      <c r="B56" s="84"/>
      <c r="C56" s="62" t="str">
        <f>IFERROR(VLOOKUP(B56,'Master Sheet 2024'!$B$4:$F$17,2,0),"")</f>
        <v/>
      </c>
      <c r="D56" s="57" t="str">
        <f>IFERROR(VLOOKUP(B56,'Master Sheet 2024'!$B$4:$F$17,3,0),"")</f>
        <v/>
      </c>
      <c r="E56" s="57" t="str">
        <f>IFERROR(VLOOKUP(B56,'Master Sheet 2024'!$B$4:$F$17,4,0),"")</f>
        <v/>
      </c>
      <c r="F56" s="50"/>
      <c r="G56" s="63"/>
      <c r="H56" s="48"/>
      <c r="I56" s="48"/>
      <c r="J56" s="90" t="str">
        <f t="shared" si="5"/>
        <v>1900</v>
      </c>
    </row>
    <row r="57" spans="1:10" ht="18.75" hidden="1" x14ac:dyDescent="0.25">
      <c r="A57" s="86">
        <f t="shared" si="2"/>
        <v>54</v>
      </c>
      <c r="B57" s="84"/>
      <c r="C57" s="62" t="str">
        <f>IFERROR(VLOOKUP(B57,'Master Sheet 2024'!$B$4:$F$17,2,0),"")</f>
        <v/>
      </c>
      <c r="D57" s="57" t="str">
        <f>IFERROR(VLOOKUP(B57,'Master Sheet 2024'!$B$4:$F$17,3,0),"")</f>
        <v/>
      </c>
      <c r="E57" s="57" t="str">
        <f>IFERROR(VLOOKUP(B57,'Master Sheet 2024'!$B$4:$F$17,4,0),"")</f>
        <v/>
      </c>
      <c r="F57" s="50"/>
      <c r="G57" s="63"/>
      <c r="H57" s="48"/>
      <c r="I57" s="48"/>
      <c r="J57" s="90" t="str">
        <f t="shared" si="5"/>
        <v>1900</v>
      </c>
    </row>
    <row r="58" spans="1:10" ht="18.75" hidden="1" x14ac:dyDescent="0.25">
      <c r="A58" s="86">
        <f t="shared" si="2"/>
        <v>55</v>
      </c>
      <c r="B58" s="84"/>
      <c r="C58" s="62" t="str">
        <f>IFERROR(VLOOKUP(B58,'Master Sheet 2024'!$B$4:$F$17,2,0),"")</f>
        <v/>
      </c>
      <c r="D58" s="57" t="str">
        <f>IFERROR(VLOOKUP(B58,'Master Sheet 2024'!$B$4:$F$17,3,0),"")</f>
        <v/>
      </c>
      <c r="E58" s="57" t="str">
        <f>IFERROR(VLOOKUP(B58,'Master Sheet 2024'!$B$4:$F$17,4,0),"")</f>
        <v/>
      </c>
      <c r="F58" s="50"/>
      <c r="G58" s="63"/>
      <c r="H58" s="48"/>
      <c r="I58" s="48"/>
      <c r="J58" s="90" t="str">
        <f t="shared" si="5"/>
        <v>1900</v>
      </c>
    </row>
    <row r="59" spans="1:10" ht="18.75" hidden="1" x14ac:dyDescent="0.25">
      <c r="A59" s="86">
        <f t="shared" si="2"/>
        <v>56</v>
      </c>
      <c r="B59" s="84"/>
      <c r="C59" s="62" t="str">
        <f>IFERROR(VLOOKUP(B59,'Master Sheet 2024'!$B$4:$F$17,2,0),"")</f>
        <v/>
      </c>
      <c r="D59" s="57" t="str">
        <f>IFERROR(VLOOKUP(B59,'Master Sheet 2024'!$B$4:$F$17,3,0),"")</f>
        <v/>
      </c>
      <c r="E59" s="57" t="str">
        <f>IFERROR(VLOOKUP(B59,'Master Sheet 2024'!$B$4:$F$17,4,0),"")</f>
        <v/>
      </c>
      <c r="F59" s="50"/>
      <c r="G59" s="63"/>
      <c r="H59" s="48"/>
      <c r="I59" s="48"/>
      <c r="J59" s="90" t="str">
        <f t="shared" si="5"/>
        <v>1900</v>
      </c>
    </row>
    <row r="60" spans="1:10" ht="18.75" hidden="1" x14ac:dyDescent="0.25">
      <c r="A60" s="91">
        <f t="shared" si="2"/>
        <v>57</v>
      </c>
      <c r="B60" s="84"/>
      <c r="C60" s="62" t="str">
        <f>IFERROR(VLOOKUP(B60,'Master Sheet 2024'!$B$4:$F$17,2,0),"")</f>
        <v/>
      </c>
      <c r="D60" s="57" t="str">
        <f>IFERROR(VLOOKUP(B60,'Master Sheet 2024'!$B$4:$F$17,3,0),"")</f>
        <v/>
      </c>
      <c r="E60" s="57" t="str">
        <f>IFERROR(VLOOKUP(B60,'Master Sheet 2024'!$B$4:$F$17,4,0),"")</f>
        <v/>
      </c>
      <c r="F60" s="50"/>
      <c r="G60" s="63"/>
      <c r="H60" s="48"/>
      <c r="I60" s="48"/>
      <c r="J60" s="92" t="str">
        <f t="shared" si="5"/>
        <v>1900</v>
      </c>
    </row>
    <row r="61" spans="1:10" ht="15.75" x14ac:dyDescent="0.25">
      <c r="H61" s="48"/>
      <c r="I61" s="48"/>
    </row>
  </sheetData>
  <mergeCells count="4">
    <mergeCell ref="B1:I1"/>
    <mergeCell ref="B2:I2"/>
    <mergeCell ref="K1:M1"/>
    <mergeCell ref="N1:P1"/>
  </mergeCells>
  <phoneticPr fontId="41" type="noConversion"/>
  <conditionalFormatting sqref="B4:J60 H61:I61">
    <cfRule type="expression" dxfId="4" priority="3" stopIfTrue="1">
      <formula>$N$1=$C4</formula>
    </cfRule>
  </conditionalFormatting>
  <conditionalFormatting sqref="F4:F60">
    <cfRule type="containsText" dxfId="3" priority="4" operator="containsText" text="RH">
      <formula>NOT(ISERROR(SEARCH("RH",F4)))</formula>
    </cfRule>
    <cfRule type="containsText" dxfId="2" priority="5" operator="containsText" text="CL">
      <formula>NOT(ISERROR(SEARCH("CL",F4)))</formula>
    </cfRule>
  </conditionalFormatting>
  <conditionalFormatting sqref="K3:P3">
    <cfRule type="containsBlanks" dxfId="0" priority="2">
      <formula>LEN(TRIM(K3))=0</formula>
    </cfRule>
  </conditionalFormatting>
  <printOptions horizontalCentered="1"/>
  <pageMargins left="0.39370078740157483" right="0.19685039370078741" top="0.19685039370078741" bottom="0.19685039370078741" header="7.874015748031496E-2" footer="0.19685039370078741"/>
  <pageSetup paperSize="9" scale="85" orientation="landscape" r:id="rId1"/>
  <headerFooter differentOddEven="1" scaleWithDoc="0" alignWithMargins="0">
    <evenFooter xml:space="preserve">&amp;C&amp;"-,Bold"&amp;16Page-2/2&amp;R         
        </evenFooter>
    <firstFooter>&amp;R&amp;"Arial,Bold"&amp;18     
&amp;"-,Bold"&amp;16&amp;K00+000FCCIL</firstFooter>
  </headerFooter>
  <drawing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containsText" priority="6" operator="containsText" id="{0BE7AB69-B5C9-4426-8ECC-8236DAD9FB60}">
            <xm:f>NOT(ISERROR(SEARCH(2024,J4)))</xm:f>
            <xm:f>2024</xm:f>
            <x14:dxf>
              <font>
                <b/>
                <i val="0"/>
              </font>
              <fill>
                <gradientFill type="path" left="0.5" right="0.5" top="0.5" bottom="0.5">
                  <stop position="0">
                    <color theme="0"/>
                  </stop>
                  <stop position="1">
                    <color theme="4"/>
                  </stop>
                </gradientFill>
              </fill>
            </x14:dxf>
          </x14:cfRule>
          <xm:sqref>J4:J60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'Master Sheet 2024'!$F$4:$F$9</xm:f>
          </x14:formula1>
          <xm:sqref>F4:F60</xm:sqref>
        </x14:dataValidation>
        <x14:dataValidation type="list" allowBlank="1" showInputMessage="1" showErrorMessage="1" xr:uid="{00000000-0002-0000-0000-000000000000}">
          <x14:formula1>
            <xm:f>'Master Sheet 2024'!$B$4:$B$17</xm:f>
          </x14:formula1>
          <xm:sqref>B4:B60</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25"/>
  <sheetViews>
    <sheetView topLeftCell="A5" zoomScaleNormal="100" zoomScaleSheetLayoutView="55" workbookViewId="0">
      <selection activeCell="D10" sqref="D10"/>
    </sheetView>
  </sheetViews>
  <sheetFormatPr defaultRowHeight="15" x14ac:dyDescent="0.25"/>
  <cols>
    <col min="1" max="1" width="9.28515625" style="1" customWidth="1"/>
    <col min="2" max="2" width="38.85546875" style="1" customWidth="1"/>
    <col min="3" max="3" width="11.5703125" style="1" bestFit="1" customWidth="1"/>
    <col min="4" max="4" width="36.7109375" style="1" customWidth="1"/>
    <col min="5" max="5" width="26.7109375" style="1" customWidth="1"/>
    <col min="6" max="6" width="26.42578125" style="1" customWidth="1"/>
    <col min="7" max="16384" width="9.140625" style="1"/>
  </cols>
  <sheetData>
    <row r="1" spans="1:17" ht="52.5" customHeight="1" x14ac:dyDescent="0.25">
      <c r="A1" s="109" t="s">
        <v>40</v>
      </c>
      <c r="B1" s="109"/>
      <c r="C1" s="109"/>
      <c r="D1" s="109"/>
      <c r="E1" s="109"/>
      <c r="F1" s="109"/>
    </row>
    <row r="2" spans="1:17" s="3" customFormat="1" ht="39" customHeight="1" x14ac:dyDescent="0.25">
      <c r="A2" s="110" t="s">
        <v>41</v>
      </c>
      <c r="B2" s="110"/>
      <c r="C2" s="110"/>
      <c r="D2" s="110"/>
      <c r="E2" s="110"/>
      <c r="F2" s="110"/>
    </row>
    <row r="3" spans="1:17" s="3" customFormat="1" ht="60" customHeight="1" thickBot="1" x14ac:dyDescent="0.3">
      <c r="A3" s="6" t="s">
        <v>16</v>
      </c>
      <c r="B3" s="7" t="s">
        <v>5</v>
      </c>
      <c r="C3" s="6" t="s">
        <v>6</v>
      </c>
      <c r="D3" s="7" t="s">
        <v>4</v>
      </c>
      <c r="E3" s="6" t="s">
        <v>34</v>
      </c>
      <c r="F3" s="6" t="s">
        <v>35</v>
      </c>
    </row>
    <row r="4" spans="1:17" s="2" customFormat="1" ht="37.5" customHeight="1" x14ac:dyDescent="0.25">
      <c r="A4" s="72">
        <v>1</v>
      </c>
      <c r="B4" s="73" t="s">
        <v>42</v>
      </c>
      <c r="C4" s="75">
        <v>101518</v>
      </c>
      <c r="D4" s="74" t="s">
        <v>53</v>
      </c>
      <c r="E4" s="81" t="s">
        <v>59</v>
      </c>
      <c r="F4" s="4" t="s">
        <v>10</v>
      </c>
    </row>
    <row r="5" spans="1:17" s="2" customFormat="1" ht="37.5" customHeight="1" x14ac:dyDescent="0.25">
      <c r="A5" s="76">
        <v>2</v>
      </c>
      <c r="B5" s="77" t="s">
        <v>43</v>
      </c>
      <c r="C5" s="79">
        <v>101686</v>
      </c>
      <c r="D5" s="78" t="s">
        <v>54</v>
      </c>
      <c r="E5" s="78" t="s">
        <v>63</v>
      </c>
      <c r="F5" s="4" t="s">
        <v>12</v>
      </c>
    </row>
    <row r="6" spans="1:17" s="2" customFormat="1" ht="37.5" customHeight="1" x14ac:dyDescent="0.25">
      <c r="A6" s="76">
        <v>3</v>
      </c>
      <c r="B6" s="77" t="s">
        <v>44</v>
      </c>
      <c r="C6" s="79">
        <v>101646</v>
      </c>
      <c r="D6" s="78" t="s">
        <v>55</v>
      </c>
      <c r="E6" s="78" t="s">
        <v>64</v>
      </c>
      <c r="F6" s="4" t="s">
        <v>11</v>
      </c>
    </row>
    <row r="7" spans="1:17" s="2" customFormat="1" ht="37.5" customHeight="1" x14ac:dyDescent="0.25">
      <c r="A7" s="76">
        <v>4</v>
      </c>
      <c r="B7" s="80" t="s">
        <v>45</v>
      </c>
      <c r="C7" s="82">
        <v>102431</v>
      </c>
      <c r="D7" s="81" t="s">
        <v>46</v>
      </c>
      <c r="E7" s="78" t="s">
        <v>59</v>
      </c>
      <c r="F7" s="4" t="s">
        <v>2</v>
      </c>
    </row>
    <row r="8" spans="1:17" s="2" customFormat="1" ht="37.5" customHeight="1" x14ac:dyDescent="0.25">
      <c r="A8" s="76">
        <v>5</v>
      </c>
      <c r="B8" s="80" t="s">
        <v>67</v>
      </c>
      <c r="C8" s="82">
        <v>103258</v>
      </c>
      <c r="D8" s="81" t="s">
        <v>46</v>
      </c>
      <c r="E8" s="78" t="s">
        <v>59</v>
      </c>
      <c r="F8" s="4" t="s">
        <v>1</v>
      </c>
      <c r="Q8" s="2">
        <f>LEN(A4)</f>
        <v>1</v>
      </c>
    </row>
    <row r="9" spans="1:17" s="2" customFormat="1" ht="37.5" customHeight="1" x14ac:dyDescent="0.25">
      <c r="A9" s="76">
        <v>6</v>
      </c>
      <c r="B9" s="80" t="s">
        <v>47</v>
      </c>
      <c r="C9" s="82">
        <v>103259</v>
      </c>
      <c r="D9" s="81" t="s">
        <v>46</v>
      </c>
      <c r="E9" s="78" t="s">
        <v>59</v>
      </c>
      <c r="F9" s="4" t="s">
        <v>13</v>
      </c>
    </row>
    <row r="10" spans="1:17" s="2" customFormat="1" ht="37.5" customHeight="1" x14ac:dyDescent="0.25">
      <c r="A10" s="76">
        <v>7</v>
      </c>
      <c r="B10" s="80" t="s">
        <v>48</v>
      </c>
      <c r="C10" s="82">
        <v>102924</v>
      </c>
      <c r="D10" s="81" t="s">
        <v>46</v>
      </c>
      <c r="E10" s="78" t="s">
        <v>63</v>
      </c>
      <c r="F10" s="4" t="s">
        <v>65</v>
      </c>
    </row>
    <row r="11" spans="1:17" s="2" customFormat="1" ht="37.5" customHeight="1" x14ac:dyDescent="0.25">
      <c r="A11" s="76">
        <v>8</v>
      </c>
      <c r="B11" s="80" t="s">
        <v>49</v>
      </c>
      <c r="C11" s="82">
        <v>103257</v>
      </c>
      <c r="D11" s="81" t="s">
        <v>46</v>
      </c>
      <c r="E11" s="81" t="s">
        <v>64</v>
      </c>
      <c r="F11" s="4"/>
    </row>
    <row r="12" spans="1:17" s="2" customFormat="1" ht="37.5" customHeight="1" x14ac:dyDescent="0.25">
      <c r="A12" s="76">
        <v>9</v>
      </c>
      <c r="B12" s="80" t="s">
        <v>50</v>
      </c>
      <c r="C12" s="82">
        <v>102623</v>
      </c>
      <c r="D12" s="81" t="s">
        <v>46</v>
      </c>
      <c r="E12" s="81" t="s">
        <v>64</v>
      </c>
      <c r="F12" s="4"/>
      <c r="K12" s="2" t="s">
        <v>0</v>
      </c>
    </row>
    <row r="13" spans="1:17" s="2" customFormat="1" ht="37.5" customHeight="1" x14ac:dyDescent="0.25">
      <c r="A13" s="76">
        <v>10</v>
      </c>
      <c r="B13" s="80" t="s">
        <v>51</v>
      </c>
      <c r="C13" s="82">
        <v>102460</v>
      </c>
      <c r="D13" s="81" t="s">
        <v>46</v>
      </c>
      <c r="E13" s="81" t="s">
        <v>62</v>
      </c>
      <c r="F13" s="4"/>
    </row>
    <row r="14" spans="1:17" s="2" customFormat="1" ht="37.5" customHeight="1" x14ac:dyDescent="0.25">
      <c r="A14" s="76">
        <v>11</v>
      </c>
      <c r="B14" s="80" t="s">
        <v>52</v>
      </c>
      <c r="C14" s="82">
        <v>105102</v>
      </c>
      <c r="D14" s="83" t="s">
        <v>56</v>
      </c>
      <c r="E14" s="81" t="s">
        <v>59</v>
      </c>
      <c r="F14" s="4"/>
    </row>
    <row r="15" spans="1:17" s="2" customFormat="1" ht="37.5" customHeight="1" x14ac:dyDescent="0.25">
      <c r="A15" s="76">
        <v>12</v>
      </c>
      <c r="B15" s="80" t="s">
        <v>66</v>
      </c>
      <c r="C15" s="82">
        <v>104962</v>
      </c>
      <c r="D15" s="83" t="s">
        <v>56</v>
      </c>
      <c r="E15" s="81" t="s">
        <v>64</v>
      </c>
      <c r="F15" s="4"/>
    </row>
    <row r="16" spans="1:17" s="2" customFormat="1" ht="37.5" customHeight="1" x14ac:dyDescent="0.25">
      <c r="A16" s="76">
        <v>13</v>
      </c>
      <c r="B16" s="80" t="s">
        <v>57</v>
      </c>
      <c r="C16" s="82">
        <v>105900</v>
      </c>
      <c r="D16" s="83" t="s">
        <v>58</v>
      </c>
      <c r="E16" s="81" t="s">
        <v>59</v>
      </c>
      <c r="F16" s="4"/>
    </row>
    <row r="17" spans="1:7" s="2" customFormat="1" ht="37.5" customHeight="1" x14ac:dyDescent="0.25">
      <c r="A17" s="76">
        <v>14</v>
      </c>
      <c r="B17" s="80" t="s">
        <v>60</v>
      </c>
      <c r="C17" s="82">
        <v>105899</v>
      </c>
      <c r="D17" s="83" t="s">
        <v>61</v>
      </c>
      <c r="E17" s="81" t="s">
        <v>62</v>
      </c>
      <c r="F17" s="4"/>
    </row>
    <row r="18" spans="1:7" ht="28.5" customHeight="1" x14ac:dyDescent="0.25"/>
    <row r="19" spans="1:7" ht="14.25" customHeight="1" x14ac:dyDescent="0.25"/>
    <row r="20" spans="1:7" ht="15" customHeight="1" x14ac:dyDescent="0.25"/>
    <row r="21" spans="1:7" ht="36" customHeight="1" x14ac:dyDescent="0.25"/>
    <row r="25" spans="1:7" ht="18.75" x14ac:dyDescent="0.25">
      <c r="G25" s="3"/>
    </row>
  </sheetData>
  <mergeCells count="2">
    <mergeCell ref="A1:F1"/>
    <mergeCell ref="A2:F2"/>
  </mergeCells>
  <printOptions horizontalCentered="1" verticalCentered="1"/>
  <pageMargins left="0" right="0" top="0.19685039370078741" bottom="0.19685039370078741" header="7.874015748031496E-2" footer="0.19685039370078741"/>
  <pageSetup paperSize="9" scale="65" orientation="landscape" r:id="rId1"/>
  <headerFooter differentOddEven="1" scaleWithDoc="0" alignWithMargins="0">
    <oddFooter>&amp;C&amp;"-,Bold"&amp;16Page-1/2&amp;R&amp;G</oddFooter>
    <evenFooter xml:space="preserve">&amp;C&amp;"-,Bold"&amp;16Page-2/2&amp;R         
        </evenFooter>
    <firstFooter>&amp;R&amp;"Arial,Bold"&amp;18     
&amp;"-,Bold"&amp;16&amp;K00+000FCCIL</firstFooter>
  </headerFooter>
  <legacy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F1:T43"/>
  <sheetViews>
    <sheetView showGridLines="0" zoomScaleNormal="100" zoomScaleSheetLayoutView="40" workbookViewId="0">
      <selection activeCell="J9" sqref="J9:M9"/>
    </sheetView>
  </sheetViews>
  <sheetFormatPr defaultRowHeight="15" x14ac:dyDescent="0.25"/>
  <cols>
    <col min="1" max="5" width="9.140625" style="9"/>
    <col min="6" max="7" width="13.42578125" style="9" customWidth="1"/>
    <col min="8" max="8" width="12.85546875" style="9" customWidth="1"/>
    <col min="9" max="9" width="8.85546875" style="9" customWidth="1"/>
    <col min="10" max="10" width="18" style="9" customWidth="1"/>
    <col min="11" max="12" width="9" style="9" customWidth="1"/>
    <col min="13" max="13" width="13.28515625" style="9" customWidth="1"/>
    <col min="14" max="14" width="15.7109375" style="9" customWidth="1"/>
    <col min="15" max="15" width="15.140625" style="9" customWidth="1"/>
    <col min="16" max="16" width="16.42578125" style="9" customWidth="1"/>
    <col min="17" max="19" width="9.140625" style="9"/>
    <col min="20" max="20" width="45.28515625" style="9" customWidth="1"/>
    <col min="21" max="21" width="10.28515625" style="9" customWidth="1"/>
    <col min="22" max="16384" width="9.140625" style="9"/>
  </cols>
  <sheetData>
    <row r="1" spans="6:20" ht="23.25" customHeight="1" x14ac:dyDescent="0.25">
      <c r="F1" s="113" t="s">
        <v>15</v>
      </c>
      <c r="G1" s="113"/>
      <c r="H1" s="113"/>
      <c r="I1" s="113"/>
      <c r="J1" s="113"/>
      <c r="K1" s="113"/>
      <c r="L1" s="113"/>
      <c r="M1" s="113"/>
      <c r="N1" s="113"/>
      <c r="O1" s="113"/>
      <c r="P1" s="113"/>
    </row>
    <row r="2" spans="6:20" ht="27.75" customHeight="1" x14ac:dyDescent="0.25">
      <c r="F2" s="114" t="s">
        <v>69</v>
      </c>
      <c r="G2" s="114"/>
      <c r="H2" s="115"/>
      <c r="I2" s="115"/>
      <c r="J2" s="115"/>
      <c r="K2" s="115"/>
      <c r="L2" s="115"/>
      <c r="M2" s="115"/>
      <c r="N2" s="115"/>
      <c r="O2" s="115"/>
      <c r="P2" s="115"/>
    </row>
    <row r="3" spans="6:20" ht="23.25" customHeight="1" thickBot="1" x14ac:dyDescent="0.3">
      <c r="F3" s="116" t="s">
        <v>68</v>
      </c>
      <c r="G3" s="116"/>
      <c r="H3" s="116"/>
      <c r="I3" s="116"/>
      <c r="J3" s="116"/>
      <c r="K3" s="116"/>
      <c r="L3" s="116"/>
      <c r="M3" s="116"/>
      <c r="N3" s="116"/>
      <c r="O3" s="116"/>
      <c r="P3" s="116"/>
    </row>
    <row r="4" spans="6:20" ht="31.5" customHeight="1" thickBot="1" x14ac:dyDescent="0.3">
      <c r="F4" s="16" t="s">
        <v>16</v>
      </c>
      <c r="G4" s="42" t="e">
        <f>VLOOKUP(T9,'Master Sheet 2024'!A4:F17,2,0)</f>
        <v>#N/A</v>
      </c>
      <c r="H4" s="13" t="s">
        <v>17</v>
      </c>
      <c r="I4" s="122" t="str">
        <f>IFERROR(VLOOKUP(L4,'Master Sheet 2024'!$B$4:$F$17,2,0),"")</f>
        <v/>
      </c>
      <c r="J4" s="123"/>
      <c r="K4" s="13" t="s">
        <v>18</v>
      </c>
      <c r="L4" s="15">
        <v>101518</v>
      </c>
      <c r="M4" s="16" t="s">
        <v>25</v>
      </c>
      <c r="N4" s="43" t="e">
        <f>VLOOKUP(T9,'Master Sheet 2024'!A4:F17,4,0)</f>
        <v>#N/A</v>
      </c>
      <c r="O4" s="14" t="s">
        <v>26</v>
      </c>
      <c r="P4" s="46" t="e">
        <f>VLOOKUP(T9,'Master Sheet 2024'!A4:F17,5,0)</f>
        <v>#N/A</v>
      </c>
    </row>
    <row r="5" spans="6:20" ht="20.25" customHeight="1" thickBot="1" x14ac:dyDescent="0.3">
      <c r="F5" s="121"/>
      <c r="G5" s="121"/>
      <c r="H5" s="121"/>
      <c r="I5" s="121"/>
      <c r="J5" s="121"/>
      <c r="K5" s="121"/>
      <c r="L5" s="121"/>
      <c r="M5" s="121"/>
      <c r="N5" s="121"/>
      <c r="O5" s="121"/>
      <c r="P5" s="121"/>
    </row>
    <row r="6" spans="6:20" s="10" customFormat="1" ht="30.75" customHeight="1" thickBot="1" x14ac:dyDescent="0.3">
      <c r="F6" s="124" t="s">
        <v>36</v>
      </c>
      <c r="G6" s="125"/>
      <c r="H6" s="130" t="s">
        <v>19</v>
      </c>
      <c r="I6" s="25" t="s">
        <v>20</v>
      </c>
      <c r="J6" s="126" t="s">
        <v>21</v>
      </c>
      <c r="K6" s="126"/>
      <c r="L6" s="126"/>
      <c r="M6" s="127"/>
      <c r="N6" s="132" t="s">
        <v>24</v>
      </c>
      <c r="O6" s="117" t="s">
        <v>23</v>
      </c>
      <c r="P6" s="119" t="s">
        <v>22</v>
      </c>
    </row>
    <row r="7" spans="6:20" ht="30.75" customHeight="1" thickBot="1" x14ac:dyDescent="0.3">
      <c r="F7" s="11" t="s">
        <v>7</v>
      </c>
      <c r="G7" s="12" t="s">
        <v>8</v>
      </c>
      <c r="H7" s="131"/>
      <c r="I7" s="24">
        <v>8</v>
      </c>
      <c r="J7" s="128"/>
      <c r="K7" s="128"/>
      <c r="L7" s="128"/>
      <c r="M7" s="129"/>
      <c r="N7" s="133"/>
      <c r="O7" s="118"/>
      <c r="P7" s="120"/>
    </row>
    <row r="8" spans="6:20" ht="30.75" customHeight="1" thickBot="1" x14ac:dyDescent="0.3">
      <c r="F8" s="64" t="e">
        <f>VLOOKUP('CL CARD-24'!$L$4,'Leave Report 2024'!$A$4:$I$60,7,0)</f>
        <v>#N/A</v>
      </c>
      <c r="G8" s="64" t="e">
        <f>VLOOKUP('CL CARD-24'!$L$4,'Leave Report 2024'!$A$4:$I$60,8,0)</f>
        <v>#N/A</v>
      </c>
      <c r="H8" s="56" t="e">
        <f>VLOOKUP('CL CARD-24'!$L$4,'Leave Report 2024'!$A$4:$I$60,9,0)</f>
        <v>#N/A</v>
      </c>
      <c r="I8" s="39" t="e">
        <f>SUM(I7-H8)</f>
        <v>#N/A</v>
      </c>
      <c r="J8" s="134"/>
      <c r="K8" s="134"/>
      <c r="L8" s="134"/>
      <c r="M8" s="134"/>
      <c r="N8" s="45"/>
      <c r="O8" s="45"/>
      <c r="P8" s="45"/>
    </row>
    <row r="9" spans="6:20" ht="30.75" customHeight="1" x14ac:dyDescent="0.25">
      <c r="F9" s="64" t="e">
        <f>VLOOKUP('CL CARD-24'!$L$4,'Leave Report 2024'!$A$4:$I$60,7,0)</f>
        <v>#N/A</v>
      </c>
      <c r="G9" s="64" t="e">
        <f>VLOOKUP('CL CARD-24'!$L$4,'Leave Report 2024'!$A$4:$I$60,8,0)</f>
        <v>#N/A</v>
      </c>
      <c r="H9" s="56" t="e">
        <f>VLOOKUP('CL CARD-24'!$L$4,'Leave Report 2024'!$A$4:$I$60,9,0)</f>
        <v>#N/A</v>
      </c>
      <c r="I9" s="44" t="e">
        <f>SUM(I8-H9)</f>
        <v>#N/A</v>
      </c>
      <c r="J9" s="135"/>
      <c r="K9" s="135"/>
      <c r="L9" s="135"/>
      <c r="M9" s="135"/>
      <c r="N9" s="18"/>
      <c r="O9" s="18"/>
      <c r="P9" s="18"/>
      <c r="T9" s="111">
        <v>103259</v>
      </c>
    </row>
    <row r="10" spans="6:20" ht="30.75" customHeight="1" thickBot="1" x14ac:dyDescent="0.3">
      <c r="F10" s="64" t="e">
        <f>VLOOKUP('CL CARD-24'!$L$4,'Leave Report 2024'!$A$4:$I$60,7,0)</f>
        <v>#N/A</v>
      </c>
      <c r="G10" s="64" t="e">
        <f>VLOOKUP('CL CARD-24'!$L$4,'Leave Report 2024'!$A$4:$I$60,8,0)</f>
        <v>#N/A</v>
      </c>
      <c r="H10" s="56" t="e">
        <f>VLOOKUP('CL CARD-24'!$L$4,'Leave Report 2024'!$A$4:$I$60,9,0)</f>
        <v>#N/A</v>
      </c>
      <c r="I10" s="44" t="e">
        <f t="shared" ref="I10:I16" si="0">SUM(I9-H10)</f>
        <v>#N/A</v>
      </c>
      <c r="J10" s="135"/>
      <c r="K10" s="135"/>
      <c r="L10" s="135"/>
      <c r="M10" s="135"/>
      <c r="N10" s="18"/>
      <c r="O10" s="18"/>
      <c r="P10" s="18"/>
      <c r="T10" s="112"/>
    </row>
    <row r="11" spans="6:20" ht="30.75" customHeight="1" x14ac:dyDescent="0.25">
      <c r="F11" s="64" t="e">
        <f>VLOOKUP('CL CARD-24'!$L$4,'Leave Report 2024'!$A$4:$I$60,7,0)</f>
        <v>#N/A</v>
      </c>
      <c r="G11" s="64" t="e">
        <f>VLOOKUP('CL CARD-24'!$L$4,'Leave Report 2024'!$A$4:$I$60,8,0)</f>
        <v>#N/A</v>
      </c>
      <c r="H11" s="56" t="e">
        <f>VLOOKUP('CL CARD-24'!$L$4,'Leave Report 2024'!$A$4:$I$60,9,0)</f>
        <v>#N/A</v>
      </c>
      <c r="I11" s="44" t="e">
        <f t="shared" si="0"/>
        <v>#N/A</v>
      </c>
      <c r="J11" s="135"/>
      <c r="K11" s="135"/>
      <c r="L11" s="135"/>
      <c r="M11" s="135"/>
      <c r="N11" s="18"/>
      <c r="O11" s="18"/>
      <c r="P11" s="18"/>
    </row>
    <row r="12" spans="6:20" ht="30.75" customHeight="1" x14ac:dyDescent="0.25">
      <c r="F12" s="64" t="e">
        <f>VLOOKUP('CL CARD-24'!$L$4,'Leave Report 2024'!$A$4:$I$60,7,0)</f>
        <v>#N/A</v>
      </c>
      <c r="G12" s="64" t="e">
        <f>VLOOKUP('CL CARD-24'!$L$4,'Leave Report 2024'!$A$4:$I$60,8,0)</f>
        <v>#N/A</v>
      </c>
      <c r="H12" s="56" t="e">
        <f>VLOOKUP('CL CARD-24'!$L$4,'Leave Report 2024'!$A$4:$I$60,9,0)</f>
        <v>#N/A</v>
      </c>
      <c r="I12" s="44" t="e">
        <f t="shared" si="0"/>
        <v>#N/A</v>
      </c>
      <c r="J12" s="135"/>
      <c r="K12" s="135"/>
      <c r="L12" s="135"/>
      <c r="M12" s="135"/>
      <c r="N12" s="18"/>
      <c r="O12" s="18"/>
      <c r="P12" s="18"/>
    </row>
    <row r="13" spans="6:20" ht="30.75" customHeight="1" x14ac:dyDescent="0.25">
      <c r="F13" s="64" t="e">
        <f>VLOOKUP('CL CARD-24'!$L$4,'Leave Report 2024'!$A$4:$I$60,7,0)</f>
        <v>#N/A</v>
      </c>
      <c r="G13" s="64" t="e">
        <f>VLOOKUP('CL CARD-24'!$L$4,'Leave Report 2024'!$A$4:$I$60,8,0)</f>
        <v>#N/A</v>
      </c>
      <c r="H13" s="56" t="e">
        <f>VLOOKUP('CL CARD-24'!$L$4,'Leave Report 2024'!$A$4:$I$60,9,0)</f>
        <v>#N/A</v>
      </c>
      <c r="I13" s="44" t="e">
        <f t="shared" si="0"/>
        <v>#N/A</v>
      </c>
      <c r="J13" s="135"/>
      <c r="K13" s="135"/>
      <c r="L13" s="135"/>
      <c r="M13" s="135"/>
      <c r="N13" s="18"/>
      <c r="O13" s="18"/>
      <c r="P13" s="18"/>
    </row>
    <row r="14" spans="6:20" ht="30.75" customHeight="1" x14ac:dyDescent="0.25">
      <c r="F14" s="64" t="e">
        <f>VLOOKUP('CL CARD-24'!$L$4,'Leave Report 2024'!$A$4:$I$60,7,0)</f>
        <v>#N/A</v>
      </c>
      <c r="G14" s="64" t="e">
        <f>VLOOKUP('CL CARD-24'!$L$4,'Leave Report 2024'!$A$4:$I$60,8,0)</f>
        <v>#N/A</v>
      </c>
      <c r="H14" s="56" t="e">
        <f>VLOOKUP('CL CARD-24'!$L$4,'Leave Report 2024'!$A$4:$I$60,9,0)</f>
        <v>#N/A</v>
      </c>
      <c r="I14" s="44" t="e">
        <f t="shared" si="0"/>
        <v>#N/A</v>
      </c>
      <c r="J14" s="135"/>
      <c r="K14" s="135"/>
      <c r="L14" s="135"/>
      <c r="M14" s="135"/>
      <c r="N14" s="18"/>
      <c r="O14" s="18"/>
      <c r="P14" s="18"/>
    </row>
    <row r="15" spans="6:20" ht="30.75" customHeight="1" x14ac:dyDescent="0.25">
      <c r="F15" s="64" t="e">
        <f>VLOOKUP('CL CARD-24'!$L$4,'Leave Report 2024'!$A$4:$I$60,7,0)</f>
        <v>#N/A</v>
      </c>
      <c r="G15" s="64" t="e">
        <f>VLOOKUP('CL CARD-24'!$L$4,'Leave Report 2024'!$A$4:$I$60,8,0)</f>
        <v>#N/A</v>
      </c>
      <c r="H15" s="56" t="e">
        <f>VLOOKUP('CL CARD-24'!$L$4,'Leave Report 2024'!$A$4:$I$60,9,0)</f>
        <v>#N/A</v>
      </c>
      <c r="I15" s="44" t="e">
        <f t="shared" si="0"/>
        <v>#N/A</v>
      </c>
      <c r="J15" s="135"/>
      <c r="K15" s="135"/>
      <c r="L15" s="135"/>
      <c r="M15" s="135"/>
      <c r="N15" s="18"/>
      <c r="O15" s="18"/>
      <c r="P15" s="18"/>
      <c r="T15" s="95"/>
    </row>
    <row r="16" spans="6:20" ht="30.75" customHeight="1" x14ac:dyDescent="0.25">
      <c r="F16" s="64" t="e">
        <f>VLOOKUP('CL CARD-24'!$L$4,'Leave Report 2024'!$A$4:$I$60,7,0)</f>
        <v>#N/A</v>
      </c>
      <c r="G16" s="64" t="e">
        <f>VLOOKUP('CL CARD-24'!$L$4,'Leave Report 2024'!$A$4:$I$60,8,0)</f>
        <v>#N/A</v>
      </c>
      <c r="H16" s="56" t="e">
        <f>VLOOKUP('CL CARD-24'!$L$4,'Leave Report 2024'!$A$4:$I$60,9,0)</f>
        <v>#N/A</v>
      </c>
      <c r="I16" s="44" t="e">
        <f t="shared" si="0"/>
        <v>#N/A</v>
      </c>
      <c r="J16" s="135"/>
      <c r="K16" s="135"/>
      <c r="L16" s="135"/>
      <c r="M16" s="135"/>
      <c r="N16" s="18"/>
      <c r="O16" s="18"/>
      <c r="P16" s="18"/>
    </row>
    <row r="17" spans="6:16" ht="30.75" customHeight="1" x14ac:dyDescent="0.25">
      <c r="F17" s="19"/>
      <c r="G17" s="18"/>
      <c r="H17" s="18"/>
      <c r="I17" s="26"/>
      <c r="J17" s="136"/>
      <c r="K17" s="137"/>
      <c r="L17" s="137"/>
      <c r="M17" s="138"/>
      <c r="N17" s="18"/>
      <c r="O17" s="18"/>
      <c r="P17" s="20"/>
    </row>
    <row r="18" spans="6:16" ht="30.75" customHeight="1" x14ac:dyDescent="0.25">
      <c r="F18" s="19"/>
      <c r="G18" s="18"/>
      <c r="H18" s="18"/>
      <c r="I18" s="26"/>
      <c r="J18" s="136"/>
      <c r="K18" s="137"/>
      <c r="L18" s="137"/>
      <c r="M18" s="138"/>
      <c r="N18" s="18"/>
      <c r="O18" s="18"/>
      <c r="P18" s="20"/>
    </row>
    <row r="19" spans="6:16" ht="30.75" customHeight="1" x14ac:dyDescent="0.25">
      <c r="F19" s="19"/>
      <c r="G19" s="18"/>
      <c r="H19" s="18"/>
      <c r="I19" s="26"/>
      <c r="J19" s="136"/>
      <c r="K19" s="137"/>
      <c r="L19" s="137"/>
      <c r="M19" s="138"/>
      <c r="N19" s="18"/>
      <c r="O19" s="18"/>
      <c r="P19" s="20"/>
    </row>
    <row r="20" spans="6:16" ht="30.75" customHeight="1" x14ac:dyDescent="0.25">
      <c r="F20" s="19"/>
      <c r="G20" s="18"/>
      <c r="H20" s="18"/>
      <c r="I20" s="26"/>
      <c r="J20" s="136"/>
      <c r="K20" s="137"/>
      <c r="L20" s="137"/>
      <c r="M20" s="138"/>
      <c r="N20" s="18"/>
      <c r="O20" s="18"/>
      <c r="P20" s="20"/>
    </row>
    <row r="21" spans="6:16" ht="30.75" customHeight="1" x14ac:dyDescent="0.25">
      <c r="F21" s="19"/>
      <c r="G21" s="18"/>
      <c r="H21" s="18"/>
      <c r="I21" s="26"/>
      <c r="J21" s="136"/>
      <c r="K21" s="137"/>
      <c r="L21" s="137"/>
      <c r="M21" s="138"/>
      <c r="N21" s="18"/>
      <c r="O21" s="18"/>
      <c r="P21" s="20"/>
    </row>
    <row r="22" spans="6:16" ht="30.75" customHeight="1" x14ac:dyDescent="0.25">
      <c r="F22" s="19"/>
      <c r="G22" s="18"/>
      <c r="H22" s="18"/>
      <c r="I22" s="26"/>
      <c r="J22" s="136"/>
      <c r="K22" s="137"/>
      <c r="L22" s="137"/>
      <c r="M22" s="138"/>
      <c r="N22" s="18"/>
      <c r="O22" s="18"/>
      <c r="P22" s="20"/>
    </row>
    <row r="23" spans="6:16" ht="30.75" customHeight="1" x14ac:dyDescent="0.25">
      <c r="F23" s="19"/>
      <c r="G23" s="18"/>
      <c r="H23" s="18"/>
      <c r="I23" s="26"/>
      <c r="J23" s="136"/>
      <c r="K23" s="137"/>
      <c r="L23" s="137"/>
      <c r="M23" s="138"/>
      <c r="N23" s="18"/>
      <c r="O23" s="18"/>
      <c r="P23" s="20"/>
    </row>
    <row r="24" spans="6:16" ht="30.75" customHeight="1" x14ac:dyDescent="0.25">
      <c r="F24" s="19"/>
      <c r="G24" s="18"/>
      <c r="H24" s="18"/>
      <c r="I24" s="26"/>
      <c r="J24" s="136"/>
      <c r="K24" s="137"/>
      <c r="L24" s="137"/>
      <c r="M24" s="138"/>
      <c r="N24" s="18"/>
      <c r="O24" s="18"/>
      <c r="P24" s="20"/>
    </row>
    <row r="25" spans="6:16" ht="30.75" customHeight="1" x14ac:dyDescent="0.25">
      <c r="F25" s="19"/>
      <c r="G25" s="18"/>
      <c r="H25" s="18"/>
      <c r="I25" s="26"/>
      <c r="J25" s="136"/>
      <c r="K25" s="137"/>
      <c r="L25" s="137"/>
      <c r="M25" s="138"/>
      <c r="N25" s="18"/>
      <c r="O25" s="18"/>
      <c r="P25" s="20"/>
    </row>
    <row r="26" spans="6:16" ht="30.75" customHeight="1" x14ac:dyDescent="0.25">
      <c r="F26" s="19"/>
      <c r="G26" s="18"/>
      <c r="H26" s="18"/>
      <c r="I26" s="26"/>
      <c r="J26" s="136"/>
      <c r="K26" s="137"/>
      <c r="L26" s="137"/>
      <c r="M26" s="138"/>
      <c r="N26" s="18"/>
      <c r="O26" s="18"/>
      <c r="P26" s="20"/>
    </row>
    <row r="27" spans="6:16" ht="30.75" customHeight="1" thickBot="1" x14ac:dyDescent="0.3">
      <c r="F27" s="21"/>
      <c r="G27" s="22"/>
      <c r="H27" s="22"/>
      <c r="I27" s="38">
        <v>2</v>
      </c>
      <c r="J27" s="142"/>
      <c r="K27" s="143"/>
      <c r="L27" s="143"/>
      <c r="M27" s="144"/>
      <c r="N27" s="22"/>
      <c r="O27" s="22"/>
      <c r="P27" s="23"/>
    </row>
    <row r="28" spans="6:16" ht="30.75" customHeight="1" thickBot="1" x14ac:dyDescent="0.3">
      <c r="F28" s="140" t="s">
        <v>27</v>
      </c>
      <c r="G28" s="140"/>
      <c r="H28" s="140"/>
      <c r="I28" s="140"/>
      <c r="J28" s="140"/>
      <c r="K28" s="140"/>
      <c r="L28" s="140"/>
      <c r="M28" s="140"/>
      <c r="N28" s="140"/>
      <c r="O28" s="140"/>
      <c r="P28" s="140"/>
    </row>
    <row r="29" spans="6:16" ht="30.75" customHeight="1" x14ac:dyDescent="0.25">
      <c r="F29" s="32"/>
      <c r="G29" s="28"/>
      <c r="H29" s="28"/>
      <c r="I29" s="40">
        <f>SUM(I27-H29)</f>
        <v>2</v>
      </c>
      <c r="J29" s="27"/>
      <c r="K29" s="27"/>
      <c r="L29" s="27"/>
      <c r="M29" s="27"/>
      <c r="N29" s="27"/>
      <c r="O29" s="27"/>
      <c r="P29" s="33"/>
    </row>
    <row r="30" spans="6:16" ht="30.75" customHeight="1" x14ac:dyDescent="0.25">
      <c r="F30" s="34"/>
      <c r="G30" s="29"/>
      <c r="H30" s="29"/>
      <c r="I30" s="41">
        <f>SUM(I29-H30)</f>
        <v>2</v>
      </c>
      <c r="J30" s="17"/>
      <c r="K30" s="17"/>
      <c r="L30" s="17"/>
      <c r="M30" s="17"/>
      <c r="N30" s="17"/>
      <c r="O30" s="17"/>
      <c r="P30" s="35"/>
    </row>
    <row r="31" spans="6:16" ht="30.75" customHeight="1" x14ac:dyDescent="0.25">
      <c r="F31" s="34"/>
      <c r="G31" s="29"/>
      <c r="H31" s="29"/>
      <c r="I31" s="29"/>
      <c r="J31" s="17"/>
      <c r="K31" s="17"/>
      <c r="L31" s="17"/>
      <c r="M31" s="17"/>
      <c r="N31" s="17"/>
      <c r="O31" s="17"/>
      <c r="P31" s="35"/>
    </row>
    <row r="32" spans="6:16" ht="30.75" customHeight="1" x14ac:dyDescent="0.25">
      <c r="F32" s="34"/>
      <c r="G32" s="29"/>
      <c r="H32" s="29"/>
      <c r="I32" s="29"/>
      <c r="J32" s="17"/>
      <c r="K32" s="17"/>
      <c r="L32" s="17"/>
      <c r="M32" s="17"/>
      <c r="N32" s="17"/>
      <c r="O32" s="17"/>
      <c r="P32" s="35"/>
    </row>
    <row r="33" spans="6:16" ht="30.75" customHeight="1" x14ac:dyDescent="0.25">
      <c r="F33" s="34"/>
      <c r="G33" s="29"/>
      <c r="H33" s="29"/>
      <c r="I33" s="29"/>
      <c r="J33" s="17"/>
      <c r="K33" s="17"/>
      <c r="L33" s="17"/>
      <c r="M33" s="17"/>
      <c r="N33" s="17"/>
      <c r="O33" s="17"/>
      <c r="P33" s="35"/>
    </row>
    <row r="34" spans="6:16" ht="30.75" customHeight="1" thickBot="1" x14ac:dyDescent="0.3">
      <c r="F34" s="36"/>
      <c r="G34" s="31"/>
      <c r="H34" s="31"/>
      <c r="I34" s="31"/>
      <c r="J34" s="30"/>
      <c r="K34" s="30"/>
      <c r="L34" s="30"/>
      <c r="M34" s="30"/>
      <c r="N34" s="30"/>
      <c r="O34" s="30"/>
      <c r="P34" s="37"/>
    </row>
    <row r="35" spans="6:16" ht="21.75" customHeight="1" x14ac:dyDescent="0.3">
      <c r="F35" s="141" t="s">
        <v>28</v>
      </c>
      <c r="G35" s="141"/>
      <c r="H35" s="141"/>
      <c r="I35" s="141"/>
      <c r="J35" s="141"/>
      <c r="K35" s="141"/>
      <c r="L35" s="141"/>
      <c r="M35" s="141"/>
      <c r="N35" s="141"/>
      <c r="O35" s="141"/>
      <c r="P35" s="141"/>
    </row>
    <row r="36" spans="6:16" ht="24" customHeight="1" x14ac:dyDescent="0.25">
      <c r="G36" s="145" t="s">
        <v>29</v>
      </c>
      <c r="H36" s="145"/>
      <c r="I36" s="145"/>
      <c r="J36" s="145"/>
      <c r="K36" s="145"/>
      <c r="L36" s="145"/>
      <c r="M36" s="145"/>
      <c r="N36" s="145"/>
      <c r="O36" s="145"/>
      <c r="P36" s="145"/>
    </row>
    <row r="37" spans="6:16" ht="24" customHeight="1" x14ac:dyDescent="0.25">
      <c r="G37" s="145" t="s">
        <v>30</v>
      </c>
      <c r="H37" s="145"/>
      <c r="I37" s="145"/>
      <c r="J37" s="145"/>
      <c r="K37" s="145"/>
      <c r="L37" s="145"/>
      <c r="M37" s="145"/>
      <c r="N37" s="145"/>
      <c r="O37" s="145"/>
      <c r="P37" s="145"/>
    </row>
    <row r="38" spans="6:16" ht="24" customHeight="1" x14ac:dyDescent="0.25">
      <c r="G38" s="145" t="s">
        <v>31</v>
      </c>
      <c r="H38" s="145"/>
      <c r="I38" s="145"/>
      <c r="J38" s="145"/>
      <c r="K38" s="145"/>
      <c r="L38" s="145"/>
      <c r="M38" s="145"/>
      <c r="N38" s="145"/>
      <c r="O38" s="145"/>
      <c r="P38" s="145"/>
    </row>
    <row r="39" spans="6:16" x14ac:dyDescent="0.25">
      <c r="N39" s="139" t="s">
        <v>32</v>
      </c>
      <c r="O39" s="139"/>
      <c r="P39" s="139"/>
    </row>
    <row r="40" spans="6:16" x14ac:dyDescent="0.25">
      <c r="N40" s="139"/>
      <c r="O40" s="139"/>
      <c r="P40" s="139"/>
    </row>
    <row r="41" spans="6:16" x14ac:dyDescent="0.25">
      <c r="N41" s="139"/>
      <c r="O41" s="139"/>
      <c r="P41" s="139"/>
    </row>
    <row r="42" spans="6:16" x14ac:dyDescent="0.25">
      <c r="N42" s="139"/>
      <c r="O42" s="139"/>
      <c r="P42" s="139"/>
    </row>
    <row r="43" spans="6:16" x14ac:dyDescent="0.25">
      <c r="N43" s="139"/>
      <c r="O43" s="139"/>
      <c r="P43" s="139"/>
    </row>
  </sheetData>
  <mergeCells count="38">
    <mergeCell ref="N39:P43"/>
    <mergeCell ref="F28:P28"/>
    <mergeCell ref="F35:P35"/>
    <mergeCell ref="J26:M26"/>
    <mergeCell ref="J27:M27"/>
    <mergeCell ref="G36:P36"/>
    <mergeCell ref="G37:P37"/>
    <mergeCell ref="G38:P38"/>
    <mergeCell ref="J21:M21"/>
    <mergeCell ref="J22:M22"/>
    <mergeCell ref="J23:M23"/>
    <mergeCell ref="J24:M24"/>
    <mergeCell ref="J25:M25"/>
    <mergeCell ref="J16:M16"/>
    <mergeCell ref="J17:M17"/>
    <mergeCell ref="J18:M18"/>
    <mergeCell ref="J19:M19"/>
    <mergeCell ref="J20:M20"/>
    <mergeCell ref="J11:M11"/>
    <mergeCell ref="J12:M12"/>
    <mergeCell ref="J13:M13"/>
    <mergeCell ref="J14:M14"/>
    <mergeCell ref="J15:M15"/>
    <mergeCell ref="T9:T10"/>
    <mergeCell ref="F1:P1"/>
    <mergeCell ref="F2:P2"/>
    <mergeCell ref="F3:P3"/>
    <mergeCell ref="O6:O7"/>
    <mergeCell ref="P6:P7"/>
    <mergeCell ref="F5:P5"/>
    <mergeCell ref="I4:J4"/>
    <mergeCell ref="F6:G6"/>
    <mergeCell ref="J6:M7"/>
    <mergeCell ref="H6:H7"/>
    <mergeCell ref="N6:N7"/>
    <mergeCell ref="J8:M8"/>
    <mergeCell ref="J9:M9"/>
    <mergeCell ref="J10:M10"/>
  </mergeCells>
  <printOptions horizontalCentered="1"/>
  <pageMargins left="0.11811023622047245" right="0.11811023622047245" top="0.15748031496062992" bottom="0.15748031496062992" header="0.31496062992125984" footer="0.31496062992125984"/>
  <pageSetup paperSize="9" scale="70" orientation="portrait" verticalDpi="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'Master Sheet 2024'!$C$4:$C$17</xm:f>
          </x14:formula1>
          <xm:sqref>T9:T10</xm:sqref>
        </x14:dataValidation>
        <x14:dataValidation type="list" allowBlank="1" showInputMessage="1" showErrorMessage="1" xr:uid="{AE6A7789-A43D-44E4-AC34-770B715A550F}">
          <x14:formula1>
            <xm:f>'Master Sheet 2024'!$C$4:$C$125</xm:f>
          </x14:formula1>
          <xm:sqref>L4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Leave Report 2024</vt:lpstr>
      <vt:lpstr>Master Sheet 2024</vt:lpstr>
      <vt:lpstr>CL CARD-24</vt:lpstr>
      <vt:lpstr>'CL CARD-24'!Print_Area</vt:lpstr>
      <vt:lpstr>'Leave Report 2024'!Print_Area</vt:lpstr>
      <vt:lpstr>'Master Sheet 2024'!Print_Area</vt:lpstr>
      <vt:lpstr>'Leave Report 2024'!Print_Titles</vt:lpstr>
      <vt:lpstr>'Master Sheet 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Shambhu</dc:creator>
  <cp:lastModifiedBy>VIVEK AZAD</cp:lastModifiedBy>
  <cp:lastPrinted>2024-10-01T11:02:01Z</cp:lastPrinted>
  <dcterms:created xsi:type="dcterms:W3CDTF">2024-03-14T08:54:46Z</dcterms:created>
  <dcterms:modified xsi:type="dcterms:W3CDTF">2026-07-01T05:43:25Z</dcterms:modified>
</cp:coreProperties>
</file>