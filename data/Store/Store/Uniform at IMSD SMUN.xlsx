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tore and Staff\"/>
    </mc:Choice>
  </mc:AlternateContent>
  <xr:revisionPtr revIDLastSave="0" documentId="13_ncr:1_{1D9D56A2-EC9D-450B-911E-932183A7C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1" r:id="rId1"/>
    <sheet name="1401" sheetId="2" r:id="rId2"/>
    <sheet name="1402" sheetId="3" r:id="rId3"/>
    <sheet name="1403" sheetId="4" r:id="rId4"/>
  </sheets>
  <definedNames>
    <definedName name="_xlnm.Print_Area" localSheetId="0">INDEX!$A$1:$I$7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" l="1"/>
  <c r="E6" i="1"/>
  <c r="D6" i="1"/>
  <c r="E5" i="1"/>
  <c r="F5" i="1"/>
  <c r="G5" i="1"/>
  <c r="J5" i="1"/>
  <c r="D5" i="1"/>
  <c r="E4" i="1"/>
  <c r="F4" i="1"/>
  <c r="G4" i="1"/>
  <c r="D4" i="1"/>
  <c r="H7" i="2"/>
  <c r="H8" i="2" s="1"/>
  <c r="G6" i="2"/>
  <c r="F6" i="2"/>
  <c r="E6" i="2"/>
  <c r="H6" i="2" s="1"/>
  <c r="H7" i="3"/>
  <c r="H8" i="3" s="1"/>
  <c r="H9" i="3" s="1"/>
  <c r="H10" i="3" s="1"/>
  <c r="G6" i="3"/>
  <c r="F6" i="3"/>
  <c r="E6" i="3"/>
  <c r="H17" i="4"/>
  <c r="H16" i="4"/>
  <c r="H7" i="4"/>
  <c r="H8" i="4" s="1"/>
  <c r="H9" i="4" s="1"/>
  <c r="H10" i="4" s="1"/>
  <c r="H11" i="4" s="1"/>
  <c r="H12" i="4" s="1"/>
  <c r="H13" i="4" s="1"/>
  <c r="H14" i="4" s="1"/>
  <c r="H15" i="4" s="1"/>
  <c r="G6" i="4"/>
  <c r="F6" i="1" s="1"/>
  <c r="F6" i="4"/>
  <c r="E6" i="4"/>
  <c r="H6" i="3" l="1"/>
  <c r="H6" i="4"/>
  <c r="G6" i="1" s="1"/>
</calcChain>
</file>

<file path=xl/sharedStrings.xml><?xml version="1.0" encoding="utf-8"?>
<sst xmlns="http://schemas.openxmlformats.org/spreadsheetml/2006/main" count="139" uniqueCount="77">
  <si>
    <t>f</t>
  </si>
  <si>
    <t>Dedicated Freight Corridor Corporation of  India</t>
  </si>
  <si>
    <t>C &amp; P Items</t>
  </si>
  <si>
    <t>Index</t>
  </si>
  <si>
    <t>Furniture Items</t>
  </si>
  <si>
    <t>Sr.No.</t>
  </si>
  <si>
    <t>Particular</t>
  </si>
  <si>
    <t>Page No.</t>
  </si>
  <si>
    <r>
      <rPr>
        <b/>
        <sz val="16"/>
        <color theme="1"/>
        <rFont val="Kruti Dev 010"/>
      </rPr>
      <t xml:space="preserve">izkfIr 
</t>
    </r>
    <r>
      <rPr>
        <b/>
        <sz val="16"/>
        <color theme="1"/>
        <rFont val="Times New Roman"/>
        <family val="1"/>
      </rPr>
      <t>Receipt</t>
    </r>
  </si>
  <si>
    <r>
      <rPr>
        <b/>
        <sz val="16"/>
        <color theme="1"/>
        <rFont val="Kruti Dev 010"/>
      </rPr>
      <t xml:space="preserve">LFkkukarj.k 
</t>
    </r>
    <r>
      <rPr>
        <b/>
        <sz val="16"/>
        <color theme="1"/>
        <rFont val="Times New Roman"/>
        <family val="1"/>
      </rPr>
      <t>Transfer</t>
    </r>
  </si>
  <si>
    <r>
      <rPr>
        <b/>
        <sz val="16"/>
        <color theme="1"/>
        <rFont val="Kruti Dev 010"/>
      </rPr>
      <t xml:space="preserve">fuxZe
</t>
    </r>
    <r>
      <rPr>
        <b/>
        <sz val="16"/>
        <color theme="1"/>
        <rFont val="Times New Roman"/>
        <family val="1"/>
      </rPr>
      <t>Issues</t>
    </r>
  </si>
  <si>
    <r>
      <rPr>
        <b/>
        <sz val="16"/>
        <color theme="1"/>
        <rFont val="Kruti Dev 010"/>
      </rPr>
      <t xml:space="preserve"> 'ks"k</t>
    </r>
    <r>
      <rPr>
        <b/>
        <sz val="16"/>
        <color theme="1"/>
        <rFont val="Times New Roman"/>
        <family val="1"/>
      </rPr>
      <t xml:space="preserve"> 
Balance</t>
    </r>
  </si>
  <si>
    <t>Remarks</t>
  </si>
  <si>
    <t>QR</t>
  </si>
  <si>
    <t>Cash Imprest Items</t>
  </si>
  <si>
    <r>
      <t xml:space="preserve">foHkkxh; [kkrk feyku iqLrd
</t>
    </r>
    <r>
      <rPr>
        <b/>
        <sz val="24"/>
        <color theme="1"/>
        <rFont val="Times New Roman"/>
        <family val="1"/>
      </rPr>
      <t>DEPARTMENTAL LEDGER AND TALLY BOOK</t>
    </r>
  </si>
  <si>
    <r>
      <t xml:space="preserve">ewY; lwph@dwV la[;k </t>
    </r>
    <r>
      <rPr>
        <b/>
        <sz val="18"/>
        <color theme="1"/>
        <rFont val="Times New Roman"/>
        <family val="1"/>
      </rPr>
      <t>Price List / Code No.</t>
    </r>
  </si>
  <si>
    <r>
      <t xml:space="preserve">feyku i= la[;k </t>
    </r>
    <r>
      <rPr>
        <sz val="16"/>
        <color theme="1"/>
        <rFont val="Times New Roman"/>
        <family val="1"/>
      </rPr>
      <t>Tally Code No.</t>
    </r>
  </si>
  <si>
    <r>
      <t xml:space="preserve">;wfuV </t>
    </r>
    <r>
      <rPr>
        <sz val="16"/>
        <color theme="1"/>
        <rFont val="Times New Roman"/>
        <family val="1"/>
      </rPr>
      <t>Unit</t>
    </r>
  </si>
  <si>
    <r>
      <t xml:space="preserve">oLrq dk fooj.k </t>
    </r>
    <r>
      <rPr>
        <b/>
        <sz val="18"/>
        <color theme="1"/>
        <rFont val="Times New Roman"/>
        <family val="1"/>
      </rPr>
      <t>Description of the Article</t>
    </r>
  </si>
  <si>
    <t xml:space="preserve">Rain Suit </t>
  </si>
  <si>
    <r>
      <t xml:space="preserve">ys[kk dk;kZy; i`"B la[;k </t>
    </r>
    <r>
      <rPr>
        <sz val="16"/>
        <color theme="1"/>
        <rFont val="Times New Roman"/>
        <family val="1"/>
      </rPr>
      <t>Accounts Office File No.</t>
    </r>
  </si>
  <si>
    <r>
      <rPr>
        <b/>
        <sz val="14"/>
        <color theme="1"/>
        <rFont val="Kruti Dev 010"/>
      </rPr>
      <t xml:space="preserve">ekg vkSj rkjh[k
</t>
    </r>
    <r>
      <rPr>
        <b/>
        <sz val="14"/>
        <color theme="1"/>
        <rFont val="Times New Roman"/>
        <family val="1"/>
      </rPr>
      <t>Month  and Date</t>
    </r>
  </si>
  <si>
    <r>
      <t xml:space="preserve">izkfIr ;k fuxZe okmpj la[;k vkSj rkjh[k
</t>
    </r>
    <r>
      <rPr>
        <b/>
        <sz val="14"/>
        <color theme="1"/>
        <rFont val="Times New Roman"/>
        <family val="1"/>
      </rPr>
      <t>No. and Date of Receiot or issue Voucher</t>
    </r>
  </si>
  <si>
    <r>
      <rPr>
        <b/>
        <sz val="14"/>
        <color theme="1"/>
        <rFont val="Kruti Dev 010"/>
      </rPr>
      <t xml:space="preserve">fdlls izkIr gqvk ;k fdls tkjh fd;k
</t>
    </r>
    <r>
      <rPr>
        <b/>
        <sz val="14"/>
        <color theme="1"/>
        <rFont val="Times New Roman"/>
        <family val="1"/>
      </rPr>
      <t>From Whom received or to whom issued</t>
    </r>
  </si>
  <si>
    <r>
      <rPr>
        <b/>
        <sz val="14"/>
        <color theme="1"/>
        <rFont val="Kruti Dev 010"/>
      </rPr>
      <t xml:space="preserve">izkfIr ;k fuxZe dk mn~ns';
</t>
    </r>
    <r>
      <rPr>
        <b/>
        <sz val="14"/>
        <color theme="1"/>
        <rFont val="Times New Roman"/>
        <family val="1"/>
      </rPr>
      <t>Purpose for which received or issue</t>
    </r>
  </si>
  <si>
    <r>
      <rPr>
        <b/>
        <sz val="14"/>
        <color theme="1"/>
        <rFont val="Kruti Dev 010"/>
      </rPr>
      <t xml:space="preserve">izkfIr 
</t>
    </r>
    <r>
      <rPr>
        <b/>
        <sz val="14"/>
        <color theme="1"/>
        <rFont val="Times New Roman"/>
        <family val="1"/>
      </rPr>
      <t>Receipt</t>
    </r>
  </si>
  <si>
    <r>
      <rPr>
        <b/>
        <sz val="14"/>
        <color theme="1"/>
        <rFont val="Kruti Dev 010"/>
      </rPr>
      <t xml:space="preserve">LFkkukarj.k 
</t>
    </r>
    <r>
      <rPr>
        <b/>
        <sz val="14"/>
        <color theme="1"/>
        <rFont val="Times New Roman"/>
        <family val="1"/>
      </rPr>
      <t>Transfer</t>
    </r>
  </si>
  <si>
    <r>
      <rPr>
        <b/>
        <sz val="14"/>
        <color theme="1"/>
        <rFont val="Kruti Dev 010"/>
      </rPr>
      <t xml:space="preserve">fuxZe
</t>
    </r>
    <r>
      <rPr>
        <b/>
        <sz val="14"/>
        <color theme="1"/>
        <rFont val="Times New Roman"/>
        <family val="1"/>
      </rPr>
      <t>Issues</t>
    </r>
  </si>
  <si>
    <r>
      <rPr>
        <b/>
        <sz val="14"/>
        <color theme="1"/>
        <rFont val="Kruti Dev 010"/>
      </rPr>
      <t xml:space="preserve"> 'ks"k</t>
    </r>
    <r>
      <rPr>
        <b/>
        <sz val="14"/>
        <color theme="1"/>
        <rFont val="Times New Roman"/>
        <family val="1"/>
      </rPr>
      <t xml:space="preserve"> 
Balance</t>
    </r>
  </si>
  <si>
    <r>
      <rPr>
        <b/>
        <sz val="14"/>
        <color theme="1"/>
        <rFont val="Kruti Dev 010"/>
      </rPr>
      <t xml:space="preserve">vk|{kj
</t>
    </r>
    <r>
      <rPr>
        <b/>
        <sz val="14"/>
        <color theme="1"/>
        <rFont val="Times New Roman"/>
        <family val="1"/>
      </rPr>
      <t>Signature</t>
    </r>
  </si>
  <si>
    <r>
      <t xml:space="preserve">ux </t>
    </r>
    <r>
      <rPr>
        <b/>
        <sz val="14"/>
        <color theme="1"/>
        <rFont val="Times New Roman"/>
        <family val="1"/>
      </rPr>
      <t xml:space="preserve">No. 
</t>
    </r>
    <r>
      <rPr>
        <b/>
        <sz val="14"/>
        <color theme="1"/>
        <rFont val="Kruti Dev 010"/>
      </rPr>
      <t xml:space="preserve">Vu </t>
    </r>
    <r>
      <rPr>
        <b/>
        <sz val="14"/>
        <color theme="1"/>
        <rFont val="Times New Roman"/>
        <family val="1"/>
      </rPr>
      <t xml:space="preserve">Tonnes
</t>
    </r>
    <r>
      <rPr>
        <b/>
        <sz val="14"/>
        <color theme="1"/>
        <rFont val="Kruti Dev 010"/>
      </rPr>
      <t xml:space="preserve"> fd-xzk-</t>
    </r>
    <r>
      <rPr>
        <b/>
        <sz val="14"/>
        <color theme="1"/>
        <rFont val="Times New Roman"/>
        <family val="1"/>
      </rPr>
      <t>Kgs.</t>
    </r>
  </si>
  <si>
    <t>17/03/2024</t>
  </si>
  <si>
    <t>167 Dated 16.03.2024</t>
  </si>
  <si>
    <t>M.S Traders &amp; Enginers</t>
  </si>
  <si>
    <t xml:space="preserve">For track Maintence &amp; Related works </t>
  </si>
  <si>
    <t>28/05/2024</t>
  </si>
  <si>
    <t>167 Date 16.03.2024 M.S Treades &amp; engg</t>
  </si>
  <si>
    <t>Exce/ CIVILl-1/ JUDN Abhishek Sharma</t>
  </si>
  <si>
    <t>Issued to IMSD  JUDN</t>
  </si>
  <si>
    <t>26/06/2024</t>
  </si>
  <si>
    <t xml:space="preserve">Sr. Exe/CIVILl/ Knnn Surendera kumar </t>
  </si>
  <si>
    <t xml:space="preserve">For CHAN. NSIR </t>
  </si>
  <si>
    <t xml:space="preserve">003/24-25 Dray Associates </t>
  </si>
  <si>
    <t>Dray Associates</t>
  </si>
  <si>
    <t>1205/ GP/DFC/ AMBALA Date: 09.07.2024</t>
  </si>
  <si>
    <t>Sr. Exe/CIVILl/UMB Inderjeet Singh</t>
  </si>
  <si>
    <t>Sr. exe/CIVILl</t>
  </si>
  <si>
    <t>DCL 2 Dated 10.07.2024</t>
  </si>
  <si>
    <t xml:space="preserve">For Track maintence Related works </t>
  </si>
  <si>
    <t xml:space="preserve">GP/DFC/ Ambala  Sr. No. 1206 </t>
  </si>
  <si>
    <t>JPM/OPDB/UMB Avinesh Thakr</t>
  </si>
  <si>
    <t>15/07/2024</t>
  </si>
  <si>
    <t>GP/DFC/ Ambala  Sr. No. 1207</t>
  </si>
  <si>
    <t>GP/DFC/ Ambala  Sr. No. 1208</t>
  </si>
  <si>
    <t>Sr. exe/ engg / SMUN</t>
  </si>
  <si>
    <t>For Track work</t>
  </si>
  <si>
    <t>Staff Use</t>
  </si>
  <si>
    <t>SMUN Staff Use</t>
  </si>
  <si>
    <t>Cold weather Patrolman</t>
  </si>
  <si>
    <t>DC/02 dt. 10.07.2024</t>
  </si>
  <si>
    <t>Pary Associates</t>
  </si>
  <si>
    <t xml:space="preserve">officer </t>
  </si>
  <si>
    <t>As per Sheet page no 228</t>
  </si>
  <si>
    <t>As per Sheet page no 229</t>
  </si>
  <si>
    <t>GP/DFC/Ambala Sr.No.1166</t>
  </si>
  <si>
    <t>197/ dt. 29.06.224</t>
  </si>
  <si>
    <t>M.S. Traders &amp;eng.</t>
  </si>
  <si>
    <t>GP/DFC/Ambala Sr.No.1215 dt. 10.08.2024</t>
  </si>
  <si>
    <t>IMSD/JUDN</t>
  </si>
  <si>
    <t>Safety Shoe</t>
  </si>
  <si>
    <t xml:space="preserve">Rain Coat Officer </t>
  </si>
  <si>
    <t>Rain Suit officer</t>
  </si>
  <si>
    <t>Rain Coat Staff</t>
  </si>
  <si>
    <t>nos</t>
  </si>
  <si>
    <t>GP/26/000116 dt 13.08.2026</t>
  </si>
  <si>
    <t>Keyman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</si>
</sst>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 x14ac:knownFonts="1"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Stencil"/>
      <family val="5"/>
    </font>
    <font>
      <b/>
      <sz val="18"/>
      <color theme="1"/>
      <name val="Times New Roman"/>
      <family val="1"/>
    </font>
    <font>
      <b/>
      <sz val="16"/>
      <color theme="1"/>
      <name val="Kruti Dev 010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4"/>
      <color theme="1"/>
      <name val="Kruti Dev 010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Kruti Dev 010"/>
    </font>
    <font>
      <b/>
      <u/>
      <sz val="16"/>
      <color rgb="FFFF0000"/>
      <name val="Kruti Dev 010"/>
    </font>
    <font>
      <b/>
      <u/>
      <sz val="18"/>
      <color rgb="FFFF0000"/>
      <name val="Kruti Dev 010"/>
    </font>
    <font>
      <u/>
      <sz val="16"/>
      <color theme="1"/>
      <name val="Times New Roman"/>
      <family val="1"/>
    </font>
    <font>
      <u/>
      <sz val="16"/>
      <color rgb="FFFF0000"/>
      <name val="Times New Roman"/>
      <family val="1"/>
    </font>
    <font>
      <b/>
      <sz val="18"/>
      <color rgb="FFFF0000"/>
      <name val="Kruti Dev 010"/>
    </font>
    <font>
      <b/>
      <sz val="14"/>
      <color theme="1"/>
      <name val="Times New Roman"/>
      <family val="1"/>
    </font>
    <font>
      <b/>
      <sz val="14"/>
      <color theme="1"/>
      <name val="Kruti Dev 010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center" vertical="center"/>
    </xf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/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7" fillId="7" borderId="0" xfId="0" applyFont="1" applyFill="1"/>
    <xf numFmtId="0" fontId="10" fillId="0" borderId="0" xfId="0" applyFont="1"/>
    <xf numFmtId="0" fontId="12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10" fillId="7" borderId="0" xfId="0" applyFont="1" applyFill="1"/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NDEX!B4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NDEX!B5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NDEX!B6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47626</xdr:colOff>
      <xdr:row>0</xdr:row>
      <xdr:rowOff>609601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4042819-F2A6-4F17-974E-ABE3FE6EF6D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7810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491C491-1EAA-406E-B6CB-77C95087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B27A70-E038-419B-886B-FA5F702DC65C}"/>
            </a:ext>
          </a:extLst>
        </xdr:cNvPr>
        <xdr:cNvSpPr/>
      </xdr:nvSpPr>
      <xdr:spPr>
        <a:xfrm>
          <a:off x="1564957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197FB2F-0797-406B-A21F-CED8D10D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1E0C17-6840-4E3B-A975-C8250EF81561}"/>
            </a:ext>
          </a:extLst>
        </xdr:cNvPr>
        <xdr:cNvSpPr/>
      </xdr:nvSpPr>
      <xdr:spPr>
        <a:xfrm>
          <a:off x="1564957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901F0E4-8726-43E8-B085-B28E8332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58057B-3432-45B9-B0DA-0DB598B48D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Normal="100" workbookViewId="0">
      <selection activeCell="B11" sqref="B11"/>
    </sheetView>
  </sheetViews>
  <sheetFormatPr defaultRowHeight="15" x14ac:dyDescent="0.25"/>
  <cols>
    <col min="1" max="1" width="11" customWidth="1"/>
    <col min="2" max="2" width="71" customWidth="1"/>
    <col min="3" max="3" width="14.85546875" customWidth="1"/>
    <col min="4" max="4" width="17" customWidth="1"/>
    <col min="5" max="5" width="13.85546875" customWidth="1"/>
    <col min="6" max="6" width="14.28515625" customWidth="1"/>
    <col min="7" max="7" width="12.42578125" customWidth="1"/>
    <col min="8" max="9" width="16.5703125" customWidth="1"/>
    <col min="10" max="10" width="0" hidden="1" customWidth="1"/>
    <col min="12" max="12" width="28.85546875" customWidth="1"/>
  </cols>
  <sheetData>
    <row r="1" spans="1:12" ht="50.1" customHeight="1" x14ac:dyDescent="0.25">
      <c r="A1" s="1" t="s">
        <v>0</v>
      </c>
      <c r="B1" s="40" t="s">
        <v>1</v>
      </c>
      <c r="C1" s="40"/>
      <c r="D1" s="40"/>
      <c r="E1" s="40"/>
      <c r="F1" s="40"/>
      <c r="G1" s="40"/>
      <c r="H1" s="40"/>
      <c r="I1" s="2"/>
      <c r="L1" s="3" t="s">
        <v>2</v>
      </c>
    </row>
    <row r="2" spans="1:12" ht="26.25" x14ac:dyDescent="0.25">
      <c r="A2" s="41" t="s">
        <v>3</v>
      </c>
      <c r="B2" s="41"/>
      <c r="C2" s="41"/>
      <c r="D2" s="41"/>
      <c r="E2" s="41"/>
      <c r="F2" s="41"/>
      <c r="G2" s="41"/>
      <c r="H2" s="41"/>
      <c r="I2" s="4"/>
      <c r="L2" s="5" t="s">
        <v>4</v>
      </c>
    </row>
    <row r="3" spans="1:12" ht="39.950000000000003" customHeight="1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7" t="s">
        <v>13</v>
      </c>
      <c r="L3" s="8" t="s">
        <v>14</v>
      </c>
    </row>
    <row r="4" spans="1:12" ht="20.25" x14ac:dyDescent="0.25">
      <c r="A4" s="9">
        <v>1</v>
      </c>
      <c r="B4" s="9" t="s">
        <v>70</v>
      </c>
      <c r="C4" s="9">
        <v>1401</v>
      </c>
      <c r="D4" s="10">
        <f>'1401'!E6</f>
        <v>150</v>
      </c>
      <c r="E4" s="10">
        <f>'1401'!F6</f>
        <v>0</v>
      </c>
      <c r="F4" s="10">
        <f>'1401'!G6</f>
        <v>75</v>
      </c>
      <c r="G4" s="10">
        <f>'1401'!H6</f>
        <v>75</v>
      </c>
      <c r="H4" s="10" t="s">
        <v>74</v>
      </c>
      <c r="I4" s="9"/>
    </row>
    <row r="5" spans="1:12" ht="20.25" x14ac:dyDescent="0.25">
      <c r="A5" s="9">
        <v>2</v>
      </c>
      <c r="B5" s="9" t="s">
        <v>71</v>
      </c>
      <c r="C5" s="9">
        <v>1402</v>
      </c>
      <c r="D5" s="10">
        <f>'1402'!E6</f>
        <v>55</v>
      </c>
      <c r="E5" s="10">
        <f>'1402'!F6</f>
        <v>0</v>
      </c>
      <c r="F5" s="10">
        <f>'1402'!G6</f>
        <v>26</v>
      </c>
      <c r="G5" s="10">
        <f>'1402'!H6</f>
        <v>29</v>
      </c>
      <c r="H5" s="10" t="s">
        <v>74</v>
      </c>
      <c r="I5" s="10"/>
      <c r="J5" s="10">
        <f>'1402'!K6</f>
        <v>0</v>
      </c>
    </row>
    <row r="6" spans="1:12" ht="20.25" x14ac:dyDescent="0.25">
      <c r="A6" s="9">
        <v>3</v>
      </c>
      <c r="B6" s="9" t="s">
        <v>73</v>
      </c>
      <c r="C6" s="9">
        <v>1403</v>
      </c>
      <c r="D6" s="10">
        <f>'1403'!E6</f>
        <v>350</v>
      </c>
      <c r="E6" s="10">
        <f>'1403'!F6</f>
        <v>0</v>
      </c>
      <c r="F6" s="10">
        <f>'1403'!G6</f>
        <v>341</v>
      </c>
      <c r="G6" s="10">
        <f>'1403'!H6</f>
        <v>9</v>
      </c>
      <c r="H6" s="10" t="s">
        <v>74</v>
      </c>
      <c r="I6" s="9"/>
    </row>
    <row r="7" spans="1:12" ht="20.25" x14ac:dyDescent="0.25">
      <c r="A7" s="9"/>
      <c r="B7" s="9"/>
      <c r="C7" s="9"/>
      <c r="D7" s="9"/>
      <c r="E7" s="9"/>
      <c r="F7" s="9"/>
      <c r="G7" s="9"/>
      <c r="H7" s="9"/>
      <c r="I7" s="9"/>
    </row>
  </sheetData>
  <mergeCells count="2">
    <mergeCell ref="B1:H1"/>
    <mergeCell ref="A2:H2"/>
  </mergeCells>
  <hyperlinks>
    <hyperlink ref="B4" location="'1401'!A1" display="Safety Shoe" xr:uid="{28D1E767-BBE3-489C-ACCC-57E2B953D94D}"/>
    <hyperlink ref="B5" location="'1402'!A1" display="Rain Coat Officer " xr:uid="{C4177395-FDE3-4358-AD26-2A49E387ED98}"/>
    <hyperlink ref="B6" location="'1403'!A1" display="Rain Coat Staff" xr:uid="{17DBB63A-912D-4B26-9F0D-715B70700154}"/>
  </hyperlinks>
  <pageMargins left="0.7" right="0.7" top="0.75" bottom="0.75" header="0.3" footer="0.3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BEF1-0605-48DB-887D-BCADF07CC2C6}">
  <dimension ref="A1:M23"/>
  <sheetViews>
    <sheetView workbookViewId="0"/>
  </sheetViews>
  <sheetFormatPr defaultRowHeight="30" customHeight="1" x14ac:dyDescent="0.3"/>
  <cols>
    <col min="1" max="1" width="18.42578125" style="34" customWidth="1"/>
    <col min="2" max="2" width="50.7109375" style="35" bestFit="1" customWidth="1"/>
    <col min="3" max="3" width="34.5703125" style="36" customWidth="1"/>
    <col min="4" max="4" width="24.5703125" style="34" customWidth="1"/>
    <col min="5" max="5" width="17.7109375" style="37" customWidth="1"/>
    <col min="6" max="6" width="17.7109375" style="34" customWidth="1"/>
    <col min="7" max="7" width="15.28515625" style="34" customWidth="1"/>
    <col min="8" max="8" width="21.28515625" style="38" customWidth="1"/>
    <col min="9" max="9" width="19.42578125" style="34" customWidth="1"/>
    <col min="10" max="10" width="14.7109375" style="34" customWidth="1"/>
    <col min="11" max="16384" width="9.140625" style="12"/>
  </cols>
  <sheetData>
    <row r="1" spans="1:13" ht="30.75" x14ac:dyDescent="0.3">
      <c r="A1" s="11"/>
      <c r="B1" s="48" t="s">
        <v>15</v>
      </c>
      <c r="C1" s="48"/>
      <c r="D1" s="48"/>
      <c r="E1" s="48"/>
      <c r="F1" s="48"/>
      <c r="G1" s="48"/>
      <c r="H1" s="48"/>
      <c r="I1" s="48"/>
      <c r="J1" s="48"/>
    </row>
    <row r="2" spans="1:13" ht="23.25" x14ac:dyDescent="0.3">
      <c r="A2" s="49" t="s">
        <v>16</v>
      </c>
      <c r="B2" s="49"/>
      <c r="C2" s="49"/>
      <c r="D2" s="13">
        <v>7</v>
      </c>
      <c r="E2" s="50" t="s">
        <v>17</v>
      </c>
      <c r="F2" s="50"/>
      <c r="G2" s="50"/>
      <c r="H2" s="15">
        <v>1</v>
      </c>
      <c r="I2" s="14" t="s">
        <v>18</v>
      </c>
      <c r="J2" s="15">
        <v>1</v>
      </c>
      <c r="K2" s="16"/>
      <c r="L2" s="51"/>
      <c r="M2" s="51"/>
    </row>
    <row r="3" spans="1:13" ht="23.25" x14ac:dyDescent="0.3">
      <c r="A3" s="49" t="s">
        <v>19</v>
      </c>
      <c r="B3" s="49"/>
      <c r="C3" s="49"/>
      <c r="D3" s="17" t="s">
        <v>70</v>
      </c>
      <c r="E3" s="52" t="s">
        <v>21</v>
      </c>
      <c r="F3" s="52"/>
      <c r="G3" s="52"/>
      <c r="H3" s="52"/>
      <c r="I3" s="18">
        <v>1401</v>
      </c>
      <c r="J3" s="19"/>
    </row>
    <row r="4" spans="1:13" ht="37.5" x14ac:dyDescent="0.3">
      <c r="A4" s="44" t="s">
        <v>22</v>
      </c>
      <c r="B4" s="46" t="s">
        <v>23</v>
      </c>
      <c r="C4" s="44" t="s">
        <v>24</v>
      </c>
      <c r="D4" s="44" t="s">
        <v>25</v>
      </c>
      <c r="E4" s="20" t="s">
        <v>26</v>
      </c>
      <c r="F4" s="20" t="s">
        <v>27</v>
      </c>
      <c r="G4" s="20" t="s">
        <v>28</v>
      </c>
      <c r="H4" s="20" t="s">
        <v>29</v>
      </c>
      <c r="I4" s="47" t="s">
        <v>30</v>
      </c>
      <c r="J4" s="47"/>
    </row>
    <row r="5" spans="1:13" s="22" customFormat="1" ht="56.25" x14ac:dyDescent="0.25">
      <c r="A5" s="45"/>
      <c r="B5" s="45"/>
      <c r="C5" s="45"/>
      <c r="D5" s="45"/>
      <c r="E5" s="21" t="s">
        <v>31</v>
      </c>
      <c r="F5" s="21" t="s">
        <v>31</v>
      </c>
      <c r="G5" s="21" t="s">
        <v>31</v>
      </c>
      <c r="H5" s="21" t="s">
        <v>31</v>
      </c>
      <c r="I5" s="47"/>
      <c r="J5" s="47"/>
    </row>
    <row r="6" spans="1:13" s="22" customFormat="1" ht="22.5" x14ac:dyDescent="0.25">
      <c r="A6" s="23"/>
      <c r="B6" s="23"/>
      <c r="C6" s="23"/>
      <c r="D6" s="23"/>
      <c r="E6" s="1">
        <f>SUM(E7:E998)</f>
        <v>150</v>
      </c>
      <c r="F6" s="1">
        <f>SUM(F7:F998)</f>
        <v>0</v>
      </c>
      <c r="G6" s="1">
        <f>SUM(G7:G998)</f>
        <v>75</v>
      </c>
      <c r="H6" s="1">
        <f>+E6-F6-G6</f>
        <v>75</v>
      </c>
      <c r="I6" s="24"/>
      <c r="J6" s="25"/>
    </row>
    <row r="7" spans="1:13" s="22" customFormat="1" ht="37.5" x14ac:dyDescent="0.25">
      <c r="A7" s="26">
        <v>45479</v>
      </c>
      <c r="B7" s="27" t="s">
        <v>66</v>
      </c>
      <c r="C7" s="28" t="s">
        <v>67</v>
      </c>
      <c r="D7" s="28" t="s">
        <v>35</v>
      </c>
      <c r="E7" s="29">
        <v>150</v>
      </c>
      <c r="F7" s="30">
        <v>0</v>
      </c>
      <c r="G7" s="30">
        <v>0</v>
      </c>
      <c r="H7" s="29">
        <f>SUM(E7:G7)</f>
        <v>150</v>
      </c>
      <c r="I7" s="42"/>
      <c r="J7" s="43"/>
    </row>
    <row r="8" spans="1:13" s="22" customFormat="1" ht="37.5" x14ac:dyDescent="0.25">
      <c r="A8" s="31">
        <v>45514</v>
      </c>
      <c r="B8" s="27" t="s">
        <v>68</v>
      </c>
      <c r="C8" s="28" t="s">
        <v>69</v>
      </c>
      <c r="D8" s="28" t="s">
        <v>35</v>
      </c>
      <c r="E8" s="29">
        <v>0</v>
      </c>
      <c r="F8" s="30">
        <v>0</v>
      </c>
      <c r="G8" s="30">
        <v>75</v>
      </c>
      <c r="H8" s="29">
        <f>H7-G8-F8+E8</f>
        <v>75</v>
      </c>
      <c r="I8" s="42"/>
      <c r="J8" s="43"/>
    </row>
    <row r="9" spans="1:13" s="22" customFormat="1" ht="20.25" x14ac:dyDescent="0.25">
      <c r="A9" s="31"/>
      <c r="B9" s="39"/>
      <c r="C9" s="28"/>
      <c r="D9" s="28"/>
      <c r="E9" s="30"/>
      <c r="F9" s="30"/>
      <c r="G9" s="30"/>
      <c r="H9" s="29"/>
      <c r="I9" s="42"/>
      <c r="J9" s="43"/>
    </row>
    <row r="10" spans="1:13" s="22" customFormat="1" ht="20.25" x14ac:dyDescent="0.25">
      <c r="A10" s="31"/>
      <c r="B10" s="27"/>
      <c r="C10" s="28"/>
      <c r="D10" s="28"/>
      <c r="E10" s="29"/>
      <c r="F10" s="30"/>
      <c r="G10" s="30"/>
      <c r="H10" s="29"/>
      <c r="I10" s="42"/>
      <c r="J10" s="43"/>
    </row>
    <row r="11" spans="1:13" s="22" customFormat="1" ht="20.25" x14ac:dyDescent="0.25">
      <c r="A11" s="31"/>
      <c r="B11" s="27"/>
      <c r="C11" s="28"/>
      <c r="D11" s="32"/>
      <c r="E11" s="29"/>
      <c r="F11" s="30"/>
      <c r="G11" s="30"/>
      <c r="H11" s="29"/>
      <c r="I11" s="42"/>
      <c r="J11" s="43"/>
    </row>
    <row r="12" spans="1:13" s="22" customFormat="1" ht="20.25" x14ac:dyDescent="0.25">
      <c r="A12" s="31"/>
      <c r="B12" s="27"/>
      <c r="C12" s="28"/>
      <c r="D12" s="28"/>
      <c r="E12" s="29"/>
      <c r="F12" s="30"/>
      <c r="G12" s="30"/>
      <c r="H12" s="29"/>
      <c r="I12" s="42"/>
      <c r="J12" s="43"/>
    </row>
    <row r="13" spans="1:13" s="22" customFormat="1" ht="20.25" x14ac:dyDescent="0.25">
      <c r="A13" s="31"/>
      <c r="B13" s="27"/>
      <c r="C13" s="28"/>
      <c r="D13" s="28"/>
      <c r="E13" s="29"/>
      <c r="F13" s="30"/>
      <c r="G13" s="30"/>
      <c r="H13" s="29"/>
      <c r="I13" s="42"/>
      <c r="J13" s="43"/>
    </row>
    <row r="14" spans="1:13" s="22" customFormat="1" ht="20.25" x14ac:dyDescent="0.25">
      <c r="A14" s="31"/>
      <c r="B14" s="27"/>
      <c r="C14" s="28"/>
      <c r="D14" s="28"/>
      <c r="E14" s="29"/>
      <c r="F14" s="30"/>
      <c r="G14" s="30"/>
      <c r="H14" s="29"/>
      <c r="I14" s="42"/>
      <c r="J14" s="43"/>
    </row>
    <row r="15" spans="1:13" s="22" customFormat="1" ht="20.25" x14ac:dyDescent="0.25">
      <c r="A15" s="31"/>
      <c r="B15" s="27"/>
      <c r="C15" s="28"/>
      <c r="D15" s="32"/>
      <c r="E15" s="29"/>
      <c r="F15" s="30"/>
      <c r="G15" s="30"/>
      <c r="H15" s="29"/>
      <c r="I15" s="42"/>
      <c r="J15" s="43"/>
    </row>
    <row r="16" spans="1:13" s="22" customFormat="1" ht="20.25" x14ac:dyDescent="0.25">
      <c r="A16" s="31"/>
      <c r="B16" s="33"/>
      <c r="C16" s="28"/>
      <c r="D16" s="32"/>
      <c r="E16" s="29"/>
      <c r="F16" s="30"/>
      <c r="G16" s="30"/>
      <c r="H16" s="29"/>
      <c r="I16" s="42"/>
      <c r="J16" s="43"/>
    </row>
    <row r="17" spans="1:10" s="22" customFormat="1" ht="20.25" x14ac:dyDescent="0.25">
      <c r="A17" s="31"/>
      <c r="B17" s="33"/>
      <c r="C17" s="28"/>
      <c r="D17" s="32"/>
      <c r="E17" s="29"/>
      <c r="F17" s="30"/>
      <c r="G17" s="30"/>
      <c r="H17" s="29"/>
      <c r="I17" s="42"/>
      <c r="J17" s="43"/>
    </row>
    <row r="18" spans="1:10" s="22" customFormat="1" ht="20.25" x14ac:dyDescent="0.25">
      <c r="A18" s="31"/>
      <c r="B18" s="33"/>
      <c r="C18" s="28"/>
      <c r="D18" s="32"/>
      <c r="E18" s="29"/>
      <c r="F18" s="30"/>
      <c r="G18" s="30"/>
      <c r="H18" s="29"/>
      <c r="I18" s="42"/>
      <c r="J18" s="43"/>
    </row>
    <row r="19" spans="1:10" s="22" customFormat="1" ht="20.25" x14ac:dyDescent="0.25">
      <c r="A19" s="31"/>
      <c r="B19" s="33"/>
      <c r="C19" s="28"/>
      <c r="D19" s="32"/>
      <c r="E19" s="29"/>
      <c r="F19" s="30"/>
      <c r="G19" s="30"/>
      <c r="H19" s="29"/>
      <c r="I19" s="42"/>
      <c r="J19" s="43"/>
    </row>
    <row r="20" spans="1:10" s="22" customFormat="1" ht="20.25" x14ac:dyDescent="0.25">
      <c r="A20" s="31"/>
      <c r="B20" s="33"/>
      <c r="C20" s="28"/>
      <c r="D20" s="32"/>
      <c r="E20" s="29"/>
      <c r="F20" s="30"/>
      <c r="G20" s="30"/>
      <c r="H20" s="29"/>
      <c r="I20" s="42"/>
      <c r="J20" s="43"/>
    </row>
    <row r="21" spans="1:10" s="22" customFormat="1" ht="20.25" x14ac:dyDescent="0.25">
      <c r="A21" s="31"/>
      <c r="B21" s="33"/>
      <c r="C21" s="28"/>
      <c r="D21" s="32"/>
      <c r="E21" s="29"/>
      <c r="F21" s="30"/>
      <c r="G21" s="30"/>
      <c r="H21" s="29"/>
      <c r="I21" s="42"/>
      <c r="J21" s="43"/>
    </row>
    <row r="22" spans="1:10" s="22" customFormat="1" ht="20.25" x14ac:dyDescent="0.25">
      <c r="A22" s="31"/>
      <c r="B22" s="33"/>
      <c r="C22" s="28"/>
      <c r="D22" s="32"/>
      <c r="E22" s="29"/>
      <c r="F22" s="30"/>
      <c r="G22" s="30"/>
      <c r="H22" s="29"/>
      <c r="I22" s="42"/>
      <c r="J22" s="43"/>
    </row>
    <row r="23" spans="1:10" s="22" customFormat="1" ht="20.25" x14ac:dyDescent="0.25">
      <c r="A23" s="31"/>
      <c r="B23" s="33"/>
      <c r="C23" s="28"/>
      <c r="D23" s="32"/>
      <c r="E23" s="29"/>
      <c r="F23" s="30"/>
      <c r="G23" s="30"/>
      <c r="H23" s="29"/>
      <c r="I23" s="42"/>
      <c r="J23" s="43"/>
    </row>
  </sheetData>
  <protectedRanges>
    <protectedRange algorithmName="SHA-512" hashValue="w6vOy6gaWv7RKp7tkLrp7nrHA6RmzXKKrxhAURGVJNeJ+tWzcydALHZnJcvW3Xd6J2aTxgJ4vzpBns4Tppy+Tg==" saltValue="wFqfSvUJGsYlHEHwlJdPRg==" spinCount="100000" sqref="A7:B7 A9:A10 E10 G9:G15 A11:E15 A16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8 H7:H23 E10:E23">
    <cfRule type="cellIs" dxfId="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2CD2-B276-446C-9E77-CE5AE040D082}">
  <dimension ref="A1:M23"/>
  <sheetViews>
    <sheetView workbookViewId="0">
      <selection activeCell="A11" sqref="A11:B11"/>
    </sheetView>
  </sheetViews>
  <sheetFormatPr defaultRowHeight="30" customHeight="1" x14ac:dyDescent="0.3"/>
  <cols>
    <col min="1" max="1" width="18.42578125" style="34" customWidth="1"/>
    <col min="2" max="2" width="50.7109375" style="35" bestFit="1" customWidth="1"/>
    <col min="3" max="3" width="34.5703125" style="36" customWidth="1"/>
    <col min="4" max="4" width="24.5703125" style="34" customWidth="1"/>
    <col min="5" max="5" width="17.7109375" style="37" customWidth="1"/>
    <col min="6" max="6" width="17.7109375" style="34" customWidth="1"/>
    <col min="7" max="7" width="15.28515625" style="34" customWidth="1"/>
    <col min="8" max="8" width="21.28515625" style="38" customWidth="1"/>
    <col min="9" max="9" width="19.42578125" style="34" customWidth="1"/>
    <col min="10" max="10" width="14.7109375" style="34" customWidth="1"/>
    <col min="11" max="16384" width="9.140625" style="12"/>
  </cols>
  <sheetData>
    <row r="1" spans="1:13" ht="30.75" x14ac:dyDescent="0.3">
      <c r="A1" s="11"/>
      <c r="B1" s="48" t="s">
        <v>15</v>
      </c>
      <c r="C1" s="48"/>
      <c r="D1" s="48"/>
      <c r="E1" s="48"/>
      <c r="F1" s="48"/>
      <c r="G1" s="48"/>
      <c r="H1" s="48"/>
      <c r="I1" s="48"/>
      <c r="J1" s="48"/>
    </row>
    <row r="2" spans="1:13" ht="23.25" x14ac:dyDescent="0.3">
      <c r="A2" s="49" t="s">
        <v>16</v>
      </c>
      <c r="B2" s="49"/>
      <c r="C2" s="49"/>
      <c r="D2" s="13">
        <v>7</v>
      </c>
      <c r="E2" s="50" t="s">
        <v>17</v>
      </c>
      <c r="F2" s="50"/>
      <c r="G2" s="50"/>
      <c r="H2" s="15">
        <v>1</v>
      </c>
      <c r="I2" s="14" t="s">
        <v>18</v>
      </c>
      <c r="J2" s="15">
        <v>1</v>
      </c>
      <c r="K2" s="16"/>
      <c r="L2" s="51"/>
      <c r="M2" s="51"/>
    </row>
    <row r="3" spans="1:13" ht="23.25" x14ac:dyDescent="0.3">
      <c r="A3" s="49" t="s">
        <v>19</v>
      </c>
      <c r="B3" s="49"/>
      <c r="C3" s="49"/>
      <c r="D3" s="17" t="s">
        <v>72</v>
      </c>
      <c r="E3" s="52" t="s">
        <v>21</v>
      </c>
      <c r="F3" s="52"/>
      <c r="G3" s="52"/>
      <c r="H3" s="52"/>
      <c r="I3" s="18">
        <v>1402</v>
      </c>
      <c r="J3" s="19"/>
    </row>
    <row r="4" spans="1:13" ht="37.5" x14ac:dyDescent="0.3">
      <c r="A4" s="44" t="s">
        <v>22</v>
      </c>
      <c r="B4" s="46" t="s">
        <v>23</v>
      </c>
      <c r="C4" s="44" t="s">
        <v>24</v>
      </c>
      <c r="D4" s="44" t="s">
        <v>25</v>
      </c>
      <c r="E4" s="20" t="s">
        <v>26</v>
      </c>
      <c r="F4" s="20" t="s">
        <v>27</v>
      </c>
      <c r="G4" s="20" t="s">
        <v>28</v>
      </c>
      <c r="H4" s="20" t="s">
        <v>29</v>
      </c>
      <c r="I4" s="47" t="s">
        <v>30</v>
      </c>
      <c r="J4" s="47"/>
    </row>
    <row r="5" spans="1:13" s="22" customFormat="1" ht="56.25" x14ac:dyDescent="0.25">
      <c r="A5" s="45"/>
      <c r="B5" s="45"/>
      <c r="C5" s="45"/>
      <c r="D5" s="45"/>
      <c r="E5" s="21" t="s">
        <v>31</v>
      </c>
      <c r="F5" s="21" t="s">
        <v>31</v>
      </c>
      <c r="G5" s="21" t="s">
        <v>31</v>
      </c>
      <c r="H5" s="21" t="s">
        <v>31</v>
      </c>
      <c r="I5" s="47"/>
      <c r="J5" s="47"/>
    </row>
    <row r="6" spans="1:13" s="22" customFormat="1" ht="22.5" x14ac:dyDescent="0.25">
      <c r="A6" s="23"/>
      <c r="B6" s="23"/>
      <c r="C6" s="23"/>
      <c r="D6" s="23"/>
      <c r="E6" s="1">
        <f>SUM(E7:E998)</f>
        <v>55</v>
      </c>
      <c r="F6" s="1">
        <f>SUM(F7:F998)</f>
        <v>0</v>
      </c>
      <c r="G6" s="1">
        <f>SUM(G7:G998)</f>
        <v>26</v>
      </c>
      <c r="H6" s="1">
        <f>+E6-F6-G6</f>
        <v>29</v>
      </c>
      <c r="I6" s="24"/>
      <c r="J6" s="25"/>
    </row>
    <row r="7" spans="1:13" s="22" customFormat="1" ht="37.5" x14ac:dyDescent="0.25">
      <c r="A7" s="26">
        <v>45483</v>
      </c>
      <c r="B7" s="27" t="s">
        <v>60</v>
      </c>
      <c r="C7" s="28" t="s">
        <v>61</v>
      </c>
      <c r="D7" s="28" t="s">
        <v>35</v>
      </c>
      <c r="E7" s="29">
        <v>55</v>
      </c>
      <c r="F7" s="30">
        <v>0</v>
      </c>
      <c r="G7" s="30">
        <v>0</v>
      </c>
      <c r="H7" s="29">
        <f>SUM(E7:G7)</f>
        <v>55</v>
      </c>
      <c r="I7" s="42"/>
      <c r="J7" s="43"/>
    </row>
    <row r="8" spans="1:13" s="22" customFormat="1" ht="37.5" x14ac:dyDescent="0.25">
      <c r="A8" s="31">
        <v>45505</v>
      </c>
      <c r="B8" s="39" t="s">
        <v>63</v>
      </c>
      <c r="C8" s="28" t="s">
        <v>62</v>
      </c>
      <c r="D8" s="28" t="s">
        <v>35</v>
      </c>
      <c r="E8" s="29">
        <v>0</v>
      </c>
      <c r="F8" s="30">
        <v>0</v>
      </c>
      <c r="G8" s="30">
        <v>19</v>
      </c>
      <c r="H8" s="29">
        <f>H7-G8-F8+E8</f>
        <v>36</v>
      </c>
      <c r="I8" s="42"/>
      <c r="J8" s="43"/>
    </row>
    <row r="9" spans="1:13" s="22" customFormat="1" ht="37.5" x14ac:dyDescent="0.25">
      <c r="A9" s="31">
        <v>45488</v>
      </c>
      <c r="B9" s="39" t="s">
        <v>64</v>
      </c>
      <c r="C9" s="28" t="s">
        <v>62</v>
      </c>
      <c r="D9" s="28" t="s">
        <v>35</v>
      </c>
      <c r="E9" s="30">
        <v>0</v>
      </c>
      <c r="F9" s="30">
        <v>0</v>
      </c>
      <c r="G9" s="30">
        <v>4</v>
      </c>
      <c r="H9" s="29">
        <f>H8-G9-F9+E9</f>
        <v>32</v>
      </c>
      <c r="I9" s="42"/>
      <c r="J9" s="43"/>
    </row>
    <row r="10" spans="1:13" s="22" customFormat="1" ht="37.5" x14ac:dyDescent="0.25">
      <c r="A10" s="31">
        <v>46044</v>
      </c>
      <c r="B10" s="27" t="s">
        <v>65</v>
      </c>
      <c r="C10" s="28" t="s">
        <v>62</v>
      </c>
      <c r="D10" s="28" t="s">
        <v>35</v>
      </c>
      <c r="E10" s="29">
        <v>0</v>
      </c>
      <c r="F10" s="30">
        <v>0</v>
      </c>
      <c r="G10" s="30">
        <v>3</v>
      </c>
      <c r="H10" s="29">
        <f t="shared" ref="H10" si="0">H9-G10-F10+E10</f>
        <v>29</v>
      </c>
      <c r="I10" s="42"/>
      <c r="J10" s="43"/>
    </row>
    <row r="11" spans="1:13" s="22" customFormat="1" ht="20.25" x14ac:dyDescent="0.25">
      <c r="C11" s="28"/>
      <c r="D11" s="32"/>
      <c r="E11" s="29"/>
      <c r="F11" s="30"/>
      <c r="G11" s="30"/>
      <c r="H11" s="29"/>
      <c r="I11" s="42"/>
      <c r="J11" s="43"/>
    </row>
    <row r="12" spans="1:13" s="22" customFormat="1" ht="20.25" x14ac:dyDescent="0.25">
      <c r="A12" s="31"/>
      <c r="B12" s="27"/>
      <c r="C12" s="28"/>
      <c r="D12" s="28"/>
      <c r="E12" s="29"/>
      <c r="F12" s="30"/>
      <c r="G12" s="30"/>
      <c r="H12" s="29"/>
      <c r="I12" s="42"/>
      <c r="J12" s="43"/>
    </row>
    <row r="13" spans="1:13" s="22" customFormat="1" ht="20.25" x14ac:dyDescent="0.25">
      <c r="A13" s="31"/>
      <c r="B13" s="27"/>
      <c r="C13" s="28"/>
      <c r="D13" s="28"/>
      <c r="E13" s="29"/>
      <c r="F13" s="30"/>
      <c r="G13" s="30"/>
      <c r="H13" s="29"/>
      <c r="I13" s="42"/>
      <c r="J13" s="43"/>
    </row>
    <row r="14" spans="1:13" s="22" customFormat="1" ht="20.25" x14ac:dyDescent="0.25">
      <c r="A14" s="31"/>
      <c r="B14" s="27"/>
      <c r="C14" s="28"/>
      <c r="D14" s="28"/>
      <c r="E14" s="29"/>
      <c r="F14" s="30"/>
      <c r="G14" s="30"/>
      <c r="H14" s="29"/>
      <c r="I14" s="42"/>
      <c r="J14" s="43"/>
    </row>
    <row r="15" spans="1:13" s="22" customFormat="1" ht="20.25" x14ac:dyDescent="0.25">
      <c r="A15" s="31"/>
      <c r="B15" s="27"/>
      <c r="C15" s="28"/>
      <c r="D15" s="32"/>
      <c r="E15" s="29"/>
      <c r="F15" s="30"/>
      <c r="G15" s="30"/>
      <c r="H15" s="29"/>
      <c r="I15" s="42"/>
      <c r="J15" s="43"/>
    </row>
    <row r="16" spans="1:13" s="22" customFormat="1" ht="20.25" x14ac:dyDescent="0.25">
      <c r="A16" s="31"/>
      <c r="B16" s="33"/>
      <c r="C16" s="28"/>
      <c r="D16" s="32"/>
      <c r="E16" s="29"/>
      <c r="F16" s="30"/>
      <c r="G16" s="30"/>
      <c r="H16" s="29"/>
      <c r="I16" s="42"/>
      <c r="J16" s="43"/>
    </row>
    <row r="17" spans="1:10" s="22" customFormat="1" ht="20.25" x14ac:dyDescent="0.25">
      <c r="A17" s="31"/>
      <c r="B17" s="33"/>
      <c r="C17" s="28"/>
      <c r="D17" s="32"/>
      <c r="E17" s="29"/>
      <c r="F17" s="30"/>
      <c r="G17" s="30"/>
      <c r="H17" s="29"/>
      <c r="I17" s="42"/>
      <c r="J17" s="43"/>
    </row>
    <row r="18" spans="1:10" s="22" customFormat="1" ht="20.25" x14ac:dyDescent="0.25">
      <c r="A18" s="31"/>
      <c r="B18" s="33"/>
      <c r="C18" s="28"/>
      <c r="D18" s="32"/>
      <c r="E18" s="29"/>
      <c r="F18" s="30"/>
      <c r="G18" s="30"/>
      <c r="H18" s="29"/>
      <c r="I18" s="42"/>
      <c r="J18" s="43"/>
    </row>
    <row r="19" spans="1:10" s="22" customFormat="1" ht="20.25" x14ac:dyDescent="0.25">
      <c r="A19" s="31"/>
      <c r="B19" s="33"/>
      <c r="C19" s="28"/>
      <c r="D19" s="32"/>
      <c r="E19" s="29"/>
      <c r="F19" s="30"/>
      <c r="G19" s="30"/>
      <c r="H19" s="29"/>
      <c r="I19" s="42"/>
      <c r="J19" s="43"/>
    </row>
    <row r="20" spans="1:10" s="22" customFormat="1" ht="20.25" x14ac:dyDescent="0.25">
      <c r="A20" s="31"/>
      <c r="B20" s="33"/>
      <c r="C20" s="28"/>
      <c r="D20" s="32"/>
      <c r="E20" s="29"/>
      <c r="F20" s="30"/>
      <c r="G20" s="30"/>
      <c r="H20" s="29"/>
      <c r="I20" s="42"/>
      <c r="J20" s="43"/>
    </row>
    <row r="21" spans="1:10" s="22" customFormat="1" ht="20.25" x14ac:dyDescent="0.25">
      <c r="A21" s="31"/>
      <c r="B21" s="33"/>
      <c r="C21" s="28"/>
      <c r="D21" s="32"/>
      <c r="E21" s="29"/>
      <c r="F21" s="30"/>
      <c r="G21" s="30"/>
      <c r="H21" s="29"/>
      <c r="I21" s="42"/>
      <c r="J21" s="43"/>
    </row>
    <row r="22" spans="1:10" s="22" customFormat="1" ht="20.25" x14ac:dyDescent="0.25">
      <c r="A22" s="31"/>
      <c r="B22" s="33"/>
      <c r="C22" s="28"/>
      <c r="D22" s="32"/>
      <c r="E22" s="29"/>
      <c r="F22" s="30"/>
      <c r="G22" s="30"/>
      <c r="H22" s="29"/>
      <c r="I22" s="42"/>
      <c r="J22" s="43"/>
    </row>
    <row r="23" spans="1:10" s="22" customFormat="1" ht="20.25" x14ac:dyDescent="0.25">
      <c r="A23" s="31"/>
      <c r="B23" s="33"/>
      <c r="C23" s="28"/>
      <c r="D23" s="32"/>
      <c r="E23" s="29"/>
      <c r="F23" s="30"/>
      <c r="G23" s="30"/>
      <c r="H23" s="29"/>
      <c r="I23" s="42"/>
      <c r="J23" s="43"/>
    </row>
  </sheetData>
  <protectedRanges>
    <protectedRange algorithmName="SHA-512" hashValue="w6vOy6gaWv7RKp7tkLrp7nrHA6RmzXKKrxhAURGVJNeJ+tWzcydALHZnJcvW3Xd6J2aTxgJ4vzpBns4Tppy+Tg==" saltValue="wFqfSvUJGsYlHEHwlJdPRg==" spinCount="100000" sqref="A7:B7 A9:A10 E10 G9:G15 A16:G1048576 C11:E15 A12:B15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phoneticPr fontId="23" type="noConversion"/>
  <conditionalFormatting sqref="B8:B10 B12:B23">
    <cfRule type="cellIs" priority="2" operator="between">
      <formula>1</formula>
      <formula>100000000</formula>
    </cfRule>
  </conditionalFormatting>
  <conditionalFormatting sqref="E7:E8 H7:H23 E10:E23">
    <cfRule type="cellIs" dxfId="1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89FC-9D90-4F19-85B7-26E89E116668}">
  <dimension ref="A1:M23"/>
  <sheetViews>
    <sheetView topLeftCell="A11" workbookViewId="0">
      <selection activeCell="H24" sqref="H24"/>
    </sheetView>
  </sheetViews>
  <sheetFormatPr defaultRowHeight="30" customHeight="1" x14ac:dyDescent="0.3"/>
  <cols>
    <col min="1" max="1" width="18.42578125" style="34" customWidth="1"/>
    <col min="2" max="2" width="50.7109375" style="35" bestFit="1" customWidth="1"/>
    <col min="3" max="3" width="34.5703125" style="36" customWidth="1"/>
    <col min="4" max="4" width="24.5703125" style="34" customWidth="1"/>
    <col min="5" max="5" width="17.7109375" style="37" customWidth="1"/>
    <col min="6" max="6" width="17.7109375" style="34" customWidth="1"/>
    <col min="7" max="7" width="15.28515625" style="34" customWidth="1"/>
    <col min="8" max="8" width="21.28515625" style="38" customWidth="1"/>
    <col min="9" max="9" width="19.42578125" style="34" customWidth="1"/>
    <col min="10" max="10" width="14.7109375" style="34" customWidth="1"/>
    <col min="11" max="16384" width="9.140625" style="12"/>
  </cols>
  <sheetData>
    <row r="1" spans="1:13" ht="30.75" x14ac:dyDescent="0.3">
      <c r="A1" s="11"/>
      <c r="B1" s="48" t="s">
        <v>15</v>
      </c>
      <c r="C1" s="48"/>
      <c r="D1" s="48"/>
      <c r="E1" s="48"/>
      <c r="F1" s="48"/>
      <c r="G1" s="48"/>
      <c r="H1" s="48"/>
      <c r="I1" s="48"/>
      <c r="J1" s="48"/>
    </row>
    <row r="2" spans="1:13" ht="23.25" x14ac:dyDescent="0.3">
      <c r="A2" s="49" t="s">
        <v>16</v>
      </c>
      <c r="B2" s="49"/>
      <c r="C2" s="49"/>
      <c r="D2" s="13">
        <v>7</v>
      </c>
      <c r="E2" s="50" t="s">
        <v>17</v>
      </c>
      <c r="F2" s="50"/>
      <c r="G2" s="50"/>
      <c r="H2" s="15">
        <v>1</v>
      </c>
      <c r="I2" s="14" t="s">
        <v>18</v>
      </c>
      <c r="J2" s="15">
        <v>1</v>
      </c>
      <c r="K2" s="16"/>
      <c r="L2" s="51"/>
      <c r="M2" s="51"/>
    </row>
    <row r="3" spans="1:13" ht="23.25" x14ac:dyDescent="0.3">
      <c r="A3" s="49" t="s">
        <v>19</v>
      </c>
      <c r="B3" s="49"/>
      <c r="C3" s="49"/>
      <c r="D3" s="17" t="s">
        <v>20</v>
      </c>
      <c r="E3" s="52" t="s">
        <v>21</v>
      </c>
      <c r="F3" s="52"/>
      <c r="G3" s="52"/>
      <c r="H3" s="52"/>
      <c r="I3" s="18">
        <v>1403</v>
      </c>
      <c r="J3" s="19"/>
    </row>
    <row r="4" spans="1:13" ht="37.5" x14ac:dyDescent="0.3">
      <c r="A4" s="44" t="s">
        <v>22</v>
      </c>
      <c r="B4" s="46" t="s">
        <v>23</v>
      </c>
      <c r="C4" s="44" t="s">
        <v>24</v>
      </c>
      <c r="D4" s="44" t="s">
        <v>25</v>
      </c>
      <c r="E4" s="20" t="s">
        <v>26</v>
      </c>
      <c r="F4" s="20" t="s">
        <v>27</v>
      </c>
      <c r="G4" s="20" t="s">
        <v>28</v>
      </c>
      <c r="H4" s="20" t="s">
        <v>29</v>
      </c>
      <c r="I4" s="47" t="s">
        <v>30</v>
      </c>
      <c r="J4" s="47"/>
    </row>
    <row r="5" spans="1:13" s="22" customFormat="1" ht="56.25" x14ac:dyDescent="0.25">
      <c r="A5" s="45"/>
      <c r="B5" s="45"/>
      <c r="C5" s="45"/>
      <c r="D5" s="45"/>
      <c r="E5" s="21" t="s">
        <v>31</v>
      </c>
      <c r="F5" s="21" t="s">
        <v>31</v>
      </c>
      <c r="G5" s="21" t="s">
        <v>31</v>
      </c>
      <c r="H5" s="21" t="s">
        <v>31</v>
      </c>
      <c r="I5" s="47"/>
      <c r="J5" s="47"/>
    </row>
    <row r="6" spans="1:13" s="22" customFormat="1" ht="22.5" x14ac:dyDescent="0.25">
      <c r="A6" s="23"/>
      <c r="B6" s="23"/>
      <c r="C6" s="23"/>
      <c r="D6" s="23"/>
      <c r="E6" s="1">
        <f>SUM(E7:E998)</f>
        <v>350</v>
      </c>
      <c r="F6" s="1">
        <f>SUM(F7:F998)</f>
        <v>0</v>
      </c>
      <c r="G6" s="1">
        <f>SUM(G7:G998)</f>
        <v>341</v>
      </c>
      <c r="H6" s="1">
        <f>+E6-F6-G6</f>
        <v>9</v>
      </c>
      <c r="I6" s="24"/>
      <c r="J6" s="25"/>
    </row>
    <row r="7" spans="1:13" s="22" customFormat="1" ht="37.5" x14ac:dyDescent="0.25">
      <c r="A7" s="26" t="s">
        <v>32</v>
      </c>
      <c r="B7" s="27" t="s">
        <v>33</v>
      </c>
      <c r="C7" s="28" t="s">
        <v>34</v>
      </c>
      <c r="D7" s="28" t="s">
        <v>35</v>
      </c>
      <c r="E7" s="29">
        <v>50</v>
      </c>
      <c r="F7" s="30">
        <v>0</v>
      </c>
      <c r="G7" s="30">
        <v>0</v>
      </c>
      <c r="H7" s="29">
        <f>SUM(E7:G7)</f>
        <v>50</v>
      </c>
      <c r="I7" s="42"/>
      <c r="J7" s="43"/>
    </row>
    <row r="8" spans="1:13" s="22" customFormat="1" ht="37.5" x14ac:dyDescent="0.25">
      <c r="A8" s="31" t="s">
        <v>36</v>
      </c>
      <c r="B8" s="27" t="s">
        <v>37</v>
      </c>
      <c r="C8" s="28" t="s">
        <v>38</v>
      </c>
      <c r="D8" s="28" t="s">
        <v>39</v>
      </c>
      <c r="E8" s="29">
        <v>0</v>
      </c>
      <c r="F8" s="30">
        <v>0</v>
      </c>
      <c r="G8" s="30">
        <v>25</v>
      </c>
      <c r="H8" s="29">
        <f>H7-G8-F8+E8</f>
        <v>25</v>
      </c>
      <c r="I8" s="42"/>
      <c r="J8" s="43"/>
    </row>
    <row r="9" spans="1:13" s="22" customFormat="1" ht="37.5" x14ac:dyDescent="0.25">
      <c r="A9" s="31" t="s">
        <v>40</v>
      </c>
      <c r="B9" s="27" t="s">
        <v>37</v>
      </c>
      <c r="C9" s="28" t="s">
        <v>41</v>
      </c>
      <c r="D9" s="28" t="s">
        <v>42</v>
      </c>
      <c r="E9" s="30">
        <v>0</v>
      </c>
      <c r="F9" s="30">
        <v>0</v>
      </c>
      <c r="G9" s="30">
        <v>25</v>
      </c>
      <c r="H9" s="29">
        <f>H8-G9-F9+E9</f>
        <v>0</v>
      </c>
      <c r="I9" s="42"/>
      <c r="J9" s="43"/>
    </row>
    <row r="10" spans="1:13" s="22" customFormat="1" ht="37.5" x14ac:dyDescent="0.25">
      <c r="A10" s="31">
        <v>45511</v>
      </c>
      <c r="B10" s="27" t="s">
        <v>43</v>
      </c>
      <c r="C10" s="28" t="s">
        <v>44</v>
      </c>
      <c r="D10" s="28" t="s">
        <v>35</v>
      </c>
      <c r="E10" s="29">
        <v>100</v>
      </c>
      <c r="F10" s="30">
        <v>0</v>
      </c>
      <c r="G10" s="30">
        <v>0</v>
      </c>
      <c r="H10" s="29">
        <f t="shared" ref="H10:H17" si="0">H9-G10-F10+E10</f>
        <v>100</v>
      </c>
      <c r="I10" s="42"/>
      <c r="J10" s="43"/>
    </row>
    <row r="11" spans="1:13" s="22" customFormat="1" ht="37.5" x14ac:dyDescent="0.25">
      <c r="A11" s="31">
        <v>45542</v>
      </c>
      <c r="B11" s="27" t="s">
        <v>45</v>
      </c>
      <c r="C11" s="28" t="s">
        <v>46</v>
      </c>
      <c r="D11" s="32" t="s">
        <v>47</v>
      </c>
      <c r="E11" s="29">
        <v>0</v>
      </c>
      <c r="F11" s="30">
        <v>0</v>
      </c>
      <c r="G11" s="30">
        <v>100</v>
      </c>
      <c r="H11" s="29">
        <f t="shared" si="0"/>
        <v>0</v>
      </c>
      <c r="I11" s="42"/>
      <c r="J11" s="43"/>
    </row>
    <row r="12" spans="1:13" s="22" customFormat="1" ht="37.5" x14ac:dyDescent="0.25">
      <c r="A12" s="31">
        <v>45572</v>
      </c>
      <c r="B12" s="27" t="s">
        <v>48</v>
      </c>
      <c r="C12" s="28" t="s">
        <v>44</v>
      </c>
      <c r="D12" s="28" t="s">
        <v>49</v>
      </c>
      <c r="E12" s="29">
        <v>200</v>
      </c>
      <c r="F12" s="30">
        <v>0</v>
      </c>
      <c r="G12" s="30">
        <v>0</v>
      </c>
      <c r="H12" s="29">
        <f t="shared" si="0"/>
        <v>200</v>
      </c>
      <c r="I12" s="42"/>
      <c r="J12" s="43"/>
    </row>
    <row r="13" spans="1:13" s="22" customFormat="1" ht="37.5" x14ac:dyDescent="0.25">
      <c r="A13" s="31">
        <v>45572</v>
      </c>
      <c r="B13" s="27" t="s">
        <v>50</v>
      </c>
      <c r="C13" s="28" t="s">
        <v>51</v>
      </c>
      <c r="D13" s="28" t="s">
        <v>49</v>
      </c>
      <c r="E13" s="29">
        <v>0</v>
      </c>
      <c r="F13" s="30">
        <v>0</v>
      </c>
      <c r="G13" s="30">
        <v>50</v>
      </c>
      <c r="H13" s="29">
        <f t="shared" si="0"/>
        <v>150</v>
      </c>
      <c r="I13" s="42"/>
      <c r="J13" s="43"/>
    </row>
    <row r="14" spans="1:13" s="22" customFormat="1" ht="37.5" x14ac:dyDescent="0.25">
      <c r="A14" s="31" t="s">
        <v>52</v>
      </c>
      <c r="B14" s="27" t="s">
        <v>53</v>
      </c>
      <c r="C14" s="28" t="s">
        <v>51</v>
      </c>
      <c r="D14" s="28" t="s">
        <v>49</v>
      </c>
      <c r="E14" s="29">
        <v>0</v>
      </c>
      <c r="F14" s="30">
        <v>0</v>
      </c>
      <c r="G14" s="30">
        <v>62</v>
      </c>
      <c r="H14" s="29">
        <f t="shared" si="0"/>
        <v>88</v>
      </c>
      <c r="I14" s="42"/>
      <c r="J14" s="43"/>
    </row>
    <row r="15" spans="1:13" s="22" customFormat="1" ht="20.25" x14ac:dyDescent="0.25">
      <c r="A15" s="31">
        <v>45299</v>
      </c>
      <c r="B15" s="27" t="s">
        <v>54</v>
      </c>
      <c r="C15" s="28" t="s">
        <v>55</v>
      </c>
      <c r="D15" s="32" t="s">
        <v>56</v>
      </c>
      <c r="E15" s="29">
        <v>0</v>
      </c>
      <c r="F15" s="30">
        <v>0</v>
      </c>
      <c r="G15" s="30">
        <v>30</v>
      </c>
      <c r="H15" s="29">
        <f t="shared" si="0"/>
        <v>58</v>
      </c>
      <c r="I15" s="42"/>
      <c r="J15" s="43"/>
    </row>
    <row r="16" spans="1:13" s="22" customFormat="1" ht="20.25" x14ac:dyDescent="0.25">
      <c r="A16" s="31">
        <v>45839</v>
      </c>
      <c r="B16" s="33" t="s">
        <v>57</v>
      </c>
      <c r="C16" s="28" t="s">
        <v>58</v>
      </c>
      <c r="D16" s="32" t="s">
        <v>56</v>
      </c>
      <c r="E16" s="29">
        <v>0</v>
      </c>
      <c r="F16" s="30">
        <v>0</v>
      </c>
      <c r="G16" s="30">
        <v>12</v>
      </c>
      <c r="H16" s="29">
        <f t="shared" si="0"/>
        <v>46</v>
      </c>
      <c r="I16" s="42"/>
      <c r="J16" s="43"/>
    </row>
    <row r="17" spans="1:10" s="22" customFormat="1" ht="20.25" x14ac:dyDescent="0.25">
      <c r="A17" s="31">
        <v>45973</v>
      </c>
      <c r="B17" s="33" t="s">
        <v>59</v>
      </c>
      <c r="C17" s="28" t="s">
        <v>59</v>
      </c>
      <c r="D17" s="32" t="s">
        <v>56</v>
      </c>
      <c r="E17" s="29">
        <v>0</v>
      </c>
      <c r="F17" s="30">
        <v>0</v>
      </c>
      <c r="G17" s="30">
        <v>19</v>
      </c>
      <c r="H17" s="29">
        <f t="shared" si="0"/>
        <v>27</v>
      </c>
      <c r="I17" s="42"/>
      <c r="J17" s="43"/>
    </row>
    <row r="18" spans="1:10" s="22" customFormat="1" ht="20.25" x14ac:dyDescent="0.25">
      <c r="A18" s="31">
        <v>46247</v>
      </c>
      <c r="B18" s="27" t="s">
        <v>75</v>
      </c>
      <c r="C18" s="28" t="s">
        <v>76</v>
      </c>
      <c r="D18" s="32" t="s">
        <v>56</v>
      </c>
      <c r="E18" s="29">
        <v>0</v>
      </c>
      <c r="F18" s="30">
        <v>0</v>
      </c>
      <c r="G18" s="30">
        <v>18</v>
      </c>
      <c r="H18" s="29">
        <f t="shared" ref="H18" si="1">H17-G18-F18+E18</f>
        <v>9</v>
      </c>
      <c r="I18" s="42"/>
      <c r="J18" s="43"/>
    </row>
    <row r="19" spans="1:10" s="22" customFormat="1" ht="20.25" x14ac:dyDescent="0.25">
      <c r="A19" s="31"/>
      <c r="B19" s="33"/>
      <c r="C19" s="28"/>
      <c r="D19" s="32"/>
      <c r="E19" s="29"/>
      <c r="F19" s="30"/>
      <c r="G19" s="30"/>
      <c r="H19" s="29"/>
      <c r="I19" s="42"/>
      <c r="J19" s="43"/>
    </row>
    <row r="20" spans="1:10" s="22" customFormat="1" ht="20.25" x14ac:dyDescent="0.25">
      <c r="A20" s="31"/>
      <c r="B20" s="33"/>
      <c r="C20" s="28"/>
      <c r="D20" s="32"/>
      <c r="E20" s="29"/>
      <c r="F20" s="30"/>
      <c r="G20" s="30"/>
      <c r="H20" s="29"/>
      <c r="I20" s="42"/>
      <c r="J20" s="43"/>
    </row>
    <row r="21" spans="1:10" s="22" customFormat="1" ht="20.25" x14ac:dyDescent="0.25">
      <c r="A21" s="31"/>
      <c r="B21" s="33"/>
      <c r="C21" s="28"/>
      <c r="D21" s="32"/>
      <c r="E21" s="29"/>
      <c r="F21" s="30"/>
      <c r="G21" s="30"/>
      <c r="H21" s="29"/>
      <c r="I21" s="42"/>
      <c r="J21" s="43"/>
    </row>
    <row r="22" spans="1:10" s="22" customFormat="1" ht="20.25" x14ac:dyDescent="0.25">
      <c r="A22" s="31"/>
      <c r="B22" s="33"/>
      <c r="C22" s="28"/>
      <c r="D22" s="32"/>
      <c r="E22" s="29"/>
      <c r="F22" s="30"/>
      <c r="G22" s="30"/>
      <c r="H22" s="29"/>
      <c r="I22" s="42"/>
      <c r="J22" s="43"/>
    </row>
    <row r="23" spans="1:10" s="22" customFormat="1" ht="20.25" x14ac:dyDescent="0.25">
      <c r="A23" s="31"/>
      <c r="B23" s="33"/>
      <c r="C23" s="28"/>
      <c r="D23" s="32"/>
      <c r="E23" s="29"/>
      <c r="F23" s="30"/>
      <c r="G23" s="30"/>
      <c r="H23" s="29"/>
      <c r="I23" s="42"/>
      <c r="J23" s="43"/>
    </row>
  </sheetData>
  <protectedRanges>
    <protectedRange algorithmName="SHA-512" hashValue="w6vOy6gaWv7RKp7tkLrp7nrHA6RmzXKKrxhAURGVJNeJ+tWzcydALHZnJcvW3Xd6J2aTxgJ4vzpBns4Tppy+Tg==" saltValue="wFqfSvUJGsYlHEHwlJdPRg==" spinCount="100000" sqref="A7:B7 A9:A10 C10 C9:D9 E10 G9:G15 A11:E15 A16:G17 A19:G1048576 C18:G18" name="Range1"/>
    <protectedRange algorithmName="SHA-512" hashValue="w6vOy6gaWv7RKp7tkLrp7nrHA6RmzXKKrxhAURGVJNeJ+tWzcydALHZnJcvW3Xd6J2aTxgJ4vzpBns4Tppy+Tg==" saltValue="wFqfSvUJGsYlHEHwlJdPRg==" spinCount="100000" sqref="A18:B18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1" operator="between">
      <formula>1</formula>
      <formula>100000000</formula>
    </cfRule>
  </conditionalFormatting>
  <conditionalFormatting sqref="E7:E8 H7:H23 E10:E23">
    <cfRule type="cellIs" dxfId="0" priority="3" operator="between">
      <formula>1</formula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INDEX</vt:lpstr>
      <vt:lpstr>1401</vt:lpstr>
      <vt:lpstr>1402</vt:lpstr>
      <vt:lpstr>1403</vt:lpstr>
      <vt:lpstr>INDEX!Print_Area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VIVEK AZAD</cp:lastModifiedBy>
  <dcterms:created xsi:type="dcterms:W3CDTF">2015-06-05T18:17:20Z</dcterms:created>
  <dcterms:modified xsi:type="dcterms:W3CDTF">2026-08-25T11:09:28Z</dcterms:modified>
</cp:coreProperties>
</file>