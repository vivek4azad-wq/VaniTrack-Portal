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Store and Staff\"/>
    </mc:Choice>
  </mc:AlternateContent>
  <xr:revisionPtr revIDLastSave="0" documentId="13_ncr:1_{5E35EE40-BF5E-4027-9242-52D99EE6EF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" sheetId="1" r:id="rId1"/>
    <sheet name="Sheet8" sheetId="9" r:id="rId2"/>
    <sheet name="1001" sheetId="2" r:id="rId3"/>
    <sheet name="1003" sheetId="4" r:id="rId4"/>
    <sheet name="1005" sheetId="5" r:id="rId5"/>
    <sheet name="1007" sheetId="6" r:id="rId6"/>
    <sheet name="1009" sheetId="7" r:id="rId7"/>
    <sheet name="1012" sheetId="8" r:id="rId8"/>
    <sheet name="1014" sheetId="10" r:id="rId9"/>
    <sheet name="1015" sheetId="11" r:id="rId10"/>
    <sheet name="1016" sheetId="12" r:id="rId11"/>
    <sheet name="1019" sheetId="13" r:id="rId12"/>
    <sheet name="1022" sheetId="14" r:id="rId13"/>
    <sheet name="1024" sheetId="15" r:id="rId14"/>
    <sheet name="1025" sheetId="16" r:id="rId15"/>
  </sheets>
  <definedNames>
    <definedName name="_xlnm.Print_Area" localSheetId="0">Index!$A$1:$AW$24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G16" i="1"/>
  <c r="D16" i="1"/>
  <c r="E15" i="1"/>
  <c r="F15" i="1"/>
  <c r="G15" i="1"/>
  <c r="D15" i="1"/>
  <c r="E14" i="1"/>
  <c r="F14" i="1"/>
  <c r="G14" i="1"/>
  <c r="D14" i="1"/>
  <c r="E13" i="1"/>
  <c r="F13" i="1"/>
  <c r="G13" i="1"/>
  <c r="D13" i="1"/>
  <c r="E12" i="1"/>
  <c r="F12" i="1"/>
  <c r="G12" i="1"/>
  <c r="D12" i="1"/>
  <c r="E11" i="1"/>
  <c r="F11" i="1"/>
  <c r="G11" i="1"/>
  <c r="D11" i="1"/>
  <c r="E10" i="1"/>
  <c r="F10" i="1"/>
  <c r="G10" i="1"/>
  <c r="D10" i="1"/>
  <c r="E9" i="1"/>
  <c r="F9" i="1"/>
  <c r="G9" i="1"/>
  <c r="D9" i="1"/>
  <c r="E8" i="1"/>
  <c r="F8" i="1"/>
  <c r="G8" i="1"/>
  <c r="D8" i="1"/>
  <c r="F6" i="1"/>
  <c r="H7" i="16"/>
  <c r="G6" i="16"/>
  <c r="F6" i="16"/>
  <c r="E6" i="16"/>
  <c r="H6" i="16" s="1"/>
  <c r="H7" i="15"/>
  <c r="G6" i="15"/>
  <c r="F6" i="15"/>
  <c r="E6" i="15"/>
  <c r="H6" i="15" s="1"/>
  <c r="H7" i="14"/>
  <c r="H8" i="14" s="1"/>
  <c r="G6" i="14"/>
  <c r="F6" i="14"/>
  <c r="E6" i="14"/>
  <c r="H6" i="14" s="1"/>
  <c r="H7" i="13"/>
  <c r="H8" i="13" s="1"/>
  <c r="G6" i="13"/>
  <c r="F6" i="13"/>
  <c r="E6" i="13"/>
  <c r="H9" i="12"/>
  <c r="H10" i="12"/>
  <c r="H11" i="12"/>
  <c r="H12" i="12"/>
  <c r="H13" i="12"/>
  <c r="H14" i="12"/>
  <c r="H15" i="12" s="1"/>
  <c r="H8" i="12"/>
  <c r="H7" i="12"/>
  <c r="G6" i="12"/>
  <c r="F6" i="12"/>
  <c r="E6" i="12"/>
  <c r="H7" i="11"/>
  <c r="G6" i="11"/>
  <c r="F6" i="11"/>
  <c r="E6" i="11"/>
  <c r="H6" i="11" s="1"/>
  <c r="H12" i="10"/>
  <c r="H9" i="10"/>
  <c r="H10" i="10"/>
  <c r="H11" i="10" s="1"/>
  <c r="H8" i="10"/>
  <c r="H7" i="10"/>
  <c r="G6" i="10"/>
  <c r="F6" i="10"/>
  <c r="E6" i="10"/>
  <c r="H7" i="8"/>
  <c r="G6" i="8"/>
  <c r="F6" i="8"/>
  <c r="E6" i="8"/>
  <c r="H6" i="8" s="1"/>
  <c r="H8" i="7"/>
  <c r="H9" i="7" s="1"/>
  <c r="H10" i="7" s="1"/>
  <c r="H11" i="7" s="1"/>
  <c r="H12" i="7" s="1"/>
  <c r="H13" i="7" s="1"/>
  <c r="G6" i="7"/>
  <c r="F6" i="7"/>
  <c r="E6" i="7"/>
  <c r="H6" i="7" s="1"/>
  <c r="H7" i="6"/>
  <c r="G6" i="6"/>
  <c r="F7" i="1" s="1"/>
  <c r="F6" i="6"/>
  <c r="E7" i="1" s="1"/>
  <c r="E6" i="6"/>
  <c r="H7" i="5"/>
  <c r="G6" i="5"/>
  <c r="F6" i="5"/>
  <c r="E6" i="1" s="1"/>
  <c r="E6" i="5"/>
  <c r="H7" i="4"/>
  <c r="G6" i="4"/>
  <c r="F5" i="1" s="1"/>
  <c r="F6" i="4"/>
  <c r="E5" i="1" s="1"/>
  <c r="E6" i="4"/>
  <c r="H7" i="2"/>
  <c r="G6" i="2"/>
  <c r="F4" i="1" s="1"/>
  <c r="F6" i="2"/>
  <c r="E4" i="1" s="1"/>
  <c r="E6" i="2"/>
  <c r="I10" i="1"/>
  <c r="H6" i="6" l="1"/>
  <c r="G7" i="1" s="1"/>
  <c r="D7" i="1"/>
  <c r="H6" i="5"/>
  <c r="G6" i="1" s="1"/>
  <c r="D6" i="1"/>
  <c r="H6" i="4"/>
  <c r="G5" i="1" s="1"/>
  <c r="D5" i="1"/>
  <c r="H6" i="2"/>
  <c r="G4" i="1" s="1"/>
  <c r="D4" i="1"/>
  <c r="H6" i="13"/>
  <c r="H6" i="12"/>
  <c r="H6" i="10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<sst xmlns="http://schemas.openxmlformats.org/spreadsheetml/2006/main" count="423" uniqueCount="125">
  <si>
    <t>f</t>
  </si>
  <si>
    <t>Dedicated Freight Corridor Corporation of  India</t>
  </si>
  <si>
    <t>Index</t>
  </si>
  <si>
    <t>Sr.No.</t>
  </si>
  <si>
    <t>Particular</t>
  </si>
  <si>
    <t>Page No.</t>
  </si>
  <si>
    <r>
      <rPr>
        <b/>
        <sz val="16"/>
        <color theme="1"/>
        <rFont val="Kruti Dev 010"/>
      </rPr>
      <t xml:space="preserve">izkfIr 
</t>
    </r>
    <r>
      <rPr>
        <b/>
        <sz val="16"/>
        <color theme="1"/>
        <rFont val="Times New Roman"/>
        <family val="1"/>
      </rPr>
      <t>Receipt</t>
    </r>
  </si>
  <si>
    <r>
      <rPr>
        <b/>
        <sz val="16"/>
        <color theme="1"/>
        <rFont val="Kruti Dev 010"/>
      </rPr>
      <t xml:space="preserve">LFkkukarj.k 
</t>
    </r>
    <r>
      <rPr>
        <b/>
        <sz val="16"/>
        <color theme="1"/>
        <rFont val="Times New Roman"/>
        <family val="1"/>
      </rPr>
      <t>Transfer</t>
    </r>
  </si>
  <si>
    <r>
      <rPr>
        <b/>
        <sz val="16"/>
        <color theme="1"/>
        <rFont val="Kruti Dev 010"/>
      </rPr>
      <t xml:space="preserve">fuxZe
</t>
    </r>
    <r>
      <rPr>
        <b/>
        <sz val="16"/>
        <color theme="1"/>
        <rFont val="Times New Roman"/>
        <family val="1"/>
      </rPr>
      <t>Issues</t>
    </r>
  </si>
  <si>
    <r>
      <rPr>
        <b/>
        <sz val="16"/>
        <color theme="1"/>
        <rFont val="Kruti Dev 010"/>
      </rPr>
      <t xml:space="preserve"> 'ks"k</t>
    </r>
    <r>
      <rPr>
        <b/>
        <sz val="16"/>
        <color theme="1"/>
        <rFont val="Times New Roman"/>
        <family val="1"/>
      </rPr>
      <t xml:space="preserve"> 
Balance</t>
    </r>
  </si>
  <si>
    <t>Remarks</t>
  </si>
  <si>
    <t>QR</t>
  </si>
  <si>
    <t>NOS.</t>
  </si>
  <si>
    <t xml:space="preserve">M.S Angle </t>
  </si>
  <si>
    <t xml:space="preserve">Crockery Items </t>
  </si>
  <si>
    <t>Plastic Tripal</t>
  </si>
  <si>
    <t xml:space="preserve">Power Exetenter Board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</si>
  <si>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</si>
  <si>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Grease Nipple </t>
  </si>
  <si>
    <r>
      <t xml:space="preserve">foHkkxh; [kkrk feyku iqLrd
</t>
    </r>
    <r>
      <rPr>
        <b/>
        <sz val="24"/>
        <color theme="1"/>
        <rFont val="Times New Roman"/>
        <family val="1"/>
      </rPr>
      <t>DEPARTMENTAL LEDGER AND TALLY BOOK</t>
    </r>
  </si>
  <si>
    <r>
      <t xml:space="preserve">ewY; lwph@dwV la[;k </t>
    </r>
    <r>
      <rPr>
        <b/>
        <sz val="18"/>
        <color theme="1"/>
        <rFont val="Times New Roman"/>
        <family val="1"/>
      </rPr>
      <t>Price List / Code No.</t>
    </r>
  </si>
  <si>
    <r>
      <t xml:space="preserve">feyku i= la[;k </t>
    </r>
    <r>
      <rPr>
        <sz val="16"/>
        <color theme="1"/>
        <rFont val="Times New Roman"/>
        <family val="1"/>
      </rPr>
      <t>Tally Code No.</t>
    </r>
  </si>
  <si>
    <r>
      <t xml:space="preserve">;wfuV </t>
    </r>
    <r>
      <rPr>
        <sz val="16"/>
        <color theme="1"/>
        <rFont val="Times New Roman"/>
        <family val="1"/>
      </rPr>
      <t>Unit</t>
    </r>
  </si>
  <si>
    <r>
      <t xml:space="preserve">oLrq dk fooj.k </t>
    </r>
    <r>
      <rPr>
        <b/>
        <sz val="18"/>
        <color theme="1"/>
        <rFont val="Times New Roman"/>
        <family val="1"/>
      </rPr>
      <t>Description of the Article</t>
    </r>
  </si>
  <si>
    <r>
      <t xml:space="preserve">ys[kk dk;kZy; i`"B la[;k </t>
    </r>
    <r>
      <rPr>
        <sz val="16"/>
        <color theme="1"/>
        <rFont val="Times New Roman"/>
        <family val="1"/>
      </rPr>
      <t>Accounts Office File No.</t>
    </r>
  </si>
  <si>
    <r>
      <rPr>
        <b/>
        <sz val="14"/>
        <color theme="1"/>
        <rFont val="Kruti Dev 010"/>
      </rPr>
      <t xml:space="preserve">ekg vkSj rkjh[k
</t>
    </r>
    <r>
      <rPr>
        <b/>
        <sz val="14"/>
        <color theme="1"/>
        <rFont val="Times New Roman"/>
        <family val="1"/>
      </rPr>
      <t>Month  and Date</t>
    </r>
  </si>
  <si>
    <r>
      <t xml:space="preserve">izkfIr ;k fuxZe okmpj la[;k vkSj rkjh[k
</t>
    </r>
    <r>
      <rPr>
        <b/>
        <sz val="14"/>
        <color theme="1"/>
        <rFont val="Times New Roman"/>
        <family val="1"/>
      </rPr>
      <t>No. and Date of Receiot or issue Voucher</t>
    </r>
  </si>
  <si>
    <r>
      <rPr>
        <b/>
        <sz val="14"/>
        <color theme="1"/>
        <rFont val="Kruti Dev 010"/>
      </rPr>
      <t xml:space="preserve">fdlls izkIr gqvk ;k fdls tkjh fd;k
</t>
    </r>
    <r>
      <rPr>
        <b/>
        <sz val="14"/>
        <color theme="1"/>
        <rFont val="Times New Roman"/>
        <family val="1"/>
      </rPr>
      <t>From Whom received or to whom issued</t>
    </r>
  </si>
  <si>
    <r>
      <rPr>
        <b/>
        <sz val="14"/>
        <color theme="1"/>
        <rFont val="Kruti Dev 010"/>
      </rPr>
      <t xml:space="preserve">izkfIr ;k fuxZe dk mn~ns';
</t>
    </r>
    <r>
      <rPr>
        <b/>
        <sz val="14"/>
        <color theme="1"/>
        <rFont val="Times New Roman"/>
        <family val="1"/>
      </rPr>
      <t>Purpose for which received or issue</t>
    </r>
  </si>
  <si>
    <r>
      <rPr>
        <b/>
        <sz val="14"/>
        <color theme="1"/>
        <rFont val="Kruti Dev 010"/>
      </rPr>
      <t xml:space="preserve">izkfIr 
</t>
    </r>
    <r>
      <rPr>
        <b/>
        <sz val="14"/>
        <color theme="1"/>
        <rFont val="Times New Roman"/>
        <family val="1"/>
      </rPr>
      <t>Receipt</t>
    </r>
  </si>
  <si>
    <r>
      <rPr>
        <b/>
        <sz val="14"/>
        <color theme="1"/>
        <rFont val="Kruti Dev 010"/>
      </rPr>
      <t xml:space="preserve">LFkkukarj.k 
</t>
    </r>
    <r>
      <rPr>
        <b/>
        <sz val="14"/>
        <color theme="1"/>
        <rFont val="Times New Roman"/>
        <family val="1"/>
      </rPr>
      <t>Transfer</t>
    </r>
  </si>
  <si>
    <r>
      <rPr>
        <b/>
        <sz val="14"/>
        <color theme="1"/>
        <rFont val="Kruti Dev 010"/>
      </rPr>
      <t xml:space="preserve">fuxZe
</t>
    </r>
    <r>
      <rPr>
        <b/>
        <sz val="14"/>
        <color theme="1"/>
        <rFont val="Times New Roman"/>
        <family val="1"/>
      </rPr>
      <t>Issues</t>
    </r>
  </si>
  <si>
    <r>
      <rPr>
        <b/>
        <sz val="14"/>
        <color theme="1"/>
        <rFont val="Kruti Dev 010"/>
      </rPr>
      <t xml:space="preserve"> 'ks"k</t>
    </r>
    <r>
      <rPr>
        <b/>
        <sz val="14"/>
        <color theme="1"/>
        <rFont val="Times New Roman"/>
        <family val="1"/>
      </rPr>
      <t xml:space="preserve"> 
Balance</t>
    </r>
  </si>
  <si>
    <r>
      <rPr>
        <b/>
        <sz val="14"/>
        <color theme="1"/>
        <rFont val="Kruti Dev 010"/>
      </rPr>
      <t xml:space="preserve">vk|{kj
</t>
    </r>
    <r>
      <rPr>
        <b/>
        <sz val="14"/>
        <color theme="1"/>
        <rFont val="Times New Roman"/>
        <family val="1"/>
      </rPr>
      <t>Signature</t>
    </r>
  </si>
  <si>
    <r>
      <t xml:space="preserve">ux </t>
    </r>
    <r>
      <rPr>
        <b/>
        <sz val="14"/>
        <color theme="1"/>
        <rFont val="Times New Roman"/>
        <family val="1"/>
      </rPr>
      <t xml:space="preserve">No. 
</t>
    </r>
    <r>
      <rPr>
        <b/>
        <sz val="14"/>
        <color theme="1"/>
        <rFont val="Kruti Dev 010"/>
      </rPr>
      <t xml:space="preserve">Vu </t>
    </r>
    <r>
      <rPr>
        <b/>
        <sz val="14"/>
        <color theme="1"/>
        <rFont val="Times New Roman"/>
        <family val="1"/>
      </rPr>
      <t xml:space="preserve">Tonnes
</t>
    </r>
    <r>
      <rPr>
        <b/>
        <sz val="14"/>
        <color theme="1"/>
        <rFont val="Kruti Dev 010"/>
      </rPr>
      <t xml:space="preserve"> fd-xzk-</t>
    </r>
    <r>
      <rPr>
        <b/>
        <sz val="14"/>
        <color theme="1"/>
        <rFont val="Times New Roman"/>
        <family val="1"/>
      </rPr>
      <t>Kgs.</t>
    </r>
  </si>
  <si>
    <t xml:space="preserve">For track Maintence &amp; Related works </t>
  </si>
  <si>
    <t>TMS/CA-11421 dt. 11.08.2025</t>
  </si>
  <si>
    <t>Thukral Machinery store</t>
  </si>
  <si>
    <t>Grease Nipple 10mm</t>
  </si>
  <si>
    <t>Grease Nipple 8mm</t>
  </si>
  <si>
    <t>Hex bolt &amp; Nut For Roller P&amp;C</t>
  </si>
  <si>
    <t>L&amp;Key bolt for back drive</t>
  </si>
  <si>
    <t>18-09-2024</t>
  </si>
  <si>
    <t>Dinner Set /771
Dated: 18.09.2024</t>
  </si>
  <si>
    <t>CIODW Ami Bartan Bhandar/</t>
  </si>
  <si>
    <t xml:space="preserve">IMSD/USED </t>
  </si>
  <si>
    <t>Glass/771 
Dated 10.09.2024</t>
  </si>
  <si>
    <t>Multi Tray/771
18.09.2024</t>
  </si>
  <si>
    <t>Multi Cup/771
18.09.2024</t>
  </si>
  <si>
    <t>SS Vtensets pcs 771
18.09.2024</t>
  </si>
  <si>
    <t>19-09-2024</t>
  </si>
  <si>
    <t>SS U Temsets /771
19.09.2024</t>
  </si>
  <si>
    <t>In Ductoon /177 
19.09.2024</t>
  </si>
  <si>
    <t>Sumer seabll pipe(3/4 inch)</t>
  </si>
  <si>
    <t xml:space="preserve">3/4 inch pipe sumerseable </t>
  </si>
  <si>
    <t>18/09/2024</t>
  </si>
  <si>
    <t>130 / 
18-04-2024</t>
  </si>
  <si>
    <t>Sharma Sainetry 
Store/ Rajpura</t>
  </si>
  <si>
    <t>IMDS used</t>
  </si>
  <si>
    <t>21.09.2024</t>
  </si>
  <si>
    <t>284 Date 18.09.2024
Imprest</t>
  </si>
  <si>
    <t xml:space="preserve">M/S Singla Traders </t>
  </si>
  <si>
    <t xml:space="preserve">P-way work </t>
  </si>
  <si>
    <t>Bill N0. 113 dt. 22.01.2026</t>
  </si>
  <si>
    <t xml:space="preserve">Prem Industris </t>
  </si>
  <si>
    <t>Bill N0. 114 dt. 23.01.2026</t>
  </si>
  <si>
    <t>Bill N0. 115 dt. 25.01.2026</t>
  </si>
  <si>
    <t>Bill N0. 116 dt. 27.01.2026</t>
  </si>
  <si>
    <t>GP/DFC/Ambala sr.no.1173</t>
  </si>
  <si>
    <t>Lc gate metal staff</t>
  </si>
  <si>
    <t>Pipe Wrinch</t>
  </si>
  <si>
    <t xml:space="preserve">Pipe Wrinch </t>
  </si>
  <si>
    <t>Invoice No.10235 dt. 22.09.2025</t>
  </si>
  <si>
    <t xml:space="preserve">New Agriculture machinery store </t>
  </si>
  <si>
    <t>Lime Powder</t>
  </si>
  <si>
    <t>Invoice No.2289 dt. 28.10.2025</t>
  </si>
  <si>
    <t>Shiva Paints &amp; hardware Rajpura</t>
  </si>
  <si>
    <t>Invoice No.11 dt. 29.10.2025</t>
  </si>
  <si>
    <t>Dev hardware Sadhograh</t>
  </si>
  <si>
    <t>GP/DFC/Ambala sr. 1155 dt. 31.10.2025</t>
  </si>
  <si>
    <t>making of distance signal</t>
  </si>
  <si>
    <t>Invoice No.BPS-5430 dt. 29.10.2025</t>
  </si>
  <si>
    <t>Bagga Paint store Khanna</t>
  </si>
  <si>
    <t xml:space="preserve">GP/DFC/Ambala sr. </t>
  </si>
  <si>
    <t>BPS- 6985 DT. 30.12.2025</t>
  </si>
  <si>
    <t>Bill. No. 80 dt. 31.12.2025</t>
  </si>
  <si>
    <t>Suresh Iron store</t>
  </si>
  <si>
    <t>Demand note</t>
  </si>
  <si>
    <t>Inv 665 dt. 05.03.2026</t>
  </si>
  <si>
    <t>Pritam Singh and sons</t>
  </si>
  <si>
    <t>MS Bolt Chaker Plate</t>
  </si>
  <si>
    <t>TMS/CA-28459 dt 05.03.2026</t>
  </si>
  <si>
    <t>GP/DFC/Ambala sr.2204 dt. 31.03.2026</t>
  </si>
  <si>
    <t>br.199</t>
  </si>
  <si>
    <t xml:space="preserve">Plastic Tripal </t>
  </si>
  <si>
    <t>27-08-2024</t>
  </si>
  <si>
    <t xml:space="preserve">Bill No. 1347 
Ram Singh  sukhpal singh Ambala </t>
  </si>
  <si>
    <t>Ram singh Sukhpal singh (Ambala cantt)</t>
  </si>
  <si>
    <t xml:space="preserve">Track Related work </t>
  </si>
  <si>
    <t>20-09-2024</t>
  </si>
  <si>
    <t>1369 Dated : 20.01.2024</t>
  </si>
  <si>
    <t>Invoice No. 11393 dated 04/08/2024</t>
  </si>
  <si>
    <t xml:space="preserve">Punjab computer </t>
  </si>
  <si>
    <t>TMS Related work at PC IMSD SMUN</t>
  </si>
  <si>
    <t>Sprey Pump /Manual</t>
  </si>
  <si>
    <r>
      <rPr>
        <b/>
        <sz val="14"/>
        <color rgb="FF000000"/>
        <rFont val="Times New Roman"/>
        <family val="1"/>
      </rPr>
      <t xml:space="preserve">fdlls izkIr gqvk ;k fdls tkjh fd;k
</t>
    </r>
    <r>
      <rPr>
        <b/>
        <sz val="14"/>
        <color rgb="FF000000"/>
        <rFont val="Times New Roman"/>
        <family val="1"/>
      </rPr>
      <t>From Whom received or to whom issued</t>
    </r>
  </si>
  <si>
    <t>10.07.2025</t>
  </si>
  <si>
    <t>Invoice No. 775 
Date 10.07.2025</t>
  </si>
  <si>
    <t xml:space="preserve">M/S Dawra seeds </t>
  </si>
  <si>
    <t>Sprey Pump</t>
  </si>
  <si>
    <t>`</t>
  </si>
  <si>
    <t xml:space="preserve">GP/25/000112 DATE.22.09.2025 </t>
  </si>
  <si>
    <t>BLACK SMITH JR.EXE/C/SMUN</t>
  </si>
  <si>
    <t>P-WAY WORK</t>
  </si>
  <si>
    <t>31-09-2026</t>
  </si>
  <si>
    <t>GP/26/000004 DATE.31.01.2026</t>
  </si>
  <si>
    <t>NILL</t>
  </si>
  <si>
    <t>22.09.2025</t>
  </si>
  <si>
    <t>GP/25/000112 DATE.22.09.2025</t>
  </si>
  <si>
    <t>31.01.2026</t>
  </si>
  <si>
    <t>NUT&amp;BOLT FOR ROLE GP/25/000112 DATE.22.09.2025</t>
  </si>
  <si>
    <t>BLACK SMITH JR.EXE./C/SMUN</t>
  </si>
  <si>
    <t>06.08.2025</t>
  </si>
  <si>
    <t>INVOICE NO.300 DATE.06.8.2025</t>
  </si>
  <si>
    <t xml:space="preserve">VINOD MOTORS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</si>
</sst>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0000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Stencil"/>
      <family val="5"/>
    </font>
    <font>
      <b/>
      <sz val="18"/>
      <color theme="1"/>
      <name val="Times New Roman"/>
      <family val="1"/>
    </font>
    <font>
      <b/>
      <sz val="16"/>
      <color theme="1"/>
      <name val="Kruti Dev 010"/>
    </font>
    <font>
      <b/>
      <sz val="16"/>
      <color theme="1"/>
      <name val="Times New Roman"/>
      <family val="1"/>
    </font>
    <font>
      <b/>
      <sz val="18"/>
      <color theme="1"/>
      <name val="Calibri"/>
      <family val="2"/>
    </font>
    <font>
      <b/>
      <sz val="11"/>
      <color rgb="FF0070C0"/>
      <name val="Times New Roman"/>
      <family val="1"/>
    </font>
    <font>
      <sz val="11"/>
      <color theme="1"/>
      <name val="Segoe UI"/>
      <family val="2"/>
    </font>
    <font>
      <sz val="14"/>
      <color theme="1"/>
      <name val="Calibri"/>
      <family val="2"/>
      <scheme val="minor"/>
    </font>
    <font>
      <b/>
      <sz val="24"/>
      <color theme="1"/>
      <name val="Kruti Dev 010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Kruti Dev 010"/>
    </font>
    <font>
      <b/>
      <u/>
      <sz val="16"/>
      <color rgb="FFFF0000"/>
      <name val="Kruti Dev 010"/>
    </font>
    <font>
      <b/>
      <u/>
      <sz val="18"/>
      <color rgb="FFFF0000"/>
      <name val="Kruti Dev 010"/>
    </font>
    <font>
      <u/>
      <sz val="16"/>
      <color theme="1"/>
      <name val="Times New Roman"/>
      <family val="1"/>
    </font>
    <font>
      <u/>
      <sz val="16"/>
      <color rgb="FFFF0000"/>
      <name val="Times New Roman"/>
      <family val="1"/>
    </font>
    <font>
      <b/>
      <sz val="18"/>
      <color rgb="FFFF0000"/>
      <name val="Kruti Dev 010"/>
    </font>
    <font>
      <b/>
      <sz val="14"/>
      <color theme="1"/>
      <name val="Times New Roman"/>
      <family val="1"/>
    </font>
    <font>
      <b/>
      <sz val="14"/>
      <color theme="1"/>
      <name val="Kruti Dev 010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u/>
      <sz val="18"/>
      <color rgb="FFFF0000"/>
      <name val="Times New Roman"/>
      <family val="1"/>
    </font>
    <font>
      <u/>
      <sz val="12"/>
      <color rgb="FFFF0000"/>
      <name val="Times New Roman"/>
      <family val="1"/>
    </font>
    <font>
      <sz val="8"/>
      <name val="Calibri"/>
      <family val="2"/>
      <scheme val="minor"/>
    </font>
    <font>
      <u/>
      <sz val="14"/>
      <color rgb="FFFF0000"/>
      <name val="Times New Roman"/>
      <family val="1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2" fontId="5" fillId="0" borderId="1" xfId="0" applyNumberFormat="1" applyFont="1" applyBorder="1" applyAlignment="1">
      <alignment horizontal="center" vertical="center" wrapText="1"/>
    </xf>
    <xf numFmtId="0" fontId="11" fillId="4" borderId="0" xfId="0" applyFont="1" applyFill="1"/>
    <xf numFmtId="0" fontId="14" fillId="0" borderId="0" xfId="0" applyFont="1"/>
    <xf numFmtId="0" fontId="16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14" fillId="4" borderId="0" xfId="0" applyFont="1" applyFill="1"/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2" fontId="25" fillId="0" borderId="1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left" vertical="center"/>
    </xf>
    <xf numFmtId="0" fontId="27" fillId="4" borderId="0" xfId="0" applyFont="1" applyFill="1" applyAlignment="1">
      <alignment horizontal="center" vertical="center"/>
    </xf>
    <xf numFmtId="0" fontId="21" fillId="2" borderId="6" xfId="0" applyFont="1" applyFill="1" applyBorder="1" applyAlignment="1">
      <alignment horizontal="center" vertical="center" wrapText="1"/>
    </xf>
    <xf numFmtId="0" fontId="28" fillId="4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0" fillId="5" borderId="0" xfId="0" applyFill="1"/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1"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0/07/relationships/rdRichValueWebImage" Target="richData/rdRichValueWebIm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4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5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6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7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8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9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0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1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2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3"/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4"/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4"/><Relationship Id="rId1" Type="http://schemas.openxmlformats.org/officeDocument/2006/relationships/image" Target="../media/image2.jpeg"/><Relationship Id="rId4" Type="http://schemas.openxmlformats.org/officeDocument/2006/relationships/hyperlink" Target="#Index!B15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#Index!B14"/><Relationship Id="rId1" Type="http://schemas.openxmlformats.org/officeDocument/2006/relationships/image" Target="../media/image2.jpeg"/><Relationship Id="rId5" Type="http://schemas.openxmlformats.org/officeDocument/2006/relationships/hyperlink" Target="#Index!B16"/><Relationship Id="rId4" Type="http://schemas.openxmlformats.org/officeDocument/2006/relationships/hyperlink" Target="#Index!B15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0</xdr:colOff>
      <xdr:row>1</xdr:row>
      <xdr:rowOff>76200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F9F15A6-C152-4330-A272-D01FD5BEDFF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733424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0D6D726-E881-43A2-8F46-726D0AA1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67ED1C-48DC-4CBA-B8B6-04299BC417F4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9126B59-F3D0-4D32-9D48-92ED5B28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B130E4-B887-4630-B675-6AFC0D5E09E6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CD999A1-0709-4052-9F86-00AE8384E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5CF550-B4BE-4B48-87E8-4337AA6213A2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348AF68-ADE4-4F85-A435-496BC4EF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D0FC15-C9EE-48A5-95E0-7C7B2008FBEA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5F56812-F00B-45E8-88E1-D57B8D7D3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8F5FDE-833F-45E0-8073-A55183BB6E6F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6C40B7F8-A8A9-47E6-8773-567D9E61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2D4870-2FB1-4408-9E75-A6F9079F97FA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A9D8AE2-E198-464E-ABC0-6EF6364C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E4843A-0872-4119-B2CD-82FB129C9581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6578D17-BD76-4A94-91C0-C1867870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50A83D-6F02-4B54-8465-9F747D387A0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D57F83C-AF32-45F5-9F5F-0A7CBE83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AFA3F3-9B1C-4185-B9A6-8D7908012D56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2C7587E-50E5-4E0A-9090-5234F1C11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26564F-BC09-4985-B96C-9ADF26F227C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5CEFA5E-535B-49A7-8472-E14949B1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14FDFC-D982-49AD-97C3-449D0C3AFE2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716C76C-3EAD-4E0E-B53B-B28D88E72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F215E2-0046-4DDD-92CC-239B7187A892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7DD9BCEF-14B2-44FF-A8DA-E50E9618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C9A26C-98AD-4F7B-914C-43668A0EA626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DCC316A-5C17-4BC6-989E-0B6FC2E6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0C8EC6-B883-445C-98AA-4AAFB088EE07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5738092E-3C5C-43EC-8647-2878F6A7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D3690C-C0F3-4AA4-9952-8456FB7C0AA9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09144AE7-5C9C-45AE-9439-FF52D5313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41094D-BEE8-4984-BAFB-B44B749B497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5F1A74D-3027-4EFF-9A64-109079B58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2C2EE4-31A9-4917-B5D6-4B6A54F3F24B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4" name="Picture 3" descr="DFC logo">
          <a:extLst>
            <a:ext uri="{FF2B5EF4-FFF2-40B4-BE49-F238E27FC236}">
              <a16:creationId xmlns:a16="http://schemas.microsoft.com/office/drawing/2014/main" id="{C6079423-CEDA-492B-AC0E-476B8615C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5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7D226F-AD8F-4F3C-8965-988A23EBD325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6" name="Picture 5" descr="DFC logo">
          <a:extLst>
            <a:ext uri="{FF2B5EF4-FFF2-40B4-BE49-F238E27FC236}">
              <a16:creationId xmlns:a16="http://schemas.microsoft.com/office/drawing/2014/main" id="{D808A0A6-EE79-4C81-B5A6-A7BC2AA4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3905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7" name="Rounded Rectangle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D19B15-B9C1-48CF-A782-BC6C6E916820}"/>
            </a:ext>
          </a:extLst>
        </xdr:cNvPr>
        <xdr:cNvSpPr/>
      </xdr:nvSpPr>
      <xdr:spPr>
        <a:xfrm>
          <a:off x="13573125" y="47625"/>
          <a:ext cx="2009775" cy="6381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8" name="Picture 7" descr="DFC logo">
          <a:extLst>
            <a:ext uri="{FF2B5EF4-FFF2-40B4-BE49-F238E27FC236}">
              <a16:creationId xmlns:a16="http://schemas.microsoft.com/office/drawing/2014/main" id="{7E8CCF56-3DDC-4618-BE3D-2920A0773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733425"/>
        </a:xfrm>
        <a:prstGeom prst="rect">
          <a:avLst/>
        </a:prstGeom>
        <a:solidFill>
          <a:srgbClr val="FF0000"/>
        </a:solidFill>
      </xdr:spPr>
    </xdr:pic>
    <xdr:clientData/>
  </xdr:twoCellAnchor>
  <xdr:twoCellAnchor>
    <xdr:from>
      <xdr:col>10</xdr:col>
      <xdr:colOff>19050</xdr:colOff>
      <xdr:row>0</xdr:row>
      <xdr:rowOff>47625</xdr:rowOff>
    </xdr:from>
    <xdr:to>
      <xdr:col>13</xdr:col>
      <xdr:colOff>200025</xdr:colOff>
      <xdr:row>1</xdr:row>
      <xdr:rowOff>371475</xdr:rowOff>
    </xdr:to>
    <xdr:sp macro="" textlink="">
      <xdr:nvSpPr>
        <xdr:cNvPr id="9" name="Rounded Rectangle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8B5E66-3F96-49E2-8821-E2BE2999FB12}"/>
            </a:ext>
          </a:extLst>
        </xdr:cNvPr>
        <xdr:cNvSpPr/>
      </xdr:nvSpPr>
      <xdr:spPr>
        <a:xfrm>
          <a:off x="13573125" y="47625"/>
          <a:ext cx="2009775" cy="100012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Tme"/>
            </a:rPr>
            <a:t>Return to Index</a:t>
          </a:r>
        </a:p>
      </xdr:txBody>
    </xdr:sp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quickchart.io/qr?text=Sr%20No%3A%20Index%20%7C%20Item%3A%20%20%7C%20Page%20No%3A%20%20%7C%20Receipt%3A%20%20%7C%20Transfer%3A%20%20%7C%20Issues%3A%20%20%7C%20Balance%3A%20%20%7C%20Remarks%3A%20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"/>
  <sheetViews>
    <sheetView tabSelected="1" view="pageBreakPreview" zoomScale="60" zoomScaleNormal="100" workbookViewId="0">
      <selection activeCell="B22" sqref="B22"/>
    </sheetView>
  </sheetViews>
  <sheetFormatPr defaultRowHeight="15" x14ac:dyDescent="0.25"/>
  <cols>
    <col min="1" max="1" width="11" customWidth="1"/>
    <col min="2" max="2" width="51.140625" customWidth="1"/>
    <col min="3" max="3" width="14.85546875" customWidth="1"/>
    <col min="4" max="4" width="17" customWidth="1"/>
    <col min="5" max="5" width="13.85546875" customWidth="1"/>
    <col min="6" max="6" width="14.28515625" customWidth="1"/>
    <col min="7" max="7" width="12.42578125" customWidth="1"/>
    <col min="8" max="8" width="16.5703125" customWidth="1"/>
    <col min="9" max="9" width="16.5703125" hidden="1" customWidth="1"/>
    <col min="10" max="10" width="0" hidden="1" customWidth="1"/>
    <col min="12" max="12" width="28.85546875" customWidth="1"/>
  </cols>
  <sheetData>
    <row r="1" spans="1:13" ht="50.1" customHeight="1" x14ac:dyDescent="0.25">
      <c r="A1" s="1" t="s">
        <v>0</v>
      </c>
      <c r="B1" s="56" t="s">
        <v>1</v>
      </c>
      <c r="C1" s="56"/>
      <c r="D1" s="56"/>
      <c r="E1" s="56"/>
      <c r="F1" s="56"/>
      <c r="G1" s="56"/>
      <c r="H1" s="56"/>
      <c r="I1" s="2"/>
      <c r="L1" s="55"/>
      <c r="M1" s="55"/>
    </row>
    <row r="2" spans="1:13" ht="26.25" x14ac:dyDescent="0.25">
      <c r="A2" s="57" t="s">
        <v>2</v>
      </c>
      <c r="B2" s="57"/>
      <c r="C2" s="57"/>
      <c r="D2" s="57"/>
      <c r="E2" s="57"/>
      <c r="F2" s="57"/>
      <c r="G2" s="57"/>
      <c r="H2" s="57"/>
      <c r="I2" s="3"/>
      <c r="L2" s="55"/>
      <c r="M2" s="55"/>
    </row>
    <row r="3" spans="1:13" ht="39.950000000000003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5" t="s">
        <v>11</v>
      </c>
      <c r="L3" s="55"/>
      <c r="M3" s="55"/>
    </row>
    <row r="4" spans="1:13" ht="24" customHeight="1" x14ac:dyDescent="0.25">
      <c r="A4" s="41">
        <v>1</v>
      </c>
      <c r="B4" s="42" t="s">
        <v>39</v>
      </c>
      <c r="C4" s="41">
        <v>1001</v>
      </c>
      <c r="D4" s="50">
        <f>'1001'!E6</f>
        <v>100</v>
      </c>
      <c r="E4" s="50">
        <f>'1001'!F6</f>
        <v>0</v>
      </c>
      <c r="F4" s="50">
        <f>'1001'!G6</f>
        <v>100</v>
      </c>
      <c r="G4" s="50">
        <f>'1001'!H6</f>
        <v>0</v>
      </c>
      <c r="H4" s="41"/>
      <c r="I4" s="51"/>
      <c r="L4" s="55"/>
      <c r="M4" s="55"/>
    </row>
    <row r="5" spans="1:13" ht="24" customHeight="1" x14ac:dyDescent="0.25">
      <c r="A5" s="41">
        <v>2</v>
      </c>
      <c r="B5" s="42" t="s">
        <v>38</v>
      </c>
      <c r="C5" s="41">
        <v>1003</v>
      </c>
      <c r="D5" s="50">
        <f>'1003'!E6</f>
        <v>100</v>
      </c>
      <c r="E5" s="50">
        <f>'1003'!F6</f>
        <v>0</v>
      </c>
      <c r="F5" s="50">
        <f>'1003'!G6</f>
        <v>100</v>
      </c>
      <c r="G5" s="50">
        <f>'1003'!H6</f>
        <v>0</v>
      </c>
      <c r="H5" s="41"/>
      <c r="I5" s="51"/>
      <c r="L5" s="55"/>
      <c r="M5" s="55"/>
    </row>
    <row r="6" spans="1:13" ht="25.5" customHeight="1" x14ac:dyDescent="0.25">
      <c r="A6" s="41">
        <v>3</v>
      </c>
      <c r="B6" s="42" t="s">
        <v>40</v>
      </c>
      <c r="C6" s="41">
        <v>1005</v>
      </c>
      <c r="D6" s="50">
        <f>'1005'!E6</f>
        <v>50</v>
      </c>
      <c r="E6" s="50">
        <f>'1005'!F6</f>
        <v>0</v>
      </c>
      <c r="F6" s="50">
        <f>'1005'!G6</f>
        <v>50</v>
      </c>
      <c r="G6" s="50">
        <f>'1005'!H6</f>
        <v>0</v>
      </c>
      <c r="H6" s="41"/>
      <c r="I6" s="51"/>
      <c r="L6" s="55"/>
      <c r="M6" s="55"/>
    </row>
    <row r="7" spans="1:13" ht="25.5" customHeight="1" x14ac:dyDescent="0.25">
      <c r="A7" s="41">
        <v>4</v>
      </c>
      <c r="B7" s="42" t="s">
        <v>41</v>
      </c>
      <c r="C7" s="41">
        <v>1007</v>
      </c>
      <c r="D7" s="50">
        <f>'1007'!E6</f>
        <v>400</v>
      </c>
      <c r="E7" s="50">
        <f>'1007'!F6</f>
        <v>0</v>
      </c>
      <c r="F7" s="50">
        <f>'1007'!G6</f>
        <v>100</v>
      </c>
      <c r="G7" s="50">
        <f>'1007'!H6</f>
        <v>300</v>
      </c>
      <c r="H7" s="41"/>
      <c r="I7" s="51"/>
      <c r="L7" s="55"/>
      <c r="M7" s="55"/>
    </row>
    <row r="8" spans="1:13" ht="25.5" customHeight="1" x14ac:dyDescent="0.25">
      <c r="A8" s="41">
        <v>5</v>
      </c>
      <c r="B8" s="42" t="s">
        <v>14</v>
      </c>
      <c r="C8" s="41">
        <v>1009</v>
      </c>
      <c r="D8" s="50">
        <f>'1009'!E6</f>
        <v>9</v>
      </c>
      <c r="E8" s="50">
        <f>'1009'!F6</f>
        <v>0</v>
      </c>
      <c r="F8" s="50">
        <f>'1009'!G6</f>
        <v>0</v>
      </c>
      <c r="G8" s="50">
        <f>'1009'!H6</f>
        <v>9</v>
      </c>
      <c r="H8" s="41"/>
      <c r="I8" s="51"/>
      <c r="L8" s="55"/>
      <c r="M8" s="55"/>
    </row>
    <row r="9" spans="1:13" ht="25.5" customHeight="1" x14ac:dyDescent="0.25">
      <c r="A9" s="41">
        <v>6</v>
      </c>
      <c r="B9" s="42" t="s">
        <v>53</v>
      </c>
      <c r="C9" s="41">
        <v>1012</v>
      </c>
      <c r="D9" s="50">
        <f>'1012'!E6</f>
        <v>1</v>
      </c>
      <c r="E9" s="50">
        <f>'1012'!F6</f>
        <v>0</v>
      </c>
      <c r="F9" s="50">
        <f>'1012'!G6</f>
        <v>0</v>
      </c>
      <c r="G9" s="50">
        <f>'1012'!H6</f>
        <v>1</v>
      </c>
      <c r="H9" s="41"/>
      <c r="I9" s="51"/>
      <c r="L9" s="55"/>
      <c r="M9" s="55"/>
    </row>
    <row r="10" spans="1:13" ht="24.95" customHeight="1" x14ac:dyDescent="0.25">
      <c r="A10" s="41">
        <v>7</v>
      </c>
      <c r="B10" s="42" t="s">
        <v>13</v>
      </c>
      <c r="C10" s="43">
        <v>1014</v>
      </c>
      <c r="D10" s="52">
        <f>'1014'!E6</f>
        <v>137.69999999999999</v>
      </c>
      <c r="E10" s="52">
        <f>'1014'!F6</f>
        <v>0</v>
      </c>
      <c r="F10" s="52">
        <f>'1014'!G6</f>
        <v>74</v>
      </c>
      <c r="G10" s="52">
        <f>'1014'!H6</f>
        <v>63.699999999999989</v>
      </c>
      <c r="H10" s="53" t="s">
        <v>12</v>
      </c>
      <c r="I10" s="54" t="e" vm="1">
        <f>_xlfn.IMAGE("https://quickchart.io/qr?text="&amp;_xlfn.ENCODEURL("Sr No: "&amp;A2&amp;" | Item: "&amp;B2&amp;" | Page No: "&amp;C2&amp;" | Receipt: "&amp;D2&amp;" | Transfer: "&amp;E2&amp;" | Issues: "&amp;F2&amp;" | Balance: "&amp;G2&amp;" | Remarks: "&amp;H2))</f>
        <v>#VALUE!</v>
      </c>
      <c r="L10" s="55"/>
      <c r="M10" s="55"/>
    </row>
    <row r="11" spans="1:13" ht="24.95" customHeight="1" x14ac:dyDescent="0.25">
      <c r="A11" s="41">
        <v>8</v>
      </c>
      <c r="B11" s="42" t="s">
        <v>70</v>
      </c>
      <c r="C11" s="6">
        <v>1015</v>
      </c>
      <c r="D11" s="7">
        <f>'1015'!E6</f>
        <v>1</v>
      </c>
      <c r="E11" s="7">
        <f>'1015'!F6</f>
        <v>0</v>
      </c>
      <c r="F11" s="7">
        <f>'1015'!G6</f>
        <v>0</v>
      </c>
      <c r="G11" s="7">
        <f>'1015'!H6</f>
        <v>1</v>
      </c>
      <c r="H11" s="8"/>
      <c r="I11" s="9"/>
      <c r="L11" s="55"/>
      <c r="M11" s="55"/>
    </row>
    <row r="12" spans="1:13" ht="24.95" customHeight="1" x14ac:dyDescent="0.25">
      <c r="A12" s="41">
        <v>9</v>
      </c>
      <c r="B12" s="42" t="s">
        <v>74</v>
      </c>
      <c r="C12" s="6">
        <v>1016</v>
      </c>
      <c r="D12" s="7">
        <f>'1016'!E6</f>
        <v>120</v>
      </c>
      <c r="E12" s="7">
        <f>'1016'!F6</f>
        <v>0</v>
      </c>
      <c r="F12" s="7">
        <f>'1016'!G6</f>
        <v>100</v>
      </c>
      <c r="G12" s="7">
        <f>'1016'!H6</f>
        <v>20</v>
      </c>
      <c r="H12" s="7"/>
      <c r="I12" s="9"/>
      <c r="L12" s="55"/>
      <c r="M12" s="55"/>
    </row>
    <row r="13" spans="1:13" ht="24.95" customHeight="1" x14ac:dyDescent="0.25">
      <c r="A13" s="41">
        <v>10</v>
      </c>
      <c r="B13" s="42" t="s">
        <v>90</v>
      </c>
      <c r="C13" s="6">
        <v>1019</v>
      </c>
      <c r="D13" s="7">
        <f>'1019'!E6</f>
        <v>3</v>
      </c>
      <c r="E13" s="7">
        <f>'1019'!F6</f>
        <v>0</v>
      </c>
      <c r="F13" s="7">
        <f>'1019'!G6</f>
        <v>3</v>
      </c>
      <c r="G13" s="7">
        <f>'1019'!H6</f>
        <v>0</v>
      </c>
      <c r="H13" s="8"/>
      <c r="I13" s="9"/>
      <c r="L13" s="55"/>
      <c r="M13" s="55"/>
    </row>
    <row r="14" spans="1:13" ht="24.95" customHeight="1" x14ac:dyDescent="0.25">
      <c r="A14" s="41">
        <v>11</v>
      </c>
      <c r="B14" s="42" t="s">
        <v>15</v>
      </c>
      <c r="C14" s="6">
        <v>1022</v>
      </c>
      <c r="D14" s="7">
        <f>'1022'!E6</f>
        <v>4</v>
      </c>
      <c r="E14" s="7">
        <f>'1022'!F6</f>
        <v>0</v>
      </c>
      <c r="F14" s="7">
        <f>'1022'!G6</f>
        <v>0</v>
      </c>
      <c r="G14" s="7">
        <f>'1022'!H6</f>
        <v>4</v>
      </c>
      <c r="H14" s="8"/>
      <c r="I14" s="9"/>
      <c r="L14" s="55"/>
      <c r="M14" s="55"/>
    </row>
    <row r="15" spans="1:13" ht="24.95" customHeight="1" x14ac:dyDescent="0.25">
      <c r="A15" s="41">
        <v>12</v>
      </c>
      <c r="B15" s="42" t="s">
        <v>16</v>
      </c>
      <c r="C15" s="6">
        <v>1024</v>
      </c>
      <c r="D15" s="7">
        <f>'1024'!E6</f>
        <v>1</v>
      </c>
      <c r="E15" s="7">
        <f>'1024'!F6</f>
        <v>0</v>
      </c>
      <c r="F15" s="7">
        <f>'1024'!G6</f>
        <v>0</v>
      </c>
      <c r="G15" s="7">
        <f>'1024'!H6</f>
        <v>1</v>
      </c>
      <c r="H15" s="8"/>
      <c r="I15" s="9"/>
      <c r="L15" s="55"/>
      <c r="M15" s="55"/>
    </row>
    <row r="16" spans="1:13" ht="24.95" customHeight="1" x14ac:dyDescent="0.25">
      <c r="A16" s="41">
        <v>13</v>
      </c>
      <c r="B16" s="42" t="s">
        <v>109</v>
      </c>
      <c r="C16" s="6">
        <v>1025</v>
      </c>
      <c r="D16" s="7">
        <f>'1025'!E6</f>
        <v>1</v>
      </c>
      <c r="E16" s="7">
        <f>'1025'!F6</f>
        <v>0</v>
      </c>
      <c r="F16" s="7">
        <f>'1025'!G6</f>
        <v>0</v>
      </c>
      <c r="G16" s="7">
        <f>'1025'!H6</f>
        <v>1</v>
      </c>
      <c r="H16" s="8"/>
      <c r="I16" s="9"/>
      <c r="L16" s="55"/>
      <c r="M16" s="55"/>
    </row>
    <row r="17" spans="1:13" ht="24.95" customHeight="1" x14ac:dyDescent="0.25">
      <c r="A17" s="41">
        <v>14</v>
      </c>
      <c r="B17" s="42"/>
      <c r="C17" s="6"/>
      <c r="D17" s="10"/>
      <c r="E17" s="10"/>
      <c r="F17" s="10"/>
      <c r="G17" s="10"/>
      <c r="H17" s="8"/>
      <c r="I17" s="9"/>
      <c r="L17" s="55"/>
      <c r="M17" s="55"/>
    </row>
    <row r="18" spans="1:13" ht="24.95" customHeight="1" x14ac:dyDescent="0.25">
      <c r="A18" s="41">
        <v>15</v>
      </c>
      <c r="B18" s="42"/>
      <c r="C18" s="6"/>
      <c r="D18" s="7"/>
      <c r="E18" s="7"/>
      <c r="F18" s="7"/>
      <c r="G18" s="7"/>
      <c r="H18" s="8"/>
      <c r="I18" s="9"/>
    </row>
    <row r="19" spans="1:13" ht="24.95" customHeight="1" x14ac:dyDescent="0.25">
      <c r="A19" s="41">
        <v>16</v>
      </c>
      <c r="B19" s="42"/>
      <c r="C19" s="6"/>
      <c r="D19" s="7"/>
      <c r="E19" s="7"/>
      <c r="F19" s="7"/>
      <c r="G19" s="7"/>
      <c r="H19" s="8"/>
      <c r="I19" s="9"/>
    </row>
    <row r="20" spans="1:13" ht="24.95" customHeight="1" x14ac:dyDescent="0.25">
      <c r="A20" s="41">
        <v>17</v>
      </c>
      <c r="B20" s="42"/>
      <c r="C20" s="6"/>
      <c r="D20" s="7"/>
      <c r="E20" s="7"/>
      <c r="F20" s="7"/>
      <c r="G20" s="7"/>
      <c r="H20" s="8"/>
      <c r="I20" s="9"/>
    </row>
    <row r="21" spans="1:13" ht="24.95" customHeight="1" x14ac:dyDescent="0.25">
      <c r="A21" s="41">
        <v>18</v>
      </c>
      <c r="B21" s="42"/>
      <c r="C21" s="6"/>
      <c r="D21" s="7"/>
      <c r="E21" s="7"/>
      <c r="F21" s="7"/>
      <c r="G21" s="7"/>
      <c r="H21" s="8"/>
      <c r="I21" s="9"/>
    </row>
    <row r="22" spans="1:13" ht="23.25" x14ac:dyDescent="0.25">
      <c r="A22" s="41">
        <v>19</v>
      </c>
      <c r="B22" s="42"/>
      <c r="C22" s="6"/>
      <c r="D22" s="7"/>
      <c r="E22" s="7"/>
      <c r="F22" s="7"/>
      <c r="G22" s="7"/>
      <c r="H22" s="8"/>
      <c r="I22" s="9"/>
    </row>
    <row r="23" spans="1:13" ht="23.25" x14ac:dyDescent="0.25">
      <c r="A23" s="41">
        <v>20</v>
      </c>
      <c r="B23" s="42"/>
      <c r="C23" s="6"/>
      <c r="D23" s="7"/>
      <c r="E23" s="7"/>
      <c r="F23" s="7"/>
      <c r="G23" s="7"/>
      <c r="H23" s="8"/>
      <c r="I23" s="9"/>
    </row>
    <row r="24" spans="1:13" ht="23.25" x14ac:dyDescent="0.25">
      <c r="A24" s="41">
        <v>1</v>
      </c>
      <c r="B24" s="42"/>
      <c r="C24" s="6"/>
      <c r="D24" s="7"/>
      <c r="E24" s="7"/>
      <c r="F24" s="7"/>
      <c r="G24" s="7"/>
      <c r="H24" s="8"/>
      <c r="I24" s="9"/>
    </row>
    <row r="25" spans="1:13" ht="20.25" x14ac:dyDescent="0.25">
      <c r="A25" s="6"/>
      <c r="C25" s="6"/>
      <c r="D25" s="7"/>
      <c r="E25" s="7"/>
      <c r="F25" s="7"/>
      <c r="G25" s="7"/>
      <c r="H25" s="8"/>
      <c r="I25" s="9"/>
    </row>
    <row r="33" spans="3:3" x14ac:dyDescent="0.25">
      <c r="C33" t="s">
        <v>17</v>
      </c>
    </row>
  </sheetData>
  <mergeCells count="2">
    <mergeCell ref="B1:H1"/>
    <mergeCell ref="A2:H2"/>
  </mergeCells>
  <hyperlinks>
    <hyperlink ref="B4" location="'1001'!A1" display="Grease Nipple " xr:uid="{39493173-8FC8-4D50-AACA-E0AB973D8B49}"/>
    <hyperlink ref="B5" location="'1003'!A1" display="Grease Nipple 10mm" xr:uid="{F7370A04-4F78-434E-A0BE-85621077415B}"/>
    <hyperlink ref="B6" location="'1005'!A1" display="Hex bolt &amp; Nut For Roller P&amp;C" xr:uid="{F07766DD-AF4A-4F45-BF76-7FE5924B420F}"/>
    <hyperlink ref="B7" location="'1007'!A1" display="L&amp;Key bolt for back drive" xr:uid="{C01B662C-8EE5-4696-988D-0591571473D9}"/>
    <hyperlink ref="B8" location="'1009'!A1" display="Crockery Items " xr:uid="{18725F6C-2DE2-49EF-83D0-0FD78C97511B}"/>
    <hyperlink ref="B9" location="'1012'!A1" display="Sumer seabll pipe(3/4 inch)" xr:uid="{C2FEFD03-37CF-4F4F-B67D-B86368192291}"/>
    <hyperlink ref="B10" location="'1014'!A1" display="M.S Angle " xr:uid="{67A4C031-E062-47CE-A2D9-5EE98D327C45}"/>
    <hyperlink ref="B11" location="'1015'!A1" display="Pipe Wrinch" xr:uid="{3CE53D96-4AD7-44F2-8491-52758A84F2FA}"/>
    <hyperlink ref="B12" location="'1016'!A1" display="Lime Powder" xr:uid="{362315A3-E294-451D-9EA0-D1A6D4BAC33F}"/>
    <hyperlink ref="B13" location="'1019'!A1" display="MS Bolt Chaker Plate" xr:uid="{266385CF-FDDD-43FB-97DD-3F9A61AB2656}"/>
    <hyperlink ref="B14" location="'1022'!A1" display="Plastic Tripal" xr:uid="{C457EB32-AEA2-4A05-BF81-AB73A97EB15E}"/>
    <hyperlink ref="B15" location="'1024'!A1" display="Power Exetenter Board " xr:uid="{7F38C1CE-389B-456C-8020-559A18356DFB}"/>
    <hyperlink ref="B16" location="'1025'!A1" display="Sprey Pump" xr:uid="{8712ED95-E799-4F18-847A-A30DFF6DB941}"/>
  </hyperlinks>
  <pageMargins left="0.70866141732283472" right="0.70866141732283472" top="0.74803149606299213" bottom="0.74803149606299213" header="0.31496062992125984" footer="0.31496062992125984"/>
  <pageSetup scale="85" orientation="portrait" r:id="rId1"/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7E77-0513-49CC-8267-3D88E740F6B5}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3202-8BD5-48B9-9239-E299C3367F83}">
  <sheetPr codeName="Sheet3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 t="s">
        <v>110</v>
      </c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7</v>
      </c>
      <c r="E2" s="66" t="s">
        <v>21</v>
      </c>
      <c r="F2" s="66"/>
      <c r="G2" s="66"/>
      <c r="H2" s="15">
        <v>1</v>
      </c>
      <c r="I2" s="14" t="s">
        <v>22</v>
      </c>
      <c r="J2" s="15">
        <v>1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17" t="s">
        <v>18</v>
      </c>
      <c r="E3" s="68" t="s">
        <v>24</v>
      </c>
      <c r="F3" s="68"/>
      <c r="G3" s="68"/>
      <c r="H3" s="68"/>
      <c r="I3" s="18">
        <v>1001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3" t="s">
        <v>33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SUM(E7:E998)</f>
        <v>100</v>
      </c>
      <c r="F6" s="1">
        <f>SUM(F7:F998)</f>
        <v>0</v>
      </c>
      <c r="G6" s="1">
        <f>SUM(G7:G998)</f>
        <v>100</v>
      </c>
      <c r="H6" s="1">
        <f>+E6-F6-G6</f>
        <v>0</v>
      </c>
      <c r="I6" s="24"/>
      <c r="J6" s="25"/>
    </row>
    <row r="7" spans="1:13" s="22" customFormat="1" ht="56.25" x14ac:dyDescent="0.25">
      <c r="A7" s="26">
        <v>45880</v>
      </c>
      <c r="B7" s="27" t="s">
        <v>36</v>
      </c>
      <c r="C7" s="28" t="s">
        <v>37</v>
      </c>
      <c r="D7" s="28" t="s">
        <v>35</v>
      </c>
      <c r="E7" s="29">
        <v>100</v>
      </c>
      <c r="F7" s="30">
        <v>0</v>
      </c>
      <c r="G7" s="30">
        <v>0</v>
      </c>
      <c r="H7" s="29">
        <f>SUM(E7:G7)</f>
        <v>100</v>
      </c>
      <c r="I7" s="58"/>
      <c r="J7" s="59"/>
    </row>
    <row r="8" spans="1:13" s="22" customFormat="1" ht="56.25" x14ac:dyDescent="0.25">
      <c r="A8" s="33">
        <v>45922</v>
      </c>
      <c r="B8" s="27" t="s">
        <v>111</v>
      </c>
      <c r="C8" s="28" t="s">
        <v>112</v>
      </c>
      <c r="D8" s="28" t="s">
        <v>113</v>
      </c>
      <c r="E8" s="29">
        <v>0</v>
      </c>
      <c r="F8" s="30">
        <v>0</v>
      </c>
      <c r="G8" s="30">
        <v>50</v>
      </c>
      <c r="H8" s="29">
        <v>50</v>
      </c>
      <c r="I8" s="58"/>
      <c r="J8" s="59"/>
    </row>
    <row r="9" spans="1:13" s="22" customFormat="1" ht="56.25" x14ac:dyDescent="0.25">
      <c r="A9" s="33" t="s">
        <v>114</v>
      </c>
      <c r="B9" s="27" t="s">
        <v>115</v>
      </c>
      <c r="C9" s="28" t="s">
        <v>112</v>
      </c>
      <c r="D9" s="28" t="s">
        <v>113</v>
      </c>
      <c r="E9" s="30">
        <v>0</v>
      </c>
      <c r="F9" s="30">
        <v>0</v>
      </c>
      <c r="G9" s="30">
        <v>50</v>
      </c>
      <c r="H9" s="29" t="s">
        <v>116</v>
      </c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34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A7:B7 A9:A10 C10 C9:D9 A16:G1048576 E10 A11:E15 G9:G15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8 H7:H23 E10:E23">
    <cfRule type="cellIs" dxfId="2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0785-0389-4E02-8830-F262B238078C}">
  <sheetPr codeName="Sheet4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7</v>
      </c>
      <c r="E2" s="66" t="s">
        <v>21</v>
      </c>
      <c r="F2" s="66"/>
      <c r="G2" s="66"/>
      <c r="H2" s="15">
        <v>1</v>
      </c>
      <c r="I2" s="14" t="s">
        <v>22</v>
      </c>
      <c r="J2" s="15">
        <v>1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17" t="s">
        <v>38</v>
      </c>
      <c r="E3" s="68" t="s">
        <v>24</v>
      </c>
      <c r="F3" s="68"/>
      <c r="G3" s="68"/>
      <c r="H3" s="68"/>
      <c r="I3" s="18">
        <v>1003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3" t="s">
        <v>33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SUM(E7:E998)</f>
        <v>100</v>
      </c>
      <c r="F6" s="1">
        <f>SUM(F7:F998)</f>
        <v>0</v>
      </c>
      <c r="G6" s="1">
        <f>SUM(G7:G998)</f>
        <v>100</v>
      </c>
      <c r="H6" s="1">
        <f>+E6-F6-G6</f>
        <v>0</v>
      </c>
      <c r="I6" s="24"/>
      <c r="J6" s="25"/>
    </row>
    <row r="7" spans="1:13" s="22" customFormat="1" ht="56.25" x14ac:dyDescent="0.25">
      <c r="A7" s="26">
        <v>45880</v>
      </c>
      <c r="B7" s="27" t="s">
        <v>36</v>
      </c>
      <c r="C7" s="28" t="s">
        <v>37</v>
      </c>
      <c r="D7" s="28" t="s">
        <v>35</v>
      </c>
      <c r="E7" s="29">
        <v>100</v>
      </c>
      <c r="F7" s="30">
        <v>0</v>
      </c>
      <c r="G7" s="30">
        <v>0</v>
      </c>
      <c r="H7" s="29">
        <f>SUM(E7:G7)</f>
        <v>100</v>
      </c>
      <c r="I7" s="58"/>
      <c r="J7" s="59"/>
    </row>
    <row r="8" spans="1:13" s="22" customFormat="1" ht="56.25" x14ac:dyDescent="0.25">
      <c r="A8" s="33" t="s">
        <v>117</v>
      </c>
      <c r="B8" s="27" t="s">
        <v>118</v>
      </c>
      <c r="C8" s="28" t="s">
        <v>112</v>
      </c>
      <c r="D8" s="28" t="s">
        <v>113</v>
      </c>
      <c r="E8" s="29">
        <v>0</v>
      </c>
      <c r="F8" s="30">
        <v>0</v>
      </c>
      <c r="G8" s="30">
        <v>50</v>
      </c>
      <c r="H8" s="29">
        <v>50</v>
      </c>
      <c r="I8" s="58"/>
      <c r="J8" s="59"/>
    </row>
    <row r="9" spans="1:13" s="22" customFormat="1" ht="56.25" x14ac:dyDescent="0.25">
      <c r="A9" s="33" t="s">
        <v>119</v>
      </c>
      <c r="B9" s="27" t="s">
        <v>115</v>
      </c>
      <c r="C9" s="28" t="s">
        <v>112</v>
      </c>
      <c r="D9" s="28" t="s">
        <v>113</v>
      </c>
      <c r="E9" s="30">
        <v>0</v>
      </c>
      <c r="F9" s="30">
        <v>0</v>
      </c>
      <c r="G9" s="30">
        <v>50</v>
      </c>
      <c r="H9" s="29" t="s">
        <v>116</v>
      </c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34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A7:B7 A9:A10 C10 C9:D9 A16:G1048576 E10 A11:E15 G9:G15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8 H7:H23 E10:E23">
    <cfRule type="cellIs" dxfId="19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45AF-38F0-4FA3-B0BA-D3C701AF7798}">
  <sheetPr codeName="Sheet5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7</v>
      </c>
      <c r="E2" s="66" t="s">
        <v>21</v>
      </c>
      <c r="F2" s="66"/>
      <c r="G2" s="66"/>
      <c r="H2" s="15">
        <v>1</v>
      </c>
      <c r="I2" s="14" t="s">
        <v>22</v>
      </c>
      <c r="J2" s="15">
        <v>1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4" t="s">
        <v>40</v>
      </c>
      <c r="E3" s="68" t="s">
        <v>24</v>
      </c>
      <c r="F3" s="68"/>
      <c r="G3" s="68"/>
      <c r="H3" s="68"/>
      <c r="I3" s="18">
        <v>1005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3" t="s">
        <v>33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SUM(E7:E998)</f>
        <v>50</v>
      </c>
      <c r="F6" s="1">
        <f>SUM(F7:F998)</f>
        <v>0</v>
      </c>
      <c r="G6" s="1">
        <f>SUM(G7:G998)</f>
        <v>50</v>
      </c>
      <c r="H6" s="1">
        <f>+E6-F6-G6</f>
        <v>0</v>
      </c>
      <c r="I6" s="24"/>
      <c r="J6" s="25"/>
    </row>
    <row r="7" spans="1:13" s="22" customFormat="1" ht="56.25" x14ac:dyDescent="0.25">
      <c r="A7" s="26">
        <v>45880</v>
      </c>
      <c r="B7" s="27" t="s">
        <v>36</v>
      </c>
      <c r="C7" s="28" t="s">
        <v>37</v>
      </c>
      <c r="D7" s="28" t="s">
        <v>35</v>
      </c>
      <c r="E7" s="29">
        <v>50</v>
      </c>
      <c r="F7" s="30">
        <v>0</v>
      </c>
      <c r="G7" s="30">
        <v>0</v>
      </c>
      <c r="H7" s="29">
        <f>SUM(E7:G7)</f>
        <v>50</v>
      </c>
      <c r="I7" s="58"/>
      <c r="J7" s="59"/>
    </row>
    <row r="8" spans="1:13" s="22" customFormat="1" ht="93.75" x14ac:dyDescent="0.25">
      <c r="A8" s="33" t="s">
        <v>117</v>
      </c>
      <c r="B8" s="27" t="s">
        <v>120</v>
      </c>
      <c r="C8" s="28" t="s">
        <v>121</v>
      </c>
      <c r="D8" s="28" t="s">
        <v>113</v>
      </c>
      <c r="E8" s="29">
        <v>0</v>
      </c>
      <c r="F8" s="30">
        <v>0</v>
      </c>
      <c r="G8" s="30">
        <v>50</v>
      </c>
      <c r="H8" s="29" t="s">
        <v>116</v>
      </c>
      <c r="I8" s="58"/>
      <c r="J8" s="59"/>
    </row>
    <row r="9" spans="1:13" s="22" customFormat="1" ht="20.25" x14ac:dyDescent="0.25">
      <c r="A9" s="33"/>
      <c r="B9" s="27"/>
      <c r="C9" s="28"/>
      <c r="D9" s="28"/>
      <c r="E9" s="30"/>
      <c r="F9" s="30"/>
      <c r="G9" s="30"/>
      <c r="H9" s="29"/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34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A7:B7 A9:A10 C10 C9:D9 A16:G1048576 E10 A11:E15 G9:G15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8 H7:H23 E10:E23">
    <cfRule type="cellIs" dxfId="1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C0CF-B3C2-4420-ABF0-784054930B28}">
  <sheetPr codeName="Sheet6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7</v>
      </c>
      <c r="E2" s="66" t="s">
        <v>21</v>
      </c>
      <c r="F2" s="66"/>
      <c r="G2" s="66"/>
      <c r="H2" s="15">
        <v>1</v>
      </c>
      <c r="I2" s="14" t="s">
        <v>22</v>
      </c>
      <c r="J2" s="15">
        <v>1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4" t="s">
        <v>41</v>
      </c>
      <c r="E3" s="68" t="s">
        <v>24</v>
      </c>
      <c r="F3" s="68"/>
      <c r="G3" s="68"/>
      <c r="H3" s="68"/>
      <c r="I3" s="18">
        <v>1005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3" t="s">
        <v>33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SUM(E7:E998)</f>
        <v>400</v>
      </c>
      <c r="F6" s="1">
        <f>SUM(F7:F998)</f>
        <v>0</v>
      </c>
      <c r="G6" s="1">
        <f>SUM(G7:G998)</f>
        <v>100</v>
      </c>
      <c r="H6" s="1">
        <f>+E6-F6-G6</f>
        <v>300</v>
      </c>
      <c r="I6" s="24"/>
      <c r="J6" s="25"/>
    </row>
    <row r="7" spans="1:13" s="22" customFormat="1" ht="56.25" x14ac:dyDescent="0.25">
      <c r="A7" s="26">
        <v>45880</v>
      </c>
      <c r="B7" s="27" t="s">
        <v>36</v>
      </c>
      <c r="C7" s="28" t="s">
        <v>37</v>
      </c>
      <c r="D7" s="28" t="s">
        <v>35</v>
      </c>
      <c r="E7" s="29">
        <v>200</v>
      </c>
      <c r="F7" s="30">
        <v>0</v>
      </c>
      <c r="G7" s="30">
        <v>0</v>
      </c>
      <c r="H7" s="29">
        <f>SUM(E7:G7)</f>
        <v>200</v>
      </c>
      <c r="I7" s="58"/>
      <c r="J7" s="59"/>
    </row>
    <row r="8" spans="1:13" s="22" customFormat="1" ht="75" x14ac:dyDescent="0.25">
      <c r="A8" s="33" t="s">
        <v>122</v>
      </c>
      <c r="B8" s="27" t="s">
        <v>123</v>
      </c>
      <c r="C8" s="28" t="s">
        <v>124</v>
      </c>
      <c r="D8" s="28" t="s">
        <v>113</v>
      </c>
      <c r="E8" s="29">
        <v>200</v>
      </c>
      <c r="F8" s="30">
        <v>0</v>
      </c>
      <c r="G8" s="30">
        <v>0</v>
      </c>
      <c r="H8" s="29">
        <v>200</v>
      </c>
      <c r="I8" s="58"/>
      <c r="J8" s="59"/>
    </row>
    <row r="9" spans="1:13" s="22" customFormat="1" ht="56.25" x14ac:dyDescent="0.25">
      <c r="A9" s="33" t="s">
        <v>117</v>
      </c>
      <c r="B9" s="27" t="s">
        <v>118</v>
      </c>
      <c r="C9" s="28" t="s">
        <v>112</v>
      </c>
      <c r="D9" s="28" t="s">
        <v>113</v>
      </c>
      <c r="E9" s="29">
        <v>0</v>
      </c>
      <c r="F9" s="30">
        <v>0</v>
      </c>
      <c r="G9" s="30">
        <v>100</v>
      </c>
      <c r="H9" s="29">
        <v>100</v>
      </c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34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A7:B7 A10 C10 A16:G1048576 E10 A11:E15 G10:G15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8:B23">
    <cfRule type="cellIs" priority="2" operator="between">
      <formula>1</formula>
      <formula>100000000</formula>
    </cfRule>
  </conditionalFormatting>
  <conditionalFormatting sqref="E7:E23 H7:H23">
    <cfRule type="cellIs" dxfId="17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8069-C6BB-430E-8E9F-0E93E20404B1}">
  <sheetPr codeName="Sheet7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customHeight="1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49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5" t="s">
        <v>14</v>
      </c>
      <c r="E3" s="68" t="s">
        <v>24</v>
      </c>
      <c r="F3" s="68"/>
      <c r="G3" s="68"/>
      <c r="H3" s="68"/>
      <c r="I3" s="18">
        <v>1009</v>
      </c>
      <c r="J3" s="19"/>
    </row>
    <row r="4" spans="1:13" ht="37.5" customHeight="1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9</v>
      </c>
      <c r="F6" s="1">
        <f t="shared" ref="F6:G6" si="0">SUM(F7:F1000)</f>
        <v>0</v>
      </c>
      <c r="G6" s="1">
        <f t="shared" si="0"/>
        <v>0</v>
      </c>
      <c r="H6" s="1">
        <f>+E6-F6-G6</f>
        <v>9</v>
      </c>
      <c r="I6" s="24"/>
      <c r="J6" s="46"/>
    </row>
    <row r="7" spans="1:13" s="22" customFormat="1" ht="75" x14ac:dyDescent="0.25">
      <c r="A7" s="26" t="s">
        <v>42</v>
      </c>
      <c r="B7" s="27" t="s">
        <v>43</v>
      </c>
      <c r="C7" s="28" t="s">
        <v>44</v>
      </c>
      <c r="D7" s="28" t="s">
        <v>45</v>
      </c>
      <c r="E7" s="29">
        <v>1</v>
      </c>
      <c r="F7" s="30">
        <v>0</v>
      </c>
      <c r="G7" s="30">
        <v>0</v>
      </c>
      <c r="H7" s="29">
        <v>1</v>
      </c>
      <c r="I7" s="58"/>
      <c r="J7" s="59"/>
    </row>
    <row r="8" spans="1:13" s="22" customFormat="1" ht="56.25" x14ac:dyDescent="0.25">
      <c r="A8" s="26" t="s">
        <v>42</v>
      </c>
      <c r="B8" s="27" t="s">
        <v>46</v>
      </c>
      <c r="C8" s="28" t="s">
        <v>44</v>
      </c>
      <c r="D8" s="28" t="s">
        <v>45</v>
      </c>
      <c r="E8" s="29">
        <v>2</v>
      </c>
      <c r="F8" s="30">
        <v>0</v>
      </c>
      <c r="G8" s="30">
        <v>0</v>
      </c>
      <c r="H8" s="29">
        <f>+H7+E8-F8-G8</f>
        <v>3</v>
      </c>
      <c r="I8" s="58"/>
      <c r="J8" s="59"/>
    </row>
    <row r="9" spans="1:13" s="22" customFormat="1" ht="37.5" x14ac:dyDescent="0.25">
      <c r="A9" s="26" t="s">
        <v>42</v>
      </c>
      <c r="B9" s="27" t="s">
        <v>47</v>
      </c>
      <c r="C9" s="28" t="s">
        <v>44</v>
      </c>
      <c r="D9" s="28" t="s">
        <v>45</v>
      </c>
      <c r="E9" s="29">
        <v>1</v>
      </c>
      <c r="F9" s="30">
        <v>0</v>
      </c>
      <c r="G9" s="30">
        <v>0</v>
      </c>
      <c r="H9" s="29">
        <f t="shared" ref="H9:H13" si="1">+H8+E9-F9-G9</f>
        <v>4</v>
      </c>
      <c r="I9" s="31"/>
      <c r="J9" s="32"/>
    </row>
    <row r="10" spans="1:13" s="22" customFormat="1" ht="37.5" x14ac:dyDescent="0.25">
      <c r="A10" s="26" t="s">
        <v>42</v>
      </c>
      <c r="B10" s="27" t="s">
        <v>48</v>
      </c>
      <c r="C10" s="28" t="s">
        <v>44</v>
      </c>
      <c r="D10" s="28" t="s">
        <v>45</v>
      </c>
      <c r="E10" s="29">
        <v>2</v>
      </c>
      <c r="F10" s="30">
        <v>0</v>
      </c>
      <c r="G10" s="30">
        <v>0</v>
      </c>
      <c r="H10" s="29">
        <f t="shared" si="1"/>
        <v>6</v>
      </c>
      <c r="I10" s="58"/>
      <c r="J10" s="59"/>
    </row>
    <row r="11" spans="1:13" s="22" customFormat="1" ht="56.25" x14ac:dyDescent="0.25">
      <c r="A11" s="26" t="s">
        <v>42</v>
      </c>
      <c r="B11" s="27" t="s">
        <v>49</v>
      </c>
      <c r="C11" s="28" t="s">
        <v>44</v>
      </c>
      <c r="D11" s="28" t="s">
        <v>45</v>
      </c>
      <c r="E11" s="29">
        <v>1</v>
      </c>
      <c r="F11" s="30">
        <v>0</v>
      </c>
      <c r="G11" s="30">
        <v>0</v>
      </c>
      <c r="H11" s="29">
        <f t="shared" si="1"/>
        <v>7</v>
      </c>
      <c r="I11" s="58"/>
      <c r="J11" s="59"/>
    </row>
    <row r="12" spans="1:13" s="22" customFormat="1" ht="56.25" x14ac:dyDescent="0.25">
      <c r="A12" s="26" t="s">
        <v>50</v>
      </c>
      <c r="B12" s="27" t="s">
        <v>51</v>
      </c>
      <c r="C12" s="28" t="s">
        <v>44</v>
      </c>
      <c r="D12" s="28" t="s">
        <v>45</v>
      </c>
      <c r="E12" s="29">
        <v>1</v>
      </c>
      <c r="F12" s="30">
        <v>0</v>
      </c>
      <c r="G12" s="30">
        <v>0</v>
      </c>
      <c r="H12" s="29">
        <f t="shared" si="1"/>
        <v>8</v>
      </c>
      <c r="I12" s="58"/>
      <c r="J12" s="59"/>
    </row>
    <row r="13" spans="1:13" s="22" customFormat="1" ht="56.25" x14ac:dyDescent="0.25">
      <c r="A13" s="26" t="s">
        <v>50</v>
      </c>
      <c r="B13" s="27" t="s">
        <v>52</v>
      </c>
      <c r="C13" s="28" t="s">
        <v>44</v>
      </c>
      <c r="D13" s="28" t="s">
        <v>45</v>
      </c>
      <c r="E13" s="29">
        <v>1</v>
      </c>
      <c r="F13" s="30">
        <v>0</v>
      </c>
      <c r="G13" s="30">
        <v>0</v>
      </c>
      <c r="H13" s="29">
        <f t="shared" si="1"/>
        <v>9</v>
      </c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35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ht="20.25" x14ac:dyDescent="0.3"/>
  </sheetData>
  <protectedRanges>
    <protectedRange algorithmName="SHA-512" hashValue="w6vOy6gaWv7RKp7tkLrp7nrHA6RmzXKKrxhAURGVJNeJ+tWzcydALHZnJcvW3Xd6J2aTxgJ4vzpBns4Tppy+Tg==" saltValue="wFqfSvUJGsYlHEHwlJdPRg==" spinCount="100000" sqref="A7:B7 B14:G1048576 A8:A1048576 B8:B13 E10:E13" name="Range1_1"/>
  </protectedRanges>
  <mergeCells count="26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8:J8"/>
    <mergeCell ref="I10:J10"/>
    <mergeCell ref="I11:J11"/>
    <mergeCell ref="I12:J12"/>
    <mergeCell ref="I13:J13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2" operator="between">
      <formula>1</formula>
      <formula>100000000</formula>
    </cfRule>
  </conditionalFormatting>
  <conditionalFormatting sqref="E7:E22 H7:H22">
    <cfRule type="cellIs" dxfId="1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BDD9-03F2-4065-A2FB-626F7C383AFF}">
  <sheetPr codeName="Sheet8"/>
  <dimension ref="A1:M22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50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7" t="s">
        <v>54</v>
      </c>
      <c r="E3" s="68" t="s">
        <v>24</v>
      </c>
      <c r="F3" s="68"/>
      <c r="G3" s="68"/>
      <c r="H3" s="68"/>
      <c r="I3" s="18">
        <v>1012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24"/>
      <c r="J6" s="46"/>
    </row>
    <row r="7" spans="1:13" s="22" customFormat="1" ht="37.5" x14ac:dyDescent="0.25">
      <c r="A7" s="26" t="s">
        <v>55</v>
      </c>
      <c r="B7" s="27" t="s">
        <v>56</v>
      </c>
      <c r="C7" s="28" t="s">
        <v>57</v>
      </c>
      <c r="D7" s="28" t="s">
        <v>58</v>
      </c>
      <c r="E7" s="29">
        <v>1</v>
      </c>
      <c r="F7" s="30">
        <v>0</v>
      </c>
      <c r="G7" s="30">
        <v>0</v>
      </c>
      <c r="H7" s="29">
        <f>SUM(E7:G7)</f>
        <v>1</v>
      </c>
      <c r="I7" s="58"/>
      <c r="J7" s="59"/>
    </row>
    <row r="8" spans="1:13" s="22" customFormat="1" ht="20.25" x14ac:dyDescent="0.25">
      <c r="A8" s="33"/>
      <c r="B8" s="27"/>
      <c r="C8" s="28"/>
      <c r="D8" s="28"/>
      <c r="E8" s="29"/>
      <c r="F8" s="29"/>
      <c r="G8" s="30"/>
      <c r="H8" s="29"/>
      <c r="I8" s="58"/>
      <c r="J8" s="59"/>
    </row>
    <row r="9" spans="1:13" s="22" customFormat="1" ht="20.25" x14ac:dyDescent="0.25">
      <c r="A9" s="33"/>
      <c r="B9" s="27"/>
      <c r="C9" s="28"/>
      <c r="D9" s="28"/>
      <c r="E9" s="29"/>
      <c r="F9" s="30"/>
      <c r="G9" s="30"/>
      <c r="H9" s="29"/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28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34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35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</sheetData>
  <protectedRanges>
    <protectedRange algorithmName="SHA-512" hashValue="w6vOy6gaWv7RKp7tkLrp7nrHA6RmzXKKrxhAURGVJNeJ+tWzcydALHZnJcvW3Xd6J2aTxgJ4vzpBns4Tppy+Tg==" saltValue="wFqfSvUJGsYlHEHwlJdPRg==" spinCount="100000" sqref="G8 B12:G1048576 A8:A1048576 B8:C11 E9:G11 A7:B7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3" operator="between">
      <formula>1</formula>
      <formula>100000000</formula>
    </cfRule>
  </conditionalFormatting>
  <conditionalFormatting sqref="E7:E22 H7:H22">
    <cfRule type="cellIs" dxfId="15" priority="2" operator="between">
      <formula>1</formula>
      <formula>100</formula>
    </cfRule>
  </conditionalFormatting>
  <conditionalFormatting sqref="F8">
    <cfRule type="cellIs" dxfId="1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0860-6793-43EA-928C-CF25E4A2830E}">
  <sheetPr codeName="Sheet9"/>
  <dimension ref="A1:M22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52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5" t="s">
        <v>13</v>
      </c>
      <c r="E3" s="68" t="s">
        <v>24</v>
      </c>
      <c r="F3" s="68"/>
      <c r="G3" s="68"/>
      <c r="H3" s="68"/>
      <c r="I3" s="18">
        <v>1014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137.69999999999999</v>
      </c>
      <c r="F6" s="1">
        <f t="shared" ref="F6:G6" si="0">SUM(F7:F1000)</f>
        <v>0</v>
      </c>
      <c r="G6" s="1">
        <f t="shared" si="0"/>
        <v>74</v>
      </c>
      <c r="H6" s="1">
        <f>+E6-F6-G6</f>
        <v>63.699999999999989</v>
      </c>
      <c r="I6" s="24"/>
      <c r="J6" s="46"/>
    </row>
    <row r="7" spans="1:13" s="22" customFormat="1" ht="56.25" x14ac:dyDescent="0.25">
      <c r="A7" s="26" t="s">
        <v>59</v>
      </c>
      <c r="B7" s="27" t="s">
        <v>60</v>
      </c>
      <c r="C7" s="28" t="s">
        <v>61</v>
      </c>
      <c r="D7" s="28" t="s">
        <v>62</v>
      </c>
      <c r="E7" s="29">
        <v>63.7</v>
      </c>
      <c r="F7" s="30">
        <v>0</v>
      </c>
      <c r="G7" s="30">
        <v>0</v>
      </c>
      <c r="H7" s="29">
        <f>SUM(E7:G7)</f>
        <v>63.7</v>
      </c>
      <c r="I7" s="58"/>
      <c r="J7" s="59"/>
    </row>
    <row r="8" spans="1:13" s="22" customFormat="1" ht="37.5" x14ac:dyDescent="0.25">
      <c r="A8" s="33">
        <v>46044</v>
      </c>
      <c r="B8" s="27" t="s">
        <v>63</v>
      </c>
      <c r="C8" s="28" t="s">
        <v>64</v>
      </c>
      <c r="D8" s="28" t="s">
        <v>62</v>
      </c>
      <c r="E8" s="29">
        <v>19.5</v>
      </c>
      <c r="F8" s="29">
        <v>0</v>
      </c>
      <c r="G8" s="30">
        <v>0</v>
      </c>
      <c r="H8" s="29">
        <f>H7+E8-F8-G8</f>
        <v>83.2</v>
      </c>
      <c r="I8" s="58"/>
      <c r="J8" s="59"/>
    </row>
    <row r="9" spans="1:13" s="22" customFormat="1" ht="37.5" x14ac:dyDescent="0.25">
      <c r="A9" s="33">
        <v>46045</v>
      </c>
      <c r="B9" s="27" t="s">
        <v>65</v>
      </c>
      <c r="C9" s="28" t="s">
        <v>64</v>
      </c>
      <c r="D9" s="28" t="s">
        <v>62</v>
      </c>
      <c r="E9" s="29">
        <v>18</v>
      </c>
      <c r="F9" s="30">
        <v>0</v>
      </c>
      <c r="G9" s="30">
        <v>0</v>
      </c>
      <c r="H9" s="29">
        <f t="shared" ref="H9:H12" si="1">H8+E9-F9-G9</f>
        <v>101.2</v>
      </c>
      <c r="I9" s="58"/>
      <c r="J9" s="59"/>
    </row>
    <row r="10" spans="1:13" s="22" customFormat="1" ht="37.5" x14ac:dyDescent="0.25">
      <c r="A10" s="33">
        <v>46047</v>
      </c>
      <c r="B10" s="27" t="s">
        <v>66</v>
      </c>
      <c r="C10" s="28" t="s">
        <v>64</v>
      </c>
      <c r="D10" s="28" t="s">
        <v>62</v>
      </c>
      <c r="E10" s="29">
        <v>19.5</v>
      </c>
      <c r="F10" s="30">
        <v>0</v>
      </c>
      <c r="G10" s="30">
        <v>0</v>
      </c>
      <c r="H10" s="29">
        <f t="shared" si="1"/>
        <v>120.7</v>
      </c>
      <c r="I10" s="58"/>
      <c r="J10" s="59"/>
    </row>
    <row r="11" spans="1:13" s="22" customFormat="1" ht="37.5" x14ac:dyDescent="0.25">
      <c r="A11" s="33">
        <v>46049</v>
      </c>
      <c r="B11" s="27" t="s">
        <v>67</v>
      </c>
      <c r="C11" s="28" t="s">
        <v>64</v>
      </c>
      <c r="D11" s="28" t="s">
        <v>62</v>
      </c>
      <c r="E11" s="29">
        <v>17</v>
      </c>
      <c r="F11" s="30">
        <v>0</v>
      </c>
      <c r="G11" s="30">
        <v>0</v>
      </c>
      <c r="H11" s="29">
        <f t="shared" si="1"/>
        <v>137.69999999999999</v>
      </c>
      <c r="I11" s="58"/>
      <c r="J11" s="59"/>
    </row>
    <row r="12" spans="1:13" s="22" customFormat="1" ht="37.5" x14ac:dyDescent="0.25">
      <c r="A12" s="33">
        <v>46058</v>
      </c>
      <c r="B12" s="27" t="s">
        <v>68</v>
      </c>
      <c r="C12" s="28" t="s">
        <v>69</v>
      </c>
      <c r="D12" s="28" t="s">
        <v>62</v>
      </c>
      <c r="E12" s="29">
        <v>0</v>
      </c>
      <c r="F12" s="30">
        <v>0</v>
      </c>
      <c r="G12" s="30">
        <v>74</v>
      </c>
      <c r="H12" s="29">
        <f t="shared" si="1"/>
        <v>63.699999999999989</v>
      </c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35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</sheetData>
  <protectedRanges>
    <protectedRange algorithmName="SHA-512" hashValue="w6vOy6gaWv7RKp7tkLrp7nrHA6RmzXKKrxhAURGVJNeJ+tWzcydALHZnJcvW3Xd6J2aTxgJ4vzpBns4Tppy+Tg==" saltValue="wFqfSvUJGsYlHEHwlJdPRg==" spinCount="100000" sqref="B23:G1048576 A8:A1048576 A7:B7 B13:D22 G8:G22 E9:F22 B8:C12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phoneticPr fontId="29" type="noConversion"/>
  <conditionalFormatting sqref="B13:B22">
    <cfRule type="cellIs" priority="3" operator="between">
      <formula>1</formula>
      <formula>100000000</formula>
    </cfRule>
  </conditionalFormatting>
  <conditionalFormatting sqref="E7:E22 H7:H22">
    <cfRule type="cellIs" dxfId="13" priority="2" operator="between">
      <formula>1</formula>
      <formula>100</formula>
    </cfRule>
  </conditionalFormatting>
  <conditionalFormatting sqref="F8">
    <cfRule type="cellIs" dxfId="1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3F69-9D6B-40D2-90A2-7028CCB98622}">
  <sheetPr codeName="Sheet10"/>
  <dimension ref="A1:M22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52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5" t="s">
        <v>71</v>
      </c>
      <c r="E3" s="68" t="s">
        <v>24</v>
      </c>
      <c r="F3" s="68"/>
      <c r="G3" s="68"/>
      <c r="H3" s="68"/>
      <c r="I3" s="18">
        <v>1015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24"/>
      <c r="J6" s="46"/>
    </row>
    <row r="7" spans="1:13" s="22" customFormat="1" ht="56.25" x14ac:dyDescent="0.25">
      <c r="A7" s="26">
        <v>45922</v>
      </c>
      <c r="B7" s="27" t="s">
        <v>72</v>
      </c>
      <c r="C7" s="28" t="s">
        <v>73</v>
      </c>
      <c r="D7" s="28" t="s">
        <v>62</v>
      </c>
      <c r="E7" s="29">
        <v>1</v>
      </c>
      <c r="F7" s="30">
        <v>0</v>
      </c>
      <c r="G7" s="30">
        <v>0</v>
      </c>
      <c r="H7" s="29">
        <f>SUM(E7:G7)</f>
        <v>1</v>
      </c>
      <c r="I7" s="58"/>
      <c r="J7" s="59"/>
    </row>
    <row r="8" spans="1:13" s="22" customFormat="1" ht="20.25" x14ac:dyDescent="0.25">
      <c r="A8" s="33"/>
      <c r="B8" s="27"/>
      <c r="C8" s="28"/>
      <c r="D8" s="28"/>
      <c r="E8" s="29"/>
      <c r="F8" s="29"/>
      <c r="G8" s="30"/>
      <c r="H8" s="29"/>
      <c r="I8" s="58"/>
      <c r="J8" s="59"/>
    </row>
    <row r="9" spans="1:13" s="22" customFormat="1" ht="20.25" x14ac:dyDescent="0.25">
      <c r="A9" s="33"/>
      <c r="B9" s="27"/>
      <c r="C9" s="28"/>
      <c r="D9" s="28"/>
      <c r="E9" s="29"/>
      <c r="F9" s="30"/>
      <c r="G9" s="30"/>
      <c r="H9" s="29"/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28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35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</sheetData>
  <protectedRanges>
    <protectedRange algorithmName="SHA-512" hashValue="w6vOy6gaWv7RKp7tkLrp7nrHA6RmzXKKrxhAURGVJNeJ+tWzcydALHZnJcvW3Xd6J2aTxgJ4vzpBns4Tppy+Tg==" saltValue="wFqfSvUJGsYlHEHwlJdPRg==" spinCount="100000" sqref="B23:G1048576 A8:A1048576 A7:B7 B13:D22 G8:G22 E9:F22 B8:C12" name="Range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3" operator="between">
      <formula>1</formula>
      <formula>100000000</formula>
    </cfRule>
  </conditionalFormatting>
  <conditionalFormatting sqref="E7:E22 H7:H22">
    <cfRule type="cellIs" dxfId="11" priority="2" operator="between">
      <formula>1</formula>
      <formula>100</formula>
    </cfRule>
  </conditionalFormatting>
  <conditionalFormatting sqref="F8">
    <cfRule type="cellIs" dxfId="1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9ADB-0360-4D45-A992-0A256AB1F230}">
  <sheetPr codeName="Sheet11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52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5" t="s">
        <v>74</v>
      </c>
      <c r="E3" s="68" t="s">
        <v>24</v>
      </c>
      <c r="F3" s="68"/>
      <c r="G3" s="68"/>
      <c r="H3" s="68"/>
      <c r="I3" s="18">
        <v>1016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SUM(E7:E1001)</f>
        <v>120</v>
      </c>
      <c r="F6" s="1">
        <f t="shared" ref="F6:G6" si="0">SUM(F7:F1001)</f>
        <v>0</v>
      </c>
      <c r="G6" s="1">
        <f t="shared" si="0"/>
        <v>100</v>
      </c>
      <c r="H6" s="1">
        <f>+E6-F6-G6</f>
        <v>20</v>
      </c>
      <c r="I6" s="24"/>
      <c r="J6" s="46"/>
    </row>
    <row r="7" spans="1:13" s="22" customFormat="1" ht="56.25" x14ac:dyDescent="0.25">
      <c r="A7" s="26">
        <v>45958</v>
      </c>
      <c r="B7" s="27" t="s">
        <v>75</v>
      </c>
      <c r="C7" s="28" t="s">
        <v>76</v>
      </c>
      <c r="D7" s="28" t="s">
        <v>62</v>
      </c>
      <c r="E7" s="29">
        <v>10</v>
      </c>
      <c r="F7" s="30">
        <v>0</v>
      </c>
      <c r="G7" s="30">
        <v>0</v>
      </c>
      <c r="H7" s="29">
        <f>SUM(E7:G7)</f>
        <v>10</v>
      </c>
      <c r="I7" s="58"/>
      <c r="J7" s="59"/>
    </row>
    <row r="8" spans="1:13" s="22" customFormat="1" ht="37.5" x14ac:dyDescent="0.25">
      <c r="A8" s="33">
        <v>45959</v>
      </c>
      <c r="B8" s="27" t="s">
        <v>77</v>
      </c>
      <c r="C8" s="28" t="s">
        <v>78</v>
      </c>
      <c r="D8" s="28" t="s">
        <v>62</v>
      </c>
      <c r="E8" s="29">
        <v>20</v>
      </c>
      <c r="F8" s="29">
        <v>0</v>
      </c>
      <c r="G8" s="30">
        <v>0</v>
      </c>
      <c r="H8" s="29">
        <f>H7+E8-F8-G8</f>
        <v>30</v>
      </c>
      <c r="I8" s="58"/>
      <c r="J8" s="59"/>
    </row>
    <row r="9" spans="1:13" s="22" customFormat="1" ht="56.25" x14ac:dyDescent="0.25">
      <c r="A9" s="33">
        <v>45959</v>
      </c>
      <c r="B9" s="27" t="s">
        <v>81</v>
      </c>
      <c r="C9" s="28" t="s">
        <v>82</v>
      </c>
      <c r="D9" s="28" t="s">
        <v>62</v>
      </c>
      <c r="E9" s="29">
        <v>20</v>
      </c>
      <c r="F9" s="29">
        <v>0</v>
      </c>
      <c r="G9" s="30">
        <v>0</v>
      </c>
      <c r="H9" s="29">
        <f t="shared" ref="H9:H15" si="1">H8+E9-F9-G9</f>
        <v>50</v>
      </c>
      <c r="I9" s="31"/>
      <c r="J9" s="32"/>
    </row>
    <row r="10" spans="1:13" s="22" customFormat="1" ht="56.25" x14ac:dyDescent="0.25">
      <c r="A10" s="33">
        <v>45961</v>
      </c>
      <c r="B10" s="27" t="s">
        <v>79</v>
      </c>
      <c r="C10" s="28" t="s">
        <v>80</v>
      </c>
      <c r="D10" s="28" t="s">
        <v>62</v>
      </c>
      <c r="E10" s="29">
        <v>0</v>
      </c>
      <c r="F10" s="30">
        <v>0</v>
      </c>
      <c r="G10" s="30">
        <v>20</v>
      </c>
      <c r="H10" s="29">
        <f t="shared" si="1"/>
        <v>30</v>
      </c>
      <c r="I10" s="58"/>
      <c r="J10" s="59"/>
    </row>
    <row r="11" spans="1:13" s="22" customFormat="1" ht="37.5" x14ac:dyDescent="0.25">
      <c r="A11" s="33">
        <v>45979</v>
      </c>
      <c r="B11" s="27" t="s">
        <v>83</v>
      </c>
      <c r="C11" s="28" t="s">
        <v>80</v>
      </c>
      <c r="D11" s="28" t="s">
        <v>62</v>
      </c>
      <c r="E11" s="29">
        <v>0</v>
      </c>
      <c r="F11" s="30">
        <v>0</v>
      </c>
      <c r="G11" s="30">
        <v>30</v>
      </c>
      <c r="H11" s="29">
        <f t="shared" si="1"/>
        <v>0</v>
      </c>
      <c r="I11" s="58"/>
      <c r="J11" s="59"/>
    </row>
    <row r="12" spans="1:13" s="22" customFormat="1" ht="37.5" x14ac:dyDescent="0.25">
      <c r="A12" s="33">
        <v>46021</v>
      </c>
      <c r="B12" s="27" t="s">
        <v>84</v>
      </c>
      <c r="C12" s="28" t="s">
        <v>82</v>
      </c>
      <c r="D12" s="28" t="s">
        <v>62</v>
      </c>
      <c r="E12" s="29">
        <v>30</v>
      </c>
      <c r="F12" s="30">
        <v>0</v>
      </c>
      <c r="G12" s="30">
        <v>0</v>
      </c>
      <c r="H12" s="29">
        <f t="shared" si="1"/>
        <v>30</v>
      </c>
      <c r="I12" s="58"/>
      <c r="J12" s="59"/>
    </row>
    <row r="13" spans="1:13" s="22" customFormat="1" ht="37.5" x14ac:dyDescent="0.25">
      <c r="A13" s="33">
        <v>46022</v>
      </c>
      <c r="B13" s="27" t="s">
        <v>85</v>
      </c>
      <c r="C13" s="28" t="s">
        <v>86</v>
      </c>
      <c r="D13" s="28" t="s">
        <v>62</v>
      </c>
      <c r="E13" s="29">
        <v>20</v>
      </c>
      <c r="F13" s="30">
        <v>0</v>
      </c>
      <c r="G13" s="30">
        <v>0</v>
      </c>
      <c r="H13" s="29">
        <f t="shared" si="1"/>
        <v>50</v>
      </c>
      <c r="I13" s="58"/>
      <c r="J13" s="59"/>
    </row>
    <row r="14" spans="1:13" s="22" customFormat="1" ht="20.25" x14ac:dyDescent="0.25">
      <c r="A14" s="33">
        <v>46022</v>
      </c>
      <c r="B14" s="27" t="s">
        <v>87</v>
      </c>
      <c r="C14" s="28" t="s">
        <v>80</v>
      </c>
      <c r="D14" s="28" t="s">
        <v>62</v>
      </c>
      <c r="E14" s="29">
        <v>0</v>
      </c>
      <c r="F14" s="30">
        <v>0</v>
      </c>
      <c r="G14" s="30">
        <v>50</v>
      </c>
      <c r="H14" s="29">
        <f t="shared" si="1"/>
        <v>0</v>
      </c>
      <c r="I14" s="58"/>
      <c r="J14" s="59"/>
    </row>
    <row r="15" spans="1:13" s="22" customFormat="1" ht="37.5" x14ac:dyDescent="0.25">
      <c r="A15" s="33">
        <v>46086</v>
      </c>
      <c r="B15" s="27" t="s">
        <v>88</v>
      </c>
      <c r="C15" s="28" t="s">
        <v>89</v>
      </c>
      <c r="D15" s="28" t="s">
        <v>62</v>
      </c>
      <c r="E15" s="29">
        <v>20</v>
      </c>
      <c r="F15" s="30">
        <v>0</v>
      </c>
      <c r="G15" s="30">
        <v>0</v>
      </c>
      <c r="H15" s="29">
        <f t="shared" si="1"/>
        <v>20</v>
      </c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B24:G1048576 A7:B7 G8:G23 A8:A1048576 B16:D23 B8:C15 E10:F23" name="Range1"/>
  </protectedRanges>
  <mergeCells count="27">
    <mergeCell ref="B1:J1"/>
    <mergeCell ref="A2:C2"/>
    <mergeCell ref="E2:G2"/>
    <mergeCell ref="L2:M2"/>
    <mergeCell ref="A3:C3"/>
    <mergeCell ref="E3:H3"/>
    <mergeCell ref="I14:J14"/>
    <mergeCell ref="A4:A5"/>
    <mergeCell ref="B4:B5"/>
    <mergeCell ref="C4:C5"/>
    <mergeCell ref="D4:D5"/>
    <mergeCell ref="I4:J5"/>
    <mergeCell ref="I7:J7"/>
    <mergeCell ref="I8:J8"/>
    <mergeCell ref="I10:J10"/>
    <mergeCell ref="I11:J11"/>
    <mergeCell ref="I12:J12"/>
    <mergeCell ref="I13:J13"/>
    <mergeCell ref="I21:J21"/>
    <mergeCell ref="I22:J22"/>
    <mergeCell ref="I23:J23"/>
    <mergeCell ref="I15:J15"/>
    <mergeCell ref="I16:J16"/>
    <mergeCell ref="I17:J17"/>
    <mergeCell ref="I18:J18"/>
    <mergeCell ref="I19:J19"/>
    <mergeCell ref="I20:J20"/>
  </mergeCells>
  <phoneticPr fontId="29" type="noConversion"/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9" priority="2" operator="between">
      <formula>1</formula>
      <formula>100</formula>
    </cfRule>
  </conditionalFormatting>
  <conditionalFormatting sqref="F8:F9">
    <cfRule type="cellIs" dxfId="8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C6D1-0705-445F-AE52-09C4ADCBCFEE}">
  <sheetPr codeName="Sheet12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52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8" t="s">
        <v>90</v>
      </c>
      <c r="E3" s="68" t="s">
        <v>24</v>
      </c>
      <c r="F3" s="68"/>
      <c r="G3" s="68"/>
      <c r="H3" s="68"/>
      <c r="I3" s="18">
        <v>1019</v>
      </c>
      <c r="J3" s="19"/>
    </row>
    <row r="4" spans="1:13" ht="37.5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SUM(E7:E1001)</f>
        <v>3</v>
      </c>
      <c r="F6" s="1">
        <f t="shared" ref="F6:G6" si="0">SUM(F7:F1001)</f>
        <v>0</v>
      </c>
      <c r="G6" s="1">
        <f t="shared" si="0"/>
        <v>3</v>
      </c>
      <c r="H6" s="1">
        <f>+E6-F6-G6</f>
        <v>0</v>
      </c>
      <c r="I6" s="24"/>
      <c r="J6" s="46"/>
    </row>
    <row r="7" spans="1:13" s="22" customFormat="1" ht="56.25" x14ac:dyDescent="0.25">
      <c r="A7" s="26">
        <v>46086</v>
      </c>
      <c r="B7" s="27" t="s">
        <v>91</v>
      </c>
      <c r="C7" s="28" t="s">
        <v>37</v>
      </c>
      <c r="D7" s="28" t="s">
        <v>62</v>
      </c>
      <c r="E7" s="29">
        <v>3</v>
      </c>
      <c r="F7" s="30">
        <v>0</v>
      </c>
      <c r="G7" s="30">
        <v>0</v>
      </c>
      <c r="H7" s="29">
        <f>SUM(E7:G7)</f>
        <v>3</v>
      </c>
      <c r="I7" s="58"/>
      <c r="J7" s="59"/>
    </row>
    <row r="8" spans="1:13" s="22" customFormat="1" ht="56.25" x14ac:dyDescent="0.25">
      <c r="A8" s="33">
        <v>46112</v>
      </c>
      <c r="B8" s="27" t="s">
        <v>92</v>
      </c>
      <c r="C8" s="28" t="s">
        <v>93</v>
      </c>
      <c r="D8" s="28" t="s">
        <v>62</v>
      </c>
      <c r="E8" s="29">
        <v>0</v>
      </c>
      <c r="F8" s="29">
        <v>0</v>
      </c>
      <c r="G8" s="30">
        <v>3</v>
      </c>
      <c r="H8" s="29">
        <f>H7+E8-F8-G8</f>
        <v>0</v>
      </c>
      <c r="I8" s="58"/>
      <c r="J8" s="59"/>
    </row>
    <row r="9" spans="1:13" s="22" customFormat="1" ht="20.25" x14ac:dyDescent="0.25">
      <c r="A9" s="33"/>
      <c r="B9" s="27"/>
      <c r="C9" s="28"/>
      <c r="D9" s="28"/>
      <c r="E9" s="29"/>
      <c r="F9" s="29"/>
      <c r="G9" s="30"/>
      <c r="H9" s="29"/>
      <c r="I9" s="31"/>
      <c r="J9" s="32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28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28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28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28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B24:G1048576 A7:B7 G8:G23 A8:A1048576 B16:D23 B8:C15 E10:F23" name="Range1"/>
  </protectedRanges>
  <mergeCells count="27">
    <mergeCell ref="B1:J1"/>
    <mergeCell ref="A2:C2"/>
    <mergeCell ref="E2:G2"/>
    <mergeCell ref="L2:M2"/>
    <mergeCell ref="A3:C3"/>
    <mergeCell ref="E3:H3"/>
    <mergeCell ref="I14:J14"/>
    <mergeCell ref="A4:A5"/>
    <mergeCell ref="B4:B5"/>
    <mergeCell ref="C4:C5"/>
    <mergeCell ref="D4:D5"/>
    <mergeCell ref="I4:J5"/>
    <mergeCell ref="I7:J7"/>
    <mergeCell ref="I8:J8"/>
    <mergeCell ref="I10:J10"/>
    <mergeCell ref="I11:J11"/>
    <mergeCell ref="I12:J12"/>
    <mergeCell ref="I13:J13"/>
    <mergeCell ref="I21:J21"/>
    <mergeCell ref="I22:J22"/>
    <mergeCell ref="I23:J23"/>
    <mergeCell ref="I15:J15"/>
    <mergeCell ref="I16:J16"/>
    <mergeCell ref="I17:J17"/>
    <mergeCell ref="I18:J18"/>
    <mergeCell ref="I19:J19"/>
    <mergeCell ref="I20:J20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7" priority="2" operator="between">
      <formula>1</formula>
      <formula>100</formula>
    </cfRule>
  </conditionalFormatting>
  <conditionalFormatting sqref="F8:F9">
    <cfRule type="cellIs" dxfId="6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2B0-BF73-4E72-A31D-384F21B5FC43}">
  <sheetPr codeName="Sheet13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customHeight="1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46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17" t="s">
        <v>94</v>
      </c>
      <c r="E3" s="68" t="s">
        <v>24</v>
      </c>
      <c r="F3" s="68"/>
      <c r="G3" s="68"/>
      <c r="H3" s="68"/>
      <c r="I3" s="18">
        <v>1022</v>
      </c>
      <c r="J3" s="19"/>
    </row>
    <row r="4" spans="1:13" ht="37.5" customHeight="1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4</v>
      </c>
      <c r="F6" s="1">
        <f t="shared" ref="F6:G6" si="0">SUM(F7:F1000)</f>
        <v>0</v>
      </c>
      <c r="G6" s="1">
        <f t="shared" si="0"/>
        <v>0</v>
      </c>
      <c r="H6" s="1">
        <f>+E6-F6-G6</f>
        <v>4</v>
      </c>
      <c r="I6" s="24"/>
      <c r="J6" s="46"/>
    </row>
    <row r="7" spans="1:13" s="22" customFormat="1" ht="75" x14ac:dyDescent="0.25">
      <c r="A7" s="26" t="s">
        <v>95</v>
      </c>
      <c r="B7" s="27" t="s">
        <v>96</v>
      </c>
      <c r="C7" s="28" t="s">
        <v>97</v>
      </c>
      <c r="D7" s="28" t="s">
        <v>98</v>
      </c>
      <c r="E7" s="29">
        <v>2</v>
      </c>
      <c r="F7" s="30">
        <v>0</v>
      </c>
      <c r="G7" s="30">
        <v>0</v>
      </c>
      <c r="H7" s="29">
        <f>SUM(E7:G7)</f>
        <v>2</v>
      </c>
      <c r="I7" s="58"/>
      <c r="J7" s="59"/>
    </row>
    <row r="8" spans="1:13" s="22" customFormat="1" ht="37.5" x14ac:dyDescent="0.25">
      <c r="A8" s="26" t="s">
        <v>99</v>
      </c>
      <c r="B8" s="27" t="s">
        <v>100</v>
      </c>
      <c r="C8" s="28" t="s">
        <v>97</v>
      </c>
      <c r="D8" s="28" t="s">
        <v>98</v>
      </c>
      <c r="E8" s="29">
        <v>2</v>
      </c>
      <c r="F8" s="30">
        <v>0</v>
      </c>
      <c r="G8" s="30">
        <v>0</v>
      </c>
      <c r="H8" s="29">
        <f>+H7+E8-F8-G8</f>
        <v>4</v>
      </c>
      <c r="I8" s="58"/>
      <c r="J8" s="59"/>
    </row>
    <row r="9" spans="1:13" s="22" customFormat="1" ht="20.25" x14ac:dyDescent="0.25">
      <c r="A9" s="33"/>
      <c r="B9" s="27"/>
      <c r="C9" s="28"/>
      <c r="D9" s="28"/>
      <c r="E9" s="29"/>
      <c r="F9" s="29"/>
      <c r="G9" s="30"/>
      <c r="H9" s="29"/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28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_1"/>
  </protectedRanges>
  <mergeCells count="2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8:J8"/>
    <mergeCell ref="I10:J10"/>
    <mergeCell ref="I11:J11"/>
    <mergeCell ref="I12:J12"/>
    <mergeCell ref="I13:J13"/>
    <mergeCell ref="I21:J21"/>
    <mergeCell ref="I22:J22"/>
    <mergeCell ref="I23:J23"/>
    <mergeCell ref="I9:J9"/>
    <mergeCell ref="I15:J15"/>
    <mergeCell ref="I16:J16"/>
    <mergeCell ref="I17:J17"/>
    <mergeCell ref="I18:J18"/>
    <mergeCell ref="I19:J19"/>
    <mergeCell ref="I20:J20"/>
    <mergeCell ref="I14:J14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5" priority="2" operator="between">
      <formula>1</formula>
      <formula>100</formula>
    </cfRule>
  </conditionalFormatting>
  <conditionalFormatting sqref="F9">
    <cfRule type="cellIs" dxfId="4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CE0F-E195-4BD9-9D5E-7E8BCD9CF7BD}">
  <sheetPr codeName="Sheet14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customHeight="1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47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7" t="s">
        <v>16</v>
      </c>
      <c r="E3" s="68" t="s">
        <v>24</v>
      </c>
      <c r="F3" s="68"/>
      <c r="G3" s="68"/>
      <c r="H3" s="68"/>
      <c r="I3" s="18">
        <v>3193</v>
      </c>
      <c r="J3" s="19"/>
    </row>
    <row r="4" spans="1:13" ht="37.5" customHeight="1" x14ac:dyDescent="0.3">
      <c r="A4" s="60" t="s">
        <v>25</v>
      </c>
      <c r="B4" s="62" t="s">
        <v>26</v>
      </c>
      <c r="C4" s="60" t="s">
        <v>27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24"/>
      <c r="J6" s="46"/>
    </row>
    <row r="7" spans="1:13" s="22" customFormat="1" ht="56.25" x14ac:dyDescent="0.25">
      <c r="A7" s="26">
        <v>45481</v>
      </c>
      <c r="B7" s="27" t="s">
        <v>101</v>
      </c>
      <c r="C7" s="28" t="s">
        <v>102</v>
      </c>
      <c r="D7" s="28" t="s">
        <v>103</v>
      </c>
      <c r="E7" s="29">
        <v>1</v>
      </c>
      <c r="F7" s="30">
        <v>0</v>
      </c>
      <c r="G7" s="30">
        <v>0</v>
      </c>
      <c r="H7" s="29">
        <f>SUM(E7:G7)</f>
        <v>1</v>
      </c>
      <c r="I7" s="58"/>
      <c r="J7" s="59"/>
    </row>
    <row r="8" spans="1:13" s="22" customFormat="1" ht="20.25" x14ac:dyDescent="0.25">
      <c r="A8" s="26"/>
      <c r="B8" s="27"/>
      <c r="C8" s="28"/>
      <c r="D8" s="28"/>
      <c r="E8" s="29"/>
      <c r="F8" s="30"/>
      <c r="G8" s="30"/>
      <c r="H8" s="29"/>
      <c r="I8" s="58"/>
      <c r="J8" s="59"/>
    </row>
    <row r="9" spans="1:13" s="22" customFormat="1" ht="20.25" x14ac:dyDescent="0.25">
      <c r="A9" s="33"/>
      <c r="B9" s="27"/>
      <c r="C9" s="28"/>
      <c r="D9" s="28"/>
      <c r="E9" s="29"/>
      <c r="F9" s="29"/>
      <c r="G9" s="30"/>
      <c r="H9" s="29"/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28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28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27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s="22" customFormat="1" ht="20.25" x14ac:dyDescent="0.25">
      <c r="A23" s="33"/>
      <c r="B23" s="35"/>
      <c r="C23" s="28"/>
      <c r="D23" s="34"/>
      <c r="E23" s="29"/>
      <c r="F23" s="30"/>
      <c r="G23" s="30"/>
      <c r="H23" s="29"/>
      <c r="I23" s="58"/>
      <c r="J23" s="59"/>
    </row>
  </sheetData>
  <protectedRanges>
    <protectedRange algorithmName="SHA-512" hashValue="w6vOy6gaWv7RKp7tkLrp7nrHA6RmzXKKrxhAURGVJNeJ+tWzcydALHZnJcvW3Xd6J2aTxgJ4vzpBns4Tppy+Tg==" saltValue="wFqfSvUJGsYlHEHwlJdPRg==" spinCount="100000" sqref="G9 A7:B8 A9:A1048576 B9:C12 E10:G12 B13:G1048576" name="Range1"/>
  </protectedRanges>
  <mergeCells count="28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23:J23"/>
    <mergeCell ref="I14:J14"/>
    <mergeCell ref="I15:J15"/>
    <mergeCell ref="I16:J16"/>
    <mergeCell ref="I17:J17"/>
    <mergeCell ref="I18:J18"/>
    <mergeCell ref="I19:J19"/>
  </mergeCells>
  <conditionalFormatting sqref="B14:B23">
    <cfRule type="cellIs" priority="3" operator="between">
      <formula>1</formula>
      <formula>100000000</formula>
    </cfRule>
  </conditionalFormatting>
  <conditionalFormatting sqref="E7:E23 H7:H23">
    <cfRule type="cellIs" dxfId="3" priority="2" operator="between">
      <formula>1</formula>
      <formula>100</formula>
    </cfRule>
  </conditionalFormatting>
  <conditionalFormatting sqref="F9">
    <cfRule type="cellIs" dxfId="2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9218-AA6D-4D70-86B3-EEDF61B9E97F}">
  <sheetPr codeName="Sheet15"/>
  <dimension ref="A1:M23"/>
  <sheetViews>
    <sheetView workbookViewId="0"/>
  </sheetViews>
  <sheetFormatPr defaultRowHeight="30" customHeight="1" x14ac:dyDescent="0.3"/>
  <cols>
    <col min="1" max="1" width="18.42578125" style="36" customWidth="1"/>
    <col min="2" max="2" width="19.5703125" style="37" customWidth="1"/>
    <col min="3" max="3" width="34.5703125" style="38" customWidth="1"/>
    <col min="4" max="4" width="24.5703125" style="36" customWidth="1"/>
    <col min="5" max="5" width="17.7109375" style="39" customWidth="1"/>
    <col min="6" max="6" width="17.7109375" style="36" customWidth="1"/>
    <col min="7" max="7" width="15.28515625" style="36" customWidth="1"/>
    <col min="8" max="8" width="21.28515625" style="40" customWidth="1"/>
    <col min="9" max="9" width="19.42578125" style="36" customWidth="1"/>
    <col min="10" max="10" width="14.7109375" style="36" customWidth="1"/>
    <col min="11" max="16384" width="9.140625" style="12"/>
  </cols>
  <sheetData>
    <row r="1" spans="1:13" ht="30.75" customHeight="1" x14ac:dyDescent="0.3">
      <c r="A1" s="11"/>
      <c r="B1" s="64" t="s">
        <v>19</v>
      </c>
      <c r="C1" s="64"/>
      <c r="D1" s="64"/>
      <c r="E1" s="64"/>
      <c r="F1" s="64"/>
      <c r="G1" s="64"/>
      <c r="H1" s="64"/>
      <c r="I1" s="64"/>
      <c r="J1" s="64"/>
    </row>
    <row r="2" spans="1:13" ht="23.25" x14ac:dyDescent="0.3">
      <c r="A2" s="65" t="s">
        <v>20</v>
      </c>
      <c r="B2" s="65"/>
      <c r="C2" s="65"/>
      <c r="D2" s="13">
        <v>53</v>
      </c>
      <c r="E2" s="66" t="s">
        <v>21</v>
      </c>
      <c r="F2" s="66"/>
      <c r="G2" s="66"/>
      <c r="H2" s="15">
        <v>1</v>
      </c>
      <c r="I2" s="14" t="s">
        <v>22</v>
      </c>
      <c r="J2" s="15">
        <v>3</v>
      </c>
      <c r="K2" s="16"/>
      <c r="L2" s="67"/>
      <c r="M2" s="67"/>
    </row>
    <row r="3" spans="1:13" ht="23.25" x14ac:dyDescent="0.3">
      <c r="A3" s="65" t="s">
        <v>23</v>
      </c>
      <c r="B3" s="65"/>
      <c r="C3" s="65"/>
      <c r="D3" s="49" t="s">
        <v>104</v>
      </c>
      <c r="E3" s="68" t="s">
        <v>24</v>
      </c>
      <c r="F3" s="68"/>
      <c r="G3" s="68"/>
      <c r="H3" s="68"/>
      <c r="I3" s="18">
        <v>3200</v>
      </c>
      <c r="J3" s="19"/>
    </row>
    <row r="4" spans="1:13" ht="37.5" customHeight="1" x14ac:dyDescent="0.3">
      <c r="A4" s="60" t="s">
        <v>25</v>
      </c>
      <c r="B4" s="62" t="s">
        <v>26</v>
      </c>
      <c r="C4" s="70" t="s">
        <v>105</v>
      </c>
      <c r="D4" s="6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69">
        <v>3</v>
      </c>
      <c r="J4" s="63"/>
    </row>
    <row r="5" spans="1:13" s="22" customFormat="1" ht="56.25" x14ac:dyDescent="0.25">
      <c r="A5" s="61"/>
      <c r="B5" s="61"/>
      <c r="C5" s="61"/>
      <c r="D5" s="61"/>
      <c r="E5" s="21" t="s">
        <v>34</v>
      </c>
      <c r="F5" s="21" t="s">
        <v>34</v>
      </c>
      <c r="G5" s="21" t="s">
        <v>34</v>
      </c>
      <c r="H5" s="21" t="s">
        <v>34</v>
      </c>
      <c r="I5" s="63"/>
      <c r="J5" s="63"/>
    </row>
    <row r="6" spans="1:13" s="22" customFormat="1" ht="22.5" x14ac:dyDescent="0.25">
      <c r="A6" s="23"/>
      <c r="B6" s="23"/>
      <c r="C6" s="23"/>
      <c r="D6" s="23"/>
      <c r="E6" s="1">
        <f>SUM(E7:E1000)</f>
        <v>1</v>
      </c>
      <c r="F6" s="1">
        <f t="shared" ref="F6:G6" si="0">SUM(F7:F1000)</f>
        <v>0</v>
      </c>
      <c r="G6" s="1">
        <f t="shared" si="0"/>
        <v>0</v>
      </c>
      <c r="H6" s="1">
        <f>+E6-F6-G6</f>
        <v>1</v>
      </c>
      <c r="I6" s="24"/>
      <c r="J6" s="46"/>
    </row>
    <row r="7" spans="1:13" s="22" customFormat="1" ht="75" x14ac:dyDescent="0.25">
      <c r="A7" s="26" t="s">
        <v>106</v>
      </c>
      <c r="B7" s="27" t="s">
        <v>107</v>
      </c>
      <c r="C7" s="28" t="s">
        <v>108</v>
      </c>
      <c r="D7" s="28" t="s">
        <v>62</v>
      </c>
      <c r="E7" s="29">
        <v>1</v>
      </c>
      <c r="F7" s="30">
        <v>0</v>
      </c>
      <c r="G7" s="30">
        <v>0</v>
      </c>
      <c r="H7" s="29">
        <f>SUM(E7:G7)</f>
        <v>1</v>
      </c>
      <c r="I7" s="58"/>
      <c r="J7" s="59"/>
    </row>
    <row r="8" spans="1:13" s="22" customFormat="1" ht="20.25" x14ac:dyDescent="0.25">
      <c r="A8" s="33"/>
      <c r="B8" s="27"/>
      <c r="C8" s="28"/>
      <c r="D8" s="28"/>
      <c r="E8" s="29"/>
      <c r="F8" s="29"/>
      <c r="G8" s="30"/>
      <c r="H8" s="29"/>
      <c r="I8" s="58"/>
      <c r="J8" s="59"/>
    </row>
    <row r="9" spans="1:13" s="22" customFormat="1" ht="20.25" x14ac:dyDescent="0.25">
      <c r="A9" s="33"/>
      <c r="B9" s="27"/>
      <c r="C9" s="28"/>
      <c r="D9" s="28"/>
      <c r="E9" s="29"/>
      <c r="F9" s="30"/>
      <c r="G9" s="30"/>
      <c r="H9" s="29"/>
      <c r="I9" s="58"/>
      <c r="J9" s="59"/>
    </row>
    <row r="10" spans="1:13" s="22" customFormat="1" ht="20.25" x14ac:dyDescent="0.25">
      <c r="A10" s="33"/>
      <c r="B10" s="27"/>
      <c r="C10" s="28"/>
      <c r="D10" s="28"/>
      <c r="E10" s="29"/>
      <c r="F10" s="30"/>
      <c r="G10" s="30"/>
      <c r="H10" s="29"/>
      <c r="I10" s="58"/>
      <c r="J10" s="59"/>
    </row>
    <row r="11" spans="1:13" s="22" customFormat="1" ht="20.25" x14ac:dyDescent="0.25">
      <c r="A11" s="33"/>
      <c r="B11" s="27"/>
      <c r="C11" s="28"/>
      <c r="D11" s="28"/>
      <c r="E11" s="29"/>
      <c r="F11" s="30"/>
      <c r="G11" s="30"/>
      <c r="H11" s="29"/>
      <c r="I11" s="58"/>
      <c r="J11" s="59"/>
    </row>
    <row r="12" spans="1:13" s="22" customFormat="1" ht="20.25" x14ac:dyDescent="0.25">
      <c r="A12" s="33"/>
      <c r="B12" s="27"/>
      <c r="C12" s="28"/>
      <c r="D12" s="34"/>
      <c r="E12" s="29"/>
      <c r="F12" s="30"/>
      <c r="G12" s="30"/>
      <c r="H12" s="29"/>
      <c r="I12" s="58"/>
      <c r="J12" s="59"/>
    </row>
    <row r="13" spans="1:13" s="22" customFormat="1" ht="20.25" x14ac:dyDescent="0.25">
      <c r="A13" s="33"/>
      <c r="B13" s="27"/>
      <c r="C13" s="28"/>
      <c r="D13" s="34"/>
      <c r="E13" s="29"/>
      <c r="F13" s="30"/>
      <c r="G13" s="30"/>
      <c r="H13" s="29"/>
      <c r="I13" s="58"/>
      <c r="J13" s="59"/>
    </row>
    <row r="14" spans="1:13" s="22" customFormat="1" ht="20.25" x14ac:dyDescent="0.25">
      <c r="A14" s="33"/>
      <c r="B14" s="27"/>
      <c r="C14" s="28"/>
      <c r="D14" s="34"/>
      <c r="E14" s="29"/>
      <c r="F14" s="30"/>
      <c r="G14" s="30"/>
      <c r="H14" s="29"/>
      <c r="I14" s="58"/>
      <c r="J14" s="59"/>
    </row>
    <row r="15" spans="1:13" s="22" customFormat="1" ht="20.25" x14ac:dyDescent="0.25">
      <c r="A15" s="33"/>
      <c r="B15" s="35"/>
      <c r="C15" s="28"/>
      <c r="D15" s="34"/>
      <c r="E15" s="29"/>
      <c r="F15" s="30"/>
      <c r="G15" s="30"/>
      <c r="H15" s="29"/>
      <c r="I15" s="58"/>
      <c r="J15" s="59"/>
    </row>
    <row r="16" spans="1:13" s="22" customFormat="1" ht="20.25" x14ac:dyDescent="0.25">
      <c r="A16" s="33"/>
      <c r="B16" s="35"/>
      <c r="C16" s="28"/>
      <c r="D16" s="34"/>
      <c r="E16" s="29"/>
      <c r="F16" s="30"/>
      <c r="G16" s="30"/>
      <c r="H16" s="29"/>
      <c r="I16" s="58"/>
      <c r="J16" s="59"/>
    </row>
    <row r="17" spans="1:10" s="22" customFormat="1" ht="20.25" x14ac:dyDescent="0.25">
      <c r="A17" s="33"/>
      <c r="B17" s="35"/>
      <c r="C17" s="28"/>
      <c r="D17" s="34"/>
      <c r="E17" s="29"/>
      <c r="F17" s="30"/>
      <c r="G17" s="30"/>
      <c r="H17" s="29"/>
      <c r="I17" s="58"/>
      <c r="J17" s="59"/>
    </row>
    <row r="18" spans="1:10" s="22" customFormat="1" ht="20.25" x14ac:dyDescent="0.25">
      <c r="A18" s="33"/>
      <c r="B18" s="35"/>
      <c r="C18" s="28"/>
      <c r="D18" s="34"/>
      <c r="E18" s="29"/>
      <c r="F18" s="30"/>
      <c r="G18" s="30"/>
      <c r="H18" s="29"/>
      <c r="I18" s="58"/>
      <c r="J18" s="59"/>
    </row>
    <row r="19" spans="1:10" s="22" customFormat="1" ht="20.25" x14ac:dyDescent="0.25">
      <c r="A19" s="33"/>
      <c r="B19" s="35"/>
      <c r="C19" s="28"/>
      <c r="D19" s="34"/>
      <c r="E19" s="29"/>
      <c r="F19" s="30"/>
      <c r="G19" s="30"/>
      <c r="H19" s="29"/>
      <c r="I19" s="58"/>
      <c r="J19" s="59"/>
    </row>
    <row r="20" spans="1:10" s="22" customFormat="1" ht="20.25" x14ac:dyDescent="0.25">
      <c r="A20" s="33"/>
      <c r="B20" s="35"/>
      <c r="C20" s="28"/>
      <c r="D20" s="34"/>
      <c r="E20" s="29"/>
      <c r="F20" s="30"/>
      <c r="G20" s="30"/>
      <c r="H20" s="29"/>
      <c r="I20" s="58"/>
      <c r="J20" s="59"/>
    </row>
    <row r="21" spans="1:10" s="22" customFormat="1" ht="20.25" x14ac:dyDescent="0.25">
      <c r="A21" s="33"/>
      <c r="B21" s="35"/>
      <c r="C21" s="28"/>
      <c r="D21" s="34"/>
      <c r="E21" s="29"/>
      <c r="F21" s="30"/>
      <c r="G21" s="30"/>
      <c r="H21" s="29"/>
      <c r="I21" s="58"/>
      <c r="J21" s="59"/>
    </row>
    <row r="22" spans="1:10" s="22" customFormat="1" ht="20.25" x14ac:dyDescent="0.25">
      <c r="A22" s="33"/>
      <c r="B22" s="35"/>
      <c r="C22" s="28"/>
      <c r="D22" s="34"/>
      <c r="E22" s="29"/>
      <c r="F22" s="30"/>
      <c r="G22" s="30"/>
      <c r="H22" s="29"/>
      <c r="I22" s="58"/>
      <c r="J22" s="59"/>
    </row>
    <row r="23" spans="1:10" ht="20.25" x14ac:dyDescent="0.3"/>
  </sheetData>
  <protectedRanges>
    <protectedRange algorithmName="SHA-512" hashValue="w6vOy6gaWv7RKp7tkLrp7nrHA6RmzXKKrxhAURGVJNeJ+tWzcydALHZnJcvW3Xd6J2aTxgJ4vzpBns4Tppy+Tg==" saltValue="wFqfSvUJGsYlHEHwlJdPRg==" spinCount="100000" sqref="G8 B12:G1048576 A8:A1048576 B8:C11 E9:G11 A7:B7" name="Range1_1"/>
  </protectedRanges>
  <mergeCells count="27">
    <mergeCell ref="B1:J1"/>
    <mergeCell ref="A2:C2"/>
    <mergeCell ref="E2:G2"/>
    <mergeCell ref="L2:M2"/>
    <mergeCell ref="A3:C3"/>
    <mergeCell ref="E3:H3"/>
    <mergeCell ref="I13:J13"/>
    <mergeCell ref="A4:A5"/>
    <mergeCell ref="B4:B5"/>
    <mergeCell ref="C4:C5"/>
    <mergeCell ref="D4:D5"/>
    <mergeCell ref="I4:J5"/>
    <mergeCell ref="I7:J7"/>
    <mergeCell ref="I8:J8"/>
    <mergeCell ref="I9:J9"/>
    <mergeCell ref="I10:J10"/>
    <mergeCell ref="I11:J11"/>
    <mergeCell ref="I12:J12"/>
    <mergeCell ref="I20:J20"/>
    <mergeCell ref="I21:J21"/>
    <mergeCell ref="I22:J22"/>
    <mergeCell ref="I14:J14"/>
    <mergeCell ref="I15:J15"/>
    <mergeCell ref="I16:J16"/>
    <mergeCell ref="I17:J17"/>
    <mergeCell ref="I18:J18"/>
    <mergeCell ref="I19:J19"/>
  </mergeCells>
  <conditionalFormatting sqref="B13:B22">
    <cfRule type="cellIs" priority="3" operator="between">
      <formula>1</formula>
      <formula>100000000</formula>
    </cfRule>
  </conditionalFormatting>
  <conditionalFormatting sqref="E7:E22 H7:H22">
    <cfRule type="cellIs" dxfId="1" priority="2" operator="between">
      <formula>1</formula>
      <formula>100</formula>
    </cfRule>
  </conditionalFormatting>
  <conditionalFormatting sqref="F8">
    <cfRule type="cellIs" dxfId="0" priority="1" operator="between">
      <formula>1</formula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Index</vt:lpstr>
      <vt:lpstr>Sheet8</vt:lpstr>
      <vt:lpstr>1001</vt:lpstr>
      <vt:lpstr>1003</vt:lpstr>
      <vt:lpstr>1005</vt:lpstr>
      <vt:lpstr>1007</vt:lpstr>
      <vt:lpstr>1009</vt:lpstr>
      <vt:lpstr>1012</vt:lpstr>
      <vt:lpstr>1014</vt:lpstr>
      <vt:lpstr>1015</vt:lpstr>
      <vt:lpstr>1016</vt:lpstr>
      <vt:lpstr>1019</vt:lpstr>
      <vt:lpstr>1022</vt:lpstr>
      <vt:lpstr>1024</vt:lpstr>
      <vt:lpstr>1025</vt:lpstr>
      <vt:lpstr>Index!Print_Area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VIVEK AZAD</cp:lastModifiedBy>
  <cp:lastPrinted>2026-08-25T11:23:46Z</cp:lastPrinted>
  <dcterms:created xsi:type="dcterms:W3CDTF">2015-06-05T18:17:20Z</dcterms:created>
  <dcterms:modified xsi:type="dcterms:W3CDTF">2026-08-25T11:24:19Z</dcterms:modified>
</cp:coreProperties>
</file>