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tore and Staff\"/>
    </mc:Choice>
  </mc:AlternateContent>
  <xr:revisionPtr revIDLastSave="0" documentId="13_ncr:1_{11C652F5-BBDF-4893-A3AE-45A198943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 " sheetId="89" r:id="rId1"/>
    <sheet name="3101" sheetId="1" r:id="rId2"/>
    <sheet name="3104" sheetId="3" r:id="rId3"/>
    <sheet name="3107" sheetId="4" r:id="rId4"/>
    <sheet name="3109" sheetId="5" r:id="rId5"/>
    <sheet name="3114" sheetId="6" r:id="rId6"/>
    <sheet name="3116" sheetId="7" r:id="rId7"/>
    <sheet name="3119" sheetId="8" r:id="rId8"/>
    <sheet name="3122" sheetId="9" r:id="rId9"/>
    <sheet name="3125" sheetId="10" r:id="rId10"/>
    <sheet name="3131" sheetId="11" r:id="rId11"/>
    <sheet name="3134" sheetId="12" r:id="rId12"/>
    <sheet name="3138" sheetId="13" r:id="rId13"/>
    <sheet name="3142" sheetId="14" r:id="rId14"/>
    <sheet name="3145" sheetId="15" r:id="rId15"/>
    <sheet name="3147" sheetId="16" r:id="rId16"/>
    <sheet name="3150" sheetId="17" r:id="rId17"/>
    <sheet name="3153" sheetId="18" r:id="rId18"/>
    <sheet name="3156" sheetId="19" r:id="rId19"/>
    <sheet name="3159" sheetId="20" r:id="rId20"/>
    <sheet name="3160" sheetId="21" r:id="rId21"/>
    <sheet name="3161" sheetId="22" r:id="rId22"/>
    <sheet name="3162" sheetId="23" r:id="rId23"/>
    <sheet name="3163" sheetId="24" r:id="rId24"/>
    <sheet name="3164" sheetId="25" r:id="rId25"/>
    <sheet name="3165" sheetId="26" r:id="rId26"/>
    <sheet name="3168" sheetId="27" r:id="rId27"/>
    <sheet name="3169" sheetId="28" r:id="rId28"/>
    <sheet name="3170" sheetId="29" r:id="rId29"/>
    <sheet name="3172" sheetId="30" r:id="rId30"/>
    <sheet name="3174" sheetId="31" r:id="rId31"/>
    <sheet name="3175" sheetId="32" r:id="rId32"/>
    <sheet name="3177" sheetId="33" r:id="rId33"/>
    <sheet name="3179" sheetId="34" r:id="rId34"/>
    <sheet name="3180" sheetId="35" r:id="rId35"/>
    <sheet name="3181" sheetId="36" r:id="rId36"/>
    <sheet name="3183" sheetId="37" r:id="rId37"/>
    <sheet name="3185" sheetId="38" r:id="rId38"/>
    <sheet name="3186" sheetId="39" r:id="rId39"/>
    <sheet name="3187" sheetId="40" r:id="rId40"/>
    <sheet name="3188" sheetId="41" r:id="rId41"/>
    <sheet name="3189" sheetId="42" r:id="rId42"/>
    <sheet name="3190" sheetId="43" r:id="rId43"/>
    <sheet name="3191" sheetId="44" r:id="rId44"/>
    <sheet name="3194" sheetId="45" r:id="rId45"/>
    <sheet name="3198" sheetId="46" r:id="rId46"/>
    <sheet name="3201" sheetId="47" r:id="rId47"/>
    <sheet name="3204" sheetId="48" r:id="rId48"/>
    <sheet name="3207" sheetId="49" r:id="rId49"/>
    <sheet name="3219" sheetId="50" r:id="rId50"/>
    <sheet name="3220" sheetId="51" r:id="rId51"/>
    <sheet name="3221" sheetId="52" r:id="rId52"/>
    <sheet name="3222" sheetId="53" r:id="rId53"/>
    <sheet name="3224" sheetId="54" r:id="rId54"/>
    <sheet name="3226" sheetId="55" r:id="rId55"/>
    <sheet name="3228" sheetId="56" r:id="rId56"/>
    <sheet name="3231" sheetId="57" r:id="rId57"/>
    <sheet name="3233" sheetId="58" r:id="rId58"/>
    <sheet name="3235" sheetId="59" r:id="rId59"/>
    <sheet name="3237" sheetId="60" r:id="rId60"/>
    <sheet name="3239" sheetId="61" r:id="rId61"/>
    <sheet name="3243" sheetId="62" r:id="rId62"/>
    <sheet name="3251" sheetId="63" r:id="rId63"/>
    <sheet name="3255" sheetId="64" r:id="rId64"/>
    <sheet name="3256" sheetId="65" r:id="rId65"/>
    <sheet name="3257" sheetId="66" r:id="rId66"/>
    <sheet name="3258" sheetId="67" r:id="rId67"/>
    <sheet name="3259" sheetId="68" r:id="rId68"/>
    <sheet name="3261" sheetId="69" r:id="rId69"/>
    <sheet name="3263" sheetId="70" r:id="rId70"/>
    <sheet name="3265" sheetId="71" r:id="rId71"/>
    <sheet name="3266" sheetId="72" r:id="rId72"/>
    <sheet name="3267" sheetId="73" r:id="rId73"/>
    <sheet name="3268" sheetId="74" r:id="rId74"/>
    <sheet name="3271" sheetId="75" r:id="rId75"/>
    <sheet name="3272" sheetId="76" r:id="rId76"/>
    <sheet name="3274" sheetId="77" r:id="rId77"/>
    <sheet name="3276" sheetId="78" r:id="rId78"/>
    <sheet name="3278" sheetId="79" r:id="rId79"/>
    <sheet name="3280" sheetId="80" r:id="rId80"/>
    <sheet name="3282" sheetId="81" r:id="rId81"/>
    <sheet name="3283" sheetId="82" r:id="rId82"/>
    <sheet name="3284" sheetId="83" r:id="rId83"/>
    <sheet name="3294" sheetId="84" r:id="rId84"/>
    <sheet name="3296" sheetId="85" r:id="rId85"/>
    <sheet name="3298" sheetId="86" r:id="rId86"/>
    <sheet name="3299" sheetId="87" r:id="rId87"/>
    <sheet name="3300" sheetId="88" r:id="rId88"/>
  </sheets>
  <definedNames>
    <definedName name="_xlnm.Print_Area" localSheetId="0">'Index '!$A$1:$I$90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2" l="1"/>
  <c r="H8" i="32"/>
  <c r="H11" i="45"/>
  <c r="H10" i="45"/>
  <c r="H9" i="45"/>
  <c r="E90" i="89"/>
  <c r="F90" i="89"/>
  <c r="G90" i="89"/>
  <c r="D90" i="89"/>
  <c r="E89" i="89"/>
  <c r="F89" i="89"/>
  <c r="G89" i="89"/>
  <c r="D89" i="89"/>
  <c r="E88" i="89"/>
  <c r="F88" i="89"/>
  <c r="G88" i="89"/>
  <c r="D88" i="89"/>
  <c r="E87" i="89"/>
  <c r="F87" i="89"/>
  <c r="G87" i="89"/>
  <c r="D87" i="89"/>
  <c r="E86" i="89"/>
  <c r="F86" i="89"/>
  <c r="G86" i="89"/>
  <c r="D86" i="89"/>
  <c r="E85" i="89"/>
  <c r="F85" i="89"/>
  <c r="G85" i="89"/>
  <c r="D85" i="89"/>
  <c r="E84" i="89"/>
  <c r="F84" i="89"/>
  <c r="G84" i="89"/>
  <c r="D84" i="89"/>
  <c r="E83" i="89"/>
  <c r="G83" i="89"/>
  <c r="D83" i="89"/>
  <c r="E82" i="89"/>
  <c r="F82" i="89"/>
  <c r="G82" i="89"/>
  <c r="D82" i="89"/>
  <c r="E81" i="89"/>
  <c r="F81" i="89"/>
  <c r="G81" i="89"/>
  <c r="D81" i="89"/>
  <c r="E80" i="89"/>
  <c r="F80" i="89"/>
  <c r="G80" i="89"/>
  <c r="D80" i="89"/>
  <c r="E79" i="89"/>
  <c r="F79" i="89"/>
  <c r="G79" i="89"/>
  <c r="D79" i="89"/>
  <c r="E78" i="89"/>
  <c r="F78" i="89"/>
  <c r="G78" i="89"/>
  <c r="D78" i="89"/>
  <c r="E77" i="89"/>
  <c r="F77" i="89"/>
  <c r="G77" i="89"/>
  <c r="D77" i="89"/>
  <c r="E76" i="89"/>
  <c r="F76" i="89"/>
  <c r="G76" i="89"/>
  <c r="D76" i="89"/>
  <c r="E75" i="89"/>
  <c r="F75" i="89"/>
  <c r="G75" i="89"/>
  <c r="D75" i="89"/>
  <c r="E74" i="89"/>
  <c r="F74" i="89"/>
  <c r="G74" i="89"/>
  <c r="D74" i="89"/>
  <c r="E73" i="89"/>
  <c r="F73" i="89"/>
  <c r="G73" i="89"/>
  <c r="D73" i="89"/>
  <c r="E72" i="89"/>
  <c r="F72" i="89"/>
  <c r="G72" i="89"/>
  <c r="D72" i="89"/>
  <c r="E71" i="89"/>
  <c r="F71" i="89"/>
  <c r="G71" i="89"/>
  <c r="D71" i="89"/>
  <c r="E70" i="89"/>
  <c r="F70" i="89"/>
  <c r="G70" i="89"/>
  <c r="D70" i="89"/>
  <c r="E69" i="89"/>
  <c r="F69" i="89"/>
  <c r="G69" i="89"/>
  <c r="D69" i="89"/>
  <c r="E68" i="89"/>
  <c r="F68" i="89"/>
  <c r="G68" i="89"/>
  <c r="D68" i="89"/>
  <c r="E67" i="89"/>
  <c r="F67" i="89"/>
  <c r="G67" i="89"/>
  <c r="D67" i="89"/>
  <c r="E66" i="89"/>
  <c r="F66" i="89"/>
  <c r="G66" i="89"/>
  <c r="D66" i="89"/>
  <c r="E65" i="89"/>
  <c r="F65" i="89"/>
  <c r="G65" i="89"/>
  <c r="D65" i="89"/>
  <c r="E64" i="89"/>
  <c r="F64" i="89"/>
  <c r="G64" i="89"/>
  <c r="D64" i="89"/>
  <c r="E63" i="89"/>
  <c r="F63" i="89"/>
  <c r="G63" i="89"/>
  <c r="D63" i="89"/>
  <c r="E62" i="89"/>
  <c r="E61" i="89"/>
  <c r="F61" i="89"/>
  <c r="E60" i="89"/>
  <c r="F60" i="89"/>
  <c r="G60" i="89"/>
  <c r="D60" i="89"/>
  <c r="E59" i="89"/>
  <c r="F59" i="89"/>
  <c r="G59" i="89"/>
  <c r="D59" i="89"/>
  <c r="E58" i="89"/>
  <c r="F58" i="89"/>
  <c r="G58" i="89"/>
  <c r="D58" i="89"/>
  <c r="E57" i="89"/>
  <c r="F57" i="89"/>
  <c r="G57" i="89"/>
  <c r="D57" i="89"/>
  <c r="E56" i="89"/>
  <c r="F56" i="89"/>
  <c r="G56" i="89"/>
  <c r="D56" i="89"/>
  <c r="E55" i="89"/>
  <c r="F55" i="89"/>
  <c r="G55" i="89"/>
  <c r="D55" i="89"/>
  <c r="E54" i="89"/>
  <c r="F54" i="89"/>
  <c r="G54" i="89"/>
  <c r="D54" i="89"/>
  <c r="E53" i="89"/>
  <c r="F53" i="89"/>
  <c r="G53" i="89"/>
  <c r="D53" i="89"/>
  <c r="E52" i="89"/>
  <c r="F52" i="89"/>
  <c r="G52" i="89"/>
  <c r="D52" i="89"/>
  <c r="E51" i="89"/>
  <c r="F51" i="89"/>
  <c r="G51" i="89"/>
  <c r="D51" i="89"/>
  <c r="E50" i="89"/>
  <c r="F50" i="89"/>
  <c r="G50" i="89"/>
  <c r="D50" i="89"/>
  <c r="F49" i="89"/>
  <c r="E49" i="89"/>
  <c r="D49" i="89"/>
  <c r="G48" i="89"/>
  <c r="F48" i="89"/>
  <c r="E48" i="89"/>
  <c r="D48" i="89"/>
  <c r="G46" i="89"/>
  <c r="F46" i="89"/>
  <c r="E46" i="89"/>
  <c r="D46" i="89"/>
  <c r="G45" i="89"/>
  <c r="F45" i="89"/>
  <c r="E45" i="89"/>
  <c r="D45" i="89"/>
  <c r="G44" i="89"/>
  <c r="F44" i="89"/>
  <c r="E44" i="89"/>
  <c r="D44" i="89"/>
  <c r="G43" i="89"/>
  <c r="F43" i="89"/>
  <c r="E43" i="89"/>
  <c r="D43" i="89"/>
  <c r="G42" i="89"/>
  <c r="F42" i="89"/>
  <c r="E42" i="89"/>
  <c r="D42" i="89"/>
  <c r="G41" i="89"/>
  <c r="F41" i="89"/>
  <c r="E41" i="89"/>
  <c r="D41" i="89"/>
  <c r="G40" i="89"/>
  <c r="F40" i="89"/>
  <c r="E40" i="89"/>
  <c r="D40" i="89"/>
  <c r="G39" i="89"/>
  <c r="F39" i="89"/>
  <c r="E39" i="89"/>
  <c r="D39" i="89"/>
  <c r="G38" i="89"/>
  <c r="F38" i="89"/>
  <c r="E38" i="89"/>
  <c r="D38" i="89"/>
  <c r="G37" i="89"/>
  <c r="F37" i="89"/>
  <c r="E37" i="89"/>
  <c r="D37" i="89"/>
  <c r="G36" i="89"/>
  <c r="F36" i="89"/>
  <c r="E36" i="89"/>
  <c r="D36" i="89"/>
  <c r="G35" i="89"/>
  <c r="F35" i="89"/>
  <c r="E35" i="89"/>
  <c r="D35" i="89"/>
  <c r="G33" i="89"/>
  <c r="F33" i="89"/>
  <c r="E33" i="89"/>
  <c r="D33" i="89"/>
  <c r="G32" i="89"/>
  <c r="F32" i="89"/>
  <c r="E32" i="89"/>
  <c r="D32" i="89"/>
  <c r="G31" i="89"/>
  <c r="F31" i="89"/>
  <c r="E31" i="89"/>
  <c r="D31" i="89"/>
  <c r="G30" i="89"/>
  <c r="F30" i="89"/>
  <c r="E30" i="89"/>
  <c r="D30" i="89"/>
  <c r="G29" i="89"/>
  <c r="F29" i="89"/>
  <c r="E29" i="89"/>
  <c r="D29" i="89"/>
  <c r="H8" i="27"/>
  <c r="G28" i="89"/>
  <c r="F28" i="89"/>
  <c r="E28" i="89"/>
  <c r="D28" i="89"/>
  <c r="G27" i="89"/>
  <c r="F27" i="89"/>
  <c r="E27" i="89"/>
  <c r="D27" i="89"/>
  <c r="G26" i="89"/>
  <c r="F26" i="89"/>
  <c r="E26" i="89"/>
  <c r="D26" i="89"/>
  <c r="G25" i="89"/>
  <c r="F25" i="89"/>
  <c r="E25" i="89"/>
  <c r="D25" i="89"/>
  <c r="G24" i="89"/>
  <c r="F24" i="89"/>
  <c r="E24" i="89"/>
  <c r="D24" i="89"/>
  <c r="G23" i="89"/>
  <c r="F23" i="89"/>
  <c r="E23" i="89"/>
  <c r="D23" i="89"/>
  <c r="G22" i="89"/>
  <c r="F22" i="89"/>
  <c r="E22" i="89"/>
  <c r="D22" i="89"/>
  <c r="H9" i="19"/>
  <c r="H8" i="19"/>
  <c r="G20" i="89"/>
  <c r="F20" i="89"/>
  <c r="E20" i="89"/>
  <c r="D20" i="89"/>
  <c r="G19" i="89"/>
  <c r="F19" i="89"/>
  <c r="E19" i="89"/>
  <c r="D19" i="89"/>
  <c r="G18" i="89"/>
  <c r="F18" i="89"/>
  <c r="E18" i="89"/>
  <c r="D18" i="89"/>
  <c r="G17" i="89"/>
  <c r="F17" i="89"/>
  <c r="E17" i="89"/>
  <c r="D17" i="89"/>
  <c r="G6" i="15"/>
  <c r="F6" i="15"/>
  <c r="E6" i="15"/>
  <c r="H6" i="15" s="1"/>
  <c r="G16" i="89"/>
  <c r="F16" i="89"/>
  <c r="E16" i="89"/>
  <c r="D16" i="89"/>
  <c r="H9" i="14"/>
  <c r="H10" i="14"/>
  <c r="H11" i="14"/>
  <c r="H8" i="14"/>
  <c r="G15" i="89"/>
  <c r="F15" i="89"/>
  <c r="E15" i="89"/>
  <c r="D15" i="89"/>
  <c r="E14" i="89"/>
  <c r="D14" i="89"/>
  <c r="G6" i="12"/>
  <c r="F14" i="89" s="1"/>
  <c r="F6" i="12"/>
  <c r="E6" i="12"/>
  <c r="G13" i="89"/>
  <c r="F13" i="89"/>
  <c r="E13" i="89"/>
  <c r="D13" i="89"/>
  <c r="G12" i="89"/>
  <c r="F12" i="89"/>
  <c r="E12" i="89"/>
  <c r="D12" i="89"/>
  <c r="G11" i="89"/>
  <c r="F11" i="89"/>
  <c r="E11" i="89"/>
  <c r="D11" i="89"/>
  <c r="G10" i="89"/>
  <c r="F10" i="89"/>
  <c r="E10" i="89"/>
  <c r="D10" i="89"/>
  <c r="G9" i="89"/>
  <c r="F9" i="89"/>
  <c r="E9" i="89"/>
  <c r="D9" i="89"/>
  <c r="G8" i="89"/>
  <c r="F8" i="89"/>
  <c r="E8" i="89"/>
  <c r="D8" i="89"/>
  <c r="G7" i="89"/>
  <c r="F7" i="89"/>
  <c r="E7" i="89"/>
  <c r="D7" i="89"/>
  <c r="G6" i="89"/>
  <c r="F6" i="89"/>
  <c r="E6" i="89"/>
  <c r="D6" i="89"/>
  <c r="G5" i="89"/>
  <c r="F5" i="89"/>
  <c r="E5" i="89"/>
  <c r="D5" i="89"/>
  <c r="H9" i="1"/>
  <c r="H10" i="1" s="1"/>
  <c r="H8" i="1"/>
  <c r="H7" i="1"/>
  <c r="H7" i="3"/>
  <c r="H10" i="3"/>
  <c r="H11" i="3"/>
  <c r="H12" i="3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8" i="3"/>
  <c r="G6" i="1"/>
  <c r="F4" i="89" s="1"/>
  <c r="F6" i="1"/>
  <c r="E4" i="89" s="1"/>
  <c r="E6" i="1"/>
  <c r="D4" i="89" s="1"/>
  <c r="H7" i="88"/>
  <c r="G6" i="88"/>
  <c r="F6" i="88"/>
  <c r="E6" i="88"/>
  <c r="H6" i="88" s="1"/>
  <c r="H7" i="87"/>
  <c r="G6" i="87"/>
  <c r="F6" i="87"/>
  <c r="E6" i="87"/>
  <c r="H6" i="87" s="1"/>
  <c r="H7" i="86"/>
  <c r="G6" i="86"/>
  <c r="F6" i="86"/>
  <c r="E6" i="86"/>
  <c r="H6" i="86" s="1"/>
  <c r="H7" i="85"/>
  <c r="G6" i="85"/>
  <c r="F6" i="85"/>
  <c r="E6" i="85"/>
  <c r="H6" i="85" s="1"/>
  <c r="H7" i="84"/>
  <c r="G6" i="84"/>
  <c r="F6" i="84"/>
  <c r="E6" i="84"/>
  <c r="H6" i="84" s="1"/>
  <c r="H7" i="83"/>
  <c r="G6" i="83"/>
  <c r="F6" i="83"/>
  <c r="E6" i="83"/>
  <c r="H6" i="83" s="1"/>
  <c r="H7" i="82"/>
  <c r="G6" i="82"/>
  <c r="F6" i="82"/>
  <c r="E6" i="82"/>
  <c r="H6" i="82" s="1"/>
  <c r="H7" i="81"/>
  <c r="G6" i="81"/>
  <c r="F83" i="89" s="1"/>
  <c r="F6" i="81"/>
  <c r="E6" i="81"/>
  <c r="H6" i="81" s="1"/>
  <c r="H7" i="80"/>
  <c r="G6" i="80"/>
  <c r="F6" i="80"/>
  <c r="E6" i="80"/>
  <c r="H6" i="80" s="1"/>
  <c r="H7" i="79"/>
  <c r="G6" i="79"/>
  <c r="F6" i="79"/>
  <c r="E6" i="79"/>
  <c r="H6" i="79" s="1"/>
  <c r="H7" i="78"/>
  <c r="G6" i="78"/>
  <c r="F6" i="78"/>
  <c r="E6" i="78"/>
  <c r="H6" i="78" s="1"/>
  <c r="H7" i="77"/>
  <c r="G6" i="77"/>
  <c r="F6" i="77"/>
  <c r="E6" i="77"/>
  <c r="H6" i="77" s="1"/>
  <c r="H7" i="76"/>
  <c r="G6" i="76"/>
  <c r="F6" i="76"/>
  <c r="E6" i="76"/>
  <c r="H6" i="76" s="1"/>
  <c r="H7" i="75"/>
  <c r="G6" i="75"/>
  <c r="F6" i="75"/>
  <c r="E6" i="75"/>
  <c r="H6" i="75" s="1"/>
  <c r="H7" i="74"/>
  <c r="G6" i="74"/>
  <c r="F6" i="74"/>
  <c r="E6" i="74"/>
  <c r="H6" i="74" s="1"/>
  <c r="H7" i="73"/>
  <c r="G6" i="73"/>
  <c r="F6" i="73"/>
  <c r="E6" i="73"/>
  <c r="H6" i="73" s="1"/>
  <c r="H7" i="72"/>
  <c r="G6" i="72"/>
  <c r="F6" i="72"/>
  <c r="E6" i="72"/>
  <c r="H6" i="72" s="1"/>
  <c r="H7" i="71"/>
  <c r="G6" i="71"/>
  <c r="F6" i="71"/>
  <c r="E6" i="71"/>
  <c r="H6" i="71" s="1"/>
  <c r="H7" i="70"/>
  <c r="G6" i="70"/>
  <c r="F6" i="70"/>
  <c r="E6" i="70"/>
  <c r="H6" i="70" s="1"/>
  <c r="H7" i="69"/>
  <c r="G6" i="69"/>
  <c r="F6" i="69"/>
  <c r="E6" i="69"/>
  <c r="H6" i="69" s="1"/>
  <c r="H7" i="68"/>
  <c r="G6" i="68"/>
  <c r="F6" i="68"/>
  <c r="E6" i="68"/>
  <c r="H6" i="68" s="1"/>
  <c r="H7" i="67"/>
  <c r="G6" i="67"/>
  <c r="F6" i="67"/>
  <c r="E6" i="67"/>
  <c r="H6" i="67" s="1"/>
  <c r="H7" i="66"/>
  <c r="G6" i="66"/>
  <c r="F6" i="66"/>
  <c r="E6" i="66"/>
  <c r="H6" i="66" s="1"/>
  <c r="H7" i="65"/>
  <c r="G6" i="65"/>
  <c r="F6" i="65"/>
  <c r="E6" i="65"/>
  <c r="H6" i="65" s="1"/>
  <c r="H7" i="64"/>
  <c r="G6" i="64"/>
  <c r="F6" i="64"/>
  <c r="E6" i="64"/>
  <c r="H6" i="64" s="1"/>
  <c r="H8" i="63"/>
  <c r="H7" i="63"/>
  <c r="G6" i="63"/>
  <c r="F6" i="63"/>
  <c r="E6" i="63"/>
  <c r="H6" i="63" s="1"/>
  <c r="H7" i="62"/>
  <c r="G6" i="62"/>
  <c r="F6" i="62"/>
  <c r="E6" i="62"/>
  <c r="H6" i="62" s="1"/>
  <c r="H7" i="61"/>
  <c r="G6" i="61"/>
  <c r="F6" i="61"/>
  <c r="E6" i="61"/>
  <c r="H6" i="61" s="1"/>
  <c r="H7" i="60"/>
  <c r="G6" i="60"/>
  <c r="F62" i="89" s="1"/>
  <c r="F6" i="60"/>
  <c r="E6" i="60"/>
  <c r="H7" i="59"/>
  <c r="G6" i="59"/>
  <c r="F6" i="59"/>
  <c r="E6" i="59"/>
  <c r="H8" i="58"/>
  <c r="H7" i="58"/>
  <c r="G6" i="58"/>
  <c r="F6" i="58"/>
  <c r="E6" i="58"/>
  <c r="H6" i="58" s="1"/>
  <c r="H7" i="57"/>
  <c r="H8" i="57" s="1"/>
  <c r="G6" i="57"/>
  <c r="F6" i="57"/>
  <c r="E6" i="57"/>
  <c r="H6" i="57" s="1"/>
  <c r="H7" i="56"/>
  <c r="G6" i="56"/>
  <c r="F6" i="56"/>
  <c r="E6" i="56"/>
  <c r="H6" i="56" s="1"/>
  <c r="H7" i="55"/>
  <c r="H8" i="55" s="1"/>
  <c r="G6" i="55"/>
  <c r="F6" i="55"/>
  <c r="E6" i="55"/>
  <c r="H6" i="55" s="1"/>
  <c r="H7" i="54"/>
  <c r="H8" i="54" s="1"/>
  <c r="G6" i="54"/>
  <c r="F6" i="54"/>
  <c r="E6" i="54"/>
  <c r="H6" i="54" s="1"/>
  <c r="H7" i="53"/>
  <c r="H8" i="53" s="1"/>
  <c r="H9" i="53" s="1"/>
  <c r="H10" i="53" s="1"/>
  <c r="G6" i="53"/>
  <c r="F6" i="53"/>
  <c r="E6" i="53"/>
  <c r="H6" i="53" s="1"/>
  <c r="H7" i="52"/>
  <c r="H8" i="52" s="1"/>
  <c r="H9" i="52" s="1"/>
  <c r="G6" i="52"/>
  <c r="F6" i="52"/>
  <c r="E6" i="52"/>
  <c r="H6" i="52" s="1"/>
  <c r="H7" i="51"/>
  <c r="H8" i="51" s="1"/>
  <c r="H9" i="51" s="1"/>
  <c r="G6" i="51"/>
  <c r="F6" i="51"/>
  <c r="E6" i="51"/>
  <c r="H6" i="51" s="1"/>
  <c r="H7" i="50"/>
  <c r="H8" i="50" s="1"/>
  <c r="H9" i="50" s="1"/>
  <c r="G6" i="50"/>
  <c r="F6" i="50"/>
  <c r="E6" i="50"/>
  <c r="H6" i="50" s="1"/>
  <c r="H7" i="49"/>
  <c r="H8" i="49" s="1"/>
  <c r="G6" i="49"/>
  <c r="F6" i="49"/>
  <c r="E6" i="49"/>
  <c r="H6" i="49" s="1"/>
  <c r="H7" i="48"/>
  <c r="H8" i="48" s="1"/>
  <c r="G6" i="48"/>
  <c r="F6" i="48"/>
  <c r="E6" i="48"/>
  <c r="H6" i="48" s="1"/>
  <c r="H7" i="47"/>
  <c r="H8" i="47" s="1"/>
  <c r="G6" i="47"/>
  <c r="F6" i="47"/>
  <c r="E6" i="47"/>
  <c r="H6" i="47" s="1"/>
  <c r="G49" i="89" s="1"/>
  <c r="H7" i="46"/>
  <c r="G6" i="46"/>
  <c r="F6" i="46"/>
  <c r="E6" i="46"/>
  <c r="H6" i="46" s="1"/>
  <c r="H8" i="45"/>
  <c r="G6" i="45"/>
  <c r="F47" i="89" s="1"/>
  <c r="F6" i="45"/>
  <c r="E47" i="89" s="1"/>
  <c r="E6" i="45"/>
  <c r="H7" i="44"/>
  <c r="G6" i="44"/>
  <c r="F6" i="44"/>
  <c r="E6" i="44"/>
  <c r="H6" i="44" s="1"/>
  <c r="G6" i="43"/>
  <c r="F6" i="43"/>
  <c r="E6" i="43"/>
  <c r="H6" i="43" s="1"/>
  <c r="H8" i="42"/>
  <c r="H9" i="42" s="1"/>
  <c r="G6" i="42"/>
  <c r="F6" i="42"/>
  <c r="E6" i="42"/>
  <c r="H6" i="42" s="1"/>
  <c r="H8" i="41"/>
  <c r="H9" i="41" s="1"/>
  <c r="G6" i="41"/>
  <c r="F6" i="41"/>
  <c r="E6" i="41"/>
  <c r="H6" i="41" s="1"/>
  <c r="H8" i="40"/>
  <c r="H9" i="40" s="1"/>
  <c r="H10" i="40" s="1"/>
  <c r="H11" i="40" s="1"/>
  <c r="G6" i="40"/>
  <c r="F6" i="40"/>
  <c r="E6" i="40"/>
  <c r="H6" i="40" s="1"/>
  <c r="G6" i="39"/>
  <c r="F6" i="39"/>
  <c r="E6" i="39"/>
  <c r="H6" i="39" s="1"/>
  <c r="G6" i="38"/>
  <c r="F6" i="38"/>
  <c r="E6" i="38"/>
  <c r="H6" i="38" s="1"/>
  <c r="H7" i="37"/>
  <c r="H8" i="37" s="1"/>
  <c r="G6" i="37"/>
  <c r="F6" i="37"/>
  <c r="E6" i="37"/>
  <c r="H6" i="37" s="1"/>
  <c r="H7" i="36"/>
  <c r="H8" i="36" s="1"/>
  <c r="H9" i="36" s="1"/>
  <c r="G6" i="36"/>
  <c r="F6" i="36"/>
  <c r="E6" i="36"/>
  <c r="H6" i="36" s="1"/>
  <c r="H7" i="35"/>
  <c r="G6" i="35"/>
  <c r="F6" i="35"/>
  <c r="E6" i="35"/>
  <c r="H6" i="35" s="1"/>
  <c r="H7" i="34"/>
  <c r="G6" i="34"/>
  <c r="F6" i="34"/>
  <c r="E6" i="34"/>
  <c r="H6" i="34" s="1"/>
  <c r="H7" i="33"/>
  <c r="G6" i="33"/>
  <c r="F6" i="33"/>
  <c r="E6" i="33"/>
  <c r="H6" i="33" s="1"/>
  <c r="H7" i="32"/>
  <c r="G6" i="32"/>
  <c r="F34" i="89" s="1"/>
  <c r="F6" i="32"/>
  <c r="E34" i="89" s="1"/>
  <c r="E6" i="32"/>
  <c r="H7" i="31"/>
  <c r="G6" i="31"/>
  <c r="F6" i="31"/>
  <c r="E6" i="31"/>
  <c r="H6" i="31" s="1"/>
  <c r="H7" i="30"/>
  <c r="G6" i="30"/>
  <c r="F6" i="30"/>
  <c r="E6" i="30"/>
  <c r="H6" i="30" s="1"/>
  <c r="H7" i="29"/>
  <c r="G6" i="29"/>
  <c r="F6" i="29"/>
  <c r="E6" i="29"/>
  <c r="H6" i="29" s="1"/>
  <c r="H7" i="28"/>
  <c r="G6" i="28"/>
  <c r="F6" i="28"/>
  <c r="E6" i="28"/>
  <c r="H6" i="28" s="1"/>
  <c r="H7" i="27"/>
  <c r="G6" i="27"/>
  <c r="F6" i="27"/>
  <c r="E6" i="27"/>
  <c r="H7" i="26"/>
  <c r="G6" i="26"/>
  <c r="F6" i="26"/>
  <c r="E6" i="26"/>
  <c r="H6" i="26" s="1"/>
  <c r="H7" i="25"/>
  <c r="H6" i="25"/>
  <c r="G6" i="25"/>
  <c r="F6" i="25"/>
  <c r="E6" i="25"/>
  <c r="H7" i="24"/>
  <c r="G6" i="24"/>
  <c r="F6" i="24"/>
  <c r="E6" i="24"/>
  <c r="H6" i="24" s="1"/>
  <c r="H7" i="23"/>
  <c r="G6" i="23"/>
  <c r="F6" i="23"/>
  <c r="E6" i="23"/>
  <c r="H6" i="23" s="1"/>
  <c r="H7" i="22"/>
  <c r="G6" i="22"/>
  <c r="F6" i="22"/>
  <c r="E6" i="22"/>
  <c r="H6" i="22" s="1"/>
  <c r="H7" i="21"/>
  <c r="G6" i="21"/>
  <c r="F6" i="21"/>
  <c r="E6" i="21"/>
  <c r="H6" i="21" s="1"/>
  <c r="H7" i="20"/>
  <c r="G6" i="20"/>
  <c r="F6" i="20"/>
  <c r="E6" i="20"/>
  <c r="H6" i="20" s="1"/>
  <c r="H7" i="19"/>
  <c r="G6" i="19"/>
  <c r="F21" i="89" s="1"/>
  <c r="F6" i="19"/>
  <c r="E21" i="89" s="1"/>
  <c r="E6" i="19"/>
  <c r="D21" i="89" s="1"/>
  <c r="H7" i="18"/>
  <c r="G6" i="18"/>
  <c r="F6" i="18"/>
  <c r="E6" i="18"/>
  <c r="H6" i="18" s="1"/>
  <c r="H7" i="17"/>
  <c r="G6" i="17"/>
  <c r="F6" i="17"/>
  <c r="E6" i="17"/>
  <c r="H6" i="17" s="1"/>
  <c r="H7" i="16"/>
  <c r="G6" i="16"/>
  <c r="F6" i="16"/>
  <c r="E6" i="16"/>
  <c r="H6" i="16" s="1"/>
  <c r="H7" i="15"/>
  <c r="H7" i="14"/>
  <c r="G6" i="14"/>
  <c r="F6" i="14"/>
  <c r="E6" i="14"/>
  <c r="H6" i="14" s="1"/>
  <c r="H7" i="13"/>
  <c r="H8" i="13" s="1"/>
  <c r="H9" i="13" s="1"/>
  <c r="H10" i="13" s="1"/>
  <c r="G6" i="13"/>
  <c r="F6" i="13"/>
  <c r="E6" i="13"/>
  <c r="H6" i="13" s="1"/>
  <c r="H7" i="12"/>
  <c r="H8" i="11"/>
  <c r="H7" i="11"/>
  <c r="G6" i="11"/>
  <c r="F6" i="11"/>
  <c r="E6" i="11"/>
  <c r="H6" i="11" s="1"/>
  <c r="H7" i="10"/>
  <c r="G6" i="10"/>
  <c r="F6" i="10"/>
  <c r="E6" i="10"/>
  <c r="H6" i="10" s="1"/>
  <c r="H8" i="9"/>
  <c r="H7" i="9"/>
  <c r="G6" i="9"/>
  <c r="F6" i="9"/>
  <c r="E6" i="9"/>
  <c r="H6" i="9" s="1"/>
  <c r="H8" i="8"/>
  <c r="H7" i="8"/>
  <c r="G6" i="8"/>
  <c r="F6" i="8"/>
  <c r="E6" i="8"/>
  <c r="H6" i="8" s="1"/>
  <c r="H8" i="7"/>
  <c r="H7" i="7"/>
  <c r="G6" i="7"/>
  <c r="F6" i="7"/>
  <c r="E6" i="7"/>
  <c r="H6" i="7" s="1"/>
  <c r="H8" i="6"/>
  <c r="H7" i="6"/>
  <c r="G6" i="6"/>
  <c r="F6" i="6"/>
  <c r="E6" i="6"/>
  <c r="H6" i="6" s="1"/>
  <c r="H8" i="5"/>
  <c r="H7" i="5"/>
  <c r="G6" i="5"/>
  <c r="F6" i="5"/>
  <c r="E6" i="5"/>
  <c r="H6" i="5" s="1"/>
  <c r="H8" i="4"/>
  <c r="H7" i="4"/>
  <c r="G6" i="4"/>
  <c r="F6" i="4"/>
  <c r="E6" i="4"/>
  <c r="H6" i="4" s="1"/>
  <c r="G6" i="3"/>
  <c r="F6" i="3"/>
  <c r="E6" i="3"/>
  <c r="H6" i="32" l="1"/>
  <c r="G34" i="89" s="1"/>
  <c r="D34" i="89"/>
  <c r="H6" i="60"/>
  <c r="G62" i="89" s="1"/>
  <c r="D62" i="89"/>
  <c r="H6" i="59"/>
  <c r="G61" i="89" s="1"/>
  <c r="D61" i="89"/>
  <c r="H6" i="45"/>
  <c r="G47" i="89" s="1"/>
  <c r="D47" i="89"/>
  <c r="H6" i="27"/>
  <c r="H6" i="19"/>
  <c r="G21" i="89" s="1"/>
  <c r="H6" i="12"/>
  <c r="G14" i="89" s="1"/>
  <c r="H8" i="12"/>
  <c r="H9" i="12" s="1"/>
  <c r="H10" i="12" s="1"/>
  <c r="H11" i="12" s="1"/>
  <c r="H12" i="12" s="1"/>
  <c r="H6" i="1"/>
  <c r="G4" i="89" s="1"/>
  <c r="H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8" authorId="0" shapeId="0" xr:uid="{8FACD20B-D610-4B82-B895-A15B7C2DDB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Balance Quantity = 13 Nos. Carryaer to L.No. 2 C&amp;P of IMSD SMUN dated: 30.06.2024</t>
        </r>
      </text>
    </comment>
  </commentList>
</comments>
</file>

<file path=xl/sharedStrings.xml><?xml version="1.0" encoding="utf-8"?>
<sst xmlns="http://schemas.openxmlformats.org/spreadsheetml/2006/main" count="2653" uniqueCount="408">
  <si>
    <t xml:space="preserve">All In One Computer (HD) </t>
  </si>
  <si>
    <t xml:space="preserve">W Board </t>
  </si>
  <si>
    <t xml:space="preserve">Air Coolers </t>
  </si>
  <si>
    <t>Speed Indicator 75kmph</t>
  </si>
  <si>
    <t>Speed Indicator 45kmph</t>
  </si>
  <si>
    <t>Speed Indicator 30kmph</t>
  </si>
  <si>
    <t>Speed Indicator 20kmph</t>
  </si>
  <si>
    <t>Speed Indicator 10kmph</t>
  </si>
  <si>
    <t xml:space="preserve">TG Board </t>
  </si>
  <si>
    <t>Caution Board</t>
  </si>
  <si>
    <t>Emergency Lighting (Aska Light)</t>
  </si>
  <si>
    <t xml:space="preserve">Safety Belt </t>
  </si>
  <si>
    <t xml:space="preserve">Digital Toe Load Machine </t>
  </si>
  <si>
    <t>Bush Cutter (MC)</t>
  </si>
  <si>
    <t>Chain Saw</t>
  </si>
  <si>
    <t xml:space="preserve">Rake Ballast </t>
  </si>
  <si>
    <t xml:space="preserve">wire Basket </t>
  </si>
  <si>
    <t xml:space="preserve">DIP LORRY </t>
  </si>
  <si>
    <t xml:space="preserve">MATERIAL TROLLEY </t>
  </si>
  <si>
    <t xml:space="preserve">PRC SLEEPER CAHIN </t>
  </si>
  <si>
    <t xml:space="preserve">Rail Tong </t>
  </si>
  <si>
    <t xml:space="preserve">Insulated Rail dolly </t>
  </si>
  <si>
    <t xml:space="preserve">Chambering Kit </t>
  </si>
  <si>
    <t>Rail Clip Applicator</t>
  </si>
  <si>
    <t>CONTINUAU RAL THERMOMETER(CRT)</t>
  </si>
  <si>
    <t xml:space="preserve">GREASE GUN </t>
  </si>
  <si>
    <t>PAN MORTAR</t>
  </si>
  <si>
    <t>POWRAM SPADE</t>
  </si>
  <si>
    <t>PLATE SCREW TUBULAR SPANNER</t>
  </si>
  <si>
    <t>MAGNIFYING GLASS 100 MM</t>
  </si>
  <si>
    <t>P-WAY INSPECTION TROLLY</t>
  </si>
  <si>
    <t>Keying Hammer</t>
  </si>
  <si>
    <t xml:space="preserve">FISH BULT SPANNER </t>
  </si>
  <si>
    <t xml:space="preserve">HEXAGONAL BARI FOR TRACK WORIS </t>
  </si>
  <si>
    <t xml:space="preserve">TRACK JACK MECHANICAL </t>
  </si>
  <si>
    <t xml:space="preserve">RAIL PROFILE WELD GRINDER </t>
  </si>
  <si>
    <t>THERMIT WELDING TOOL SET</t>
  </si>
  <si>
    <t>RAIL MEATING BLOWER FOR AT WELD</t>
  </si>
  <si>
    <t>AT WELDING TRIMMER</t>
  </si>
  <si>
    <t>Rail Drilling machine</t>
  </si>
  <si>
    <t>RAIL DISC CUTTER</t>
  </si>
  <si>
    <t xml:space="preserve">ALUMINIUM LADDER </t>
  </si>
  <si>
    <t>Pick Axe</t>
  </si>
  <si>
    <t xml:space="preserve">PUNJI </t>
  </si>
  <si>
    <t>f</t>
  </si>
  <si>
    <t>Dedicated Freight Corridor Corporation of  India</t>
  </si>
  <si>
    <t>Index</t>
  </si>
  <si>
    <t>Sr.No.</t>
  </si>
  <si>
    <t>Particular</t>
  </si>
  <si>
    <t>Page No.</t>
  </si>
  <si>
    <r>
      <rPr>
        <b/>
        <sz val="16"/>
        <color theme="1"/>
        <rFont val="Kruti Dev 010"/>
      </rPr>
      <t xml:space="preserve">izkfIr 
</t>
    </r>
    <r>
      <rPr>
        <b/>
        <sz val="16"/>
        <color theme="1"/>
        <rFont val="Times New Roman"/>
        <family val="1"/>
      </rPr>
      <t>Receipt</t>
    </r>
  </si>
  <si>
    <r>
      <rPr>
        <b/>
        <sz val="16"/>
        <color theme="1"/>
        <rFont val="Kruti Dev 010"/>
      </rPr>
      <t xml:space="preserve">LFkkukarj.k 
</t>
    </r>
    <r>
      <rPr>
        <b/>
        <sz val="16"/>
        <color theme="1"/>
        <rFont val="Times New Roman"/>
        <family val="1"/>
      </rPr>
      <t>Transfer</t>
    </r>
  </si>
  <si>
    <r>
      <rPr>
        <b/>
        <sz val="16"/>
        <color theme="1"/>
        <rFont val="Kruti Dev 010"/>
      </rPr>
      <t xml:space="preserve">fuxZe
</t>
    </r>
    <r>
      <rPr>
        <b/>
        <sz val="16"/>
        <color theme="1"/>
        <rFont val="Times New Roman"/>
        <family val="1"/>
      </rPr>
      <t>Issues</t>
    </r>
  </si>
  <si>
    <r>
      <rPr>
        <b/>
        <sz val="16"/>
        <color theme="1"/>
        <rFont val="Kruti Dev 010"/>
      </rPr>
      <t xml:space="preserve"> 'ks"k</t>
    </r>
    <r>
      <rPr>
        <b/>
        <sz val="16"/>
        <color theme="1"/>
        <rFont val="Times New Roman"/>
        <family val="1"/>
      </rPr>
      <t xml:space="preserve"> 
Balance</t>
    </r>
  </si>
  <si>
    <t>Remarks</t>
  </si>
  <si>
    <t>QR</t>
  </si>
  <si>
    <r>
      <t xml:space="preserve">foHkkxh; [kkrk feyku iqLrd
</t>
    </r>
    <r>
      <rPr>
        <b/>
        <sz val="24"/>
        <color theme="1"/>
        <rFont val="Times New Roman"/>
        <family val="1"/>
      </rPr>
      <t>DEPARTMENTAL LEDGER AND TALLY BOOK</t>
    </r>
  </si>
  <si>
    <r>
      <t xml:space="preserve">ewY; lwph@dwV la[;k </t>
    </r>
    <r>
      <rPr>
        <b/>
        <sz val="18"/>
        <color theme="1"/>
        <rFont val="Times New Roman"/>
        <family val="1"/>
      </rPr>
      <t>Price List / Code No.</t>
    </r>
  </si>
  <si>
    <r>
      <t xml:space="preserve">feyku i= la[;k </t>
    </r>
    <r>
      <rPr>
        <sz val="16"/>
        <color theme="1"/>
        <rFont val="Times New Roman"/>
        <family val="1"/>
      </rPr>
      <t>Tally Code No.</t>
    </r>
  </si>
  <si>
    <r>
      <t xml:space="preserve">;wfuV </t>
    </r>
    <r>
      <rPr>
        <sz val="16"/>
        <color theme="1"/>
        <rFont val="Times New Roman"/>
        <family val="1"/>
      </rPr>
      <t>Unit</t>
    </r>
  </si>
  <si>
    <r>
      <t xml:space="preserve">oLrq dk fooj.k </t>
    </r>
    <r>
      <rPr>
        <b/>
        <sz val="18"/>
        <color theme="1"/>
        <rFont val="Times New Roman"/>
        <family val="1"/>
      </rPr>
      <t>Description of the Article</t>
    </r>
  </si>
  <si>
    <t>PUNJI</t>
  </si>
  <si>
    <r>
      <t xml:space="preserve">ys[kk dk;kZy; i`"B la[;k </t>
    </r>
    <r>
      <rPr>
        <sz val="16"/>
        <color theme="1"/>
        <rFont val="Times New Roman"/>
        <family val="1"/>
      </rPr>
      <t>Accounts Office File No.</t>
    </r>
  </si>
  <si>
    <r>
      <rPr>
        <b/>
        <sz val="14"/>
        <color theme="1"/>
        <rFont val="Kruti Dev 010"/>
      </rPr>
      <t xml:space="preserve">ekg vkSj rkjh[k
</t>
    </r>
    <r>
      <rPr>
        <b/>
        <sz val="14"/>
        <color theme="1"/>
        <rFont val="Times New Roman"/>
        <family val="1"/>
      </rPr>
      <t>Month  and Date</t>
    </r>
  </si>
  <si>
    <r>
      <t xml:space="preserve">izkfIr ;k fuxZe okmpj la[;k vkSj rkjh[k
</t>
    </r>
    <r>
      <rPr>
        <b/>
        <sz val="14"/>
        <color theme="1"/>
        <rFont val="Times New Roman"/>
        <family val="1"/>
      </rPr>
      <t>No. and Date of Receiot or issue Voucher</t>
    </r>
  </si>
  <si>
    <r>
      <rPr>
        <b/>
        <sz val="14"/>
        <color theme="1"/>
        <rFont val="Kruti Dev 010"/>
      </rPr>
      <t xml:space="preserve">fdlls izkIr gqvk ;k fdls tkjh fd;k
</t>
    </r>
    <r>
      <rPr>
        <b/>
        <sz val="14"/>
        <color theme="1"/>
        <rFont val="Times New Roman"/>
        <family val="1"/>
      </rPr>
      <t>From Whom received or to whom issued</t>
    </r>
  </si>
  <si>
    <r>
      <rPr>
        <b/>
        <sz val="14"/>
        <color theme="1"/>
        <rFont val="Kruti Dev 010"/>
      </rPr>
      <t xml:space="preserve">izkfIr ;k fuxZe dk mn~ns';
</t>
    </r>
    <r>
      <rPr>
        <b/>
        <sz val="14"/>
        <color theme="1"/>
        <rFont val="Times New Roman"/>
        <family val="1"/>
      </rPr>
      <t>Purpose for which received or issue</t>
    </r>
  </si>
  <si>
    <r>
      <rPr>
        <b/>
        <sz val="14"/>
        <color theme="1"/>
        <rFont val="Kruti Dev 010"/>
      </rPr>
      <t xml:space="preserve">izkfIr 
</t>
    </r>
    <r>
      <rPr>
        <b/>
        <sz val="14"/>
        <color theme="1"/>
        <rFont val="Times New Roman"/>
        <family val="1"/>
      </rPr>
      <t>Receipt</t>
    </r>
  </si>
  <si>
    <r>
      <rPr>
        <b/>
        <sz val="14"/>
        <color theme="1"/>
        <rFont val="Kruti Dev 010"/>
      </rPr>
      <t xml:space="preserve">LFkkukarj.k 
</t>
    </r>
    <r>
      <rPr>
        <b/>
        <sz val="14"/>
        <color theme="1"/>
        <rFont val="Times New Roman"/>
        <family val="1"/>
      </rPr>
      <t>Transfer</t>
    </r>
  </si>
  <si>
    <r>
      <rPr>
        <b/>
        <sz val="14"/>
        <color theme="1"/>
        <rFont val="Kruti Dev 010"/>
      </rPr>
      <t xml:space="preserve">fuxZe
</t>
    </r>
    <r>
      <rPr>
        <b/>
        <sz val="14"/>
        <color theme="1"/>
        <rFont val="Times New Roman"/>
        <family val="1"/>
      </rPr>
      <t>Issues</t>
    </r>
  </si>
  <si>
    <r>
      <rPr>
        <b/>
        <sz val="14"/>
        <color theme="1"/>
        <rFont val="Kruti Dev 010"/>
      </rPr>
      <t xml:space="preserve"> 'ks"k</t>
    </r>
    <r>
      <rPr>
        <b/>
        <sz val="14"/>
        <color theme="1"/>
        <rFont val="Times New Roman"/>
        <family val="1"/>
      </rPr>
      <t xml:space="preserve"> 
Balance</t>
    </r>
  </si>
  <si>
    <r>
      <t xml:space="preserve">ux </t>
    </r>
    <r>
      <rPr>
        <b/>
        <sz val="14"/>
        <color theme="1"/>
        <rFont val="Times New Roman"/>
        <family val="1"/>
      </rPr>
      <t xml:space="preserve">No. 
</t>
    </r>
    <r>
      <rPr>
        <b/>
        <sz val="14"/>
        <color theme="1"/>
        <rFont val="Kruti Dev 010"/>
      </rPr>
      <t xml:space="preserve">Vu </t>
    </r>
    <r>
      <rPr>
        <b/>
        <sz val="14"/>
        <color theme="1"/>
        <rFont val="Times New Roman"/>
        <family val="1"/>
      </rPr>
      <t xml:space="preserve">Tonnes
</t>
    </r>
    <r>
      <rPr>
        <b/>
        <sz val="14"/>
        <color theme="1"/>
        <rFont val="Kruti Dev 010"/>
      </rPr>
      <t xml:space="preserve"> fd-xzk-</t>
    </r>
    <r>
      <rPr>
        <b/>
        <sz val="14"/>
        <color theme="1"/>
        <rFont val="Times New Roman"/>
        <family val="1"/>
      </rPr>
      <t>Kgs.</t>
    </r>
  </si>
  <si>
    <t>183 Dated 10.5.2024</t>
  </si>
  <si>
    <t xml:space="preserve">M.S Trades &amp; Eng </t>
  </si>
  <si>
    <t xml:space="preserve">For Truck maint. Work </t>
  </si>
  <si>
    <t>16/05/2024</t>
  </si>
  <si>
    <t xml:space="preserve">183 Dated 10.5.2024 M.S Trades &amp; engg </t>
  </si>
  <si>
    <t>Abhishek Sharma   Executive/CIVILl/ JUDN</t>
  </si>
  <si>
    <t>20/11/2024</t>
  </si>
  <si>
    <t>GP/1178/DFC/ Ambala dated 20.11.2024</t>
  </si>
  <si>
    <t>Umesh kumar Exel OP&amp;BD/ SMUN</t>
  </si>
  <si>
    <t>30/01/2025</t>
  </si>
  <si>
    <t>GP//DFC/ Ambala 1192 dated 20.11.2024</t>
  </si>
  <si>
    <t xml:space="preserve">Surendra kumar Sr. Exec/civ/KNNN </t>
  </si>
  <si>
    <t xml:space="preserve">For P- way maint. Work </t>
  </si>
  <si>
    <t xml:space="preserve">Track Related works </t>
  </si>
  <si>
    <t xml:space="preserve">RAIL DISC CUTTER </t>
  </si>
  <si>
    <t xml:space="preserve"> </t>
  </si>
  <si>
    <t xml:space="preserve">Rail Drilling machine </t>
  </si>
  <si>
    <t xml:space="preserve">AT WELDING TRIMMER  </t>
  </si>
  <si>
    <t xml:space="preserve">P-WAY </t>
  </si>
  <si>
    <t xml:space="preserve">RAIL MEATING BLOWER FOR AT WELD  </t>
  </si>
  <si>
    <t xml:space="preserve">P-Way works </t>
  </si>
  <si>
    <t>THERMIT WELDING 
TOOL SET</t>
  </si>
  <si>
    <t>30/06/2024</t>
  </si>
  <si>
    <t>0101/24-25</t>
  </si>
  <si>
    <t xml:space="preserve"> Chakradhav  industries </t>
  </si>
  <si>
    <r>
      <rPr>
        <b/>
        <sz val="14"/>
        <color rgb="FF000000"/>
        <rFont val="Times New Roman"/>
        <family val="1"/>
      </rPr>
      <t xml:space="preserve">fdlls izkIr gqvk ;k fdls tkjh fd;k
</t>
    </r>
    <r>
      <rPr>
        <b/>
        <sz val="14"/>
        <color rgb="FF000000"/>
        <rFont val="Times New Roman"/>
        <family val="1"/>
      </rPr>
      <t>From Whom received or to whom issued</t>
    </r>
  </si>
  <si>
    <t>21/06/2024</t>
  </si>
  <si>
    <t xml:space="preserve">Sr. Exe/CIVILl/ KNNN Surendera  kumar </t>
  </si>
  <si>
    <t xml:space="preserve">For use B/W NSIR -SNL Satition </t>
  </si>
  <si>
    <t>HEXAGONAL BARI FOR TRACK WORIS</t>
  </si>
  <si>
    <t xml:space="preserve">   Executive/CIVILl/ KNNN
Surendra kumar</t>
  </si>
  <si>
    <t xml:space="preserve">P-Way works B/W 
NSIR-SNL STATION  </t>
  </si>
  <si>
    <t>16/08//2024</t>
  </si>
  <si>
    <t xml:space="preserve">GP/DFC/ Ambala Dated : Sr.   NO.1217 </t>
  </si>
  <si>
    <t xml:space="preserve">Satish Kumar Bhrdwaj 
  Executive/mech/ SMUN
</t>
  </si>
  <si>
    <t xml:space="preserve">Mech. Department use </t>
  </si>
  <si>
    <t>24/10/2024</t>
  </si>
  <si>
    <t>Reaustion Note Dt: 18.10.2024</t>
  </si>
  <si>
    <t>M/S goal brother .Rail in pvt.</t>
  </si>
  <si>
    <t>P-way works</t>
  </si>
  <si>
    <t xml:space="preserve">GP/DFC/ Ambala Dated : Sr.no. 1192 dated 30.01.2025 </t>
  </si>
  <si>
    <t>P-way maint works</t>
  </si>
  <si>
    <t>197 Dated 29/063/2024</t>
  </si>
  <si>
    <t>GP/DFC/ Ambala Sr. No. 1216</t>
  </si>
  <si>
    <t xml:space="preserve">Abhishek Sharma  
Exe/CIVILl/ Sr. No. 1216    </t>
  </si>
  <si>
    <t>27/11/2024</t>
  </si>
  <si>
    <t xml:space="preserve">GP/DFC/ Ambala sr. no. 1217 dated </t>
  </si>
  <si>
    <t xml:space="preserve">Gurnam singh ,
 Operational off. (AWPO)
</t>
  </si>
  <si>
    <t>For Patrolman</t>
  </si>
  <si>
    <t>183 Dated 10.5.2024 M S. Tradres &amp; engg</t>
  </si>
  <si>
    <t xml:space="preserve">Track Mainteance  works </t>
  </si>
  <si>
    <t>16/8/2024</t>
  </si>
  <si>
    <t xml:space="preserve">GP/DFC/ Ambala sr. no. 1217   </t>
  </si>
  <si>
    <t>Machine Puse</t>
  </si>
  <si>
    <t xml:space="preserve">GP/DFC/ Ambala sr. no. 1181 Dated: 27.11.2024 </t>
  </si>
  <si>
    <t>GP/DFC/ Ambala sr. no. 1192 Dated: 30.01.2025</t>
  </si>
  <si>
    <t>Surendra Kumar Sr. Exec/civ/KNNN</t>
  </si>
  <si>
    <t>fFor track Maint work</t>
  </si>
  <si>
    <t xml:space="preserve">P-WAY INSPECTION TROLLEY </t>
  </si>
  <si>
    <t>183 Dated 10.05.2024</t>
  </si>
  <si>
    <t>M.S Traders &amp; Enginers</t>
  </si>
  <si>
    <t>Track Related works</t>
  </si>
  <si>
    <t>184 Dated 10.05.2024</t>
  </si>
  <si>
    <t>16-05-2024</t>
  </si>
  <si>
    <t>183 Dated 10.05.2024 (M.S. Traders &amp; engg)</t>
  </si>
  <si>
    <t xml:space="preserve">Surendera kumar Sr. Exec/CIVIL/ KNNN </t>
  </si>
  <si>
    <t xml:space="preserve">For track inspection </t>
  </si>
  <si>
    <t>A.N.Tripathi 
JPM/ENGG/UMB</t>
  </si>
  <si>
    <t xml:space="preserve">Pradeep kumar 
Sr.Exe/CIVIL/JUDN </t>
  </si>
  <si>
    <t>16-03-2024</t>
  </si>
  <si>
    <t>Harpal Singh
 Sr.Exe/CIVIL/SMUN</t>
  </si>
  <si>
    <t xml:space="preserve">184 Dated 10.05.2024 
M .S Traders &amp; engg </t>
  </si>
  <si>
    <t xml:space="preserve">Abhishek Sharma
Exe/CIVIL/JUDN </t>
  </si>
  <si>
    <t>Bridge Inspection  Related works</t>
  </si>
  <si>
    <t>2024-16-05</t>
  </si>
  <si>
    <t xml:space="preserve">Abhishek Sharma
Exe/CIVIL-1/JUDN </t>
  </si>
  <si>
    <t>Track maint. works</t>
  </si>
  <si>
    <t>GREASE GUN</t>
  </si>
  <si>
    <t>Track works</t>
  </si>
  <si>
    <t>CONTINUAUS RAIL THERMOMETER(CRT)</t>
  </si>
  <si>
    <t>29-06-2024</t>
  </si>
  <si>
    <t>DIE- 2024-25-241
Dated 26-06-2024</t>
  </si>
  <si>
    <t>Paragon Instrumentaton 
Engineers pvt ltd (DIE)</t>
  </si>
  <si>
    <t>14-10-2024</t>
  </si>
  <si>
    <t xml:space="preserve">IMSD JUDN, 
Vibhanshu Prasher , Exe/CIVIL </t>
  </si>
  <si>
    <t xml:space="preserve">Rail Clip Applicator </t>
  </si>
  <si>
    <t>197 dated 
29/06/2024</t>
  </si>
  <si>
    <t>M.S Traders &amp; Engg.</t>
  </si>
  <si>
    <t>GP/DFC/ Ambala Sr. no. 1214</t>
  </si>
  <si>
    <t>Abhishek Sharma 
Exe/CIVIL/JUDN IMSD/JUDN</t>
  </si>
  <si>
    <t xml:space="preserve">chambering Kit </t>
  </si>
  <si>
    <t>PRC SLEEPER CHAIN</t>
  </si>
  <si>
    <t>198 dated 
05/07/2024</t>
  </si>
  <si>
    <t>GP/DFC/ Ambala Sr. no. 1215</t>
  </si>
  <si>
    <t xml:space="preserve">Wire Basket </t>
  </si>
  <si>
    <t>30/1/2024</t>
  </si>
  <si>
    <t>GP/DFC/ Ambala Sr. no. 1192 dated 30.01.2025</t>
  </si>
  <si>
    <t>Surendera Kumar  
Exe/CIVIL/JUDN IMSD/JUDN</t>
  </si>
  <si>
    <t>P-way maint work</t>
  </si>
  <si>
    <t>Bush Cutter (M/C)</t>
  </si>
  <si>
    <t>M.S Traders &amp; Engg 
197 dated 
29/06/2024</t>
  </si>
  <si>
    <t>201 dated 
25/07/2024</t>
  </si>
  <si>
    <t>Salety Belt</t>
  </si>
  <si>
    <t xml:space="preserve">
197 dated 
29/06/2024</t>
  </si>
  <si>
    <t xml:space="preserve">P-way works </t>
  </si>
  <si>
    <t>GP/DFC/ Ambala Sr. no. 1213</t>
  </si>
  <si>
    <t>Emergency Lighting (Aska Lioght )</t>
  </si>
  <si>
    <t xml:space="preserve">LR/IN/24-25/ 0112 
Date : 19-07-2024
</t>
  </si>
  <si>
    <t xml:space="preserve">LOKOZO Technologics Pvt. Ltd. </t>
  </si>
  <si>
    <t xml:space="preserve">P-Way Related work </t>
  </si>
  <si>
    <t xml:space="preserve">Caution Board </t>
  </si>
  <si>
    <t xml:space="preserve">
12 dated 
06/08/2024</t>
  </si>
  <si>
    <t>GP/DFC/ Ambala Sr. no. 1212</t>
  </si>
  <si>
    <t>GP/DFC/ Ambala Sr. no. 1219</t>
  </si>
  <si>
    <t>Surendra Kumar 
Sr. Exe/CIVILl/KNNN</t>
  </si>
  <si>
    <t xml:space="preserve">T/G Board </t>
  </si>
  <si>
    <t xml:space="preserve">Speed Indicator sign Board 10 km </t>
  </si>
  <si>
    <t>GP/DFC/ Ambala Sr. no. 1220</t>
  </si>
  <si>
    <t xml:space="preserve">Speed Indicator sign Board 20 km </t>
  </si>
  <si>
    <t xml:space="preserve">Speed Indicator sign Board 30 km </t>
  </si>
  <si>
    <t>DC-193 
Date- 05/09/2024</t>
  </si>
  <si>
    <t xml:space="preserve">M.J Trade &amp; Fabrication </t>
  </si>
  <si>
    <t>14/09/2024</t>
  </si>
  <si>
    <t>Vibhanshu Prashar 
Sr. Ex/CIVIL/JUDN  IMSD/JUDN</t>
  </si>
  <si>
    <t xml:space="preserve">Speed Indicator sign Board 45 km </t>
  </si>
  <si>
    <t xml:space="preserve">Speed Indicator sign Board 75 km </t>
  </si>
  <si>
    <t xml:space="preserve">DC Generator </t>
  </si>
  <si>
    <t>MTO/DFC/Ambala/Sr.No. 1179 dt. 18.11.2025</t>
  </si>
  <si>
    <t>IMSD JUDN</t>
  </si>
  <si>
    <t xml:space="preserve">Elect. Department </t>
  </si>
  <si>
    <t xml:space="preserve">IMSD Office USE </t>
  </si>
  <si>
    <t xml:space="preserve">
DC-193
 dated 
05/09/2024</t>
  </si>
  <si>
    <t xml:space="preserve">M.S Traders &amp; Fabrication </t>
  </si>
  <si>
    <t>GP/DFC/ Ambala Sr. no. 1221</t>
  </si>
  <si>
    <t>Vibhanshu Prasher  
Exe/CIVIL/JUDN IMSD/JUDN</t>
  </si>
  <si>
    <t>All In One Computer (HD)</t>
  </si>
  <si>
    <t xml:space="preserve">LT-2024-25-681
01-10-2024 </t>
  </si>
  <si>
    <t>Leap Technologes</t>
  </si>
  <si>
    <t xml:space="preserve">Office work </t>
  </si>
  <si>
    <t>14/10/2024</t>
  </si>
  <si>
    <t xml:space="preserve">GP/DFC/ Ambala Sr.no. 1223 Date 14.10.2024 </t>
  </si>
  <si>
    <t>IMSD JUDN 
Exe/CIVIL/JUDN</t>
  </si>
  <si>
    <t xml:space="preserve">TENT </t>
  </si>
  <si>
    <r>
      <rPr>
        <b/>
        <sz val="14"/>
        <color theme="1"/>
        <rFont val="Kruti Dev 010"/>
      </rPr>
      <t xml:space="preserve">vk|{kj
</t>
    </r>
    <r>
      <rPr>
        <b/>
        <sz val="14"/>
        <color theme="1"/>
        <rFont val="Times New Roman"/>
        <family val="1"/>
      </rPr>
      <t>Signature</t>
    </r>
  </si>
  <si>
    <t>17/03/2024</t>
  </si>
  <si>
    <t>167 Dated 16.03.2024</t>
  </si>
  <si>
    <t xml:space="preserve">For track Maintence &amp; Related works </t>
  </si>
  <si>
    <t>28/05/2024</t>
  </si>
  <si>
    <t>167 Date 16.03.2024 M.S Treades &amp; engg</t>
  </si>
  <si>
    <t>Exce/ CIVILl-1/ JUDN Abhishek Sharma</t>
  </si>
  <si>
    <t>Issued to IMSD  JUDN</t>
  </si>
  <si>
    <t>CHAIR(Plastic)</t>
  </si>
  <si>
    <t>15/09/2024</t>
  </si>
  <si>
    <t>Gp/DFC/ Ambala Sr. No. 1222</t>
  </si>
  <si>
    <t>Satish kr Bharadaz sr. Exe/ SMUN / Mech.</t>
  </si>
  <si>
    <t xml:space="preserve">Office use </t>
  </si>
  <si>
    <t>Table</t>
  </si>
  <si>
    <t>RAIL DRILLING TOOL 31.5 MM</t>
  </si>
  <si>
    <t>s</t>
  </si>
  <si>
    <t>28/07/2024</t>
  </si>
  <si>
    <t>197 DATED 29.06.24</t>
  </si>
  <si>
    <t>P-WAY WORKS</t>
  </si>
  <si>
    <t>RAIL DRILLING TOOL 26.5 MM</t>
  </si>
  <si>
    <t>RAIL DRILLING TOOL 18 MM</t>
  </si>
  <si>
    <t>26/07/2024</t>
  </si>
  <si>
    <t>STRAIGHT EDGE</t>
  </si>
  <si>
    <t>197 DATED 26.07.24</t>
  </si>
  <si>
    <t>GP/DFC/ AMBALA  Sr. No. 1216</t>
  </si>
  <si>
    <t>Abhishek sharma Exe/ce/ JUDN IMSD JUDN</t>
  </si>
  <si>
    <t xml:space="preserve">TRACK JACK </t>
  </si>
  <si>
    <t>RAIL THERMOMETER</t>
  </si>
  <si>
    <t>PWT KIT</t>
  </si>
  <si>
    <t xml:space="preserve">For Measuring Track Parameters </t>
  </si>
  <si>
    <t>15/03/2024</t>
  </si>
  <si>
    <t>PIE-2023-24-866 Dated: 15.3.2024</t>
  </si>
  <si>
    <t>Paragon Insumataion eng</t>
  </si>
  <si>
    <t xml:space="preserve">For -way movement Related  work </t>
  </si>
  <si>
    <t xml:space="preserve">Sr. Exce/ engg/ JUDN Inderjeet Pubreja </t>
  </si>
  <si>
    <t xml:space="preserve">167 old 163.m MS Trades &amp; engg </t>
  </si>
  <si>
    <t xml:space="preserve">Sr. Exce/ engg/ JUDN Pardeep kumar </t>
  </si>
  <si>
    <t xml:space="preserve">167 Dated 16.03.2024 MS Trades&amp;engg </t>
  </si>
  <si>
    <t>Sr. Exce/ engg/ JUDN Harpal singh</t>
  </si>
  <si>
    <t xml:space="preserve">VERSINE MEASURING KIT  </t>
  </si>
  <si>
    <t>For measuring track parameters</t>
  </si>
  <si>
    <t xml:space="preserve">TRACK GAUGE CUM LEVEL </t>
  </si>
  <si>
    <t>GP/DFC/ Ambala / 1191 dated: 30.01.2025</t>
  </si>
  <si>
    <t xml:space="preserve">Surendra Kumar Sr. Exec/civ/KNNN </t>
  </si>
  <si>
    <t>P-way work</t>
  </si>
  <si>
    <t xml:space="preserve">ACD MALE </t>
  </si>
  <si>
    <t xml:space="preserve">For Track Related works </t>
  </si>
  <si>
    <t>29/05/2024</t>
  </si>
  <si>
    <t>Invoice no. NEW/367 Dated 08.3.2024</t>
  </si>
  <si>
    <t xml:space="preserve">National Fnhh. Works </t>
  </si>
  <si>
    <t>19/02/2025</t>
  </si>
  <si>
    <t>263/ 17.02.2025</t>
  </si>
  <si>
    <t xml:space="preserve">P- way work </t>
  </si>
  <si>
    <t>AS PER IMSD INCHARGE</t>
  </si>
  <si>
    <t>IMSD SMUN SECTION</t>
  </si>
  <si>
    <t>IMD/CHAN</t>
  </si>
  <si>
    <t xml:space="preserve">ACD FEMALE </t>
  </si>
  <si>
    <t>Invoice no. New /367 Dated 08.03.2024</t>
  </si>
  <si>
    <t>Nationol ENNN works</t>
  </si>
  <si>
    <t xml:space="preserve">Track works </t>
  </si>
  <si>
    <t>GP/DFC/AMBALA SR.NO.2205</t>
  </si>
  <si>
    <t>IMD CHAN</t>
  </si>
  <si>
    <t xml:space="preserve">ELECTRIC ARC WELDING MACHINE </t>
  </si>
  <si>
    <t xml:space="preserve">For track maintance works  </t>
  </si>
  <si>
    <t>SAFETY CHAIN WITH LOCK</t>
  </si>
  <si>
    <t>28/02/2024</t>
  </si>
  <si>
    <t>166 Dated 27.02.2024</t>
  </si>
  <si>
    <t>For OP&amp;BD dept use</t>
  </si>
  <si>
    <t>ISSUE NOTE NO. -73 DATED 28.02.2024</t>
  </si>
  <si>
    <t xml:space="preserve">JPM/OP&amp;BD/JUDN Udham solanki </t>
  </si>
  <si>
    <t>28/05/2025</t>
  </si>
  <si>
    <t xml:space="preserve">167 DATED 16.03.2024 M.S. Tradness &amp; engg </t>
  </si>
  <si>
    <t>issued to IMSD JUDN</t>
  </si>
  <si>
    <t>Number Plate</t>
  </si>
  <si>
    <t xml:space="preserve">For PatrolingTracks </t>
  </si>
  <si>
    <t>Exce/ CIVILL-1/ JUDN Abhishek Sharma</t>
  </si>
  <si>
    <t>Measuring Tape 30 mtr</t>
  </si>
  <si>
    <t xml:space="preserve">For track Mantince Related works </t>
  </si>
  <si>
    <t>Measuring Tape 5 mtr</t>
  </si>
  <si>
    <t xml:space="preserve">Steel sections
cutting equipment </t>
  </si>
  <si>
    <t xml:space="preserve">For track Mantaince  works </t>
  </si>
  <si>
    <t>ADJUSTABLE SPANNER</t>
  </si>
  <si>
    <t>WHISTLE</t>
  </si>
  <si>
    <t>_</t>
  </si>
  <si>
    <t xml:space="preserve">Mansoon Patrolman </t>
  </si>
  <si>
    <t>Patrolling purpose</t>
  </si>
  <si>
    <t>08.07.2025</t>
  </si>
  <si>
    <t>MTS IMSD SMUN</t>
  </si>
  <si>
    <t xml:space="preserve">SMALL  TESTING HAMMER </t>
  </si>
  <si>
    <t xml:space="preserve">For track Related  Bridge Related works </t>
  </si>
  <si>
    <t>Exce/ CIVIL-1/ JUDN Abhishek Sharma</t>
  </si>
  <si>
    <t>CHIPPING HAMMER</t>
  </si>
  <si>
    <t xml:space="preserve">  Bridge insprhion Related works </t>
  </si>
  <si>
    <t>ELCOMETER</t>
  </si>
  <si>
    <t>Measurement of pain Thikness</t>
  </si>
  <si>
    <t>MEASURING TAPE</t>
  </si>
  <si>
    <t xml:space="preserve">CALLIPER SET </t>
  </si>
  <si>
    <t>Track &amp; Bridge Related works.</t>
  </si>
  <si>
    <t xml:space="preserve">FEELER GAUNE </t>
  </si>
  <si>
    <t>28/08/2024</t>
  </si>
  <si>
    <t xml:space="preserve">PLUMB BOB </t>
  </si>
  <si>
    <t>AUTO LEVEL</t>
  </si>
  <si>
    <t xml:space="preserve">POINTS CLAMP 
WITH LOCK </t>
  </si>
  <si>
    <t xml:space="preserve">For OP&amp;BD Dept. use </t>
  </si>
  <si>
    <t xml:space="preserve">JPM/OP&amp;BD/JUDN      UDHAM SOLANKI </t>
  </si>
  <si>
    <t>visitor Chair</t>
  </si>
  <si>
    <t>GP/DFC/Ambala/Sr.No. 1553 dt. 21.07.2025</t>
  </si>
  <si>
    <t xml:space="preserve">office use </t>
  </si>
  <si>
    <t>FIRST AID BOX</t>
  </si>
  <si>
    <t>28/02//2024</t>
  </si>
  <si>
    <t xml:space="preserve">For use in Stations under CGM / UMB </t>
  </si>
  <si>
    <t>ISSUE NOTE NO.73  Dated: 28.02.2024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</si>
  <si>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</si>
  <si>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 EXTINGUISHER</t>
  </si>
  <si>
    <t xml:space="preserve">FIRE BUCKET WITH STAND </t>
  </si>
  <si>
    <t xml:space="preserve">EMERGENCY MEDICAL HAND STRETCHER </t>
  </si>
  <si>
    <t xml:space="preserve">WOODEN SKIDS </t>
  </si>
  <si>
    <t xml:space="preserve">FOR OP&amp;BD Dept. </t>
  </si>
  <si>
    <t xml:space="preserve">Safety helment with Torch </t>
  </si>
  <si>
    <t>DC/01 Dated 10/07/2024</t>
  </si>
  <si>
    <t xml:space="preserve">Pray Associates. </t>
  </si>
  <si>
    <t>GP/DFC/Ambala SR. NO. 1225  DATE 24.10.2024</t>
  </si>
  <si>
    <t>IMSD JUDN Executive/CIVILl/ JUDN</t>
  </si>
  <si>
    <t>GP/DFC/Ambala SR. NO. 2205  DATE 11.04.2026</t>
  </si>
  <si>
    <t>Electronic Track and
 Turnout gauge</t>
  </si>
  <si>
    <t>PIE-2024-25-549 DATED 29.10.2024</t>
  </si>
  <si>
    <t>Paragun instromention eng pvt.</t>
  </si>
  <si>
    <t xml:space="preserve">P-way Related work </t>
  </si>
  <si>
    <t>GP/DFC/Ambala SR. NO. 1179  DATE 20.11.2024</t>
  </si>
  <si>
    <t>Vibhanshu prashar  Executive/CIVILl/ JUDN</t>
  </si>
  <si>
    <t xml:space="preserve">Hydrolic jack 100mm lift 100ton acp with out handle </t>
  </si>
  <si>
    <t>Invoice No. 125 dt, 13.09.2025</t>
  </si>
  <si>
    <t xml:space="preserve">Sai Associates. </t>
  </si>
  <si>
    <t>Torque Wrench With Sockets</t>
  </si>
  <si>
    <t xml:space="preserve">Grease Nipple </t>
  </si>
  <si>
    <t xml:space="preserve">183 Dated 10.05.2024 
M .S Traders &amp; engg </t>
  </si>
  <si>
    <t>GP/DFC/Ambala Sr.No. 1166 dt. 22.01.2026</t>
  </si>
  <si>
    <t>Index '!B23</t>
  </si>
  <si>
    <t>GP/DFC/Ambala Sr.no. 1170 dt 31.01.2026</t>
  </si>
  <si>
    <t>IMSD/JUDN</t>
  </si>
  <si>
    <t>DC Generater</t>
  </si>
  <si>
    <t>Tent</t>
  </si>
  <si>
    <t>Chair</t>
  </si>
  <si>
    <t xml:space="preserve">Table </t>
  </si>
  <si>
    <t>Rail Drilling Toll 31.5</t>
  </si>
  <si>
    <t>Rail Drilling Toll 26.5</t>
  </si>
  <si>
    <t>Rail Drilling Toll 18</t>
  </si>
  <si>
    <t>Straight Edge</t>
  </si>
  <si>
    <t xml:space="preserve">Track JACK Hydurlic </t>
  </si>
  <si>
    <t>Rail Thermometer</t>
  </si>
  <si>
    <t>PWI KIT</t>
  </si>
  <si>
    <t>Versine KIT</t>
  </si>
  <si>
    <t>Track Gauge Cum LeVEL</t>
  </si>
  <si>
    <t xml:space="preserve">ACD Male </t>
  </si>
  <si>
    <t>ACD Female</t>
  </si>
  <si>
    <t>Electric ARC WELDING M/C</t>
  </si>
  <si>
    <t>Safety Chain With Lock</t>
  </si>
  <si>
    <t xml:space="preserve">Number Plate </t>
  </si>
  <si>
    <t>Measuring Tape 30mtr.</t>
  </si>
  <si>
    <t>Measuring Tape 5mtr.</t>
  </si>
  <si>
    <t xml:space="preserve">Steel Section Cutting Equipment </t>
  </si>
  <si>
    <t xml:space="preserve">Adjustable Spanner </t>
  </si>
  <si>
    <t xml:space="preserve">Whistle </t>
  </si>
  <si>
    <t xml:space="preserve">Small Testing hammer </t>
  </si>
  <si>
    <t xml:space="preserve">Chipping Hammer </t>
  </si>
  <si>
    <t xml:space="preserve">Elcometer </t>
  </si>
  <si>
    <t xml:space="preserve">Measuring Tape </t>
  </si>
  <si>
    <t>Calliper Set (inside + outside)</t>
  </si>
  <si>
    <t>Feeler Gauge</t>
  </si>
  <si>
    <t>Plumb BOB</t>
  </si>
  <si>
    <t>Auto Level</t>
  </si>
  <si>
    <t>Point Clamp with lock</t>
  </si>
  <si>
    <t>Chair Vistor</t>
  </si>
  <si>
    <t>First ADD BOX</t>
  </si>
  <si>
    <t>Fire Extinguisher</t>
  </si>
  <si>
    <t xml:space="preserve">Fire Bucket With Stand </t>
  </si>
  <si>
    <t xml:space="preserve">Emergency Medical Hand Stretcher </t>
  </si>
  <si>
    <t>Wooden Skids</t>
  </si>
  <si>
    <t>Safety helmate with troach</t>
  </si>
  <si>
    <t xml:space="preserve">Electronic Track and Turnout Gauge </t>
  </si>
  <si>
    <t>Hydraulic Jack 100mm lift 100 ton cap with out handle</t>
  </si>
  <si>
    <t>Torque Wrench with Sockets</t>
  </si>
  <si>
    <t xml:space="preserve">Gease Nipple </t>
  </si>
  <si>
    <t>Nos</t>
  </si>
  <si>
    <t xml:space="preserve">As per Imsd incharge </t>
  </si>
  <si>
    <t xml:space="preserve">IMSD SMUN SECTION </t>
  </si>
  <si>
    <t>GP/DFC/ Ambala Sr. no. 2205</t>
  </si>
  <si>
    <t>MTO/DFC/ Ambala  Sr. No. 1035</t>
  </si>
  <si>
    <t>GP/DFC/AMBALA/2205</t>
  </si>
  <si>
    <t>MTO/DFC/ Ambala Sr. No. 1035</t>
  </si>
  <si>
    <t>GD/DFC/ Ambala sr. no. 1191 dated 30.01.2025</t>
  </si>
  <si>
    <t>Surendera kumar Sr. exe/CIVIL/ KNNN</t>
  </si>
  <si>
    <t>GP/DFC/ Ambala Sr. no. 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</si>
</sst>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5" x14ac:knownFonts="1"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Stencil"/>
      <family val="5"/>
    </font>
    <font>
      <b/>
      <sz val="18"/>
      <color theme="1"/>
      <name val="Times New Roman"/>
      <family val="1"/>
    </font>
    <font>
      <b/>
      <sz val="16"/>
      <color theme="1"/>
      <name val="Kruti Dev 010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24"/>
      <color theme="1"/>
      <name val="Kruti Dev 010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Kruti Dev 010"/>
    </font>
    <font>
      <b/>
      <u/>
      <sz val="16"/>
      <color rgb="FFFF0000"/>
      <name val="Kruti Dev 010"/>
    </font>
    <font>
      <b/>
      <u/>
      <sz val="18"/>
      <color rgb="FFFF0000"/>
      <name val="Kruti Dev 010"/>
    </font>
    <font>
      <u/>
      <sz val="16"/>
      <color theme="1"/>
      <name val="Times New Roman"/>
      <family val="1"/>
    </font>
    <font>
      <u/>
      <sz val="16"/>
      <color rgb="FFFF0000"/>
      <name val="Times New Roman"/>
      <family val="1"/>
    </font>
    <font>
      <b/>
      <sz val="18"/>
      <color rgb="FFFF0000"/>
      <name val="Kruti Dev 010"/>
    </font>
    <font>
      <b/>
      <sz val="14"/>
      <color theme="1"/>
      <name val="Times New Roman"/>
      <family val="1"/>
    </font>
    <font>
      <b/>
      <sz val="14"/>
      <color theme="1"/>
      <name val="Kruti Dev 010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name val="Times New Roman"/>
      <family val="1"/>
    </font>
    <font>
      <u/>
      <sz val="8"/>
      <color rgb="FFFF0000"/>
      <name val="Times New Roman"/>
      <family val="1"/>
    </font>
    <font>
      <b/>
      <sz val="14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rgb="FFFF0000"/>
      <name val="Times New Roman"/>
      <family val="1"/>
    </font>
    <font>
      <u/>
      <sz val="14"/>
      <color rgb="FFFF0000"/>
      <name val="Times New Roman"/>
      <family val="1"/>
    </font>
    <font>
      <u/>
      <sz val="9"/>
      <color rgb="FFFF0000"/>
      <name val="Times New Roman"/>
      <family val="1"/>
    </font>
    <font>
      <u/>
      <sz val="18"/>
      <color rgb="FFFF0000"/>
      <name val="Times New Roman"/>
      <family val="1"/>
    </font>
    <font>
      <u/>
      <sz val="11"/>
      <color rgb="FFFF0000"/>
      <name val="Times New Roman"/>
      <family val="1"/>
    </font>
    <font>
      <u/>
      <sz val="10"/>
      <color rgb="FFFF0000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7" fillId="5" borderId="0" xfId="0" applyFont="1" applyFill="1"/>
    <xf numFmtId="0" fontId="10" fillId="0" borderId="0" xfId="0" applyFont="1"/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0" fillId="5" borderId="0" xfId="0" applyFont="1" applyFill="1"/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15" fillId="5" borderId="0" xfId="0" applyFont="1" applyFill="1" applyAlignment="1">
      <alignment horizontal="left" vertical="center"/>
    </xf>
    <xf numFmtId="0" fontId="0" fillId="0" borderId="7" xfId="0" applyBorder="1"/>
    <xf numFmtId="0" fontId="24" fillId="5" borderId="0" xfId="0" applyFont="1" applyFill="1" applyAlignment="1">
      <alignment horizontal="left" vertical="center"/>
    </xf>
    <xf numFmtId="0" fontId="0" fillId="0" borderId="0" xfId="0" quotePrefix="1"/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left" vertical="center"/>
    </xf>
  </cellXfs>
  <cellStyles count="1">
    <cellStyle name="Normal" xfId="0" builtinId="0"/>
  </cellStyles>
  <dxfs count="156"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Index '!B4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6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7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8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9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0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2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3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4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5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6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7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8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19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0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2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3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4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5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6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7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8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29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0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2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3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4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5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6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7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8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39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0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2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3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4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5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6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7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8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49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0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2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3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4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5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4" Type="http://schemas.openxmlformats.org/officeDocument/2006/relationships/hyperlink" Target="#'Index '!B56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57"/><Relationship Id="rId4" Type="http://schemas.openxmlformats.org/officeDocument/2006/relationships/hyperlink" Target="#'Main Index'!B96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58"/><Relationship Id="rId4" Type="http://schemas.openxmlformats.org/officeDocument/2006/relationships/hyperlink" Target="#'Main Index'!B96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59"/><Relationship Id="rId4" Type="http://schemas.openxmlformats.org/officeDocument/2006/relationships/hyperlink" Target="#'Main Index'!B96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0"/><Relationship Id="rId4" Type="http://schemas.openxmlformats.org/officeDocument/2006/relationships/hyperlink" Target="#'Main Index'!B96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1"/><Relationship Id="rId4" Type="http://schemas.openxmlformats.org/officeDocument/2006/relationships/hyperlink" Target="#'Main Index'!B96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2"/><Relationship Id="rId4" Type="http://schemas.openxmlformats.org/officeDocument/2006/relationships/hyperlink" Target="#'Main Index'!B96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3"/><Relationship Id="rId4" Type="http://schemas.openxmlformats.org/officeDocument/2006/relationships/hyperlink" Target="#'Main Index'!B96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4"/><Relationship Id="rId4" Type="http://schemas.openxmlformats.org/officeDocument/2006/relationships/hyperlink" Target="#'Main Index'!B96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5"/><Relationship Id="rId4" Type="http://schemas.openxmlformats.org/officeDocument/2006/relationships/hyperlink" Target="#'Main Index'!B96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6"/><Relationship Id="rId4" Type="http://schemas.openxmlformats.org/officeDocument/2006/relationships/hyperlink" Target="#'Main Index'!B96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7"/><Relationship Id="rId4" Type="http://schemas.openxmlformats.org/officeDocument/2006/relationships/hyperlink" Target="#'Main Index'!B96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8"/><Relationship Id="rId4" Type="http://schemas.openxmlformats.org/officeDocument/2006/relationships/hyperlink" Target="#'Main Index'!B96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69"/><Relationship Id="rId4" Type="http://schemas.openxmlformats.org/officeDocument/2006/relationships/hyperlink" Target="#'Main Index'!B96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0"/><Relationship Id="rId4" Type="http://schemas.openxmlformats.org/officeDocument/2006/relationships/hyperlink" Target="#'Main Index'!B96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1"/><Relationship Id="rId4" Type="http://schemas.openxmlformats.org/officeDocument/2006/relationships/hyperlink" Target="#'Main Index'!B96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2"/><Relationship Id="rId4" Type="http://schemas.openxmlformats.org/officeDocument/2006/relationships/hyperlink" Target="#'Main Index'!B96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3"/><Relationship Id="rId4" Type="http://schemas.openxmlformats.org/officeDocument/2006/relationships/hyperlink" Target="#'Main Index'!B96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4"/><Relationship Id="rId4" Type="http://schemas.openxmlformats.org/officeDocument/2006/relationships/hyperlink" Target="#'Main Index'!B96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5"/><Relationship Id="rId4" Type="http://schemas.openxmlformats.org/officeDocument/2006/relationships/hyperlink" Target="#'Main Index'!B96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6"/><Relationship Id="rId4" Type="http://schemas.openxmlformats.org/officeDocument/2006/relationships/hyperlink" Target="#'Main Index'!B96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7"/><Relationship Id="rId4" Type="http://schemas.openxmlformats.org/officeDocument/2006/relationships/hyperlink" Target="#'Main Index'!B96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3278'!B78"/><Relationship Id="rId4" Type="http://schemas.openxmlformats.org/officeDocument/2006/relationships/hyperlink" Target="#'Main Index'!B96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79"/><Relationship Id="rId4" Type="http://schemas.openxmlformats.org/officeDocument/2006/relationships/hyperlink" Target="#'Main Index'!B96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0"/><Relationship Id="rId4" Type="http://schemas.openxmlformats.org/officeDocument/2006/relationships/hyperlink" Target="#'Main Index'!B96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1"/><Relationship Id="rId4" Type="http://schemas.openxmlformats.org/officeDocument/2006/relationships/hyperlink" Target="#'Main Index'!B96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2"/><Relationship Id="rId4" Type="http://schemas.openxmlformats.org/officeDocument/2006/relationships/hyperlink" Target="#'Main Index'!B96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3"/><Relationship Id="rId4" Type="http://schemas.openxmlformats.org/officeDocument/2006/relationships/hyperlink" Target="#'Main Index'!B96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4"/><Relationship Id="rId4" Type="http://schemas.openxmlformats.org/officeDocument/2006/relationships/hyperlink" Target="#'Main Index'!B96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5" Type="http://schemas.openxmlformats.org/officeDocument/2006/relationships/hyperlink" Target="#'Index '!B85"/><Relationship Id="rId4" Type="http://schemas.openxmlformats.org/officeDocument/2006/relationships/hyperlink" Target="#'Main Index'!B96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6" Type="http://schemas.openxmlformats.org/officeDocument/2006/relationships/hyperlink" Target="#'Index '!B86"/><Relationship Id="rId5" Type="http://schemas.openxmlformats.org/officeDocument/2006/relationships/hyperlink" Target="#'Main Index'!A37"/><Relationship Id="rId4" Type="http://schemas.openxmlformats.org/officeDocument/2006/relationships/hyperlink" Target="#'Main Index'!B96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6" Type="http://schemas.openxmlformats.org/officeDocument/2006/relationships/hyperlink" Target="#'Index '!B87"/><Relationship Id="rId5" Type="http://schemas.openxmlformats.org/officeDocument/2006/relationships/hyperlink" Target="#'Main Index'!A37"/><Relationship Id="rId4" Type="http://schemas.openxmlformats.org/officeDocument/2006/relationships/hyperlink" Target="#'Main Index'!B96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6" Type="http://schemas.openxmlformats.org/officeDocument/2006/relationships/hyperlink" Target="#'Index '!B88"/><Relationship Id="rId5" Type="http://schemas.openxmlformats.org/officeDocument/2006/relationships/hyperlink" Target="#'Main Index'!A37"/><Relationship Id="rId4" Type="http://schemas.openxmlformats.org/officeDocument/2006/relationships/hyperlink" Target="#'Main Index'!B96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6" Type="http://schemas.openxmlformats.org/officeDocument/2006/relationships/hyperlink" Target="#'Index '!B89"/><Relationship Id="rId5" Type="http://schemas.openxmlformats.org/officeDocument/2006/relationships/hyperlink" Target="#'Main Index'!A37"/><Relationship Id="rId4" Type="http://schemas.openxmlformats.org/officeDocument/2006/relationships/hyperlink" Target="#'Main Index'!B96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'Main Index'!A1"/><Relationship Id="rId1" Type="http://schemas.openxmlformats.org/officeDocument/2006/relationships/image" Target="../media/image1.jpeg"/><Relationship Id="rId6" Type="http://schemas.openxmlformats.org/officeDocument/2006/relationships/hyperlink" Target="#'Index '!B90"/><Relationship Id="rId5" Type="http://schemas.openxmlformats.org/officeDocument/2006/relationships/hyperlink" Target="#'Main Index'!A37"/><Relationship Id="rId4" Type="http://schemas.openxmlformats.org/officeDocument/2006/relationships/hyperlink" Target="#'Main Index'!B9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623800</xdr:colOff>
      <xdr:row>0</xdr:row>
      <xdr:rowOff>625929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2F8D15B-1526-4CE0-B6FD-0DB3945E18D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594103" cy="625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623800</xdr:colOff>
      <xdr:row>0</xdr:row>
      <xdr:rowOff>625929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D4FD4DA-45B3-4463-A464-131867A8AD8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590790" cy="625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" name="Picture 2" descr="DFC logo">
          <a:extLst>
            <a:ext uri="{FF2B5EF4-FFF2-40B4-BE49-F238E27FC236}">
              <a16:creationId xmlns:a16="http://schemas.microsoft.com/office/drawing/2014/main" id="{2C73308F-45B1-4640-A4F8-A3F661FE9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D99BDF-8648-4A74-A823-9E6C2E38A6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DD3C0FC-737D-414A-8700-D18B9CB22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287C35-C0DF-4261-AE70-46FFE21CA3E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386F685-B7A1-4D2A-AD05-8F5A6CF99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51FB73-B975-49B0-9724-C3CC876934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C6C0C6B-85A7-4764-B718-9CDEEA54D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DF645B-0512-4662-98F6-DD1A474BBECD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A032120-2F4A-43E3-8E48-5F2F2AD39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F63C89-08D1-4331-A496-B791EC94A1B0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92B4885-B459-43BA-B559-885DA5EA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C65DA4-95FB-4505-AAEC-33E61A0AAB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1053BF0-0C35-4259-97AF-67B9BBEA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00F28-3960-4AE1-B765-A9241075949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4F7ABDB-5133-4085-8C7D-96AE25CB4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074418-4DCA-4904-AFF7-3421F654ECF4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F758010-A036-4BFA-9B99-BEA41942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3C946C-A0B3-41E3-8EA4-6D9DE28A1B8D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AAF9EF6-4A44-4483-A01D-7B73873A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07EB8E-A441-4F26-9AAC-F50BDE6742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BC0D05C-9A28-45A6-AA14-2980409A0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007F19-E6C4-4B19-8294-2425978D91FD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D9B02A74-2DFB-4690-986A-C25C7477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0702BB-5C54-464A-AFF4-6A402426058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4BA49DAF-2484-483B-AE27-FCCD616D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8B1052-685B-4894-981F-F2170FD6C7E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E08A27CC-362A-42C6-AA2D-8F2B4A3C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2061B1-6A6E-4713-8792-541C63F733B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F156970-C53C-47B2-B7FD-5ABCA538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63EE6E-6521-4630-B543-639B50733E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705DC92-E6AF-4472-AF01-7EF77DAF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32A968-380A-4DC2-9AC8-719DF8B56D7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B0720397-3A1E-4602-9CA0-23AD2C9BE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DF305-1F3F-467B-A7E8-F094948F93E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41504C89-5147-45E2-89C5-D6D01130D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428AC4-87FE-4019-9F7B-EE758BDE460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1B848BA-DE7F-43FB-84D0-AE93AD1D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094303-4260-478D-A627-3BE48CE23E02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287000C5-EF4D-427D-A3CF-36A5ABC2D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EDA2E0-182A-4B27-8520-ADEFE71A6E9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EB8A0C9-2C20-424A-BCF1-29F70FD8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55305A-DF2E-41FB-AB30-8DB7763B03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3E2BA3D-A8E6-4C7C-9C67-AF6822CE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01CA9E-C879-46E6-B8CE-E76F455E6783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5EB7352-3023-47C5-A37D-15011F5AC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CE721B-9DD4-4FE3-AC84-9D1F1573DE38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76758BFA-550E-49A1-B495-CA340CB1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C0D196-26C6-4E87-ADAA-0A0D39641DC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0E9D5AD-3198-40EA-815F-9AF3F3437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A3A935-BF5A-473E-9049-4C71AB08B6B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2B5082E9-4DB2-410F-8F53-F67274E3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0AC4EB-DD5A-490B-B826-72DA59DF7AA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F0E76CF-74CC-4B17-A4F9-8628F22A7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785A0B-31EA-459E-B87F-96BAAB9651E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9FED7ACD-E82E-4966-8F33-A73C6D36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094DBC-8CD7-463D-B190-DF810E2030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DA82997-5B3B-4DBD-B61C-7AEE35D2C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16C41A-6DF4-41E9-A3E9-39185B5BF1A8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94D62A4-AC73-4DBA-9714-A4D6000D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ACF4F9-50D4-41DE-9F58-9B398046635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1601FC9A-F53D-497D-A2C8-70DED856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B375CD-16AE-478C-9A7C-2C347B036D7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957DD46-3C8D-462B-9C34-B2CCF03F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5F4D76-66F5-4935-94B7-C6AD98EBD914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E8E341E-D6C8-4013-AAC8-56CCBE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871FB6-A319-4733-9FD8-60C714EF0A4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05E30A4-C4BE-4F84-9F8B-0F41A69A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207B2F-C122-4894-B569-6989B2E92EB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D0AFD3D9-13DB-4A8B-8AE7-33DFCBE8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9E6069-AD0F-4036-9380-840EF062951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F5D4F059-7F4F-4B9C-B73C-05736D0A8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CE460C-F0E2-466F-A9D1-5D7839C8EC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2817E36-AE91-43C5-83EE-7A7DB55E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D25DA8-4F03-4A52-AE81-0BFF80164640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916F2AB-E6E6-455F-95EC-F96D86A38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D67A1-8430-473B-87CD-2CABFE0DE88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24500B3-462F-49ED-A595-F1D877719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208116-A810-4761-8FBC-2160903B37D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123AF29-C0EA-4C45-9C20-2C83DEFA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D91349-13C8-427D-8F6C-5026C4B0777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FD76CAB-A4CE-4F12-A5FA-92F98019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09D9DF-5C99-4F2B-AC2C-C1880E09A11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B77A60DC-87D7-4CD4-8CAD-6BF20B549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A80599-4F14-45C4-A2F6-AD70602E647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6AB700B-E1DC-4D3D-9BE0-448448F88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B249DA-394D-41A7-9D60-45B6F7738CA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3BF5D27-FCD5-48F8-9354-03F597A3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66ED2-2F4C-45F0-9F04-356B6C523C8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D2DC939C-8960-463A-B88C-CDFB7C8A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1BB4F0-E470-43F1-B1C2-3E2C882704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FDE039D-84E4-4CA2-9474-08088C6B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354DDA-6711-4F63-8471-0C9B817171D8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3C860C28-7653-4F75-AE69-84ACD541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9D3B5-E223-4DD2-AB7D-CD95AC28E60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4F4EE5C-E1A5-41FB-9318-E0817D10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CEE782-910F-4760-B0D4-F0D6499CF853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1EC5256-5CF8-4B6B-A643-6CBE4341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0E88E1-11C3-495F-A6F5-CC7C0598AB5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0AF3DEF-A262-44FD-8079-845ED3665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BFE4E9-63CE-4568-B6BE-E96AD1F7204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2E8FD00-7AC0-4AFF-9910-EC4C556C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8CA707-165D-46AB-AE36-5B1CF1D35EE4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ACA144D-A63B-4A50-A47E-FC1B81EF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50F824-15CC-4808-A47F-221C2CDF1B4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BD9B5F66-A5B6-4EA2-98BA-62569ED2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10C485-C2C4-40CD-8860-910D9D9C015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DA4EC10-5702-41C7-A5CC-AD3EA0A2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F041E3-A36F-4ADE-B9EF-0E2F374155B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72060C0-72CE-4BAC-8557-A6FA94B24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430705-FD2D-4B8E-A298-8BF207B8D6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D682E1E-15D6-4DFC-B6F2-EFEC84FA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69BD51-05C1-4742-9665-761F8FF85B6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A83D9B35-DF6C-44D7-B88D-D58C3A8B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B61307-9FF3-4549-AED9-71FAE43F191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6CECAD4-38DC-4791-AC87-A03EEAB2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450C73-532F-413A-9181-672F802C3C9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EA71072-E17D-445F-9630-99FFCD236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A648EA-6B5A-4EF9-8643-9C929237895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1968714-B835-4513-BD1F-67400474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F74975-C434-4840-9DC5-5EF27B6018D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80C37B3-A4EA-49B8-BFFA-6AAB4841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0A5F4D-4FD5-46E3-A042-CE75D0F899E8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95D36F6-933B-465C-8E34-C26AA90F9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5F0F4E-4063-47CF-9734-1E839FA47CA3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C5EB9C16-011C-4186-A092-D8368249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2F54FC-7C10-4C8E-A861-3A49A9DCD13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CDF3C5A-1518-46A8-9507-3BA6878A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01EED6-F1FD-4289-AFFA-00B03CE5B103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120E879-9373-4400-A547-C8A06D002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AD898E-2510-4A35-AEC0-FD6951C2297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0C9DF2D-C898-4FE5-A06D-8DECFE10C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CCA34D-2939-4998-B5DC-FBE34118FD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846422C-0BA4-4059-AC77-95ED67F1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7D94E0-0A2A-4E33-AD10-169237D4E66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7D22DE1-2C40-46B0-B258-12E0E70F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425653-83F3-4950-B8B0-CB850338333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8D2244F-B08D-4849-87B7-8889D625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D43FBB-E251-4A13-AFE0-3563FE1182D0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B0A73E9-B36D-417D-ADD8-32B996F3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D80E5E-2408-4687-AE3D-EA67C8C8094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B318B22-99CE-4378-845A-BB940AE6E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6CA75-A52C-4A02-976E-BA086534154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BC088D7F-BC6C-438C-A2EE-CA2B1283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07CECF-07CD-4CBA-9136-B73163DCCE4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F972F4F-1D28-4E0D-A8B7-DC44AEB7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15D1B2-2BB4-418A-8C36-6F1C5D33E39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7B32ED5-245C-4B29-A4D8-D3338260B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0E41AF-4161-433E-8A7C-A161BCE10F60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5A9AF7F-1EC3-4E01-8166-F5DDFFC5A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6A7CE2-63B4-4069-82BA-8C67122C1D9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BC4F8379-C059-4630-AB88-21F811BA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213E69-D250-4284-B366-9FF7761F417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1BA34BC-C31B-47C1-A01D-DA5265F2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B85410-798C-4797-9C26-BBE9CE7C9CC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E12068D-DA68-41F8-982C-43D86008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2FB4E8-8B1E-4BC8-93BB-C8A044CE93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E913326-C1D7-45AB-8EE9-5B452FC8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961A51-CCE4-481B-86C8-8212695DB75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6C45659-F678-4324-9213-530F5D81D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2074D1-D71B-4988-89BD-D02A27D2476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2BEEA10-3A72-45FF-9CD3-56C9E6FB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7687A7-0C3B-4780-B637-6454508CC01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8586D835-5659-4315-A1DB-0EFBBDC1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AA7A2B-FBE9-400A-ADC8-EBF79B38539D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B74A3E69-C2BB-4414-9588-4A2A5C0D2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442DC-522A-4A0D-9B56-D5A1DDEE5683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13222EF-65B7-4066-A60F-1FA565BBE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7E6DE4-706A-4656-90B8-49A6A84EB32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8D89316D-1ABD-4836-A388-F205ADFC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013587-74E1-4B71-AF90-924317E8881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DA738FE-1112-4580-9CA3-CF9F5C656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35A9BE-D89A-4A68-B517-08DDCA20C378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02885D3-E5A3-480B-BEE5-2CA2DBE9E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223770-3D31-4220-AE19-49DF14769A2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33AF3207-2E09-49BA-849D-DD8CE2B2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3BD907-9579-49CD-B8F5-F67268483922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60A2981-245E-43C5-A38F-DB0E830C1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FB12A4-767D-44C6-BB6B-3FD8005465A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71D579E4-F178-4AE7-AF7B-3CFBED5E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FBFA1F-138C-46F7-9B2A-CB907F897AD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97CBC929-3D8C-454A-B362-A4400F51D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563FDD-A587-44C5-9DD3-331C7C58DD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8897D51-0F5A-4EBD-A034-4F0EC3A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7A9D0F-4AE5-4235-A541-616260BE2D2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6C542375-B34F-47F1-8838-FED64918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36238C-395E-4DF3-A945-E72E1CEA4AE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0FC980A-BC48-4120-AF0E-B24FB1D48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4570FD-A1E3-4B85-A279-CA96F1D2F90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F3E3A71-4FB4-41FD-9D36-C42859CC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FCBA88-6DEB-48CF-8E8C-D8AE3EF84AC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22774DEE-4A2C-4135-974F-4F73264E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540E46-D89D-4C91-AABA-8A0DEB36C59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BD44C688-F563-49BF-8A36-167B5D8E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B83C29-F436-4756-BE26-8827430D784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FF3BDFD-B1A8-49E3-97F0-1F122B72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27FB03-ED44-4164-B0C9-01ABFE675151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1326FAA-4C9B-46A9-9B32-E8ACCD701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696971-4AF9-4145-AC69-85E068003AA2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95D7CA5-74F9-4B22-B8B1-BAC18D68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D19E2-A53E-41FD-8DB1-B29B080B8A34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EF3FD296-FCA8-45E5-8076-4977CA0D0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8C039C-D92B-4CB8-B6F8-AC0A16BC67D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2EDD99E-E2F4-44FE-9A41-3C6B5EA6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F6BFB9-94B9-45C3-A01B-2F7D4E0E8DEE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BEACC19-72F9-4904-AB1A-71CA6CED1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A0724-8091-435F-81B6-197FAE6BD1EC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C603E70C-5AE3-469E-8E18-CF3C9DDB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C101AF-954F-4040-9B38-D669461FA77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D4E6681-7A24-416D-AA12-B5ADA02E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E30A4C-D3CF-4789-AF52-0A70E3D977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E69A15C-6E7F-4E93-814D-287AF512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D01A02-7744-4A25-9580-0C84578FC2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70EC26A-AE5D-434B-BED0-1A27EDFD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78E0C0-DF59-404C-899E-5AEDDFD99F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3B06293D-475C-4E29-B580-DEC1C21B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A9113-957A-4A77-970A-A064102206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AED5DC2-3CB7-4A69-B653-A9A980C9F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55FC1C-7068-4B6D-8BAD-0F31C4F3B8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5E06AFD-6FEA-44C0-A219-4F8946AE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00DA7D-177E-494C-9E91-86F54BEC32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522C05B-BF5B-420E-92BA-24DCEC03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BCE42-7D29-4E06-994F-8C10AF31C1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C708BC8-83E0-4DFB-9714-E6CB1591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92C595-981D-4968-9E4B-F4B06D5D15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9ABE781A-B7B9-4C39-929A-5C3F87B24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B6BF25-DA49-4710-BEAC-5660252034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405BCA6-90DF-402E-9354-E0911266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1923CD-5106-4CD0-A1CB-68D445125D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403B82A-3438-47DF-91C3-E0E1AD5D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8FF0B5-7C52-4258-8005-CFC75F3684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07BB23A-E4D9-475B-87E9-05244FF9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0E5DAA-56CD-43E5-A885-DBD0E8019B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C78C1D2-1A86-4745-959F-FFA14307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32913F-7EC2-4F47-88FA-FF32B66048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8CBD644F-BB45-430A-90FF-5ED9948F7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BCAC79-69BC-4332-B5EE-6B2D1A3D7E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9EC5F83B-6FF8-41C9-901D-9493591E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ADBBDF-177C-4C4D-B212-0165DB67D3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9CC3309C-362E-4594-94B9-241FB457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20CB8B-0CBD-47A5-9F85-CA3D79ECD3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2F2D7FB-4584-453C-A0C0-263F9BD62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F60665-FBB6-46F3-95E7-740EA17998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3F20486-1FA1-4184-8E8A-867DAC3B2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5514CD-86F6-46FF-8428-7B5FA86617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16ABB90-4BD2-4E8A-AA53-B7A31CF8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F5EADF-D0DB-4C31-ADF6-CC84C8C4C7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8D5CD33A-04D9-40F9-87D8-F62AABA8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BB4A02-5B12-4077-B7F1-D2E649508C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B2A146BF-89B8-46D5-A02E-5157C95D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EC3C55-1FF5-433E-B76C-4A7FA6ACC8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502F7FE-5EBB-440D-9A52-8C305ADC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DC2316-DD3C-4EEC-A5CE-43833A462B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9A71760-609B-4CBA-A017-FE7E06F9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5F8D87-9BFE-4D7B-B709-D3284B5AB5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45EABBC-30E0-4E3A-A604-827E9922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C22E4A-910C-4E23-A0B1-6C16672C7D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8DCB71B2-3E02-427F-8178-B0363F6F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9DB609-42CF-4BDB-9859-56260ADFFF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7C586F15-D874-4203-8AC4-9ACAE3FA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B6FC39-B1F7-4AC3-AB72-78035BBC3A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E83681E-C160-4B9C-BFEB-3F3C47B99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86070B-FD1E-4E51-9E2B-F3ACF556DE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425C24DE-0DE6-4376-B61B-E5E288390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84C02B-2430-44BD-8D23-A1DDF3B19B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890774DB-6B71-48DF-A2AA-5E5726BB3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44CA95-8960-4D56-9BCA-D3A6170339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67BED6E-CBDA-4A1D-BB47-52D90685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4024EB-5F30-4C9E-8BCD-712567E18B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8FB0BA2-CAFB-4D70-9E37-A86B3B7C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2C369C-DB02-496A-B0E2-EB6E015A04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BEC815AB-E63A-421E-B60A-A0AF7D87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477A9E-6CFE-4377-804F-649692E168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463FFD2-5A93-4CA8-8119-1D70FE83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E3D1A1-CF2A-4701-BA2C-A5A8995DCD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55BB6B5-1DE7-4C4A-B992-1CB67CE7A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4A0D50-5AF8-410E-B7A1-5701A8501D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3C882A00-6A98-4A98-A115-5B616941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5993F7-85BD-491B-B598-08C20B6BC7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E79FDB3-4571-455C-B856-E9B35BE3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B0EE5B-9170-4F61-9362-8D2523ABF3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0A9478C-8DE0-4B7B-B64A-9830ABE7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26D8E5-CE95-43AE-9F4A-FD28A60B4A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9EAE9DF0-FDC9-4664-B5D2-BB8FD8623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FDA5E1-F397-4468-A45F-DD294EBA01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1F3853B-74F2-46C0-9AEA-8A25190B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8B2FE4-D73B-4312-A82B-EA79DB95C9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89BE8B2-58D2-4721-B45D-7AE3F1A7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7F00A0-7258-4544-9FE7-9804AEA2F9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4F5358F0-D9B8-4E4D-836A-63061301F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ADDB9F-9D92-4425-AAEA-641BED6971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C8EF9B7-229E-4CDD-85FB-E7B54808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84BD7F-6650-48F9-B070-F840D508BB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5CC8C20-A1E5-4BB5-B0B3-78C44A685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25A4B9-6B79-40BB-A4D2-96E3C519A5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6B01AC68-4BD8-4137-83BC-A06D8D3A2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9F759E-32A5-439E-9F0F-97EE49E15A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2D9CE1C-379C-473F-B334-AEB4A0B13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EC7928-4CC0-4DF2-82E7-23E605E4C9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9C2B22A-72FB-48A4-8C60-F9EB4DA0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3ABAB1-D3A3-45F6-A421-3A4E95BFBF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FFEC68B6-83CA-4E11-B3F3-06EB58ED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11874C-AA6A-491F-A59E-2F341A8092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8B8F1753-ACBF-47E8-8C1B-A58D7843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781B69-C3C4-4668-A30B-0D30ED2D31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29E2A2F3-C9CF-4527-A15B-642AF991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933EE6-FAF8-4B1C-91E3-1A13F8217A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66CF39A-91E3-4559-B4C0-BBF949E38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6849ED-AA6F-4278-AE0D-2ADBC0BD9C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88BFC6A3-3E73-4FB8-A7D5-3AB22F895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A762B3-81C1-448F-892C-60974F8734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BEE6E8EC-1C1E-4792-ABC3-4416C706A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528283-4B38-4ED4-B701-149651C9F3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8F0AAEA-C84B-48D0-B800-AE430B48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3084D0-8C5B-47C4-8AB8-103E548B11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7861C2AE-D162-4B3E-AA5D-65DD75397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A7166A-51A8-4D26-B81A-73C29BE2C3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45F5CB1-7503-42D1-882B-FAD7C1FD1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EB2857-C568-4354-B528-D1813E2333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468BFEE8-D5F4-49AC-B4EF-3F9153893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73925E-2B11-41E3-9C3F-C4A6C48C28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D3D5C0D-436A-4E59-9D99-2462BA30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055029-6823-4FCE-89AF-2FD6CA0B75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E409C01D-0751-427C-95C9-F4C4AE13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A7175A-4D4E-45A3-874D-90B7CBFB2A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1737B11-C57C-4CF8-A4B5-F49E03700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455E8A-1BD0-4B9F-BB16-D2735FA065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1B372B7-F153-45AE-9034-55572044F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A455E7-29A8-46E8-A8B2-07CE841AF3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49A32D02-D066-46F0-A1AD-D43047F8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E5588B-E02C-4A79-9714-E6762F544E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A8884387-4C2A-4736-B442-557507B7C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024E27-5902-46F9-9546-809CE2EF04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84F6296-92FB-4A7E-A071-40241A38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493D80-C1B4-4565-8F44-EF1C5E0F53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2DCA5D8F-3355-4795-8C0D-7D5ADA8CF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05BE06-85AD-4297-A760-FE130ACDB2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799F6592-AE71-4A2B-829E-548063192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6190A7-D8E7-4D3B-BA4B-A39B0BEC1E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8E44CFF-9F3C-45AD-9760-858549B0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1BC9B0-C110-4B0A-ADE5-B92DC3C71A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15456F6D-527D-48EA-A8F4-EEEC8DE4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8E7775-E4BB-4838-9A8D-83C91402D8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10D1D2F-573F-4FC5-9689-51577A45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A7AB2F-18DE-4E6E-82DA-3EBE4681E8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9D37BA9-70B4-4B63-A2CF-219823C2A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EE8566-D623-404A-BFB0-CF7DE7C643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EEAF153-67F4-433A-848D-0500FF69F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79385E-5FE6-4E97-9955-25053552A3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4C65725-542F-447A-B691-A979C77A0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A1EAE2-8E06-4B50-8085-C2A1D0979A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5064D82-F499-4417-A8A6-95F33A7E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534A3B-4E1E-4288-8C52-0A40004731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3DB431C-5F31-4CAD-9035-611C6657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56D119-72C6-4EBF-8677-55EB27909C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B89BBFA-9788-4682-BEEC-6D2E55BB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D23B17-76B0-47FE-9035-0F189A05AD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078790B7-B7D3-49DA-9817-2727424C5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AD388A-8D4B-4949-8A00-BE9DAB80E0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88AFF668-9F37-47A8-95DD-45448D6CE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F19CA0-ACBA-46D5-B263-E529E4EB36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CDAAB8C-2ED9-4D6E-A12A-F27521D29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43A051-7E09-4C0B-A81D-F2FB102132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CFC8DA5-0357-49B4-97A1-34F0DAFF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C9EE63-D567-4848-972D-3928DDD366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F79AF92-72D4-4157-9ED2-5D5F6D2F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EBF264-35C1-4DCD-868B-32CF7B723A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AAD3DF2-A732-4858-9051-12ED1B3F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0434D0-4847-4182-B776-A6F8DFE1C5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ECD6BEB-DE05-47E8-9F57-091AB682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DC84B-9C20-475B-9FAF-D3AA691CC9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56326BA-9044-4B62-8FA7-25678643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29F7A-8386-42FD-A866-C407237857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AEE350A-C8DD-4A4D-81C7-5B9D166C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A81223-3962-42DA-B923-1CAAD06307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28366157-7E7D-4B6B-8CD7-1DD0D3125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F021C1-5635-47AD-9A69-C6F56987EF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25CE4A82-30C0-4ED9-9D49-7E9EBD0F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9D523F-4381-4C4A-A385-B6127CBD4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B23382A-40C1-4E1B-826D-F63C807B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0A8F62-7E04-4CEA-B81F-D024D7027B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32F380B-E9E2-41A3-A8FD-91F6702B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7C4A06-9911-4D91-8078-6457E101A5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CB98518-1CFA-4F57-92BE-4344902D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240E1-F9FD-4123-A249-F41139BB2B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57FC7C9-F70A-40EA-ADF1-0DDA4FB7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261BED-4A8B-4996-99F5-838B8A73FD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C25CE32-E333-49E2-836D-2119BCE5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8C104D-D24F-480B-8089-2DC9F1858F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A54F71F-75A7-4D67-A586-8A34CC18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15021C-8BF1-4FA0-9C12-47975D9113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6BBE1B4-130F-4020-AA35-55D8278A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C426E0-115B-4B0B-844E-71BDA6A7FA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ABD4148-0CE7-4A0C-BFB4-B28A95D2E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0E7F83-82DE-428C-B53D-6CB8D9D60C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D36E60C-5E33-4A82-8942-B85DCDB2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83EC6D-3D38-4C25-B26E-43F2BD68D1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03BAE01-2AA2-4704-B512-BFA1EA4A4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F7B036-3A9A-4741-97C0-6AF642931F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2856CD4-F89B-4256-82AD-D205E808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A17755-9DD2-45B3-84F6-771A331970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81AD298A-2803-480E-933A-3D7BCB99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2F6770-6BC3-44C5-9288-11D87321F0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4C1CEE9-C7A1-452B-92D5-9B1A975C3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C26321-1CE4-4E2B-B0B4-4FA9BC8613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200E5044-FAEC-4EE1-8E06-E729934EB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7F49F5-1795-41E5-85B6-5D686512F5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D15B2DA-948B-4958-9C41-87E9480D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23B32D-0C2C-477A-B5ED-1569E32306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4E83388-B641-4C6D-BE37-7B156028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2320C8-C232-4118-8D57-2D79DAE0FA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86AC4C7D-C20A-4C4F-9AFC-7ADCAE38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38CD3E-514A-47FA-8A5E-9F620A3A25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9B8576CC-A07A-449D-8738-133A9527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594AB9-3C5F-4333-BEFD-5AD3A463EA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15853822-F27C-4B9E-97AC-622A92C4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6288D7-3779-4E99-909F-0C5DC1A4DC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7B1643A-AE67-4A99-92A1-8190BD63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6B181E-9F6B-41CE-BA6A-9C4C37A124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0527209D-8DE2-490D-8026-415CCBDB6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8A9856-56C0-4EC8-B948-F648708C56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432F9B0-8E0F-402B-A73A-FBC85DBA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9749DB-6796-4854-AA5D-5C6B9F6055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5689F6C-4FD7-4344-A204-72A738C7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53FB30-5551-4F2C-A3DA-C1E2100490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26C618F-1816-40F4-9A15-E57893E99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E782D6-BEAD-41A6-A662-EDF2579BE7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36EADCD-7282-4FE2-930D-A9470A5D1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8F4047-8F7F-4A3A-B3E1-C2F623CB01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6B578DF-8AC4-4AEA-A468-48CA24CB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58450A-1E24-4FD4-BB7F-DB6FB71F1D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698537CF-1371-4EC8-B4E1-F01454ED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5245F6-EC06-4DD1-8ADA-63A598FBF7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9CB2364-ADC6-4336-98A4-810173972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DF022E-A11D-46F1-95C9-F7E59EC5CA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3A1C6ABA-FF54-447B-BDD7-DFDDC4D2B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E76D49-18B3-4093-AC7F-32B2AE7053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80DC567-EA2F-4414-80E2-5101C94ED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220643-2784-467F-9290-D458B3A3A2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3D0DE66-6AA6-454A-B3EF-931B0CCC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46B627-1EB8-4486-B781-407C65E9B5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56EF62B-87AA-4ED4-8A52-05A13057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2DF040-E77A-4AE4-90BC-D42AF38B55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245D6657-5CD0-47EB-B7B3-A1AAD6D78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47BF7B-B965-478A-91E6-CB6C802849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18023AC-86A2-4091-A4AA-BAB66F7D2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26D237-A806-422C-A0AC-8073AE6337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7FCDBD0-5455-4DA5-826C-0BA261DB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F1883E-6046-4482-89A8-E4309DF1B5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6C5374F3-39CE-444F-B456-0C44FFA7D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F88CD7-82BC-474D-BB84-EA35906562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F87ECB69-7E28-4F9E-8D14-77582067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0B46A5-FA9D-4D6B-8B2E-2FDD0281D4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CA9D681A-0D61-4893-BECF-290C2E7F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9F3DEA-9474-4FA9-9E7C-B91A17FE8E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A4FB72A9-45C5-41C5-881F-7F5D84E3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D100D0-67E1-4659-B468-981A8E3A73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4222BBB8-6407-4DBA-B518-6E7149C4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A3CB9-FD75-4CE8-AD37-8CAA2F6B14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3C3295D2-ACC4-43A4-BE5E-DA13EB485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FB5E1D-D69C-464E-8105-BADEE919F3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93A934F-6582-4485-8F12-D77F6B073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4A8307-CABA-443F-BA27-B15BE5A457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5902403-267E-441E-A117-BA7BEDD7B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B4BCBE-0D42-4ECD-B47F-AABE80468D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34D596BF-2F2B-4C85-BAA2-8A5161ED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4CEAA2-B20D-4F96-83DC-596C9F8133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4872C06-ABAC-4FFE-B45B-4854CAEF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7D3271-BC64-438A-9672-4D009313F1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CB8376BE-0330-4B65-AADF-AF587732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F8359F-721B-4964-8E94-55CFEB0DFBE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554F6F6-4671-4572-83C3-C9DC0F41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0CCB25-1519-4F92-800E-5881FB2A1F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F0E9876-1CFE-48F7-8C4D-98700D4B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6B9347-3A5D-4797-96AD-3E45D8BF5A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0C715DBE-9072-4DDC-BF28-6C5EF9C5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88A2AE-E672-4AC7-BF7C-1BA8919EDA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41A0B16-3790-4463-A9FA-0AC7A90FB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F6E4A4-28D4-4DF5-A563-C595E9951D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8216EA1B-4031-48E6-BD08-4C5B64D6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44B41D-78B1-45D9-ADBE-66CF6B4CB2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E9DDF63-9957-46C5-940A-B4459ADC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72CC0D-12AB-4309-8908-90F59F6C6B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BF3CC7B1-2EB3-4267-AECE-C5EE1DD5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A4E170-C51C-4DAF-B2B0-5365C69839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071C2520-C313-426C-982B-39549B3E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EFF8D5-274B-4E6D-AC55-314B758F03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AF8F0BF-9620-47F9-9FBE-9CA6630B1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CDD746-E06E-4A95-809C-AA4631A782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5C698E7-707E-4F41-B66C-B8F56FA3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B9B29-3995-4C2E-B3B1-7FE8D9B4AE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383C2DDE-81F0-4A89-BCA8-2325920A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00B175-C702-46F8-91EA-A6803103AF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73896A1E-2E43-4F11-ACC6-380B6E89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928A68-8BA8-4E0B-94A9-D77AFEC19AE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F3FB3C1-1B96-46A5-BD63-7736027C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F6414-D279-4AAC-905A-DE145B4E53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CD0F6309-7533-4C9E-8C77-E95FD106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3EDA90-5B56-449D-BAFA-80E0B7CA70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CCFE7218-20C7-4589-9FE3-FC3549784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D9E851-8D8D-42F4-AD32-135855B6EE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14A0414-9C69-486B-9EDB-7E19382F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EF051A-1E66-4679-A68A-057373A20D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2FFA1EC-959B-4945-877F-2CB6F805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96E593-EE7A-40A5-B067-4950785D53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AC575DFF-CC20-42F7-A52B-817D5FC1E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7B6922-883D-464E-B0EB-193531E2DB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9736035-F079-4DA8-AD34-776BE371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9E67D-2C9A-4235-82D6-4A53496155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DF61C6AE-EB80-494F-AD41-00A8466CA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7E956C-3D86-4ADF-97E6-8926B594B7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6273A28-104D-423D-9CBB-52A79FCB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23602D-2E9E-4608-8BB4-F59F1B904E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6A7C021-CA55-4884-8084-EC880206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BD6A8C-B0E6-4A45-948B-9E6AC28016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79ECFCC-A9FB-4D92-8E80-3FBA8CC63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19249F-FC33-4E5B-ADCA-6DFC028AB9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A7D0672D-4BF1-4E0F-AB51-FB467691F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DDE582-A46D-4536-9947-084DCD4B26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0C27269-F157-4298-A40C-48A936CFE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86F2CC-711F-4C03-84F1-1F14934C49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46FE602A-62E2-4822-AA68-7C92A73D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F102F7-9E35-4774-8089-1804852AEB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851DCD8-9556-4041-A256-16E6FF2FA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BD214-BB0E-4FC8-8174-8235A9293B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B82F6723-D634-4A20-AE86-B471F146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4750E5-4DF0-4EC0-8EAD-E2A7703665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9E9D88E-D9AE-4791-8DA5-BD9A553B5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DD8BFA-7790-414A-83A9-AA9D8F27A8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4CAA3B7-A0BE-4D08-8751-563A5C80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F0ACC6-3A83-4BE2-989F-2865733FAD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D397D286-9EEC-4695-9133-ECFDB4B1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E7E702-95A3-4038-A9F3-09F552ECEE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8719CDAB-C123-48B9-AAB5-BCA1B521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CE1D30-896F-4DF5-8204-D1C2AA588E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938A17F-8C2F-401C-AF7C-960442AC6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9B0E69-D75C-4409-8F3C-E59A3F541E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042DEF6E-E087-4F9E-8850-2EEE6F3A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0E9C82-FA75-486F-A42D-A9B77C7A53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335534FE-AB0B-48AB-90E7-280F17AC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38FBA8-A32C-49DB-8855-FDC2E889F5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0F757233-F1CF-41FB-9B8D-A9AC0232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1DA7F1-4374-482E-ABA7-D4FBB7EC56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DE9DA01-65F7-4685-B265-3D91081F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B7E5FB-E9C7-4249-A6D9-9100432773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61417FD5-8D0A-4B1B-B4E8-BF29D48D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CB58C0-9E70-42F6-8D34-B8917CD2E6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BD9FA74-CE02-41D6-9A36-AA7D7BA26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86C666-8A7D-4B38-97C6-F35376A127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FCBCC29C-57A9-47D7-9EB2-6B778B244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CFF835-4813-4B70-86F4-785216B678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3F182EBB-80FA-4B19-94ED-480FAE5A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F65215-59E3-405E-8915-844542639B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B5D98B7-7A78-4DF7-B380-76049A00A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DC6B0-5E33-4660-935C-A4473A96D0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116BAAD-03A1-4149-B0ED-3C2020BD8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2B1C25-52CD-42BC-9FA2-17A4EEB369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DA1D4C5-5AFC-484A-B31F-0D654F133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6FFB67-6DFB-4AB8-8503-7DAADC245D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31548AD-CB99-48A5-844A-F106A3BA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E15B8C-1341-4AE1-A81E-B1D4B32A3D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3B02E204-03A4-4D01-9FD8-2861A35C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F9A52C-8999-468D-8CD3-EEF03325B9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E5E4ADA-CC0F-4830-BE2D-16E8F9FA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599FD8-4FE7-4C9B-AF80-ECA3BA29A5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6437F94-E834-4D43-8C91-780D828F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850082-889D-4CD5-B807-846AA1DF92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BE4518EE-F1DE-49F2-90B2-23090B20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2579BC-426D-4A67-933A-B92B342465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AEBE6123-D9DA-4356-B461-90CA8B8F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2055F7-1C99-42F5-BB31-7B3254B731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B25DFA6-65BE-402F-BBC3-97AC4A9D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A24269-1894-4B58-A959-D7B9C640F7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DB9453F-9E30-49A6-A956-1CC498C6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59DF37-56EE-43D4-824A-7FE77919E5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6D9C36FA-7564-4047-9DD1-F1F11E2D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3D4D9A-3C03-4B2C-A376-A633DB8CAD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0D5F253-9BE8-4854-9534-8918D7E6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515C6-3515-4E0F-94FE-3729B2F6AD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C55BB7B-429A-4311-9525-C6441533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340302-FB8C-4B8C-B769-C57CBF50E7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C41F97A-F64F-43B8-9339-B7A26DC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272025-4B66-4F38-883D-23AD95A900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62105D4-9EE8-4727-B722-2A689AD4D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402039-4681-4712-A84F-A4A65E2B13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40460E25-3FCB-40A5-8AD9-4D5CDB41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556EA5-A25F-4E1B-956F-8491B19BA7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7DB5D213-2E9D-4BFD-A4CD-9AA1D994C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77AF14-70F4-481C-9145-4DD52B79C2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E42CAA17-57F2-4899-BD40-16C0FCCA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891541-D411-4312-98CF-76611651F7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6195F160-E83D-4CD1-BD83-6C9B9216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C8B17A-9198-4630-98AA-207659EF15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56E629C-64DD-472D-AEB3-4F24BE54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CE6371-3BDD-4A92-9397-5E766F8AA7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EF807E18-CB97-4475-A325-05D575A6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D2053B-6A92-43F1-B817-5D0390142E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6F357626-12B1-4C33-AF08-A25088C5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96E039-78BB-4F98-94E1-D7A26F439C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66CF23AD-B2D2-4291-A575-2E25C90E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554EDF-24B9-48A4-AE70-A1D92703F0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6D19990-A334-40D4-8D95-8FF80EA29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8FA4E-AF44-4CB0-AEB6-D9179FA30C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87ADB498-BBED-4310-981B-8A384731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57EFA9-2C84-4D06-BCC9-2BB1AE3F32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A8A7F2F2-3293-4505-B477-618E2822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E414DF-5B8E-4CC6-A25F-5B444A5B06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53BD87D-A22F-43B8-A5EA-0B97422EC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3CE1D3-A336-4945-B181-66A3179D7C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21D5D1D-B76E-4C4D-A3A6-8A2A2B12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5DC2D0-6A42-413D-BAAF-DBF915D338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803F5B6-ECEF-4C8F-B043-1A7042D1D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64EC9A-CB8F-42A1-B59C-AB6771BA74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4F8EB66-F287-4BCF-B4CB-36395DE05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D7F8AD-6BFF-4B0B-B815-93BA0E2527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2F61D72-BB92-4B78-A6E1-53725CC7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21E1F1-4990-4D13-AFFE-6958B0B278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127775B-5FB2-4311-82F4-08F23E19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082FC4-8D43-4AE4-9A51-B9F034A687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DBEF587-3322-4B70-8C48-BFAAA863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0F25C8-87CA-4B22-8ED3-C04E110A43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91AE3C2-CD60-4F49-A6D0-974ED63B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43B057-A303-4051-99DB-0D43AC2504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4A4E2A8D-83CB-4098-98F0-BE1EAA465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FD895-1AC2-4D48-9C51-C6F4696A68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DEF80D0D-9ADA-41AC-8298-E50722F2F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CD1606-42BB-44E4-914B-332EC51C22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E510C70F-0AEB-4432-876A-7508DD18D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B70240-18EB-48FE-800C-0325705F81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F727F243-B2EF-495F-ACA5-95074D81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EED8C-C9FA-4C24-B7A5-3BF662C10E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194DC2E-FCE5-4CF5-A162-4F0FE2A08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A355F-4FDD-43E4-9463-E32EB64FEC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821DF63-F330-4BB5-B19A-0772B2572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620B5A-A0E6-4F00-A2E0-CA51BC7327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31272F27-5B0B-4634-9237-23ED8825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BC6B3C-A9E4-4C0F-B119-EE70488121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D9338D9-5C85-4343-85D1-F9A516B3B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6F406F-C5D1-4209-9EAD-017F68E3B2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AB4F1FC-222B-42E8-8C15-AA79D994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87C52A-6089-41CE-9A51-F558CC897F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CAE72B8-8F2D-4B37-BD58-A32C7AAE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D1957-5E0F-4E2D-BDC0-45F09C2117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FEB28C8-C9B9-404A-A79E-F56C9F1AC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3472D4-32B4-4A02-8F0F-D629F8981A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C77B5280-317C-4051-A02F-757F95D9E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D83AD7-0F0E-41D8-9E1A-A893F4A776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44749AA4-D253-46DE-9EEA-0196E693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372AC0-0AE5-4414-888A-413BB058DE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6C3A84E7-A463-4E57-8B4A-D6D9C521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3AEA52-2CEF-4D68-B228-226661B69F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62AAF1E-8A8B-48DD-9217-BD47FD5A0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59F55-7C74-4B64-A142-B6B2600265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47EAD58-66E2-42A3-85B7-409826459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30E112-BB97-46C7-9FBC-AEA8BCEDB3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65B260D-EBC1-47F0-9DA2-DF390436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A233A0-9C81-41A6-8AF4-7D77204FEA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B2FB0B45-90E9-4E33-A789-F30D166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44B384-1463-472C-B6A3-E40015CE65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7D7C39DE-BAC4-4FAC-A04C-B39DBF079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023BC-1B7B-44AC-85F2-8362D62463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67E8A14-2B60-4CFA-89F0-83D9CF2EC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F563E5-1C30-48F3-8E7E-7688A3D3B6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00FA4D68-D37C-4FF7-95CC-DEEC9930D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D6215C-CD92-4E02-9C6E-E0212FD2A2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717CD2CB-2F05-408D-8E40-97A482FB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9B7244-CE12-4096-BD1C-64F6EEEDE1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814DF03E-C81F-4BD4-A39C-A48F3E280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68DED0-118F-4880-911C-E75C994891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52E90196-9490-4DFC-9129-6713AB5F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044E68-A8B5-499F-83DF-24CDF9AE66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3DB5E43-FFAA-45E5-8114-6330CC44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0699BF-D556-401B-9B8A-5E98CA8FE2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3E91234-714D-4437-A5E3-01BAFFF0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C81FB7-9FE1-4117-8634-DA86F94237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C20E593-4A3D-45E1-B8AB-3A97253C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6E1D6A-47C0-4D18-A6DE-ED6227EC32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C19D83F-E944-4322-A8DC-F3C338A1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DFCB58-EA8B-40AE-8076-F00C0C14B4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4CB3DEDB-53A2-4A60-A321-C8A05DCBB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52C442-4095-4F55-98CD-E371A75CF1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2A2AE10B-F62F-4DC1-B113-D4EA4049C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4FA61B-3E0F-42E0-BF3B-D6CADE87AA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7983E4C-58D8-410C-829A-557A17A8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D77AC2-0C6C-4D8A-90BE-E5905BF0B8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3EE46E5-A754-4037-8923-B42674B4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ACB731-6761-4276-9321-75BF17B898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E68F02B-DC65-44A7-AD26-78D70508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2C094A-2C8C-48DB-ACEB-1B81D846A5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04D9011-AB53-4E38-ABDD-CEBAF3BB5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7674EE-1925-4F56-BC6E-B8F63CE3DE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3F755A4-4D75-4010-9E89-2958AF72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836678-B210-40A0-BC8E-80AF1FCECB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8FC83F49-95D7-4817-9971-4FFAB252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ADD513-6290-4A30-813E-9C8AAACDB2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51FFCF12-AD7B-4DE5-82FE-DEE7942D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79CF7-EA5D-4897-95A8-149FB942DF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1CD81181-649B-41D2-AE40-49880022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773443-3A42-4CA0-844A-B1BFBF5C3B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17E76444-6FA1-4273-ABD9-5B0DB86C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DF6AA3-B548-451F-B796-D5004A2913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511F9C80-672B-401A-A837-20AD85E1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5518BB-C46C-4D33-9775-4EC7725E4E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969CD3A-446B-4FE3-AEB7-D405B01D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02B0F8-B420-4ACD-B5A1-2B2DBA4B63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F1A9DA94-CC0B-4090-8A8E-796CC8F0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B6ABCD-BDD4-4238-BFD8-8DE407EB39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1E7BB98-EE94-47B8-A42E-6126A0622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BD7CDF-D369-416D-87EB-6417E78C56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C8C6795E-3ECC-4036-A93B-9D8A0092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71CBCD-24FD-4830-8C97-72A4D10C71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EBE4D73-AAA7-4FE4-A52F-C1C99DA6C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65A0F7-1EC8-48E8-80CA-FEA31722F2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9C55EF20-532E-4CC8-88A5-118EB5F96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DCF636-CF73-4BF9-9820-DB10007C8E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2DCACB5-89FD-40AB-AE6A-3787D75A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8269C-DDC9-48B1-AA48-A32571F90E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662E0B2-14CA-4C9E-AAC1-B42CF7D02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D4961A-C1D2-49FA-88F6-4C93991AF5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DBC51684-381B-4C74-8107-187F76EB1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C74440-DBA7-425B-869C-F60539AEB4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CE4F8B0-578C-4197-8E0C-8F5A4E0D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CFA2C9-3BA7-4FC4-BAD4-B91E602826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A6B9971-4378-45A6-A9A8-F8AD5AC8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BFEC00-EC57-4BB9-B214-6F14A274FB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46708838-C243-440A-89D7-2FAB333C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84AC11-FBB4-41B4-BD0E-8C02AF2F8D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9E491321-2C86-4EE7-B7D9-DF7E92EF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486BFB-975C-45D1-802E-9255C00726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3316CDA-A8C8-4417-BD74-C43BD6B31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D4B587-6BD7-4D71-AB1D-AB78AF131B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4EEB8E40-9566-44B6-B036-06C8F8C74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A8822-F09A-4098-9AF0-57394C35A1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C29B736-A92A-4168-97AF-621D8D0CE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5BCAC7-C8D7-44CB-9942-98D283CD5C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79D8EA1-5AB5-4319-B513-3922E88E9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506DD8-DC73-45A7-93BB-3312E07F12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ABB5E4F1-C660-41B6-9203-EA2C481A8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C6F891-F53A-4DBA-8024-3DBBD86217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3A04CD5C-81CD-450F-B4BD-915668466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6D3B64-B065-4086-A375-60068E8F2A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E26031B5-D7AB-40D4-BDCF-92B55EA0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F675A4-5039-4ACD-A42E-DBA552CE69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A67AACC-8CEA-48FD-8983-31A2CEE1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0FDDB2-E807-4EDE-B78D-B6AC9B5038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8F145F8F-3667-460E-A214-FB8EF4C41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AD222-B3CE-4F2A-8DEE-12741D94F5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0F10C94-94F3-404F-AF07-A4457341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2C0A25-3496-4493-93F6-CD5965F3D7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D0AF0816-C183-4EC1-BC1E-793B0D16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455D69-9A96-45D5-A21A-4A2AF8F54E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B50C0EE2-4C8D-44E3-B14F-F2A276E8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ED672-A6C2-48F8-ABCD-96C66DB976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A022298C-420A-484E-9694-F8C26C66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ED2654-BC2F-4D7D-8EDA-476EF9238C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9A03B106-199F-4F8D-A9EF-A9B09776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AB665D-6BE3-48ED-9886-F00F60F71E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21C0444-D639-4CD4-A734-0FC76504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A58D97-38FD-4F53-A4F2-8CF0B4BE62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F53B9581-BFD3-4B88-A0C6-9754D76A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61EC03-CE8D-401B-8A8D-86BDB5C5E7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031B417-131F-4395-A0FF-275A7F24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05D224-DB35-4E51-8722-E1AAB5D2C1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53FE410-4BE2-4D0D-A51C-5F6AA3147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7E1B08-4712-4964-8549-229BB2B22E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F31AB4CF-4B91-4558-A073-6E6CD6939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30974B-809F-4B00-8E4C-8E59D2EB1C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E868DC3-92BA-4D32-AA45-B3310A513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75A2F3-8059-4C8A-A8A0-30BDE74D97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0CF318C-A90D-4E9A-9EA7-D46708C56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0497C6-8B78-4529-BD15-16D2AD391B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8FE4390-40A4-4662-BD45-D224C1B9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F49D75-447C-47C7-9529-1C60BCAD74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0228822-92A7-4B60-BB61-4D02A7DC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96C689-D0EE-4F4C-B771-6795CE3225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66E972B-AEF0-4F51-AD3E-72A8D70A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4787CD-618A-4B27-AC0A-DB3044FF90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1033A1F-E651-4A5A-8E3B-7BB18D28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2313EE-760B-480B-9B7C-927E0DAA56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BDD8A14-397C-48F8-87C1-C4EA9DDF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1B9C74-ADF5-4BE5-8FA3-09176377BF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7B099D6-57FA-48A9-9440-E1E77380C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C987F1-1C13-49BC-8BE3-54DB724731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0D663AD-5E40-48B2-9983-C018115FC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938D59-E122-4749-8B0B-6AF30434DE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49148786-7443-42A0-8356-B71EB61E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0CA7B0-B7AE-4BF5-9D26-B17A9F5A9C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91D602E-BB05-46CF-AE00-72A96AA7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25521A-AEDB-4841-847D-B727CAC5E6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2B843707-4C83-4241-AB4A-02A433A8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7A02DF-FBCA-48B0-BBA5-9BDC18D02B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567A1DD3-A1F3-460C-9995-DB484ACEF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B1724-FD5A-4E6F-B40C-D41DDEB322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A1D5883-7CDC-45D8-8A3F-0AB0DCEF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A2B959-B88D-479F-B3E3-624156CC17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19AA5DB-EB92-4C18-8DE2-82BD2310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F9F8CA-70BA-48EC-BF3E-B6F4305A7D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E28AD19B-3BDD-486F-AAFD-FF657D47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30182D-DF0D-45BB-98C4-73D1F5A3E5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03CAB49-A774-448E-8790-B2AA32C52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775971-125A-412D-BE31-214C766B26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92BE46D0-29AD-4566-8A11-53D6A3ABD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0A5247-CBA1-4965-8125-F3FC2DCB65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4962D8F-6ACF-441B-B8A9-D89F14E1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F9A8A5-AAC6-4546-9396-7CBE9DFEB9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5CA6FCE6-1185-464B-A81E-23C8221D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0A37A0-F5F3-4D22-836E-5DD959D53C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9564A6B-0EAB-45DE-AC14-553E03B43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B69D75-F255-4639-8D6D-3CDB876E80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2AB0846F-28A7-4C62-A416-C8C49D52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1B51DE-28FC-4CCE-B0DA-9E0D4E5100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208C70CF-94C9-49FE-8AC4-D773C8C29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1CD08E-A326-468F-98D4-5A59AC6743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72B96D1-8198-45FD-9444-549EDAEB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F56410-E066-4D58-AB07-6DD6544B1A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D13894C1-0334-40D4-944E-618D1A71A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B8ECF1-EAE7-4975-8723-0E5C1E538C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10BA9CB-9FC8-4365-A78D-7FC45B372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334A7B-1F27-42D4-A27B-EA3B5D71EC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E2E10F58-54DE-4980-A96B-F3552469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0FFF1F-2045-4836-9BE5-E463F80122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53ABBA9-E9E7-4359-93AB-58A4CE6EE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394A97-DC0F-44C6-8C7B-485EB77C00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030F1B1-0A49-4636-8035-69072990D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6B53A-F268-450D-8446-1546CE6206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28DD8E7-FB84-4281-B660-4EB62E1B0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76E173-EFEE-46DC-BF43-897D9CA0D0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6A8DCA3-9C01-4778-81D4-66084CE90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5603DA-126F-4ACB-9993-AE78C4E11E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C3E73E36-03FC-4560-9F2B-8D936B08D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7618ED-F23D-4C6B-8C2B-F09838C181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590CA620-1005-4248-A9BB-59DA5BA9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E22EF-3805-4E15-BE3E-DD2019BB95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2711E36-94C6-448E-878B-42BB286D7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34CB03-E8FE-426C-B81D-54FE4177EB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2D0944EA-BE7C-4A0E-867B-4894F2F3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D393E1-A5CF-43AE-82AE-9CDE9850EF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5D0780D-5774-4542-BD1F-D5D59F06F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963574-9C17-407F-944A-52D2716265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94F40F7F-78B9-49F8-B4A8-2B2EC1FD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B03DF3-A016-4D31-894D-BA4B890F0C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3921941-4ADB-49E0-A7E2-9A302EAE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134B61-7C26-40BC-826D-68B6EFD029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C57C01F-19A7-43DE-BE0B-674321787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3FE863-AD0A-469D-B22D-180B4B2F7B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C5D49E66-8695-42D0-A700-725A604CB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9E85E9-4111-4D13-ADDD-DD21EAA780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77D05277-409B-4333-9E70-CCB1789A1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76A62-7D9C-4F3B-8587-3FE2FC9234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38DE0071-3018-4AAF-B414-89CE74CA1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DAC246-2314-4B5D-837A-BC2E8F9160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8680F983-E62E-4A51-BEE9-E121A1669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EACC00-69B6-4D90-87D2-F86C542C92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4AC16D3F-6BEB-4170-9F92-F6A37ED05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EA9263-6086-4DA4-8D15-A27656AAED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8F1A3D9-6ED5-4742-95BB-3390152E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38B1D7-A457-4C63-B986-768E16A0A2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4B4AD7E4-81EB-4A1D-972C-A09E33B6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AA40AD-FC0C-4DA2-8375-01FC84866E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7B7C6449-2DE6-4C35-80AF-911D66C4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B101B9-DEA0-444F-BBC4-90BB10FBD2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CDE74768-4204-4BF8-9DAC-431C253B0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F3E44-1E5D-47C9-9816-534F2B9183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030B1C39-777E-47AB-8AC0-9AB65A96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B1D9B3-F0BC-46B0-9A73-3E566C5733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FD74900E-7EDA-41F6-8973-D5281CA6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C89CA9-5B65-4FD6-92E0-73A2D1115A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43733A69-00CD-43ED-AC5B-12D6C1D0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669E7F-146D-4DA7-A80B-B931AF3F7D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EE57E4FF-ACA4-4047-8A39-4556D417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5FC813-8D00-452F-BEBA-F9BF41365A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B4B35419-64B9-442B-8B51-D37517BC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F734FD-8692-46B0-B122-8D20B9B1F7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A71E4A4-3FD9-4C3A-876B-1F78C262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CFDD86-22C8-499E-A60A-04388F8A12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B9A6F010-2E25-4424-928D-20E624947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701BF7-E68D-4CF9-BA86-A747D4A48C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B04214E-EFF4-47CF-9A00-533107A89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AB8B7B-ED7E-4E5E-BD71-E9812E739A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810A40E-9D78-4164-BEF4-396D4E518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CC41CD-ED99-470C-9821-4A22CD358F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A570B57-1EEC-4680-9CF6-401D23175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9BF76-2DEA-4522-A217-976139548E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8E5FD0C-AF95-42AF-84F3-B0706163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8B1BBC-2706-471E-BEE4-5BCD729AC9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541548E-3BA8-47E2-A4BA-475119AC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E998F9-7F45-4B77-A9BB-85EDEE474E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7F966EA8-4469-4716-A0B1-9ED6FD2C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F2ECA9-2587-444A-BD4E-6EC65B0A8D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01F3B8DB-1E93-4A71-B458-DFA556A5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2DFFF7-AE8C-4724-91DC-DE73A7D3C9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4C83435-ABFF-4FDA-BA9E-DE2976D3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F1653A-F513-45D1-9EFF-ED54FCDE8A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479D2D08-44C6-499F-8FC1-91E954FB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8DF0A7-3BA4-410B-9EFE-AD5B70F6E9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C3FB593-7B62-4492-81CD-4F689F81D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8F3CE3-B3A7-40FA-8285-12E21ABEFA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431BC9F-DCDB-4A76-A4F0-FC34F96F5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2B898C-A793-4FFE-9710-60403CACC7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AB1B6718-7937-4268-A479-3BDCAC86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A8884B-55B3-4389-8DAC-70FB0BE2BC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359E70B5-E1B9-4B7F-95D1-B6E7BFD6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456CF5-08BC-45B9-86CC-EFA7B0EF95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C8C48A1C-8E53-4626-997A-E7FCAB22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BB58DF-9BA1-4E65-A562-4912AE52D9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6BE1DB2F-154B-403C-BE99-260F048B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9EA7BB-34BF-4720-ABDE-910280B212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D50646C9-11EF-4A99-89C1-3BA55928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C201D-7B8C-45DA-9F94-A3D613220A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0B07ED94-CCC2-4F51-A53A-268480D48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7BAF57-1FE5-4892-AB0A-F36DAF42A4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C10D9C9C-AD64-4595-B6D2-FAE4A883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0173F8-9BF4-4164-BB6D-5A95215B8D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7BD32B65-4109-49DC-AC40-4B2E2F6F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55E22A-5F8A-4C4F-9A81-D3E1F70D8F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1E8E5ADF-9838-4CF0-A882-87D5171C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1145AC-34D2-4003-A695-D8E6519B06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B76B912E-C4EA-4936-B2B1-B4731CA7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067C86-FFC0-470D-A07A-8C8C1B2301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41603942-C3A0-4A0D-AA1A-862BC4B5A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162F77-37A6-4D9E-B269-40F78D7037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78274E7-B296-46E2-8A0B-7D5C8BC7F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267AB1-0E83-4820-89E7-30F3D9E73D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9F02CD73-88A0-4517-9D2A-2A65ECCD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33359-9681-4299-8E86-B8C7034323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894B50EC-5479-4079-895D-0FCA15D8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6961A2-04DF-4848-904C-6861311F71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AF434A65-6A56-4397-8E61-E5C2A321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3C1B05-5218-4E4B-BF0C-8092886CBF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039EB20-106F-4D05-8A70-3808DC2A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1A9849-EC73-44F4-A60C-E2FFE8D0BB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7D677B9-3F5C-453D-B14E-10526F3C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00E49F-6EAF-4137-9E80-556BF72AF6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9AB99CAD-7269-4AB0-B432-9D7F6FF21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8CF3B5-E306-4E7E-A87D-1183085926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F9014A9-8342-4CAB-93E1-C046F2AC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C4E07F-0505-4116-B5BF-5A7B1132F5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883A93B4-47EA-41A7-8DB4-1146D65B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9F36A8-C913-415C-9708-345ADA874E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12A7E51F-DFD8-45CC-96ED-6FFE2A7F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7BF23F-C30C-49FD-BCF3-12600FF348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65F8B64-09A1-4BCA-9182-9424B3E7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7A08C8-2253-4E4C-ABDF-BA5D9CBB75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5610C76-B5C3-4960-B4F7-EC76EBF1E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86FDCC-9196-4933-9C8B-2A0119BA03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D614D588-27DE-417D-9325-41C945FD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9283F4-B873-4DE7-BB9C-79D762C1F7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F44BAF1F-4381-4700-86A5-1E45BE64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43651E-BE63-4CBB-BD06-8D939336E9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21E6FD8-5F0E-41CA-A0BD-C3030D97B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3E2B07-BD95-40E2-AD83-1BC349AE4D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E02F53E-293F-4431-89D8-3C68AC440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026784-3A44-466D-9AE3-EF8EF79C38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4DE5F18-FEC5-485A-A1EC-91B46013A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2D71B6-977E-43E5-A649-66E8BE1E14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F9766C8-4491-44B6-B0CD-6CCBAD3F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6A0B07-3A68-497B-9CCF-B267805E62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C813313-3FAA-4DCF-80DC-D015CF78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948F2B-8FF6-4670-906A-BBC6389FA9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AA9EED54-6059-411F-BFCC-9A0820FA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6B2299-9245-4166-9A32-514ED6817A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C8B511B-43B4-4834-A76A-484C873D3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DD20AF-86CC-49E6-8D57-EFB0795C02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24C98EF-2D82-40E8-8F38-6E0D40AFB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75E48A-1FAE-4F5E-A61E-A2F543FF39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C0721B29-8449-478E-A9B5-C42D99315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14F344-ED70-4F6A-B96F-1EC2CE0CE4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8190FBCC-2586-4E6A-8962-BD429B5F2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9C842-AEF6-40F0-B48F-2183E3AF14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2C196203-6852-4D53-B251-C36D877BF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5B0AC2-D21B-4DEE-B430-F91A5DDE09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C4ABF16-54F2-4749-BFE8-107F0A18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1854C0-A172-41DB-B435-7EDF1641FB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58A7108D-A43B-4A5F-AE82-C64C3EF5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DD967E-947B-4946-A8DD-6333FE6F25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6A59397-1C94-44CD-A3F5-44C893EFF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0DF940-C041-4362-B702-6ACCC87DEB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F8F1403E-C476-416E-A6F5-8A225D79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88156D-0261-410C-8814-E86B7E7A52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8905565-605E-4C94-8981-1A5AD8E2F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3AC945-A44B-4C2D-8874-9DE2B7C7EB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D91D0B4C-6AFE-4DEF-88F0-D11CD5DD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194C9C-EECB-481A-8950-35BB22CD11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BDC638A0-0594-402F-8DC7-63C7F20B0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4DDEC0-3F11-484D-ABBE-E2AEF88CA6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8F3E6CB3-3C80-46D9-B43A-76C8F9F5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287FEA-F538-409E-961E-E5B99B69FC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CD2B8289-3B15-433C-B298-BA010F630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520C0D-4CF9-4698-94D4-E59AAE25C0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716A4C0B-7036-423C-8965-4B96A207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50FF38-E857-4BA1-B45A-31E7B21599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61CA77DB-FBA1-4ABA-AD40-38F509D5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291A1D-233A-4C7A-9F57-BB9800AF5A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9A9FBCFE-4B4E-4A89-A4B3-DFF8AAA44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1D3A59-9A86-41C7-9FA4-2A7AF5819A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A2E8831-4530-4627-A884-0428E4E7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106C65-3514-4B86-A1DA-F19DD54698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09964412-C75B-4B82-B93F-B666E93C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1CA426-A9BA-4EB2-8344-AE71209120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362229D-728E-4799-B46D-26BBA3576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151C21-233E-47D0-A9EF-89E900B620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93BA5F5-120F-4385-8297-49342E75C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5BEA41-F4B3-45F8-B1F7-B935483D2F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C903D7F-E882-4F97-A13B-B5368513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C9C8C-022C-4688-846D-D4A25A452A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AF14D00-D99B-4601-BC6B-57547192D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811415-1E2C-403C-AFDD-B81EB4B2DA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5F0EFFA-6DE8-46C8-9788-A35F473D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64017C-61F9-43E9-96C8-41347F768D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453D0C9-5125-45A7-BFBE-43CA93871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5AD5D3-8FD9-438C-8814-227D3BDB2E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7F62BD36-64F2-4DBC-86EE-908FC9891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93FAA5-A955-4462-A167-CAB3EA701C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57F564E-02C2-4FD6-8F75-A21395DB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0276EB-2206-404F-8A8C-6B9C37313F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A5D5E267-07FC-4166-9E42-D2E4E75B6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79A36F-019D-4074-8F32-4C99400829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07FA67E-7FD0-478B-B684-192552C8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9FA5FA-2357-420D-8843-FF0C45A189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BFC4A8D-FD4F-4995-919D-26350C581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9C568-9D01-4C39-91ED-785D8BD28A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A28D033E-1258-4739-9314-A926963BC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4B020C-4476-4548-A390-68281BEE9A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8B641F22-FCE0-4BC7-8265-26947956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85011A-9457-409B-97EB-3B9DE0E18E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0B03BDB6-24F6-4A40-8448-5E33DD2A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321020-AA6C-40EA-B40E-CAC33537FD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611AB9CE-90B5-42BB-9A5A-A6ACEB2C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5EDDA7-0754-49CD-9A96-105540DE05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682BDC6-5396-4D35-8F95-0361A8D0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6CB02C-F73F-42A7-B890-1369555020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0DC0926-DBA5-4FF1-AACC-341EE47D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CA0DF1-8052-4743-AE49-C5405D7D17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81188E4F-3A08-49A5-B45F-B7EB742A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20E7CF-6239-4FB7-85F0-44E238B4DA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4E909F57-6745-4651-9F61-D37EC0BA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ECFA08-CC17-4323-99F2-CDBD9BBEEF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FEECCC3-E72D-4018-9C40-C156044B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19D013-F59D-42D3-9EC4-93EF2F6973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F37ABE62-3D17-4EE5-AA67-87EF4FC53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7D0AC7-E096-4A52-A4A6-6BC9A24A35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12116F8-5A39-4447-93D9-81E12ADE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A685B1-CFAF-4777-B058-D8E6AE7B31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0CD5E86-A90E-4E65-8157-7870A8915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D0C221-9DEC-4B63-A59C-F8BFECB4E6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A8A30357-FF0F-4842-BDD7-D55FEC08A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2D7E3F-28EA-4A66-9EB0-50B35F15D8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05FC1B4-BE35-4CA0-8410-8E7B73464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0F1F0-9E6C-4AF5-8402-D7F8CCB87C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2826583F-CE2C-497F-9EAB-426BE83F9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B882F5-8C33-4DED-B555-7893C02F47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727A384-38FC-4F14-A61B-B859E422F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1C9C2B-947C-4CD4-A0F5-7E4650E0A4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22B1C075-F9E0-4E75-BA69-1EF8858C8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766E53-E7DE-4B8D-98A3-3DE04E34C7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1DA450F3-FA4E-4312-A320-EC484BC83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94A896-BA33-46B6-AF6A-7AC0C5EE52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B852B05D-9A4A-48CA-8BAA-62450FDED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A48917-E6BA-4799-9958-D93B13D5EC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6DAB759-2924-48B2-9923-2101FCF5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5F514E-32A9-4124-BB4A-06EF9FEC4E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C2F56930-B0A8-48D5-A4AF-6A6CE392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61676-0657-4822-B8FF-6A0613EE0F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B7C0111-870C-4C2A-AC9C-8A879986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D52733-C70C-471C-809B-E0BB3CC50E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24DB904-DF90-473F-9BF6-C883E2C3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82EC61-0DA2-48DF-A62B-3CEC014129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CE2DF91-ED5F-450F-8183-C787FD403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27778-A84F-4392-8B15-1057A7B294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1C5A32B-D0BA-44E1-9948-4BCBBFD1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14CA6A-D8DD-410E-B71E-4EA00943FC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D4040A5E-DDD0-45C6-9472-9C410BCD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3EFA90-9D79-4A12-8AB2-30E876C12E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4A6F85A-6077-4DFD-869F-660EF21E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FE54BE-EB53-4D8C-B75D-9212B1FEAB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12F23A2-1D07-4519-B2E8-E7077358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BC7905-55BB-4441-8C0C-90E4B2BB74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92963DD-C9AC-4A32-8C01-41666C21A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FEEE1E-C73A-4FA9-8810-3F3730F19B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A9AE96A5-FA0A-452E-8A19-B1FDCEFC5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769801-CF49-4A03-91EA-5EB721AE18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C67F846A-170B-49CE-AFEB-8FC0BCFE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4C6A0E-B04B-4339-A433-22B8415EF6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D56D061-8AD1-4BC6-B818-EA071536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12A7A8-EC45-4EB7-B09E-84A8A35386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380435B-08A6-44AA-8D86-F6F0CC0FD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551DB9-DE41-4E00-98C8-AFDF53A445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79463A60-6738-4EF7-A670-DA66B765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69CC04-F5BC-412F-996B-8538E9F5AB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CAD5296-3674-4492-B239-C8F520AD8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F43279-1685-429F-93EA-E7C7C5A8F2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0899842-2090-4874-97D4-CC17C8BE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1C3F8D-D4A0-4764-BF12-2A4FB6FF90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B41F6E37-4BE1-4965-8325-3A25F7BB4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0458B4-3930-43F2-90BF-E7026B0061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317497E-05B3-417A-95F3-2AC419A1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67ED98-4F59-4357-805E-B231047553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30FD353-6580-4C0B-8237-67FCE700B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ED1A1D-958E-40C1-B1CC-F7D6EF40E1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95F24873-8782-4D48-9DB8-52115C05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843AE4-DD6A-4C41-8226-7C78C6E503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0E71EC5-3EBE-4177-92E5-DC2AF8310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39BCD4-5635-453E-A500-6894E56B06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60BB733-29EA-4E0F-9EF7-8DA37474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43D881-44D9-475E-91F3-1D364C7845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50C6E981-8217-420D-BE4C-68DB65D5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705479-6D5D-4265-8801-AFA0642C82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3DCF9EAC-2590-4901-91FA-21E81E73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120416-906D-438B-87AD-A2D22F23D5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D7B247D-D2AC-4EBB-A1C7-64E965E0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82CBC9-20E3-430D-B635-C85E051B12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CFF2EB44-5EA2-4586-8793-906BACA8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EF6576-059D-4ADE-893F-5BA0C9AB7F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F5DAAC51-1AA1-4323-BECE-146EC0E1F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DE0876-C89E-466C-AC38-1BC7ED4F84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C04257AF-9A44-4906-9C33-74B5F2AA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608C8B-50AE-4DD9-8E11-CDDCBDF80A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647E705-74A8-4C4D-81D5-B024BA90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24DAB4-68FA-4530-8298-6F8C7A2AFF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FFB8A9F2-2982-49B0-A3C7-F4FE8F8AB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FF5F19-EB70-4B50-A425-1B8FEB3997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000ED250-2233-429E-8551-BADC80C0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C4033A-58E9-4588-B3AD-FAF545E621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2774424-66F9-43B7-A190-6E728B5C0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2169E5-A92B-4709-BC66-49A3D9F558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474F6691-63A4-469A-9E76-35EA4AC71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9E852C-5285-436D-B7D5-9A3B517722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B0272551-5BD9-4D98-927A-E14F8B81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311721-9715-44BB-86D8-03A2FFB3C6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25954105-ECFB-4316-8CB4-BC6693BD5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D96CFB-BB40-4E9D-9A78-C5E471A645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A491369-68D8-4B68-82EA-3A43F4763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8343CA-5C18-4FFC-AE01-EDC792A5F3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DC7A3EEF-6576-41B3-9962-E3DAFDB45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6075F1-9533-4F7A-85C1-EA38804FA3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5893F1D-0B2F-4761-8525-5432EE464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1BF79B-5A47-4682-92B2-8153321027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89196B0A-EFB0-4348-827F-D21F6124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E0D917-824F-4A58-A3F7-502EF2D8FD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A853184-7961-4CE9-A839-569C9FC5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7FB624-075A-4BE8-89D1-5B074F5EE0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B9D354E-C3C5-4EAA-B152-94BBAA93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BAD86D-84DF-4D81-B3AC-3996EED76A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9734995-D35F-463D-A890-C1D1EE6A7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23F42-DF27-45EB-9AED-2C42747AA9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BD980D59-F622-4173-BCD1-58CF50AF2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997E9A-4F80-4580-B4BF-B93A3C48E8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A1090048-A865-4784-B99B-ACE0B2B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894E2-B492-401F-B351-E017F9A3C0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ABB1988-B09C-439E-8365-BEEEA0A9F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00D308-ADB7-45AE-B028-64878644FB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7B45C7B-CB9B-40B3-AD65-6C848D62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3F3664-F9D3-4A2E-A29C-54F56570C0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3431E30-0384-402C-99BE-8A41B534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34C4E9-813D-4E15-8E49-60C0763AF0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12818ED-95DE-41C1-B8D2-AE621642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8662AB-B61B-41FA-A22F-FECF4F7ECA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B4BDF0C-8991-4C71-84F1-AA6AFC7B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EE8D63-698F-4536-8862-5EE7865D1A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4632737-6656-4233-86D9-D4C541E6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334A7E-B2F4-49FD-86EA-9E023BEB79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7F3B7983-BB06-47CE-BCDE-BA7795BA0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EA34F1-E0C6-4443-90CD-8103734764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CD96EBF8-AF4A-4B3D-A23E-12228FD3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0A85D2-924F-4EE0-888C-729C60135E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C0D860F5-8FF6-46F7-9E8B-29080082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5969AD-A487-484D-A732-476E1D3614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89C9FDF5-BB49-4BAB-8FB2-425EADF6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A70961-1BD1-4437-ADE1-9420269E91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57E513ED-1F28-438B-ABCB-583AA5769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79F071-399D-4350-AB6C-9A9165AB59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CBE2099E-1904-4175-9097-EC3791AD9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7C908C-3837-4AF4-BB52-77E7D035F2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AEAA751C-2810-4EB0-BFAF-5EAC7C3E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164339-3DC7-4ACB-9F69-E2748C9392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76BA0E05-80EA-4593-8927-D1B90A16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D2C655-94E2-45A0-BF3D-55C9643B19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13B8260-AD11-4780-AE35-59AFBFFDF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C6A95E-F06D-40F3-A0A9-CED2792270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810AB98B-FDC5-4CCD-A7F6-7081984D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01DC1B-7797-4672-A299-ADB20DDD5D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195CA22-7754-48E5-BA65-9AC3D0784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EA531-DDE3-4C65-8F30-E919D64188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C1F5AA4D-C585-4381-92D8-AF170A90F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3BB2C3-4936-4BBC-B562-E77A296AD3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515875B-D7EA-4EC4-8A70-D5C531FC6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E5A6E4-9692-46F3-9335-FB61C2BDA0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BE06E7CD-E993-4F7A-81A2-936E993E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403E55-3FF9-4A57-A663-DD0606810B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CB415ADE-089D-440D-89BE-41FA82FD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B6F732-8230-4434-BA5F-54E6019803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C5CE71B4-7C48-4AA4-9838-45BD6B15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CAB66-7842-4787-AAE1-6DDAE6F108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7153630F-ED83-4669-A5DA-C9202CB1B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6C16B-1C96-46D1-8167-26FCB2EC42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F0EAE1E6-FCBA-4148-9486-F9801E6C7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4C5AC-E96C-4DBE-A3FC-1F823EE40E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CE027434-4CBA-4A8A-B32D-47644396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DB0467-5FFE-471B-B6DD-73EDC87590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50C0481-4DEA-429C-8A97-91CF7DD6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1C5C96-11BF-4FFC-AA2E-DE8DC3DEFE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60F0096-149E-4283-988F-9F3BD826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A18142-B97E-43FC-BCC8-65B7880082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CA2EBEA-22BF-4C83-BE85-A2439EC4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EDF007-5053-4F7E-B2FF-D5C8B08A86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02855D6-8323-4E5B-A02A-8002CCAF8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2F6F65-0860-438C-A287-5D9C4CC8F9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3682C3E-2141-4D77-93BF-0787D5A18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4DCC2B-54FD-4E84-A74E-CAC11E83B1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2F08314-A748-420F-9939-95CC8DC1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FBA7E2-5138-4B00-B33F-5536CAA06A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9DB5E421-AD65-4311-A2CD-83C20A63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3CDF5D-5317-4223-8871-1E776E7DDD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C0E6D1B5-8CB7-4441-8386-676E79B8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144AD-66B8-4C47-93A1-D3BB80BD39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59068D2-D7FA-4384-BDA9-EE10D1E09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C79EA-A31C-4A6E-8A07-1CE53AD926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96D9B05-26A8-45F6-93AF-003F3AA8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0EDF37-447C-4A5F-A6C1-6708B2809D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E070482-36A8-4DF5-A7C1-D1432A75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425BED-8872-40E4-890A-5F97E4A44B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2D2ECDB-DD28-4617-8471-F2840E0D8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5B5DCD-1E4C-431A-A181-D800B66A83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787CE4D-4A8F-4E11-82D7-E844C3FA8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06A27-A308-4BAB-9B57-A90B3CC06E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863E79D3-394D-4B9E-A95A-E8C371F0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7A0965-6E0B-44B7-9909-A5F8F8DD36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20540FC-AA90-44C7-8F59-95B814C8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EA1C87-4BD6-44F3-956E-63A5C4452B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CC85AAD8-8FC9-4440-9241-B000C6791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429954-BA7C-41D5-A639-235FDAC67E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8DE2508-17D4-48BC-AA5D-78F5BFC1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850D58-0BC4-43D7-9552-9D01E65FF0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5DC3E3D3-F75A-4D33-8D11-EFABD831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CE01F6-85A9-43BB-AA5E-A5974FFD36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81B28ED4-9432-44B5-AEAE-DAD8016CD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73FF9-450C-45A5-9BC3-D2642642E0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5D24AF2-EBEE-463B-8060-0389BB321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79DBD-4E9E-46CB-96F3-2E4096DB37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3CDE006-9C68-4749-872C-42F32E1D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E97770-04F8-4AAE-8537-B974A63D5E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EF18CE0-85B6-4535-AD6C-BE20703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894772-4010-49B6-82F0-74E92D553A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E2BE4FF-F415-4F33-A143-36D36CA8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D206EC-98AE-42C8-9F03-F80C933132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40C6D927-8E86-4389-AD53-C201A269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A6DB75-AA37-42D6-A7C1-199C976F26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105C7F9D-6F0F-462E-A11B-7792301B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9B0714-7A80-4EF3-974C-582721F48E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6D65513-9594-4516-9C6F-585513DCA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17F026-1FB6-40B8-8485-A16926BE15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267DDCA-2150-44E9-A831-ECA47F3B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18F1DD-B349-4DD9-9950-72C96C25E5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9AE4D5D-9268-40B3-BBC7-5C63D373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E5B1B2-D042-4457-B206-BE1C954F4F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21CD1395-D245-421F-B490-0B0287C0B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D1E9EA-8F6B-411F-A610-F19899D6E4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1278189E-5385-468C-B652-4AAD59200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10957F-B3C3-4C0B-A807-32B0126147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968F41D-76D5-4ACA-9682-74CD3D5A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F82B6B-D914-440E-9379-209FD95FFF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676C57A-4382-429D-AF2C-E2FB5DF7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927088-60A6-4FFD-B534-AAA13F9A54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0175A8B5-A8DF-4E9E-A9D6-B3170317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248656-E827-4CA3-BBB7-D5DE6058AD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E3AF303B-4E36-490F-B583-6B0B1D29D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BE4FB0-4AA2-4A51-9193-ABCD4F9B1B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73EBDB4-7321-4D3D-A768-E26C4BCB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D8BDBD-2A92-4B96-8752-E257E63B13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1DB0E7B-E200-45FC-BFF3-FA87ADE5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AA9A11-2291-45E6-B370-70BE8B1627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FE395921-6F6C-4B5B-B16C-EC2D139A7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09316E-274F-4B78-9C27-7F00ED3729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B982B586-1AAD-499B-82A8-C26D04602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EE3934-906F-4BF4-AE1C-698F3F1648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41485E0-BD01-4DF7-AB5E-85AD116B3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1EC813-4DED-4CB2-9ED2-7C1578C451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5D56F86-A5B6-424C-B3BC-68ED2E32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9EAA4C-74E8-448F-BF93-B78E36362B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FEC5C23B-F261-4EEA-AB19-0C287E90E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D0AA8-7B8D-44C6-955E-6EFA031E5B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588D2F8-F5BC-4447-8017-611F07E1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8D6554-3C8E-48CC-9F6C-B7AF05015A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66402819-EECE-4463-81EE-5C341064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DD0F86-26C4-4C27-8EDF-01DCB8C2DA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AB72E3E-BD9B-4B66-948A-F3B30888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89ECE7-5681-4D9C-BF9F-E4096AD215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4EB6DEE-7763-49E4-84A1-5122F958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4C91B8-2C56-4EE3-B8F0-8E6CB62E66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ED5F619-613F-4052-9BAF-F2AD79AF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EBC1CB-AE07-4A09-8D44-85691C978D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3A34C20C-4AF7-4B6C-9359-614975C2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C8EB45-8553-41BA-9CF8-DA8D25E50D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D0CB25D-9FC6-49A1-8C17-D750070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3A7599-E0F8-40FC-829F-664242CCCC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74E1D29-660C-4370-829F-3BA5D8CC4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B061E3-FA2C-4DA9-8C42-7DCC0D0E3F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430823BA-8713-4A35-A577-8081D556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CDE5FA-908C-4F7D-9E35-52993F5EF2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D1C7BA32-8D54-403D-A131-45F5A6AB4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17DF46-93BE-4AEF-93D9-56FDC2BD1D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93E4B654-4E9D-46AF-92AF-7BBD85526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2E2990-8F5B-43FE-8B6F-CD18AB19EE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A28FE8B9-2DE1-431E-936D-B150AA45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637E3F-D6E0-4771-9F14-16C865B4F6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FD1AD99-4094-43C7-861B-A90E0C78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FC7DDE-07D6-4C33-A388-33AB8E2B69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48A4CDB-E1DA-41DE-9053-A3CF176A2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F974C-389D-468F-9270-A96F6C78A9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2488304B-D179-483F-A1B5-BD79E833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9CD83A-2A4D-4041-988F-0030882868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E156FB0C-6157-477B-9EB9-55B7E4331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157F2C-4795-43F9-9B09-C103C219DA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3C0C8AF-367F-4702-816D-DBFE561A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B23A55-F144-48B2-BA7B-50F1D4B3B3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BF79C08C-EA80-4707-A747-F21132D8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C053DF-ED08-493C-92E6-C0D593940E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C88E23FE-AF70-403B-B50C-9D3DEEF7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0C881E-FD08-4889-AD84-252E4107DC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03E69AF0-98B8-4F95-B550-5C9A1F93D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42597-3A20-48C5-AB1E-1B58BC314B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30C3AF4C-06B3-43D2-9E4E-9F287BD0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E9C389-5C80-4870-AE50-9487F9E011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49BC592-A237-4151-81F4-7C65F98E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F75A1B-0C4F-4093-8809-BB3978D002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7BDE441-5148-4E69-A70A-F6471A6E7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D6C10A-8273-4570-B404-51B1D87169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0259B9FB-33C6-4E22-977F-F179A67B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9E7A65-CFC6-4BC3-884D-CAEC3694BC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70EC5187-1AEA-42C5-A5C4-59F06BC7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52FCF8-7729-4E58-910D-6725DEB37F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1B48A63F-D057-47BC-9039-8B8F39C8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1831A-51E7-472E-AEF0-734AA35BBE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D9EA1961-96CE-4818-8D91-E5D7C87D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9F10D7-AE76-4B9D-A4BA-7CE3A87A8A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34083D01-3B8F-4A48-BAA8-300CD80B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E6172C-6E90-44ED-A07E-AB45771A78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DFE85899-9519-4D3E-B13C-8FF4F4C6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A0C2D9-7431-486A-ABE5-E025C11BCE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2D29653-FA28-477B-B897-5AAB80C66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CD42E2-5559-498B-ABF0-BA19AD3A06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699945E-EBA2-456E-9CE9-E8423518C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86D71E-D820-4527-86DD-4BA3BBF1CC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A87879C8-AE94-44C8-A687-58640BD6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64907C-2FA2-45E9-93CE-8D0A2B2F2D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8AB4D7B-B7BB-471A-BEC4-55E6FC4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84D78B-490B-490D-863D-6DE755FC88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ACD7BE47-7EAF-45BB-ADBC-97DE8086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6FEE5F-BA58-4A2A-B59C-15C93A77DC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C8FAD5F-3396-4B3A-B391-79EBAD3E3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B936F7-0447-4451-A1CC-4E83207096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9147E984-A5D0-4633-8897-CBC0D876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BE8C73-2426-4271-80EE-1A2D4AF53B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C41FF9B-4DE1-4387-A1CB-AF5C9BEF9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D0C55-1976-41F7-89BE-BB062ED921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3121276A-F4B5-4EB6-ACCC-252AC4CD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E91DAB-A84B-4157-92A1-3FF9C1433A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9BAB65DA-834D-4C88-A844-577419AF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69DA10-A3DC-4FFE-89B2-C2541CB761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444ED82-79BF-4B99-A926-FA119956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61D86B-6C27-4C40-9DBA-CF74CDAF55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26B6E22-1500-4B28-AF79-E65F84464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3B6DDD-66BD-4D2F-A6A8-6AEEE6FE96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32B624D8-6CAB-487F-A61A-7134B9DB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928151-CDBC-46FB-B5DC-66B2DC6B91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303BC92-9C0E-4A24-AC86-9FF24F367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5BB74-2C02-46AE-A61C-51ED86BE9D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599A63C8-C002-4DD0-B9C9-5C86130EF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0B89FD-DB19-4C7A-969C-B2C933BFF2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01F60A3B-DBB9-448A-91E6-7DC131B5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85608-45CC-49A1-8CA3-ECB37EADD9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47B23F0F-5A29-48E1-B64A-B3975A6D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88859D-16B4-413E-8D5D-30422E2A85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52DE1653-D7BC-40E9-8C00-79192D96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D709F5-EBB2-4723-9B14-AD4919C42A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3CC85CDC-D65B-4B47-A0D7-480CAEC3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A89993-0DEE-4392-B24E-65226C74B8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6BDC21C-4ACB-4C3D-A23F-B90F7E19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39C215-FCCF-4839-862A-0A5D1DF9CF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A15B6833-1740-4955-B546-2B54C3A0F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D4B734-486C-4573-A0CD-7FD00CD56B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7CF26787-2E78-4DD1-A8C3-A136999FD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E69919-0630-46D3-9F14-22E25360DD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3D60E340-5115-4FCC-BFE0-73783CDB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B840E3-7F2E-4FD3-9476-3CBAE16BCE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0F4BB377-00C8-49A6-A8EF-918483DE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5022A5-8F42-4464-A4E5-1C2080EA32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CC3CA2E-D719-437F-93F2-CB1977EE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6096B-CD02-42CF-A637-65B53EFC24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9CC2F90-350A-466B-BBA9-1BBDB5AD5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78E366-699F-4AA1-996B-C7A6017928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DC794CD6-70D8-4082-BDF9-A500D028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116817-C26F-4B6D-9FAD-3834A5D226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FBB681BE-4076-4225-BDE8-9A56B391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1942D9-1A91-4321-B842-C591D8EC13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99E5BCEE-56C3-41AE-8204-37E7AFF7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21EECA-55FF-4436-A0D1-8947554C10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52FFFBDE-04E0-4529-8DC0-F01224C0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6C184-FE4D-414A-A355-0564147506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53F6FAC-E836-4DFD-9BEB-A8A6A7A5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878CE8-5A1F-43C7-8B37-E5694DAF42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1471B950-CC46-4918-AAE1-A15D42B6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31A765-97A7-454D-878B-4C411F632B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2080455-5FCB-486A-B4FD-F7873B3E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3D3310-4DB3-418A-A804-207E62373A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B837086-CE1F-495F-9359-57CEC21E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4CE77E-49C8-4467-872B-0ED8EDA24C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12B37488-D3AC-4C5C-9AAE-204C7106C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3DF92C-B9D4-4C06-B313-9CE9A8DE6A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2025D6B-8FC3-479B-A352-4022C9332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034EA-ED11-4661-A6CB-DB16DB287F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584D511-F202-41B1-BCCF-28129BC7E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F86A9E-2015-4035-BC72-353FB3F21B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1FDE6A26-8C24-4F57-A8AB-EF070432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49E5D9-5B1E-40B7-BE8A-0008E1298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01E6911-B69E-47E3-93E6-FFF2F138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7B4F68-1052-4378-9A0F-24A7B6D674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25804FF-CCBF-4582-9AF6-2E5F8668D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F4FAC4-43C3-4B17-AAB3-D55923AF1A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AA8960B1-2B55-441E-AF68-D93474EF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318832-01FE-4CA1-AA4C-AF77408B0D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CCDDA42C-5283-423D-8DAB-ABA15662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6F24C4-EC9C-428E-BA39-93A6644F38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3D21CD2-9646-4935-92FA-DF997B5B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B561E3-239E-4374-B431-6257F29899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FA005FA-F007-4AD6-A6CB-8B826573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E8618B-1540-4CC6-A597-64BE999B50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01FEC322-8DC9-4A14-9760-4F57B9BF5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FE4106-2A9F-4245-9B14-2CEF5551DE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C1701000-6F68-4247-801B-F9BD6C1A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36393-FAE5-4543-BA89-BA233BD4F5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21CEBD2-851E-4F5A-B13A-943B9BC6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7721BC-EB09-4A1B-A705-1B08767B00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BD219E7-F137-49D4-B864-9C14BD063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DB6D8-9084-4019-BCAB-89147712F1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B3D50995-4BC7-481C-9D52-320BEC1FF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9AC8B3-B267-4C6E-A5BD-AB04AA8D24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4C767DCA-3A09-422D-BD68-50ED2687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3AB94E-C38F-4C2B-9C09-BA042CAAD4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AB47CAA5-AEBE-494B-B4E0-E0AB38B5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403DA-A3B4-41A1-8885-6896F42A16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F9E696DD-AC65-4511-BA16-6CD0EB8D8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1B5FB-EFCD-40AB-8B7C-80BAFDF3D1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F47E865E-A2E6-4DD5-A681-AB6B7C9F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B7BB45-3A63-4710-B966-571BDE0806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E96F5A8-4750-4BFB-9395-5F6074DB5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E182A1-FE9E-40B8-9320-106FF5AEE8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E549EEC5-1643-4022-A5C8-AA25B6D99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665D1E-490B-4EA3-B0DB-F2B29C0F93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5C3B9BF9-18EB-42E9-B91F-3AB0540E5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3E8F3-036C-4CE7-9472-81CE19A2C0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74D7889-E7E4-4CEA-AC81-9810ABA6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5D0B9E-F1D8-4473-95FD-503B51D911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58CFA27-99E3-4C70-A3A1-9F1BE240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ADC0CE-47F1-41B4-AC91-9245EBA6E6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7B43F9A5-E844-4C52-A48E-505FD193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EA42D1-5F68-4934-B036-A036CEF53B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B1627A2-51DC-4C33-A3A6-9E171365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7E0872-B4E7-4AB2-85B7-E796903E67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D8ECD7B6-1CCE-46C2-B6A7-8FC2AB4F7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20A9BB-389E-4441-BB4A-26D19126A7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33FFC4C-73A5-499E-9D53-6AF6FCF2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6378FF-77A8-45B8-9AE7-519A5641C8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FEFFCD49-AE9F-47D3-8683-804A7EAD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176EAE-5479-409B-B5ED-195B01CCA5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C2620EF-91D2-42FC-BDE8-E2FFCED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710F2D-FB3C-450E-9302-49708014B7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67A60B83-D5EE-4D5C-A90F-99A0B6ED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941013-06F2-4A32-AF11-543E63CF2B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B38D4CC7-340D-418D-A8E4-20A924FE1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D5F936-F3DB-4459-A245-F2B6C97755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670F4390-DC29-4532-A76D-FE59C24A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AC6496-0C32-402C-BB7E-E4FD050539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DFB31B0C-48A7-4FA2-96EE-83AD9806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98DC5A-C7E6-4471-8F7F-E7F4417D3A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9DD0BD6A-FC3F-491A-AE14-F84B54C3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0F7671-2EB0-462E-B167-95F7B36455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3E028CEC-B946-4E86-B847-F1670D69D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05E18B-2653-4ED1-9419-252A2B78B7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690B0940-E723-42A3-A28D-ECF0723C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DEA126-45B4-4641-A8CB-4B517A47CB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82EEB766-095E-4B40-95FD-CBE2C02DB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E2C306-F483-4F59-AF60-A64A0CA18F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2A869D4-1CD1-42EC-8452-E8A577DFB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4858EE-8387-4917-8955-0B15375B0B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F5C0E4A3-386E-415A-9C6B-501B515A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0CA63D-F2AC-4942-BD22-78C747E1FE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BFF859CE-17F3-40FF-8F69-AB366507A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262711-7C30-4982-97EF-4561F8453E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216E4063-4192-4C2B-8530-3E247CF0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9479C8-1A3E-4237-80F5-A09357F2A8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73DC24C-5971-46A0-97CC-481110B3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BF3502-A61D-401B-8ADC-0EEDDAF7E5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F7907A40-0D21-444C-BEA7-DE93B4C2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A7D36F-DA1D-4FD8-9C67-31FAD29F64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5713BA2-64FF-4F35-B46E-AE1BBE80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91F4FA-B314-4F3C-BFD4-9DE990E0DF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7B9DC53-1512-4339-9774-DF1DBDB2D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9C768C-B933-4F92-9A44-22D286BFB2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36DA9616-66CD-4760-9AA3-AAE4B258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1A3E52-C6A9-4CB1-BBC5-027E56A166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4482E5C-24D5-4B76-A062-F8DEFC737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C11BBD-943D-4BD8-BBC4-8E7179972D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032272D-B92E-4EAF-8535-43ECE8312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C8476A-6F66-4F3D-872D-06C70A4A76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D1A023F-76DE-47B8-8086-2E91A86A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2E62D5-7FE7-4BE7-AEC1-31B60855B9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00012451-AF57-4427-B125-5C1ACA34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933A3A-B22B-43AD-B533-A7E1BCA0FE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6BEFF9C9-E63E-422B-B042-B1328A7B9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0C7530-E9E5-47F6-BD48-F9C793557E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7FE4B85-4622-4D1E-B74A-7856B69D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F57F8D-5E1C-446A-91A4-6BBD37FBF7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86D7C1CE-1DB2-4BDE-8871-BE440D7D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B8DFE1-3087-4ABF-942B-687225772D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B1900271-B440-49B1-B22B-F0AA9DAA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72A94C-0FEF-4135-9241-48B7A3B9D6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4685384-1CE6-46D1-958D-830DFDC4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0A4550-9E51-496A-BF89-C2376CA9FF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6D93AFBA-5054-4A83-8019-2299ACFA5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D126B9-A532-4495-BE19-B0563EFF7B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472E82C0-C78E-4989-AFBB-8D50F34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53FFBB-630E-46A6-AC4A-8B567312F2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3CA210B2-FDC3-407F-8435-0E5848BC5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52FC9E-6F6A-484B-8DB6-6AD309126C4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A01E8DC1-7ACA-4B1E-B1D7-0E0241D7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D5385-5C32-44E8-B59B-CAD8156336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11F6147-EC7D-4AD2-88AE-48F4541D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D87D0E-D9C9-480D-A7A7-F386559312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AD131BA-3C0B-444F-A133-BEB6C692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CD554B-2C22-4C60-B313-DEC8471C8F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D50C8228-EEA1-46FC-9DDA-252C0116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7402A-3483-4464-9779-792411CDBB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F9707F97-F6BD-4861-9922-0B62BC8F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B6C682-2EBC-48BC-9B4F-ED6A2850BC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49C32AD1-811D-4CA2-B10A-A36D1471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C53D99-64B6-4FFF-B8F9-7401F30B63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C10E8A18-B7E6-46EB-872C-B445A1E1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50ED16-8181-44BD-854E-A50341EC6F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6BF33C2-26A4-4980-9E02-F47AB591D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1D27C-E1ED-43C1-A75A-643CC8F027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A83287E3-1745-4315-90CE-07591341A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883C2A-DEB3-4E4B-90FC-0AF8769175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67C486F3-6287-4F44-B5F3-42A9AD1C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AB9056-9F34-4549-BECC-4F4F5AB748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8075735-3DE8-436D-8AF4-75CE34C4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82955A-A133-45CE-9047-AF90902A11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EB8679B9-1713-4C29-822F-66EF6F9C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04A8B8-E58D-462C-AA36-771DEB048D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100D291A-FFB0-4BE4-B502-8C6083C34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487DD0-8195-4D42-87FA-1236E9C5FB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D9EE846C-CC76-4D1B-8D38-2DB34F305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2A41B4-60DB-4533-9545-718C85BA09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C9BF367A-51BB-49C4-A0F8-9493DDB40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F934D4-880F-4804-8E92-2F2673C168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C5EA1989-6F9C-456A-912A-3B5AE01D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57A0A4-31E2-4508-B484-077075D8CF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09A9F38A-3DB3-4B81-A279-E6B35EF5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B8D5E3-988B-4037-9A30-E0D494D09F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7533AB4F-7542-473E-A2EE-9599AD69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11C31E-55A8-4D95-B6B2-E9B7F75644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64869FF-3C04-4BEB-853C-587EEA16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A8893E-2E39-4218-88CE-A0A179023E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D84B1147-407E-42EE-BC06-3731468B6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71481E-DEB0-44F1-B596-4C10C28D55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020552FE-58A6-4253-8C76-AB10A50F8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FE5B4-A98F-4366-8394-B13BC7E87A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0898461C-216E-4FB7-A72F-2634FEA1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8577E4-FC32-41CA-9339-27E878A7EC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5635FAC-FC48-4027-BA28-298F7745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F593E2-02D9-4002-9CC0-24D096ED59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D820FE9-95BC-414D-8E31-3027867A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336E80-7D06-4624-B390-671558BFFE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77760B0F-D9E0-4519-ABB0-9A27F458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A2A1A9-C0E1-4CB7-AE1E-D695D988CA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D901510-EC5A-48A2-A84A-F8763627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04D9E0-BE9D-4DF6-A479-6A82D72A1A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52462A2-A183-45A4-A107-11068EAF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F5FA71-5890-4985-96A7-1EB63C3FF4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6CCE5428-FCDC-4E00-B368-E213B6D49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0C4812-C2C3-4E7D-A39E-0182D6E543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C16D4AA-00F9-4D76-8D5D-03D0B8EFC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0393A6-0EB7-43E9-866B-67F92EB9E8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D6E9251-1EC7-4DFA-BB3C-D95F29FA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D82909-92C8-48FC-9700-FCBBF05115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CCB3C026-FD87-4B1E-8688-15EDA0AD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A4569B-75D8-4BE7-BF0F-BA1059F95B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AC3A633-391C-45BB-83C5-DAE0AB168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27830D-D97E-4708-927D-5E31C06D05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9EBF0948-7495-49DD-9766-4E79E348B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414301-E755-4545-9B79-704D1E050F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5EFB1E0-6F2E-4FF6-B854-B71C39F3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47DD8B-1C65-4DC2-9BE0-D79009A11D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AD671F5-595D-4469-9302-6C7B6575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E20F45-0D20-43A7-AACD-1626F5C6DE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E549F1F-040B-4B5B-8A79-8E29AF2C5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74BF8C-CDA9-4963-88D6-8B17880C26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9A4EF369-5724-4D82-9D1C-652686FE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FFABB2-E037-4172-B0AD-9C8B4967F2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F21C049-C989-4930-8BF5-E8F99ABA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78FB38-E678-4FBE-8676-C66B795FD0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E034E136-5D4C-4470-B52E-99CF029B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83DFD-FB7F-4E6D-8131-E1DA1729F1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EDA0B8F7-73F4-4931-887A-9C1DFEA8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942F90-373A-4864-8B1F-C88CCB3410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ACF538C-3764-4318-A909-ECB60665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193FC8-D698-4CDA-BC8D-33ECB35673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8CFA705-5841-493F-8F85-67B86FD9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EFA6A0-4251-420A-98EF-AE7B6D0072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36E7A21-71C3-499A-8238-CBDB6C7A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85DD8A-F46C-4C96-94C4-8260857CEA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4BA95E4-C7FF-45B2-8CC9-5D9B06CD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CD882E-CDAD-4920-BE8B-E9637E084D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752D07F2-FFDE-4446-8F55-2CC7F3BB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353EC-3418-4DE5-ACE6-4D8287BBD6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636087BA-9CD5-43D4-97C0-F31ED7E8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76E6E-345F-4590-82BC-2C7CB72D03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499BBCBE-ADEA-47B6-BF2D-4F46D5A9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63CFCE-F613-4D45-BE70-460D922A60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D46CFB7-C583-40C0-88FC-270A82F62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2B3A7E-0D8D-4AF8-BF19-E4C54D3B6E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D66F3110-EEBE-4871-9F0F-9A9F41628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959E8D-0E18-4F40-8EF3-D8CB2228BF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DA9924E3-0817-40AC-A102-DDB9674D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2F91B8-7F3C-4344-8538-D054D862C2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CE5A1E30-F48A-47E7-A0D4-1445E76F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AE3808-2B29-46B4-950C-3C70128774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39148034-0468-4C16-81F8-5ACE7349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CEDB3F-5AFD-43C6-8F20-38257E1A83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58A63333-2764-4740-A8E7-C0292E74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CB2E00-AAD6-47B3-94D8-7C2BA7DB61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4DC1BC74-3907-4E58-A3BE-D5B297D2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AB5346-677A-4B4C-B24D-91C3A17630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CB28A90-D0CD-4E6B-99D9-AB8428B0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3BFE9-B5EC-4883-A423-4F93E5C66D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28AC5D46-E79E-4B63-8AB5-347884DCC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6DEB53-B467-408A-866D-7ECAF1B39A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C1C96E0-ADF0-4185-AF4A-C91B1A58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3344F6-8269-4C21-B80B-B3C4F54C4B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4D002145-9EE0-4864-A9D8-9AF42306B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6AA592-38DB-4F59-86C2-AE5B5E59DF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A53C4886-CE57-4F85-823E-9E07A333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4D4E79-C34D-4F0E-B61F-73C19BEE5D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94B768FF-729B-4C82-A5AD-3D1CB628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EC26A8-6A32-4500-BDA0-146926EFE7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B44E627A-8FDF-40B2-AE56-7B7EC50A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90B74F-7047-476B-8E6A-19168C7EDE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F88C858-DAEB-4AE4-BDA2-081A4624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6C7087-8BEB-472E-94E0-967E80E88D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0550D18-0514-4759-A0CC-312873941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C703DA-44AB-4A50-A994-BB70E0A434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DEB20CC-DDB1-48C3-BC2E-7C584978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01675F-C71A-48E0-85D8-6FCE901B69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95CFD31-3148-4944-B311-7D3E58F22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350C22-45D4-4936-BF84-E29B8C89D0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A5123DF-0E0E-42C0-A356-9030E116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89A8AF-3738-4485-8BB0-BF20C96380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ECF49AB-C01E-4233-9907-415C6CFD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3A2AA3-71ED-40E8-BB5A-41A2654DF1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D8534EA-8857-4630-BF57-D145C74E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48DB96-6526-4F07-B4BC-01B7729ADFC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94DBC96-5466-466D-A787-217FDC4F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4FC984-3C4B-443C-B1C3-CA63DBEBA2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62F2F859-5B57-413F-A1B0-BB78C24D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FE0860-2F6D-427E-97C7-371364BF59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C314DB53-B625-4B9A-882D-107D8F41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6B49F7-3C52-4067-8D7B-F0120C2506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E427BB0-A936-407B-B7E1-BDD6673E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BAB59B-A795-41E2-8EBE-4A6933D83E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5129A1DD-FB31-4A86-A6FE-6AB44B90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3A2FBC-69EF-4165-9CAA-DDC6E93766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121E02F-F192-4884-BFCC-52EE12D39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676205-F326-4527-AE4D-16C30B32FF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00070D7-8F4B-40BE-9FE9-5BBCEB02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BB95D9-0349-458A-8A90-B92E982178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55673AC-9D0D-4FB8-ABA1-556D147D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D891FA-AA74-407A-9DF3-55EE09365B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8F2A32D-5748-4AC9-92F9-CF417B15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215A3B-A719-40DB-AF43-11AB31FE76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A2A091F7-FF6C-475A-8DE2-2AC14571A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E00EA1-26DB-415A-87F1-AA850FEF8A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8DBBD02-753F-40D9-9915-174840C5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A1E8EE-E7FB-4CED-B29F-FF444DCE34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88934F0-D744-4CDE-99F7-CBFAFB9C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2A866E-9B87-4C13-B038-CA049ECCA7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3C31AAD7-F4E3-4576-8639-4A10A181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736D5E-5F07-462D-BE69-B228B12A2D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E43C14A-9621-48C7-AA75-A57782B3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1D75EF-538E-4729-B901-920748516F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DBEF13E-5A52-4724-88FA-BED49D274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DA5E9E-452C-42E1-BE86-5958BAA2C7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B31CB613-72AE-426D-9B5F-997CD53C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9A6DD9-0C2C-4817-9490-CED686B1CC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C314800F-DBF7-4988-88D9-0EF7444B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4FA745-9A15-4D46-AC32-3DE575E738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B3D2DDA5-EC1F-4C7C-9B59-2F9FA32C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79E69C-4344-493D-BC72-092BB33C89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2C95E544-6076-4DB8-8B15-6AC14D52E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19AC8A-FECE-487F-860E-F89C30717B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82747BF4-86D2-4F8A-8008-CF1B9511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E41783-C064-4C45-B2AC-8A7A32A2C0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B8CE570B-4A2C-4630-A81C-473901ADC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4AD65D-121C-4DA9-8EB8-EA455F7FEC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D3E217CF-977A-416E-9659-28E02C16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A5C752-A3DD-43AD-9586-1A3F6A012F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AA5FA9EA-1C31-43B2-8171-A408DF47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285C9E-F155-461F-B1E9-51C66CEDC9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3CDD7F05-9DE4-4278-BF62-0449D80FD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323148-85A9-43C2-A8F8-DCE741A17F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ACC8D2AF-0A3F-4F1A-9092-9529CFCF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1F3940-1C95-4495-86DC-EE163391ED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5CE9C4C7-CEB1-4C86-93B0-089D326E8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901128-3341-42D6-883B-9AD2A5003A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2E3F1E0C-DE5C-435E-9294-7E1B5A4C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33BFF2-7448-4D59-ACE3-D964FD2E61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875A1B22-BFC7-458A-81A8-0B136600A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4E8762-E5D2-47D4-884B-868DB36FEF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F141BEAD-7934-4748-9A16-01DA3531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08F33B-9A59-4077-AD9C-BA99FC10B7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29AA7495-F632-47D1-A889-DE51D842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A19BA8-79D2-4A81-969A-A7049B3047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A79EF390-8E6C-42E8-B5C2-DB82F2718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3222D-E843-4189-A760-4E2ECB2B9D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DE8A9E52-C156-45EE-9D4E-8F5E5F6D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B9D2A-B0F8-45F4-97AE-F21757968B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C485E20B-AB76-4728-9307-3B5ACF886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C2CC09-A8CD-4130-BC21-DA1A2C58DD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98F2BAA5-EC2C-4F7F-8720-9BBE4A7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83282-C863-465C-BB38-D9272A043B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547E3B4F-D676-47F0-8A07-7E87EAFA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90557A-591F-4A43-AC88-40C118F406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2E7A5E7-7BBB-441F-A030-0DD6DDFBA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3636C4-5550-4E2F-B26D-088F3D8E59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4B6C13B-FF16-43E7-B471-E9E273DB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FFAD24-52E8-4548-9468-935268CC6D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7CD588F-0545-48C1-A54F-5F56A743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7A8E8B-8D06-431F-8C77-3B9EB4BBFB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E39F5478-A0A8-4919-8739-2245C745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F8C87D-FAD6-41D3-8C27-6B2D3C8F53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5923F400-AD42-4C4B-A3BD-7B7553FD2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CFFA3A-A180-4674-B48A-EBD8EA4F3E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1610DD8-41FD-431F-97C6-8D5DC3772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B0F8EA-1D50-4A94-B82A-BF88D43BBB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FFBB90CF-4035-442E-B792-229CD705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635D29-7F32-4638-BA3F-668BF65F18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01AD1B48-2510-4BC5-840A-4AD685197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04AB54-D8A2-4331-BBB7-1E06BB7B0D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BEB7A89-E46A-4D92-8F67-6ABF16A3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B0F1A0-01D2-4195-8BF6-0D8F7E6C76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6E27F0FB-77CE-4329-A91C-816F7B94A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638CB2-C069-4100-B7EC-5D0B846EF2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617635D-6D44-4E3B-96DE-DBA423CB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C6A507-093C-4F9E-BEAF-55B4FC7AE9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88C47376-945B-4D68-B25A-9A3D8024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7F4BFC-3512-474B-9614-A139FE267A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5830983-35F8-451D-AA91-6BE371CF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33E1CD-10A5-4052-BAE7-77E4D12954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8CBFD24-5211-4A22-A7C4-3FE1348F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566C0-4C42-44F6-8B87-4B047D1281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2D1C57E7-8CEA-4B30-B253-F35965BF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5B0587-CC12-45BF-BBB7-E1F53B71E4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3A1213A3-F54B-424B-A33F-0EB570E2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179EA4-3FE9-48C3-9B3E-C506BC29B5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793A164-5738-4A6D-8644-AD121CBB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61F87E-C9E3-40E3-BE20-C3848C7EDC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63D43C2-CE34-46BB-989C-1A5DC78E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126885-EAE1-4560-B315-2625659E1B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42BBB2F-F853-4F26-BDDB-8022FFCB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877084-2896-4933-9691-2395495F55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AAA8127E-D813-432D-85F3-208F5571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BC2F2-5138-4330-AE80-FCE6D718AE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D1DA2BD9-7EE9-4554-BDF1-A6F039F4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B948B6-48EA-4804-BA57-C15FF87C64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E3C8B9F-B4CB-4E3E-908B-582BD809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DA49A9-C8C8-4206-9224-A44D61C1F6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86790F7-9F74-4D5A-AA4E-A9BCDC076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0F3DFF-9AA2-4B0E-A29F-9680AF66DA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22310323-67DA-47C1-8C6A-D695F28A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DBBCB4-C604-4F58-B9A1-B52C142C93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703340E0-3A9B-470D-9BD5-0B9B6273C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12F0FC-C6C6-48A1-B9F9-B9CE435F78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7C4AA6F-19C8-4019-98E2-71088C69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13078B-F4E5-48B3-8445-B0487CC3BB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89CB999-556E-4D46-A334-9979CBF0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D36D8B-9DE0-461C-8E1F-49D0691E3B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3587C803-0DD5-47E3-8DFA-40D540DD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71E8C7-D0FD-496B-85ED-D572DBE54C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387101C-D215-4896-AE20-49E9C9C0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AE0B82-7E3C-4CEB-AA86-087BEDEA97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BDF03F2C-9E75-444E-8B1D-3FBE8A97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A0CEF4-20DA-4A7B-863C-2F2614D5F1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39150DE0-53E0-41EF-A0BB-AC0E351D0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1511F3-5853-4DCA-AFC8-9C78CA41C9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90D5E0D2-7190-4F38-8F0A-5A8C20B6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6E740F-A4E9-4075-A6FD-33F53B2989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32AFB454-D699-45CD-A058-0B129AC7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FE4AB9-58F9-4E5C-B728-4095F3E4A0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34B3E979-2168-4A02-8710-E2C62994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CFB8B8-9B1E-49EE-877C-EE86196FDB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15EEC2A-2DEF-427C-BB98-EB9D7B832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8EDC51-9748-4985-9124-A964B7B5AC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09A1B406-AD24-4F7D-98A1-A1D4395F2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6673EF-5B6C-47A5-A7AB-2AE337B079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90DFED6C-F020-499D-AB43-061211A1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D3C24C-7308-4EB3-8ACD-04D41E9E0A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BB60E6B-5971-4458-8473-C24D6143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515D78-994E-4C4E-8DC2-B40C8ED5D5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DE83E89-661E-42D6-B061-945B7194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72192E-711B-4B4C-81C4-6FEE90C566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70BF99B4-77CD-4BFC-9578-2530C9906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D256A2-9D22-4224-960B-F97E0F507C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1B0216D-9C46-4861-8A75-3536718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7CCEE1-B8B1-42CC-94E7-E47E3DB589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6FCA814-2E61-4442-A32D-E8650BA70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CA8B45-DB3A-4AC0-B966-4419693868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9994C4C-0B79-4551-B0F2-FC4213C3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AD8A62-C1D2-401F-9FAB-806C99B3EF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130E589-66F3-484A-8B3B-468C41CD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57550B-3326-4AB9-A36C-9378AE91F8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EBD93737-7648-4438-A54D-A1710EB3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454825-902A-4E1F-B856-D4DEFEF8D2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2FDF4E79-9386-4FA0-8AF9-525246B3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0FA81B-81A7-4291-9382-45D6318028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F61EB5BA-819E-4812-B773-A07A07FB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534C62-F45C-42E8-ADEC-E09B2214D4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E27F56C-7F8A-4EFF-8C0E-5AB6516B8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8C0C42-6ABC-47CB-85C1-4C0141BA7B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BCEFBFB-2F3B-40F7-83FC-8B3413C7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FEAC6C-A85A-4978-B937-2F7ACAF7FF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E191031C-600C-4DB6-8443-D7E2B3B70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D4B4E5-AE54-4B6A-A81F-99CCE6D48A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FE24692-DBB5-4CBF-ACF5-79EADC57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8AD09E-0107-4AA4-A413-F32BF40EC7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F53F485-B987-4E57-B951-E805B581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87F690-3A37-4390-A8A0-B64A6B4D50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94315DC-5A3A-4EAB-B497-657D3F56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B1D304-EF8B-4D90-9356-8BEF36590A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B624F9D-A2FF-4231-A810-7395473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05711E-B078-4532-A473-7761C81EE2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374D10C-9F4C-4055-91A9-2D00FCC1C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C8292F-9D64-4E83-BB01-A676358FEB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29F76AFF-3C68-4A73-A190-23A27CFA5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4C7EB-4D11-4022-B3A9-99A7BB79AF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B4EC01CD-D7F4-4C43-B54D-56B44D165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A11803-1151-454B-98E2-BB8BE8CCC2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5E87CCC9-BBD6-422A-BDF9-28A6E6BA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A742BD-DFEE-4775-916F-A5613C1CD3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75D2DF00-9D12-42BD-A44D-6066805F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6F3F64-19EA-42F4-B11D-67B134B0BE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47AFDDC2-F492-490D-93FC-72E2B631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41E54C-9212-4BFB-81FE-A1E5B096CB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5E5D486-A526-420B-A89A-8E386D27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DE0FCB-19D8-4260-B2E9-9A8789F3A4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86A6144-745C-4579-B001-5DA7FCAC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720C0A-DAC9-4DED-BE0C-A9AB7C232F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681E8EC6-347A-4F18-A85C-001BC985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3CAAEF-8CA6-471E-A31F-D322062570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BD345AC-F843-4E25-AD10-03E112E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6BF8C6-59CE-42AB-A300-6D1A6E893B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399A6AE-CADE-4FF7-9AD1-AAC1D140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BB8BAD-CABB-4070-99B2-B4C1204893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9D5E4ED-5A44-4B9D-8CE1-AD642B65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551AA4-CBA8-4E94-8421-A6CDC09D48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B002D9F-C464-418D-AE96-34F0F080A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CC75DA-603F-43C4-AF03-02A43C0B2E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CA752200-3E1A-459C-9907-2450B304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3F03A1-7A1E-41CD-941A-CAE4A45CAD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632A1825-294D-4391-85F5-60FAAEC3C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BC4F4-12BE-49C1-B54E-EE3C2925F2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586E16C-86EF-4321-B61F-C339C294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E18F67-5B23-4575-B8DD-3D656A2DE8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AEAC220A-C567-4B13-BFB9-F239451B7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02E692-C96A-402D-96FA-8C6EACEB35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7815703-EF6F-4DD5-A24C-2EA7FA09A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126C84-1A74-4C06-B172-A19EECDE7A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73C4B00F-409B-4553-96A1-0B2297E2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6C7FBE-5F8E-467A-88CD-5528A93633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A6F9D343-6FE7-46B2-B1BD-0BE5B33A3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AEE8AB-4A1A-401F-8131-27DC1638A5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92F492D9-0CF0-4A66-987C-855E307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CE67E2-2450-401D-9E79-02FAB817CD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2A309A9B-828C-4145-8E67-29EBE2C4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8A469E-F71B-4CE0-8DA2-5517C7DBAD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CCCBE78D-F5FB-4E31-A176-8D74F018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270B8A-49B0-46E9-BE75-EBE1149525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6FDD158-1FE1-4CC9-9F51-AB2EE777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C525C7-BA77-4BE9-B454-3DF089CDF3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5DEE3187-C104-4D58-B190-DEE53E8C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08180D-D1FC-46C1-89CE-CC6AA46B76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41217F7B-BA30-4396-AC93-405CB9E4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6A3EB-45A3-4F40-B76C-1BB15847A5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04AA4276-A953-4FD7-AE38-1E165203A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5A75EB-2442-40F3-94A8-A382AE99FE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D3FA40E8-D276-4A6E-8B02-8264CD61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EF90CF-65CB-4F28-A3BF-FF5B8DF9F4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02EEE18-3435-4A16-95FA-85C60FAE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5AB4E1-AA94-439F-B8C4-DA1F700187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2513034-7743-433F-B852-C9527E5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6A75A0-465D-41E3-8265-CB4758CCA8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9465194-5D1A-4139-9FF1-1011C43A0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758AD4-8C59-4988-ABB2-8A2D1FA488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AD99453-F137-4FED-8669-BAC6B3E71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C71895-A9F6-40A7-A5F0-C724ACD865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3A95A59-4742-44F8-B181-37F3E8A0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59B5DC-CFF1-46D3-8E9F-57DA96F891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B158955-3F77-4044-97D6-A2EEEC19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ACBC43-0182-4ED3-881A-626DC53F7B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B8B6E871-7A71-4944-A9DD-CB010979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95D960-9A43-4C7B-AFA6-BB3D05E362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BEB520F-DB7D-42BF-879E-B4C51E289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AF999C-597A-4316-BBC9-94675D8DA3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FDC16D9C-FC43-4B21-89D9-3DFABB9E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08D4BC-B463-44C8-A7C8-76E55A63E5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DD4D1D6-0D12-4347-8DF1-1153DA45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02A9EE-5430-4510-AB82-5A501E3CBC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86BF72A-5525-4D14-B5BF-729761D3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3DC7B3-CDBD-4A80-8DFD-C5C2A2F212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0E133FF-15DC-4AFE-AA6F-B5D082C30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CFA29F-26A2-478F-B6CA-C50C15FF40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01B9099-737F-4FB2-8132-89DC36EBB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36F76E-D9CA-41F7-BFC3-C4C316EDC8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4B5B94DF-7BC7-4216-A782-9D0DAA241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3C6F6F-94A8-4023-9BB7-DF6D71B5A6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D30CBDF-6C41-4EEA-957F-DCE99FE1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1759AD-4EA8-493B-990B-5909B367B9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89B50D6-8546-4837-8B0B-5453CE8C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3FA11C-83A4-48C1-8E65-7A719CFE94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1C21DB9-8429-418B-89FA-BBF73C88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12433D-0C69-48DC-B867-2450663BBC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83DCB28-617B-4AF5-BD2C-F67E96D89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A6F050-510E-4E3F-93D1-94385D0DF0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ECEE06D2-68BF-471A-92C0-B6795240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8FA210-5D3F-4418-9DB2-73A930F873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E6FF2F7-24CA-479B-9B75-58656757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303B0-4EA2-40E3-9BC3-AF33D86D52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3409C05-8678-43E2-A49B-0F517123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F6B46-168A-47BE-B3CF-13EB574582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00A332F-1639-444F-9F1F-8E12E4D37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CA01D8-C30A-4DE1-B70A-B4CAA3CB80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BB100AF-625A-4883-81FD-A31AE49B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BFC815-ECD3-4676-BD2C-2C7F4401EB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E3E71371-8630-44D2-BB63-D4B37ABA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169BF5-6CD6-4412-A3ED-6C76602BBB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E1D6FA0-4E39-4CCF-A26E-17377C03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1FF99B-06BB-4A5B-8539-9DFAC4B459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897F9168-0170-4E20-94B5-F445318D0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2CA65-804C-45F7-9510-7B6D1CA2C4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9BEEF867-B507-4907-8B28-B7BE30D4F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49DA9B-6335-4D3F-A2C7-95D65C58B0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7ABF1822-A41F-4DD6-A8FE-EA3B5015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C20B49-B8DA-4F16-B5BC-C9DCC97BED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258DA73C-4483-4B35-A217-DF5C7186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20425E-6598-4F7B-A9AE-25D0F7131B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CB7A6F6-03A2-48AF-912B-9C661856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37D8F9-666B-4E89-BBD0-E4480CF90B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A205B095-E520-493B-8CA3-BDE0CC65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175CED-EA8E-4E69-9177-04BDB8C18B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FAA66864-4A57-4F67-8C3D-B5B2A3FAB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E6234D-A550-47F6-A583-8C5C00B10D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2FB8D007-8369-4D93-92A0-9C997130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DB2134-D553-4036-A820-463E3EE0BC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98696A3-3E3E-4F93-BEF8-A180CBC38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2E27BB-12F5-4105-A685-63EAFB5602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864C06B0-48DB-451A-BF1A-8D573EACF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4F8E1E-EB84-4226-9BD8-3F80D6B303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661FC2E1-9CD0-4DB1-8CA3-ECF16336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268BDA-A299-4B5C-9708-197FC97D57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CA54C28F-65C5-47AB-AD74-3EAA1729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72D841-9373-402E-86E7-F2B6C2D398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B048DBDA-32B6-497D-8D1B-F1473CD65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D9A2FD-EA41-4EED-B848-538D1F6DA2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6FA162F9-4CBF-466F-B3A4-B79AD2564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65FCF8-6133-49D6-8D76-1E4F2B5F2E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C431DE51-A98B-48A8-A95D-77AD4F387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643ED0-755E-4534-B3DE-4816DFE2FB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81C6356-48D4-4259-A768-16313DFD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EA6CC7-700F-4F13-A313-18BA0C2C3E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FBE4761-6862-467C-AF15-E6F72FFF7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213407-4A86-4E71-AB24-1123E1338F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721162A-DE05-467C-A6D1-F5D0AE02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41AF24-A74F-4EA2-B988-05B6BED080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4951AF50-A4BF-42A4-A9C3-29554F98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7A55E2-0464-46E4-A084-3941A4639F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DA459F6-0DB9-4370-A054-FA3154125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E03726-F828-4205-B31C-1182ABB7CD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3C9DBB7-B2E7-4217-BF2A-BB9A06F4B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A4AC75-CFA1-46CE-8284-8903A7A282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36C0EB42-9109-4895-923A-AF02F08E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B1A8EE-1823-4E01-B10B-D0D949DEBF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428C25A-5A90-4569-9021-C16441C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E5B7A2-7E03-4AC3-8469-E99FB1D7B4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4A34B63-372B-4046-8017-8D1251722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89C785-860C-4336-ADAB-C7DF7CDEEA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340DB75E-8AD1-442E-B575-D6E1A23CB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F6B13B-3E9B-44D0-AA8C-E3A8832072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178CE17-BA7E-4B68-9C06-60BA04075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A65BDD-6371-4CFC-9B67-9585C78965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3C281F6-A59E-4E0F-9452-2832CFAE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6E060D-6470-4D8E-9BC0-73CC681F90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83E8C3D-0B51-4ACC-8E24-BE4C2493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05495F-D50B-4D48-AC17-8784B8D35F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36A26031-0FA7-461A-B890-A55AA7A7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1042DC-F105-42CA-A24C-778B74B439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C4A0DE1-BB32-4E86-81E2-315378D66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0305C7-1D75-418D-AFD2-32722CA21F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A30C0EC4-457D-4F68-B10B-DE9ED26D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26DB49-8C12-4935-B96E-9F55401045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BF012332-AA64-4B41-A5D0-ADEDBB408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A9E12E-33EE-4030-B629-15D38DACD5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16D259D-4443-482F-A3DB-F09DD17D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A43F45-39D5-46ED-8624-5F8A353EEC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4BE8AA12-A418-4394-9EFA-EA625C34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25A159-776F-44BA-ADD1-E991E9066A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C17F580-B9FE-4685-B2E0-4D9F5273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396125-7D45-43F3-B467-5DAB19DDE2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FEE1F22-D54D-468D-9E9C-965D5B12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8CE116-74DA-4797-944B-E9AA13C388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BA85A240-FDA8-4244-BA50-CA2CB1E1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2973E0-8184-449A-9ED9-797A65E5AF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1CBE1158-038F-468B-9BF7-6B5B21E1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C21BAC-40ED-4FE1-BB9B-8E2724EA61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6992C599-65A6-4FDB-9CB8-6F574A8E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20D2DF-5D8C-4489-A3DA-DE6B06B187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F3B71E04-45CD-4837-BAD6-7D237723A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1A2DED-4F4C-453E-B965-14C0F49DDB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59A3584B-7DF3-4BD8-8A93-BBA96156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F5A85D-757C-4A75-B65B-244A3DD797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47A11DEE-D9F4-43D7-8F0C-592F47BA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55F38-BEB9-41D1-AE05-1E76C7B75D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D130533-1968-473B-A641-8EA8125B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74E786-44BE-429B-BEF5-F85DA7BA734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9C9D82A1-2CF8-4586-AB2B-26E41EB7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365874-29E8-4401-AE5B-0F90C074FC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D66AB5B4-CEDC-4C49-BE40-33F51D5C7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475854-ED39-4B31-A036-C62D21A416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5226556C-BB40-4ABE-BC71-801C905C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BAB7D2-9FA5-41E7-9BA2-FB6B2788A5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A8FBF135-412B-4E24-9B79-1F30E50A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9AF9FA-4FCF-453B-9B22-C10BFDF71C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2176EE2D-BC1A-48AC-9B02-98195B4E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D230B3-BAB0-4060-88EA-9A2F4F38BA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29491530-F1D0-46E7-BDFB-94CE89F8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CAAB4C-5FDB-4DFA-BD88-E6CF10CAF7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DF290ABC-2A23-4282-A631-2EE53CF56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C60209-F5D8-4565-A400-0F5ED8F450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60E7809C-EA7E-4D4E-9464-154BA0F8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B88733-EA31-4D89-B446-55DD561A6D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5A8F7DCD-8B8B-49D8-A81C-4241BE109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E8C217-3E46-4139-82A8-9699FA187D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E47313E7-877D-4866-8596-E98F066E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B78B42-7876-4973-9F96-565FEAA032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DBEC3620-1E46-44F3-9B25-439DAE36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2444DA-B271-4C08-9AAB-168164A33F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E8AEADF6-0DF2-4EF6-B4BB-A73230A0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9CD698-1D42-4A1F-9DC4-F9F1C8D12C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BC8B65C6-C753-4839-9DE4-787B408F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4B5FD7-5DA2-4F77-83DC-90582F2268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1412FA24-C34D-48A6-9C48-B1DDC3E13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6C3E33-8553-48F6-BE8D-B22AAEE2BB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FA126A3D-F903-466D-9C37-AB34B9E80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50661F-0F82-4EE4-BFDD-DEF5321D03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60276D8-E4FB-462A-8ED2-971FC1CA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746648-5C95-40EC-BF3A-FD40948B5B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1AD7FE66-CBE5-49E4-89EB-8BAE34C5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07CE48-61D9-4E16-B0A8-EDC83615CA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AF4868BC-FB24-42C7-A2E3-723D445D1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75C91B-D841-4DA2-A1ED-D118F173CB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A34E8039-4725-4D8B-B2D5-7CAAEDC1F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32DED2-AF20-43DE-B711-1B49EEF6F1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6B62887D-5ABB-40D7-BFED-F10640CC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DDE0D6-5F69-4FED-9173-7F0929AA32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CE3904C-748B-4041-A000-28761DA8A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DCBEB3-AA5C-4CD9-93F5-D933D55317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07E8C58-15CA-45E3-88F0-108FA95B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C0AF32-68FF-4782-964E-A4E9B58F1D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F4A6675B-391C-48DE-99D6-623D8BEC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CF0C81-1894-47F9-8C7F-1311C27167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9F41139-4B00-4D21-8C04-665BC24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828722-1AEB-422A-B787-F6FD575434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BDDAAFB0-5D5A-49DE-8B20-EA4A53B6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38D3F-AFF5-41CD-BDE4-39FE62D74F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7D9B981-2D87-400A-A039-FE4DFDD2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CB53E1-9EDD-4DA3-AC46-F110C21BE1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1C30BCA-BECF-4A8D-9847-F740188BC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1B2C7D-19BD-4E4B-9156-AF8796FAFE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82A42BD-E595-4E9C-9230-DC14E45D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2C48E-898C-4FC6-8072-503E74525C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D96FAD46-D21D-4D3E-BA31-C8F71F4D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460EA6-F8D1-4134-A6A0-29588ED4F2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067BD5D-488B-49FD-8D7A-7FE8FCBA5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269333-1F09-4CDD-8EE7-4F886CDC7D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70993417-BE8C-4E6F-9C66-367492DCA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134D6E-D413-40F5-B8D5-00309990A9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10CD2383-C9ED-4ABA-8E1F-1A722A11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284561-A756-4A20-91C0-4E6AC797A4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15CCEC4-A588-4390-80B0-DAE349B8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92F8E0-F03E-4C1C-98AD-8522C78900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515D868-9C2B-482A-A511-F61DCC43F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3CDB71-0D53-47A7-8149-F38530F418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460F8F5-96AC-42EB-96E4-1629CD23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CAD01F-4231-46CE-A11F-4A5AC95519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7745FD0-ACE1-4DB6-BA6F-86DCF7F6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1D2186-B474-47F6-A2DC-19731D4E08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4071F22-B7DF-4B71-AE26-6E356D52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703C88-BDD5-4399-9F53-D38A629046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0878FB3B-2436-40D8-AF13-78544FC0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33D8F2-A591-4E33-959D-C494651E9B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4B8251F2-5DA9-4F9E-AFEA-D635E3E8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BD58C-AC8E-45B8-B1E7-EF270B44B1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FCB019FA-B37A-4AA2-8728-405A26F4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FD7DCA-22D1-4DCE-9D9A-634D21D542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203E21C8-0100-4D08-9E7C-01392FFB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33E36-DED0-4606-BE10-30EA0C3CC1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9AFDC20-C023-4BBC-BEE6-238C7FE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191B60-35F3-4C31-BF14-BFFF45991B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C86196C-2303-4014-BDA1-4FEC1B8A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1B7F73-7721-44DB-8DA2-534BD2F00B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732D72BB-A3CE-41AA-9D77-28A4A321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919D4B-E8D9-406D-862E-2FBF85D213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4B06558-7945-4E54-BD7C-F5B83CBE7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E4638-DDEE-44CF-BAD2-E43F0D05C7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B4FCD03-CA0E-40B5-A8BF-CC4C0386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CD9C82-8BC0-4063-88BE-3E7FCEDD1A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74D5F54-EA8F-4EB4-B149-AD28171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443DA6-CE6A-45C8-AA05-70935F5A46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E6F79C5-E8A4-4CDC-B064-37E9B8D9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6AA4D-2E8A-4225-BBED-E19CEAF220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E6BB2F48-5C55-483F-81AD-D7A7BCEC2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AE47FB-F834-47F7-98EE-FFEDABB8C7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9E986BCB-7230-4CCA-9314-B3E01126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5ABF1E-C491-455D-9462-86E7158DAD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E7F4032D-59D1-4B76-94D3-3801F4684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BBF2B7-0896-477F-AD05-A7AD77372C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017957B8-BCE9-4F6D-9EAD-E1E1A4FE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6928F1-802D-4D8D-A1D3-ED35598B41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E169891E-E629-48FC-8217-E16A71B0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F5A8D6-DBBA-4A63-981C-CE45B0CAC3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C30B7281-8483-4DF7-9002-535CAD29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585645-2715-4620-B114-5E67171C22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E58182AA-3A52-4A8C-987B-B85768BDA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7F2223-57F6-441A-A435-C468F97713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D42948D-EE8E-4878-92D3-D1D03E963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09E04D-0667-460E-9295-FF913A9F9C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4CF2EB94-80A3-4792-A5DB-B4603F524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AF2CF1-90DA-414B-9136-A2D45E59F0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490F1D5D-4293-4199-AC07-42B6992A3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D4295F-F2FA-406B-BDBC-6EB6572E1D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48FCA4AB-0A97-4EBA-BD8E-B8DC6F33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825FF6-1CC5-48A0-A65F-0DC7B6BD28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7AAB523E-7026-419D-AB2D-9DAB9A82B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FE8BD1-4E1F-4FED-8779-DCD15CC71D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6B6F8D85-43E9-4397-BEA8-CEB995C5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818008-86E3-44B9-9C6B-271150EA7B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585E77B8-DF16-45E2-B354-9F0EAABB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1FD97E-8926-4304-A716-F6A72D8AC0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7BA04F44-F176-44E0-B673-98863478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F6127-96E1-477F-B9A9-81EE2CBD6F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01CA6E61-020A-4EB0-BB95-11879B4A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B166A1-B1FC-43E1-A2EB-A9236701CCC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70D34CF6-5192-4E57-ACD5-8A3060C5B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B86A21-A31C-4D11-855D-A1DC356563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31689AD-18D9-459C-BE9B-8B0B67CE2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C24AA2-F689-46AE-9988-B0690C8AEA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2663564-27C2-4D52-8F73-C920E8D6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31E198-2E1E-45DF-8270-2D0163F431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BD197FD-C3A3-44B6-A89E-97BC13AF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488179-96E3-4298-8359-A2FE4F49E3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2E04428-91F2-4A4E-9F92-F32A40B08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57841B-708C-4A22-8DCD-AC1B53A481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3A1C558-6A63-48AE-81AE-ACC196427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FE6F28-D9B5-4CB8-BEF7-14021A2A52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D183B63-FB1A-4844-8454-0B98DCEB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803C63-370C-4F53-954E-53F96C48F6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9691831-FA88-4C50-B54A-AC403B1A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906CD-E8FC-49D6-A981-5FED8DC179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FEF061A-5A59-46F9-BE2C-4C7FBC97C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CD04BD-9A96-4BFB-A557-C195D61A49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7F45B10-52D6-4135-89BC-05E3E7AF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1F9F07-3079-4DAA-8D80-EA3BE80E45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EFC356D6-D3AF-4768-BF11-6AA66948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42FEC5-AE9B-4B6C-A15A-98F59EAEA2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FEFB76C-6E5C-4CFA-B501-E79074E0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C4A1D5-0AEA-4C95-87BF-60BC1D5B28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3F7FD01-FF4F-4964-A6A1-6F5046B13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FFBE2D-94A1-45BA-9B65-358EF7ABE5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3CDAC3F-BF49-4AD2-80CF-9F02F876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FD23DE-CBB7-44A4-A5F7-CFB183E90B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AA3B7F0D-E5BB-4A00-95D3-F5667F64F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A4956-4826-4F40-9B83-0E8F47891A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EB08F089-012A-4341-9FC5-6C826A672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155D47-AA59-462C-9AE1-A05DE2D2E9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CDB7D6E-4908-46DE-9BC5-70E2C073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F6EDFB-E2E4-4662-840A-0AFF5DB6B4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494D1B8E-C475-4CD6-9D45-43A5BB459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E8DFE4-1153-49D1-AF70-71C21BCC96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CBD485EE-7D20-430A-A170-A9839DA9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412713-466A-43E9-842F-5181BB999D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4E571E4-6F02-44C1-A217-4408859F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69075A-C309-4744-A739-AFB30000A9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F2F08A4-446A-4E3F-B0E7-BB64771C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82A1A4-E6E4-412F-B277-5DD03EBAEA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72423B6-7E50-4B53-9618-69F63D67E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93EC3F-A965-4445-A719-8377DACAD0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04182A3-78F9-40BE-AA23-C67147991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9E44E6-49C6-4EDA-B449-AA6027ACDD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8B994AC3-0A89-4DE6-B994-B094BB063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D3A15E-5F6C-47E4-B56D-C6CF28E0AE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27CD59DB-6198-41D5-BD90-B840767B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7B9BA5-81F7-476C-A0CA-2ED927CE24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ABFDB6A-11C2-4853-ACA8-D9680470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679C30-5C1B-49B0-8F98-779EE15775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4461D4D-49E6-48C3-AA24-ACA4A96D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CE576-EDFA-4DCA-9825-8A127B127C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67115EA6-3034-4E67-898D-079F0095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B1460-212E-4369-9FD6-9091172457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46F36BFE-F4D9-426E-A8F6-F22167E0C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178B83-A3E9-4BA9-B5D1-2C063FE60F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357DB1BC-76C4-41F1-8065-45C6E49AC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3C0337-E786-4BB7-94AE-32F5EB2522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E3270EA5-EEE1-4B63-A551-F1CCAFF6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D3A698-427D-410F-B03D-19E313ABBD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05F2F47-6E59-4B9F-8BFC-58A0ADE4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405B5E-CE9A-42CD-8F90-50E2844C0F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308EE529-FD00-458C-B6D5-9DD4A779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ED94E-6D8A-4BB7-8C03-E9F0BC320B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D1B965D-56D7-433D-AADD-53142D4B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1FDC7F-6B6E-4847-AF44-5DB21D95FE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9BA643C-B818-406A-81AA-4FBCD484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2EF6D1-6EA8-49D2-8FFD-92B3638525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E5C5EFF-7A0A-43F1-B567-0069972B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3DB79A-A91E-4117-858D-6516A57FA7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B2A23BE-7340-4995-89B1-A8A2E568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00AF71-1B37-4FEC-AB4D-926025D457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228111CB-0CC3-4180-B7C5-548EA9ACA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7E634C-7086-4E3F-800D-F69545BAD2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B365ABF3-BE48-4CA4-A0CD-78215BAF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C6F233-2AFF-406A-94C1-56D6D9FC64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E3F6799E-B7BF-4476-B208-F4394665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03B95B-9E6C-4474-A79F-1F077183A8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139274B8-7439-408A-855F-33B4199D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6C45AC-A8C8-47E4-B86C-6789A9F291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8946076-0C17-458F-8C60-9D20341C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D467CB-A989-4331-9368-59098DBD51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C548895B-BAF4-4984-9EA0-BCC9067F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0906DB-13EF-4DCF-BCCA-DA9B63B082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775B524E-A727-4459-9DC3-477659B5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171F3F-C829-4C9D-8B17-6C36D72D4C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E8DDCAAA-1E1D-4D79-90E4-D1F73D6D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0C7A11-8A33-439F-822A-49FCA19E9F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FAA4E55E-A27B-4B83-B5E1-8926350B7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7DB2D2-2995-44B0-A44D-A30BFD5CEE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43B4926D-A01A-43EF-8B0B-B1F7649F5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566BC0-21C3-47CA-95FF-F6D1117EED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CDD5507-6B23-410F-8ED3-EA2D558C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37A516-C370-4A0B-BD12-9BBBC23B62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53C4B69-976E-4BF2-8678-016F412DC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E7FA6-E670-4A6A-8211-AE5D977202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4E41216A-3F20-40A3-9509-B89BCD72D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29C665-C2D0-434F-B0A4-D579559645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D036E40C-8352-405C-82EC-6A729C42B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867F1D-9571-4269-A05D-D2014D9A77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AB0EC33A-166C-4EBD-95D0-DEA2B3A2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5CFB8A-1F93-47C9-970F-42EBCAAF7B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348DCBE-1E32-4378-8A55-5196BD5C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FB6F0D-52EF-4BCE-8858-0F96AC4CB1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9ED875D5-0590-4410-9DC4-9DCB374A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488599-D646-427E-8F29-B8020FFCD1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4E098BDF-3D1C-4FB3-9345-4FD61194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A4969B-2E7D-4322-A19D-FA2876AA11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E2B25DBB-B63A-4407-AD5D-67D254BCB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456A11-6801-435E-9A7A-8518669699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5F53CD9-40C1-40C5-8469-0AD1B55F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A86206-2BB0-41FF-AD7D-DF0A3276C8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F6EA9416-B468-4FB5-AE98-EA248506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6DA9A6-D8AE-4413-A800-A47F68C73F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236588C-D21B-42AE-9D9A-6477DC8F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71BB67-4005-4787-AEF9-0F70C0844B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85D0A503-1777-483A-91C6-A847C5DE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CE9878-7DFE-45ED-BBE4-5535EC2F53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E800711-0D0B-48E0-8A52-5DAD98AB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9E796-C946-4067-B0D6-AE57A16B65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0439EEF-5183-4BF8-B3FF-1CAFBE24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7C10C6-7F6F-42F9-B027-A71E92B843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248734C-8D84-4A06-BA37-5BA23E41F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12C199-01F1-43E4-85AA-068B4E0978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A63F2FC5-E7C4-4BEA-9E6C-FA230FF4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CD64C8-FFFE-4307-8EC5-AF92145D13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B999F355-2B21-401B-A402-5F39BAE7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E4C997-46EC-4F3E-B294-11D5D9867E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A1F9830-238A-4C75-AAA4-05FE8794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887BF0-7422-4F61-AFDC-7EAE01CB0B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ECD426C6-4435-4810-8BEA-CE526BAA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E0E586-FC09-4B60-8F05-8628C87930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E08FFD5-178D-4487-92EC-E2689ECF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45AB1B-F144-49E1-A7B4-1F951EC41F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6772EF9-0304-4E4F-801F-BBE6E3BF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1B29A9-4D60-4A39-BDA7-DC6F2DD09A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F74B7B4-AEE3-4BC1-A91A-DBB22BD0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15BE89-A749-4DD1-A0DF-D6B614E7BF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B7F1582-B68D-49CB-A5F9-AF2F70D1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EA106D-3D9A-4AC8-9D00-A398B6777A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15388B12-AFED-4938-8CF7-5B8187B4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782B5B-3FFD-4867-BD49-000388A6ED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8BCB89E8-5C0B-4F2D-AE8E-44979B7ED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494C5-D959-4615-B666-88FD0202F0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ABF0D6AC-8763-4D98-8FD3-1818DCDAA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E61A9-00F9-4C28-A7AE-030537EB04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4EF3EF95-696A-4A00-9D52-F0915A4B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4483D6-5614-4FA1-A18C-A9801D6999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DC673E66-E69B-402C-BE80-9A5087DD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312593-A978-42E5-86FE-B4834EE435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4F2F621B-BB86-4ACC-A462-24CFB953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F884D8-E9EE-40F2-9F61-D51A072D95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BD84660-8BCF-4C43-9945-F101CD8A8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099A22-6C11-4931-943F-CAD9CA5268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8DC77798-120C-4BFD-812D-2FA2CACA8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BCC9C1-7A8E-48FC-8DBE-540B64655A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90BCEAC-1365-4429-9D14-1D7958E1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166FB-D4CB-4F28-A1C7-FFF7E9C57B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680E833F-C9DF-4067-AB3D-30FBBF3B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1F8C2B-73F6-48F8-BEE5-B7E061E131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D9CA7962-72BE-4FE1-A83F-7731DEA6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549E49-EF6F-43B0-97AD-8FB1B5ED4F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0C69E382-4094-42B0-980F-929BEE02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877D3C-0C2C-4F1C-B4E7-B4DE4F9783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F3A89C3A-5BC1-4BCB-AACD-8F2F62D8E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5BCB0-F3B1-4E5F-A9EC-B495DA445E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424F4E5C-56A6-47F8-93FE-50D9529C2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003930-929C-48D6-A5F2-186C455594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45E35851-7C8B-4EB5-955D-958EFCB71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A9B5A2-A5B5-4F5C-9049-5E283A9E40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70C40CDA-9E51-4958-A08A-95872D23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2C570C-12A3-4EFA-9433-47945A8D75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178CCABA-6397-425A-9116-CE573A2D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03115F-9D85-4DD9-AC06-E14925D289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DE95098A-922C-467F-AB2C-B6B38FA7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21EA99-3B5F-4C03-A711-51791A920F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2C4BAD04-58CD-4750-B06E-3366377A1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29E639-1AE7-4EA7-93EC-3DAABC52B2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EEC452E0-277E-401E-982E-2601FE22D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B21B80-8615-456F-A4C6-D321178894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7448A330-1A79-4B35-B7E7-A63EA202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E6C8EF-BC11-4C88-8C59-1BEBF84473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33AF2D72-EFA2-43B7-B83C-9F4100B9C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3A4405-F911-4132-A210-CFC7AEB818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542F9F1A-E79C-46DB-9132-9F9B36A9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75E2E2-7C45-4864-984E-0A54BAE14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275EFF5-12F3-45FD-BACA-CFF1EA1C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B09A08-5CC7-44D0-A70E-21F57D591F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38442CCB-6F09-4789-83E3-E419BC110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619E8E-9734-4908-B8E7-48194ABF45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A31C06C-33EE-44A6-9AEF-30D226C1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2801C-07C5-4349-ADB1-2BC47317BA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CA91958-E00B-4D9A-9911-2A37404F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925BAA-5718-40F5-AA83-847D67F645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744E43D-EF89-45DB-A003-1B99E095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41DE69-5E92-4FFF-A5EF-AFADC11C56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90C04DE5-D889-4968-BC9E-2E6621BA5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47CB6-B1DE-4CA2-AE21-01D9996302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72A94A7-A315-45E5-975D-365489053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4E7F0C-7008-4B31-ADA5-075BC2A85C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602063DD-91D3-49E5-8DFC-A38A9C34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244ADE-4B99-46F0-9E75-2E471AD108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FB207C07-B727-46FD-BD40-356AD97D4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078F6-7C51-48B3-9CB3-D168059ADB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B0FBB18-01A6-40AD-91DE-E7819D544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AC3B68-66FA-483C-B193-D89C52919A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FC89099-CC69-4D42-A5EF-2B56292E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439C57-82F5-4FBF-A553-E0B32DEBA5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ABDBF7D-8AEC-40D0-9861-79D827EA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CD3BA4-B625-4FF2-A2E3-47195AC1B5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879894E-3337-432D-88A6-995D6FC0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76FB3-13F8-4378-B0ED-9A768196AE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4579D96F-D14F-4401-B635-87BB855B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E2AD89-BBC5-430F-9A96-A9AAE3DD97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EC2BFD98-C5BC-4B0D-A01E-F0DF3207D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F14D82-B6B5-44B2-840C-D21C6BFFE1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3FFD1BF-0FCE-4401-8C14-D6940D7D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52DD1-1E39-479F-AD43-4323115F2D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FAC9786E-6F8C-45EF-809B-5E11BDA38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1CE2B5-AC79-4EDE-B62B-D778140967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04B1DB59-6EB9-426E-8EC3-5B91010B4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3648AF-D2FB-4D3F-9659-58B0EAF6E3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EAE538C-94DC-4F1F-BEE1-7448039D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AA89FC-6F64-419B-9634-CE7DC73A51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3FE2EB2-8C91-4278-BD07-946C62B60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920632-C39C-45A2-A705-12CB7575D3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2D43BFCE-EFBF-462D-91C9-01DCE21B1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DF15B7-7CA3-4F28-95AD-3125598B43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F5C8B6AF-2A0C-4F18-B9AD-6B24AEF2D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60075B-5870-4E63-A033-E24328D3F6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094F97E-5FC0-4EEA-A0A2-9A1FF3041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DBAD3-16F3-4FC9-8BB5-6C17164830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5F6E3BCE-0514-40B1-A443-0BE239A1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737F17-101A-422D-9A33-589AA1488F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41C3AD08-D942-4456-8CFF-D4D4101D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8CE26A-D8AC-4C92-B8A5-2EFF098A8C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DD9A8A3-7612-485E-88FB-24C8E4297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84A853-F2C2-4037-9876-E54A103C36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86A6D015-8DD0-4B13-ABD2-1F01B1F4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0C37DD-214F-4740-8C96-3AF64B3C55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3334BA36-C2B9-4B84-BA5A-29A32F17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93805F-01C0-4C86-BB1B-4DF37E6062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BA393881-23AF-4C7F-8CD9-38911AC0A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9CB3BA-E55D-475F-9AC5-5F1AC5193C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FDC4AD2-D2D8-4C8E-9B8B-A8DECF0B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84185B-6F4F-4C39-9A97-ABE4D0CA04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38A84CCB-0D45-419D-8A72-53E97041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71A54A-2585-4796-9A56-2731DE0EF1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3355748D-4205-4B27-8D83-47A80D44D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84A7C6-E973-4B96-BECF-5B237C1648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B6701D2-A157-4B52-9DD8-55115BF7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7B6FE4-BF44-430A-99D2-9520A23007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30D55CE-A2A8-4D7C-A123-A0450DB9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13109F-8394-4C2D-8BA0-C43426F5F9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42D1721-96C8-4C6A-93A9-A9F9D66D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DFDF2-BACD-49D7-A8E6-E053FD7B0D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A58554BD-FD36-4EDB-A7ED-2FD967EA0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FF14B6-E6BE-4097-8E2C-B02CE855AC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92EF326-084F-4A53-9706-850CD49E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386EE8-8956-4EDB-87A7-3C0BE52541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7E916BB4-A051-4881-AEFA-4FB16E4C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285264-12FB-4609-AC80-4EB8BCDD77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A1995DC5-EB4A-4C49-9624-A241619D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346110-B1C4-42BC-8B2C-FCF74121DF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38AFECAF-400F-48BC-AA5A-D6CB3731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295211-F4A7-4551-9C13-EC8CB9C28F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0022E96-CAEB-47C4-B990-4D0A8ABA8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C7C712-00A7-44FB-A702-C25B17D11C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5704C4D-2D90-48D4-82F8-5A557979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AC17AB-0678-438A-AEEB-4A9E4FF778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3D4EC246-C7C1-48B6-970D-0044F084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B1996D-0DE5-485D-86AE-056507EA1E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9906170F-23B9-4A0E-BBFE-129F446B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845101-B11B-4996-9A63-5AD02BC36C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B20C8248-5570-42B8-A742-BA9874E27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C9889-F009-453A-A838-D130A88900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5BDB4FD7-6DD3-4189-BDEB-AE1D7724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98989C-5B4D-471F-86CE-4F8E4A5F4C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651623A7-DA91-46AA-A079-AD3FC69E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7363E4-C611-49CE-9A8B-49280087C0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8FDDDA0-1793-405E-B68C-F6095D08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F687A6-B8A2-4844-947C-8D8EB833B3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666B52D-65A1-44A7-A7EA-E2E6F831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4E7DE9-6DBC-499B-BE37-F6A8361F94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716D5E8-D0BA-4956-9801-857A4FA0D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05307F-5DE0-489C-BFE5-F70E21A3CD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6A836F9-F754-406B-8A8B-F1E91D476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8423C8-BDA1-4DCC-99D9-62A2588539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ABDBF41F-1C53-4676-B79A-D91E60E2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F4A9D8-54A0-42DD-82B2-F572282465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134474E-F403-4E3C-A9A4-01A88877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616A9C-599F-4EBA-A3E7-ADBC0CF7B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07B24BA-A97A-4428-B304-1FD82B17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EA2C0D-6B90-4CAB-8BA6-33D0FBCDB7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35A7ABA-CED4-4A24-9F89-C7EB1E54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586AA4-9057-439A-B513-27DB1C0EBB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F6E0D8CE-C189-4EB3-9233-042506615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21775C-933D-42C9-A1CB-73B2BDD496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C0EB86F7-D7E2-43B7-AFFE-B751EF69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B4C961-A1D7-4F1F-AB8B-8FB12C0046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3E8DEB6-882D-4E0D-A289-D6998EBB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C5E5A9-2A5B-413A-92FC-EB91819C3E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A260E436-901C-41B1-A056-23BF6058C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E77730-FB52-4355-A603-CCCB97D1ED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7032F12-8BEE-437F-8066-93611C81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71EA07-633C-4987-88BC-9DA2455B11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CCED12C-9609-4474-9E97-F23BD81B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56773D-B12A-4A13-8F01-49FE46DB89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505F5AB8-BF7A-4139-8880-B817C1E1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9F32C5-1B0A-457B-9327-973556245B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BF3E3C9-E739-40D2-BAE6-9FE8C4863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51426F-76E7-43F5-A558-95DF13D4E9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74960B22-BA0D-4A2F-858C-ABCB1B15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D9DBDD-522C-4CA0-B7D6-3A599A6C15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0725A78-EF66-438E-A39D-D3409ADDE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1EDE15-3FA6-4E27-8599-893A3DEC19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8B540B35-8FD6-4587-AA98-21E5D2B3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B6F6AD-FB95-4B8D-9252-66E43FB273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D69BD1F-9530-4B25-B74E-DD98F512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EF6FB1-A0ED-4B42-9DD7-7D3B19350E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5A2A674-58BE-4C6F-801A-2F776273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0F73F7-A6AC-4872-89E4-9EC43D853A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DB9DD69D-3B1B-4B3D-A0FA-36FE09E5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A8FBF5-96D3-41CE-9E1C-422E9DFD17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6C4E092-6EB1-4FB5-A7D0-46677F987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BA6FF3-7D05-4CDE-9CB3-EFE2D749D8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B84114DB-FB9E-4B92-924B-42635FA9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8C5099-7E66-45CD-A6F7-2A8ECE1465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575D41BC-C409-433B-BFDB-324B600C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B7D2-9B21-475A-9206-F2DA8E70CB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BF670E4D-E7A0-4E5F-B6F6-3A8B60F59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10FA2B-CB4B-4203-A034-A75BED138B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37AD3BB5-C4AF-4459-AA21-A35859E41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5F3C55-A2A8-4B4F-86A4-7B9FED2FDB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480EB459-F06F-46DF-9EBC-73E00A4F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4084F5-4045-463C-9E44-05FF404C21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01F095C-3CA9-44B3-9A33-F3716565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76808E-AFD5-4DF1-B192-9A8FA13AC4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C87BD422-B6E6-4E91-9610-D6549CC7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81C06C-6C15-433D-A9FF-E5A812EB4C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0B763B45-FC53-4E67-BCE3-20CEDE25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52DF1C-2B96-4D47-9D54-1B4DFC11DC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DC512AA5-C736-44CC-9C0C-FF5AEFE6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DB2DB7-ABEB-4E6C-A745-8CE5D1C828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FEDC0768-DC28-4EB9-B9DD-D90A98728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6B6DA2-58B0-4497-A5B6-BBD51E4437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CFB94D6-8FE5-49EF-90AE-9E198399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8D4A1E-9588-465C-BBCE-C3CB42BED1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C4A4ACC-C31F-4275-949E-202A65A4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F228C8-5592-41C4-B821-B942DBA485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C289FF8A-6521-4E60-B635-F0548045A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4E4E0B-BA4B-45DB-BCA6-AF57DD5770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E732A3A6-4983-4ABC-ACD9-C6F3B5AA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61C92B-99D4-4ED9-A234-C529E0B8A6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7C1E9138-2BF9-4EA3-950C-8101D607E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CD2CD3-A21E-4584-9465-474189D5D0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D49A353E-817E-4FBD-AF1F-60F7B35D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2319CE-2B42-4BA2-A7B3-5B51021555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B3E00C8F-4221-4657-89DD-5D4C747DE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83D321-316B-4620-8F0A-F6A45BEFE8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F82794AD-931F-47CB-B88E-2BA537D8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7D48F0-5931-424B-998B-209040185C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62621B9-E0DB-44E0-822E-0C6AB4E5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E83B31-0CC2-4643-A513-DEA1855C74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D24E042D-505F-4C21-8713-B24BD656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2A94D0-8476-4878-807F-5FBA017541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5178F735-3EA1-4D81-8265-5AC3B9510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9BB50F-B5A2-40E3-A9FA-A4B653F22E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5FDECCBC-2CA4-4EC2-93CB-F518E9CCF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91E617-B395-40D2-A037-6085EAB3D6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D7FACBFC-35FF-4C3D-AFC6-FD0D22BA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D62B7-8978-4BAB-A917-8610688F59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19140615-C7A7-4B84-8BB5-75CEFB1E1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AB9286-1FCE-4314-AE7B-54379EEDBC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C7924614-2D89-4875-B419-A98C553D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B26219-FC1D-451F-A292-3C27583B56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3C62C59E-6777-4DE5-93DC-F04E9005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2F0C8F-EAC1-4CEA-8E6E-98DB31209D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EB7682E6-CF03-49BF-BB17-A7917A81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967812-9F74-4C51-8864-74CB3E00FD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F3FDBA4-F83C-4089-863E-508FF256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EB8368-C972-4D30-9060-CB43D6F853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CE9F2C7-8C19-4964-82B3-64D82426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4CFC44-6F77-48E6-824E-426DB12606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D2BF1E6C-9A0A-4F86-822D-29C76F8D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94738C-E1E1-4DC1-8258-EF5B0E3CB5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08339DB-434E-4A89-B07C-835BBEBB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193175-CFA8-413C-B072-32B93704D5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3841985-7909-4C2A-99B3-A3C6AB14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A52E75-2151-47B3-899D-683439241B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43A9E8C-ABBD-4911-9BB8-82BE6231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12D347-F53F-4EA3-858D-A436641A73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D6639842-7090-48B8-AC7C-DCFC7A35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A216A1-F2AF-4DB0-8876-9D69FE55AE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96EEB0D-6FFF-426F-9F8E-F0424C2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7C31AF-4693-442B-A3AF-22A322F99C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2535665-A4BD-43A0-990A-FCA596CA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9ABDF3-06EC-4084-811B-36FE3102C2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E027FE68-68BC-429F-A568-DB15727AD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FFCD69-AE7A-4EE2-980D-E5CB987470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E4B2D56-952C-4146-9832-55CCDA92C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9F4DF0-3144-403F-850E-244CB0AED3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37B134F-B374-4EF7-9322-D6EC282A8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906CEA-C105-4199-BAF7-49BDD350E1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6227C04-CC7A-437D-A9D1-C0EF2B15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E96DBA-7EC0-4930-AE02-C68EBB50CC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E6600D03-2F57-404A-B2DF-51BDC9F0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5CE905-9EDE-4620-A85A-F2D74571DF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E94C7476-8B92-4BBB-BBF0-E01D436C9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673188-6C37-459B-B20E-D808884726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E61710E-FA82-45C2-BBAC-87BBB63F0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786E5C-B41D-4CA6-8067-B7D4B4DE29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3F95798C-FABF-43A8-A1AD-14D3B973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E5E431-9694-4FE3-A1BD-D490BF94BB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C0DDAB7-B77C-4C9E-AAE2-F4EF05A3C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7873CF-DB34-4346-8778-ABEC970FFB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D880D12F-4141-48A8-9C58-93C27F4B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F3D1C1-9890-410B-B2D8-44FB40514D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6D3696B8-69E2-4972-9C90-62B4219B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1B3031-0BB6-4683-98E1-F4E8C504B2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3C3F612-B85E-4952-A45E-E53750E1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6C214F-5A52-4ED2-9F98-FDAE26C1B2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647C98B7-746D-48C5-8947-B0632F82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FA1B6B-35E4-4EFF-9124-E4CD839681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52AFFC0-13A2-4908-90B0-A6730A7C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59FB2B-97BA-44E3-AAE7-0407C6E716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450EF81B-C72C-44EB-9407-B8468DC3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747040-3743-4E18-A4AC-933E5F5E4F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91287CD-EF5F-4737-A977-93D030661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3985A6-82F8-432F-BF8B-56E0AE85D4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96991C1C-6007-4D14-BCBB-E1C39027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63ED60-0731-4C76-8F93-E1BB084098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A0A4AAF-85E9-4BEA-B2EC-33660439D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F7B157-9B76-4F40-8561-2BFF7224A9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28FEAF2-F39C-4D48-B6B9-185CC324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0EA053-5FBC-4F5C-9B66-4FAF0813DA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A38C5293-A232-49F7-8130-06C59F463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09879B-C7E3-4608-8D05-CA79FA77FF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9ED5A5CC-BF2A-4B69-8E9B-B565CCDE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C6C4BD-830E-4EB5-AE46-E5D83A1483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0E512E1F-AECB-454C-81D2-C5A2CB43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C73664-396E-40E2-AE5E-CD5848D8A6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97644D8F-B772-4D91-9113-F8A983D30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2946BC-4C20-4F08-A30B-47A25FF7B1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4BBE8F39-33E3-4633-BDBA-FDAB0CF6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F12533-C9E6-40B3-9446-CFFBF5D3E6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69BBBDB-1E3C-40CC-B4C1-A0FBF34C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36FB13-57CB-4A10-BD3E-FCC0BA5456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BFBDD4A6-AA17-4124-BC4E-762EB569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32E752-F85C-48A6-9132-48B5DDA6A5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056186C-D944-4E5D-AB38-4D4665A1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753482-1C80-47E7-92B2-3FFE8E8AE3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319DFBBF-773B-4647-BBCA-4E22F1ED8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E6FE5-9F4C-404A-8047-7FA31F9247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97BF274-A8C8-4808-846F-D8ADC010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0A7682-E2FD-48FE-9D06-DE6907D28A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DFDE0E5-A33B-400F-BFEA-87D1526C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0D6638-FC6D-4273-BBCC-1A0CDEDD01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FE2AB2B-815C-44BA-952C-038724892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E56A6D-3E7B-4C10-8144-DEEB6615A3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D54BF748-D23A-43E1-89D0-136269DC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06A73F-C356-4ABD-AC25-3D6E264E85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309906C2-A21B-4B3A-898F-727DE31E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FFC3F8-B373-4C0C-AC3E-81C4FFEA99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E4ED3CBC-27C3-4937-B475-B39DDFC6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FC36ED-7FA9-4844-879A-CDFA245205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B24BAAC9-C96A-44FD-9068-D497E11D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161172-AB46-4CA2-BAEA-64E19C9D80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FC554DFA-75AA-4A23-87CE-86FD94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DC4BEE-4507-4951-954A-32A836BE22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DAD40D61-0DDB-4F50-B5AF-FCEEE1BD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20ECD-A111-4D84-8919-5DA2B526D3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EF3D9432-31A6-45AB-85D7-5458F105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49145F-4922-4CB8-B9AE-B33C334E37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4D6AD1E2-16DD-42F8-99DD-8CA754DB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D66605-7551-41D9-90F6-D9E0B60A71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015483AC-A09B-402B-8DA5-10889112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F67BB7-92EC-458F-BAB0-B102051971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6DA6BD0D-A1D3-4CB6-8A67-179857473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FF24C7-372B-4004-9163-34AA86399B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9B71DB8B-EF19-423D-8216-54ECE9E2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883DAA-E871-441B-9386-1E6D6E53E3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6EED005D-3DF9-4943-9875-1CFA2B09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57C144-9DC1-4A26-988B-E9414D23CD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E350841-6908-4219-A28A-A0F17A37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064A1E-99C9-4AA1-B5AB-16175ADCA9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F5B0C93-11D9-4B11-B065-8227AF287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ED15C3-C19D-430C-8F2A-55078B5D87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2FC133F-E4AD-4CCD-BD0B-99E639BED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C3FE8E-A613-4339-856F-C12162C14E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F5F377B-42B0-4116-BF9D-1E2B23E9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D4C95C-7B94-48C9-AC53-D779F97837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7C0357B2-E216-4A7A-BCED-E1C87869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E4410F-2817-49FD-A57E-EA05F0B46F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51449D9-225B-4529-8D51-D27611D4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643B67-A633-4DC3-911C-B7FA149BC6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E8BA548-428C-4015-AD30-42D0B66ED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E75E0E-6F8D-467C-9DFF-04C54B4D99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A088B291-324E-47AF-B2C7-B98A613B9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0D9C69-C42D-4D7A-881A-EA6534B1D7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A594A20A-859C-456F-92E6-5D129C1E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8F8C2F-47D3-421E-9E0C-C87B9702A0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516C70F5-4046-428B-B5D6-73CA150F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CF59E9-86AF-40D9-BF13-FAAFDD993C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380A703A-89CF-4182-952F-D493E38C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FFD07A-9521-42A4-B6ED-9E49F53C78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04DB336-BD17-4C04-A980-7AFA2480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49360-7ABB-4A9A-80D1-198B9B935E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27B0785-8CC8-4E7B-8699-42F53456C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3B40C0-27AD-40B2-BDB3-6218E782F3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04D4A17-403F-4819-A449-37888FF4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97F3F8-8CD3-4E9C-986C-FDD06E7E83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2FA3F48-15A5-4271-88FE-7E0BB664D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5054D9-5037-4943-8CC0-EDCB6AC76B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49E4678A-839B-489A-82FA-EEE5DB71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2164FB-3D0E-4BA3-894D-6D6D33353E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D861E29C-40E1-4AB2-BB1E-15BEF498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64F4B9-8F7E-4576-A118-401C1BF079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1E22B9DE-287C-4944-9670-66AA6B1F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DEFD75-6220-4BAA-A523-53270E24FE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89780169-FBAF-4F42-A789-CE38FB51A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A20A3F-4BD5-4B17-9015-10CCF119FA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CD72EBB7-AB81-4BAA-969A-7C35A9FA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2C4D02-9626-4D9D-8835-38D0299DCF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D48260A-769A-4054-84C6-511EEC244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F7ED8B-A202-4F0E-A803-41127BF2B1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B10EFDA-C24E-4282-ADC5-4ECA069A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1103EB-1569-429F-9F71-39B6B3DF89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71DF15C-26C8-4A33-9C49-080FE93D3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308D3F-CDB8-450C-8E98-E8F3B65132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48D0DAED-F11F-4938-9600-7B2042AB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E5C7C2-B885-451E-B0F9-713E2B28BF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CCED564B-4581-4CB8-A161-99888FD25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1C3D36-1C13-435E-95E1-935F663439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3AD2EF42-5A15-4CA0-80AB-858CD1C0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460842-ADDD-4C37-A7CA-39A11B4016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7BD529D0-7BD9-4B15-8DD7-530FF35C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7C3E0B-4D1B-4DE2-AB9F-70ED16120C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FA0EB9E0-0758-4838-AB72-F5E6F67E8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36053-7892-46DC-9599-3763C507BC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A05152F-53E3-47BB-8ADF-C715E8A3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0BD65-0A21-49E9-B5F0-51B5556EE7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C08B0BDB-D45F-4B99-A9D4-4E08CBA78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1CE646-679E-4769-9F17-EFED64549D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3F65C1C-6637-42F1-8793-B2BB1F2A7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35E9B-4EA6-4688-9121-DAA4C421A7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801DD045-C140-41D7-BF70-5658F9C1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42E919-20F5-48C5-AA41-60A1FDACDB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FADA2C7-09FD-4445-B822-D0D9E03B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506144-1BA1-4092-877D-0F2E4714E1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6F19CBE6-270F-48C0-834D-F184DFA03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2B0257-CACB-42A4-A4F5-77E71523F3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064ABD6F-2410-4DE9-B5AF-C726E9DFF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FA95B3-D69C-4715-827E-A49D7E2816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E24AD5D-0F0A-4DD5-A31A-BCD8BD5D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9D963D-0AB4-4876-995D-2F3E54A21A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CC81C617-DDED-4228-8194-D83AAD94E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D61BA1-CCA8-4B16-AE05-4466ADCD33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489FA275-F0B1-4469-896A-E7FDC395A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DF8B8A-7D6B-4313-B53C-E6EECA8238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F84B61FC-45A1-4419-A8D5-031108FE0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A73EFF-CB42-455C-A823-0BAEB0B837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EBB4C7A-5FFA-496D-8611-7098ADD0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FF62BF-659F-480D-ACCB-264EFE1F0B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C6F09A78-03C1-4C1B-BEB5-E3DEEE6F8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FD0FA1-95CF-4C75-8704-8A254117A1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59FF581C-D47C-4577-A905-469F9BE5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96DD25-ADE2-4970-97C4-7F08040DE4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827E141D-20F5-4945-8371-C7F383782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02691-2EB5-44D0-8BE5-5B9A2472E5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6755B8AE-F247-4B12-9616-682AF5B4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000250-C2B7-4035-A40F-0EB8484D37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1DD7EB9B-5AED-4B83-8099-E90D69BE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A35ED0-B182-4E28-8DC2-38F8DAD7FB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DC0AC176-78FB-4BF4-A416-759E3E106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F85486-49C1-4F27-A8FF-E2BD35A8DC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E45ECC23-77A9-45BC-90D3-968E67E6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AE3DCF-D596-4EBC-81BF-3EE65BF593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BE23B1B-EB11-4630-A6D8-2AF1502F1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4A1E7D-3EF6-4124-840F-CD0D11967B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BD662EFA-EA49-4083-9315-33142846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290242-B9BC-4421-BC8A-15F1A0D74E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1B7E8A57-E84B-4458-84D2-2E741D42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0CDE0E-136A-423C-A5B8-66A8699FFA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4D5F3959-099A-4919-8621-C38004BDB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A2EF43-3EF9-4216-A44A-33C0EAB20A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B3A3F2C8-9FA1-457F-B599-B5EC7033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CF046A-6BD7-4164-AEEA-0A14131CD2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3987EF4-71CF-4178-99CD-C9D0F4147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F5A576-9581-430C-8151-E72A44608D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3914442C-3AAF-407D-9B26-2D7DD1CE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899CD2-11FE-4CC0-ACB6-4A0136D522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5F998CE2-F8BB-467F-AE09-6FBA332EB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F1879-15B6-4EF1-AE9D-B144D5CD7F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C218BD2-69B5-4B09-88CA-7652ABD87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3ECAC-DA67-4893-8486-15D1DA186E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CA99B5F-8B9A-435B-8FFD-D06877DCE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EAD13-6B1C-4A8F-9E4E-6A09D2F71D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DF44A91-B91A-4E7F-BFEB-6460B363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5F3A75-F84E-472E-87CC-D3605C9EE3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AFB15C1-7BB2-4A0C-BD3F-37092CA9D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5F5AF2-850A-4811-AC4C-E7BC89A3D3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A8706792-D41D-4BC8-952D-DF32612C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61E246-D962-4470-9DCB-97ADF9C59F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935CEE67-D6FE-42B0-8B3F-39E2EE2D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52974E-AF1C-4409-B256-8086AABE12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21EC259-FACB-4F91-8666-E5F1237D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F1E4B1-A203-46E8-BA26-01EF8DA77C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2D667FE-576A-4A15-B96F-6EC2BCFD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B98CFD-DD53-4D38-BA6E-D0329D5CA9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597229B-D40C-4F0C-A3F1-C74EF57CE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E18359-B1D5-475E-ADD0-FA21B10B68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883B1B4-76D1-4868-9E10-4746BCEB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1669BC-FAF5-4131-B63A-8172CB483C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9BC54BF4-B42F-42D1-8706-C7FD9D851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C7472-E5FF-46BE-A218-3E8BCCAEBF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9809F710-55E2-4E45-8F57-98698CC4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732A6A-11D1-4858-9585-E5FFE71604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F04315E0-3F94-4471-A760-B7E35A81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B385CC-3FE2-4B3E-A258-75350C8AD0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10140B2-84EF-47B3-8949-DD6C4459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23E4E5-2897-4F1D-8978-FBC2863D5F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19291EA-5262-4CFF-ABFE-2C3881D1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989C3C-112B-4892-820F-6C566E3F09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E946377-136F-459D-9670-CC91FEC63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48048A-E412-47C3-A0D6-C38ECCB9B0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79C67CE-18E2-4866-A95E-59227D2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676472-5D1A-49A8-A91B-7592DA6362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75AEDAE-8330-4DD5-BF4A-3F3D20E4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38EA50-5D9B-4767-9DF5-5FE91E72DC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2D0263DE-F8E3-4BD1-8C9F-B7E6AA09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F7E0C0-FFD2-494C-A1B4-35242BDA30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7B23944A-F231-4472-AB4F-77E30F96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830091-30BF-4620-B6CC-531057D3E5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FE78E84-A49A-4027-B40B-74D937BFA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50D82B-F211-4BC2-86E0-FB7202E009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CF2896BD-0877-40AD-B641-BA3CBBB0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0F8DE4-B260-400F-9650-9C7852A118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C78BEA3-FB5D-4C8B-B353-AF8951FA3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5EA1EE-26E1-4420-91CF-C2FEFB8234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6EA688A6-0C4C-474E-891E-9CBEB1FE4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F403A7-FAC5-4A35-9B73-358F2BEDB9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520D0B1F-78B1-4C77-B6EB-47FC8FB8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2DE295-245F-4148-8316-451F1BE0F8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B3B739B1-DC51-4EBD-8497-835BE5C0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48E665-01EF-45B9-8E3D-728567932F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26AFEB04-5FE1-449D-B34A-F9E45327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4447DE-91AF-4DB9-87C0-E0C7FF8625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450145A1-2AD3-470D-9490-82C3433A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07064A-C25A-4DFF-AA19-36C4842AE6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9ED34451-F21E-473E-9D89-49CF5F2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0C8EF3-67E0-4B7E-9324-59D233DFC5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E8F107C-9E86-4C6D-81FE-53AB505B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09EDBD-D235-4F17-BADB-C68E29A2B1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0AF0BE57-4280-47D8-88FD-8A8372C8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8CE1EE-25BF-4A43-88E5-7B4D0F87E2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8FFEC86-336D-4BFB-872A-BF2538F46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08CA4B-CDA5-44C2-BB6A-E31E661E0D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546A5D37-DB74-4DFC-ABA7-B7F3D725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863511-A741-44C8-884B-09E480F1CE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7A0084CF-1F39-43E2-960E-67957E88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0A5DB3-C83F-450F-A2B5-7FDAE0BA1A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81567026-AD2E-4360-BEFD-1E59DF00C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0D8BDD-3482-4981-83BD-FE752B80E6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6E28D94E-F348-49AD-BE16-C2FE020FF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FD452C-86E3-416C-B30A-F30C9E5E95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BE2F5899-AAD0-4E76-8611-C9ACA829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32C4E6-41EA-4CA3-8EBE-EE0EC4A03D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2667EA56-BA77-4F76-856A-6869BAAE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5674FF-975F-4497-A28C-C0731DBB84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CA47B68D-F57F-45FD-98EC-85903A5A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6F16AF-4D7C-46A3-8E4C-6B544956E2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89E1FA2E-44E7-4A59-ACAA-98A9D8973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E8460-294F-4805-8947-DF7198E01B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86E92C45-2154-45B8-A428-2D64E131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1810BE-3DF1-43CB-8F26-61181B0D39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AD30839F-1C91-44F9-AE75-6DB089242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A8841C-5BF3-4663-B3E8-A83C7F86FB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192FF31C-F5C3-490F-95D1-32AAACB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B607EC-72B0-4A12-80C8-EDF5F08F12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F6856F72-B882-4BDB-B262-06E59CC4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7E2B6A-5B88-40B2-859C-E78433D1CC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EA98136-86C4-462E-8424-963AE40B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40BBB0-78FD-4964-B55B-B0DB956FEB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73B4BB00-53E7-48B2-9A09-AADA1A7E1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63A74E-691C-4967-8907-07BB4607AD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9E05E424-29AF-4D41-86D7-4F701CAB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368531-4AD7-4615-8E4A-46A9C3BF2A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0AB1F48A-03E4-42B0-B667-B3AB0B5D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9D8855-A14E-4BA1-9734-0134367F09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66B74D1A-6BC8-4C0F-AADD-AF1453F0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B77302-713B-446E-A453-4E4E31179B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38BEA603-CDF1-4700-8C66-454C1955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35F710-C3AE-4571-B651-B03690AFC0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B3AA49E-DE45-4CB9-9617-6873C2C8F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0B421D-65DA-491B-9940-B0D56326D5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E547541-F32B-4D1E-8B30-0BE309EE2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E150FF-0682-45F7-97C7-E40DDB055D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3AB67FA-C557-415F-91D3-6705A74F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2DA862-0EFC-4E7B-A4C9-CCFE5623F4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05E7E04-03E1-4172-B995-686EC92A0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23D650-BA5F-4447-A89E-6AEDAEC6A3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C325F70-5EBD-4DB1-B3FE-9ED76F34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62AE90-8454-41C2-A21D-32AD5E3FF3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13DE6E65-A3F7-4013-BCA3-99D58145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54DB6-9B0D-4077-89A3-A18167930F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F483E83-17C8-4223-8C30-212A3159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4E08D-BEDC-46F5-B0B4-2275B0854C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493D14D-1633-4BA9-8666-29116AEFB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B167F1-9C20-4EFD-B667-5AFFD23F28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01B5FE5-4598-4153-9DDC-0CDCF6E4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836E5F-9D0A-48BE-ADDF-C501EA3F5C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DE2A7F7-71B7-4ED1-A4E4-4D957088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0629D8-9A9A-4CFD-A9F4-1FF52F4775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2BF3DCA-2B5B-4E5E-82F0-3C79AED3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8495EF-8A29-4B84-B750-8AACAEC1F9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17500C92-446B-46C6-BAE7-AD9957677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0AC0CB-D763-4D6B-A472-5B6AFC34CF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C28934ED-CFDA-478A-9F55-88FEB0CF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9285B0-5A96-496E-A760-0F8E98E82C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06E8740-CCF0-4629-B0B1-59057641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FB24EE-A870-468C-BF56-988313D936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FCB761BD-AAFE-4A7F-86F6-5F304929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0245EE-3701-41EF-AFD5-19DAB5AA9C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C23D4DD-2FDB-49A2-A2D9-79832F0FE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89070B-66C7-4CE1-80DD-26E717A39C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DF915B58-7842-4838-88E2-90C40906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A02369-50DB-4036-B55C-31DC2DD3C6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87FAEC3-61D1-4E9E-9D1F-1EB3688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CD498-7E99-43AC-B387-EB59C7FB30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91970E04-DAB8-473F-A6A6-4EA89C3F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7EF9EF-3FC4-47CF-AB2B-A3F03630E3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E00E65CD-31BD-4030-A2E9-79F28DE1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E0C8C9-BC8D-4871-A0AB-BB8A42894C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5597A25C-75B3-4A84-BE32-E8661A36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0E6450-1CD4-41BE-8C1F-5C64658253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8DFDAF24-568F-4F83-B6E6-77102962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1EB97E-D927-4804-988D-C0A3CF912B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A5D99D94-ECCB-4703-BD6B-90927075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750619-5339-4CAC-86CA-1195043555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3322B32-9F26-44E1-B1CE-4B2E86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4F0774-7A56-4C37-8BDE-45C4E627F3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35F3DCC1-14F5-4A37-AF78-4C19CAA7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EDBF26-AAAC-4903-A113-50D527BA64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98EA5A70-C605-4FED-BD61-0A2CB6C8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C5BFEB-FAD3-404A-BC93-AE07F82C35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67767006-F0C9-4A88-92ED-ABFD620D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C9FBBB-9BA8-46FC-9BB5-4125FC3A59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A3BEF306-8C46-442E-AED3-678B740D7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4C834-DC41-453F-B8A0-5399C37AF0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D485CFAC-DA8D-44FB-9BF2-A741DB7C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7DF172-EC30-4BD1-935D-1C8D627397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D3591AF-FE7C-4CB7-9548-32705A3E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3CBC66-C122-446B-949F-9D9E92DF9E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D4C29319-21EB-4E43-BD1D-1CAC02B6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17BE41-22E4-43C9-9BC7-537CE1396C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E4389A58-3D9A-4690-A2A7-984553084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37F63-4148-43DB-BA68-C028B66215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78F0B19-F4DC-41F8-A165-B9D80C33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237CE7-4E5F-4753-BBB5-72766CC118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040AA592-8260-43DA-BDCB-9A0402E2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A0411-F0D2-4427-A1DC-33E60547B1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5AAA691E-6F5C-4808-972F-74A4EC2D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F5AD22-FA7B-4652-9709-2878F43083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8A386D80-0C38-4F92-AAA4-8D9A037D6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436916-6FFD-4D60-BACA-E8A942C02D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8FA31746-9564-4039-9169-7F5E5CE5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90520E-8168-4043-B216-87F12C3AC8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68569D04-6B7E-4861-85F4-5E5024CE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3A86F7-92F6-4E14-856C-E13FB20BD6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F5BAB118-841E-4633-8CAC-BEFCE810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E79BE5-F591-46D1-B626-965365FEF8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57399C2D-67D8-4CB3-8219-41DFE933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A486DB-4B72-456D-83F8-E286397416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6CEC5BF7-6BB7-4907-9087-E0A740F01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3A00E8-B3E4-4E0D-B13D-29248F8F24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DF032C5-66E1-4837-9C9E-43EC7681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D15DF1-484B-43CA-8C0F-D4CA48D6C2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A8534222-31D6-4B3F-810F-E996F967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E4F087-B7C3-4752-A712-3339C76435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90162EC0-F887-4333-BF9E-E6400B14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657706-B000-4ED1-BB1F-C67CF38DF5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202A2FE7-526E-4EF1-9676-8F5CE22B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2C2105-8766-457E-823D-7AA8EBD6E1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77F6E09B-A0EA-47F3-B677-C791CF10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1C6C0F-A81A-4F60-9E89-49CFF8CEE9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3B8EE9E4-1985-4E9B-8DD4-F9C7B93B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650410-936F-4658-BE71-3F9CB2AED7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5F3B8469-164C-45C5-BB96-750B4DFE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341C1D-E808-441B-A036-E160616FC2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B7F332F5-E2CE-41C5-8785-C45892741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7877A2-CC05-4185-B540-3953E6E2DA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CA66F323-C533-4973-945A-5DB67C6B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3EB11-879F-47CE-A8D0-FDB52D128A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5470A768-C761-438C-A6C6-6F79531B3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5B6433-5658-4665-B3FE-AF5CDCC546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B1A1277B-5B6C-44E7-98D3-E065E585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4FFB50-560F-4894-AD60-B20B067454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1FFEAB7A-1C29-403B-9238-BFE42B6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977CDF-B4CD-45B3-BECF-3F2DFE46FA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3FBEB0D2-12E6-4061-ACA0-639384A5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28AB5C-62D5-4AE8-A43E-F8B1003DA3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05D7324-D00C-42BB-8245-EEEB9EB05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CEF3D1-DB03-4294-ACEE-221AD00FCF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AA7F505A-C1C9-4F7A-910B-2DD1656D3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C925B6-37E6-4EC1-930B-DA0DE362B9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C3755F7-9C26-4B81-91B8-9CC4C91AA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12561-57E4-4222-9279-689BDB8243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0044575-D998-4F4D-B334-3083E4CA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18FD5E-ABF2-43B0-A837-063EF61AA3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F86B86F-0135-48C1-94AA-A2B32CC9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36CF2C-5F14-470F-BA42-F9C92B9C34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92744FC-3F3B-4863-98D9-443BA5DC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922BC3-6E18-448E-A6EB-C60BD1E7F6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676DD43-E843-4FC4-8AEE-1B6FBDAC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ECDCF-8884-47C0-BE1B-128D09AF40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9D7A551-2EC1-41CF-A560-B7570F7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8CBBE8-10B0-4D22-B2B8-1F2B638822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F3493D7-1DDD-45E5-A56C-5FE4D21A2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63B48A-4EA6-4CDD-8EAD-688E724961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4BB69DC8-EB83-4439-8A4E-90337D49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1382F3-B561-4B26-980A-DAF30FFCF0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E16E7FB4-F15F-43C7-A699-A67F410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AD9A9C-5E4D-4676-A895-ECD78EE26A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31B7204-8C4F-4EE9-971F-07C9B45D0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63F36-79D8-477D-A17B-EDB217EE3C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E0A151D4-EB9A-41CA-BA2B-74A12ABE1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025E9-53FC-41C1-9F0C-8BC4702746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537D7F5-AC4C-4644-8D1E-6AF745C7F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2EA818-86FB-4C67-9893-75D28D9944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F34D424E-AD1A-4032-95C1-8B71424F1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3DD6E5-2F1C-432A-8912-AF6593855D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0DEEE8F9-4E94-429F-A5BD-56E3699EE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723611-1844-487F-BA5E-D086F080C3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558D0154-A501-48A9-BA96-3291E00B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79BAD0-D28D-439E-B76C-246FF00FF6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A2597B64-7CCC-4E93-887D-C70CD023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77CB7F-A6D0-4F10-8DAA-DB003B0140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F37B317-4D89-4DC8-8A99-C383FE29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BCCB6F-ED53-42D7-9A56-CA20516D51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E52BCF17-567D-4722-815B-5E246F95D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7EDD2D-8996-41B8-9146-73A4125149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50BE74A-BFEA-4E82-9D84-EA571D51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4BFEE-9849-464D-8156-10F4D5D6C5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FC6ABAD-1412-47E6-88DC-4F04DC56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405D70-E7FB-4623-B6BE-B8BA3FF8D4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4BCCD7F-75F2-484C-85C3-C71A8A79E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8BAAD1-4285-4BAE-90BD-F3EF4EBF00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F8814882-E50A-415E-ADBB-0A18483B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3CA7C5-32C2-49BC-9486-C7D7EC9D7C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8D9C6881-3BB3-4F85-99A1-22689CEC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0F9000-466B-46EE-9D6D-E43352FF0E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DFD50AB-045E-45A9-A751-3011B957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E76294-1F8D-45CD-8341-DABA51DDED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EB5282EE-0517-4728-A8B4-4C21CC14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252F1-C588-422F-889B-14C9428725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2C89B93-3EF7-4D82-AA70-007358E9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2F1715-50C3-40D8-9002-9CF951A0F9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C8DA85BC-D778-48F2-B1AB-404862C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9674DF-92F7-47AB-A45E-A3EB4A3B2E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742DA83-D3BF-41F0-AFED-4F9E5AE6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398334-D688-4A32-A4B7-447D5E4FD5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10802F73-6516-45AC-809A-9E1FED0D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3611C7-52AA-4D3C-A37D-F83E3F33EE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78948BD5-6A40-4027-BB9F-D1464CFB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49D9D0-15FB-4BC8-8E21-50080E7CA9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AC1F668E-4B57-486A-9F62-EF5C7B4AA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98D22-31DD-4A7F-9F31-9332692753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DD78259-296E-4109-98AE-57E1D761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57D6D3-FBEF-4F17-A51C-EA47395DB0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18BD90B-7062-4620-A5E2-92E3A7F7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E653CC-9201-4341-B027-7C6AB0052D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DF589331-CFFC-42FE-BED0-D9B2A38C9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D77634-BDDB-4CF6-B868-CDE9B7430D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4EE0158-2A14-4EAF-82B3-97236DF31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708B79-1979-4C8D-9B19-ADA3D48699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E5DF518-B6F8-4B17-B5B1-52009788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DF8C1D-98D8-4032-9264-838E2319BB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B2A75026-7021-4727-86E7-9CD9274F0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93D24-3E40-4602-8269-3EA34F739D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36779464-B840-4C68-B87C-83107433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3EE7CD-55C9-4109-A58E-FD10C89416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D06F0592-EC7F-4420-9734-FFA16BA2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DE13BE-887D-4AA4-BE6E-53F73BC089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1BEC3351-A44C-42A4-9389-4625390BB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E75FAF-4AF1-4B86-91B6-83296C3BA3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A7623128-A2ED-432B-966A-6E3DCD55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3799FC-C647-47D2-BD95-373B31E549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8E41CD87-B473-4EFF-91A0-04F7EB8DC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58EC6F-C1F1-477C-8590-699A2BDAD7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724E1A01-6BA1-49E2-9B44-060582551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5C7AD0-6F25-40A9-9E37-59B31649E6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A54DEE27-4688-402C-854F-407336B4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16C649-48DF-4572-B51A-BABC5234E6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68ADEC99-C159-43B4-B3D0-56DA34AB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AA5DF3-6713-4226-B84F-9B6FF69314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94A1655-A771-47D0-82C3-243BF565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D4BD56-37C4-4EC8-AD90-348F291B86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254397EA-0467-4E77-B89C-7C6A81D7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C3DA84-C530-40CD-BB07-8F340A2C95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AFE1B2E-24D3-4B8F-8965-2FBA8704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4A87AB-8258-4AFE-BB44-EA4427B87E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2AB124E9-68E1-4D68-BCE9-E8FEC043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A9D621-95C3-4BD5-A849-29105861B4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2CB4BA02-A4DA-4D39-8D59-0FA1F770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4678BC-DE6E-4FBF-AFFC-76165EE803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553A5F6-FCDB-4EE8-9821-6F377A14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26910C-5079-47BC-B084-9DCD303603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9CB3A7BA-DDB1-4217-B96D-3404A153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EF7931-4F08-4B8E-9EBD-F77E6E4D3D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F71E5424-8417-429E-98F3-0DEFC2852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71DB84-1E27-45EA-BB58-E80E43C229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9B225A6-FDF2-49E5-AB14-DF39186F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122D1A-CF8B-4F90-BD9C-9B10E25474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9DF390E-3645-4371-9EE8-6CA50992A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B1222F-C366-44F1-846A-730440D47B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AF69356C-6FB6-48C1-8851-752781D9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7C7BEC-E404-4C7C-B285-7EB39B2827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46B72A0-983B-4E46-901A-C3A2564B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2E3C86-E8C5-4537-9FAF-E5A657EF91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FD4B81A9-567A-4E95-9B9C-83486C78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105B7B-1D44-4AB3-8CCF-E08970CF0D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6F7CD299-1A15-467B-BC41-FCF98A77E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57AEE-1FBD-4D4B-ACC4-160DD3E9C3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2D1F743-62A7-439B-886C-1F077605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B7FBC0-E321-4FEC-9EDA-4D830306B1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D8081E8-B0B8-46DE-96F0-36946CBD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FADEC-5204-480B-89D9-B911792037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E3B44DD-9E7B-4F50-AC46-97D6E722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B0FE5-E62F-4855-A5D9-D52E1FA5E5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EDAC85C-5381-470E-828C-A429939B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99958E-1E35-4B84-A7B2-47467E6A31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332806F3-9286-4B71-9771-A870B3A28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081BFB-A27B-418E-A071-A58F5C3E5A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676D1EE5-7BAA-422E-815C-1A05A37D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D42B33-3565-43FE-8E83-8663231920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279F68ED-4C9F-4EB0-B645-D724951B7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38DE13-2CD9-454B-95FA-04D7814D9B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4FE989C0-729C-400C-B595-5D91D2C4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059C32-3BE5-47F3-95CF-7E4869EC20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EC29BFD0-EDB0-48E6-8540-66F4638D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D2266-86D6-44D8-A278-54E7B1C6D9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3E23952-1DA3-448A-BC9E-BFE96935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56A668-D575-455F-8135-31AD4D17A4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D74C4652-27A4-492C-8931-DC64620A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CD539D-0ED0-40CB-B5B2-965619646E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015401D1-AA38-4997-A152-A3B959C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254089-9126-40AE-B725-273BF6E234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F793308-204B-4E4C-A1A4-73151916A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094FCD-F40C-4FE6-9E88-06DBAD9EAC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A0D015AE-1B2D-4325-92B7-3F3397411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E5A855-D31C-43BC-A66D-825BE5EF29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C01EA84-959D-483C-9D52-3BA40E6FA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8E93C0-3BE0-4392-9EC8-3A2D4D58F0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68ADFC5D-0983-48DE-8EB3-8412971B8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930F39-E98B-4752-88D4-9BBFFAE853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544C428D-B7D0-4232-B586-8C96A311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F9E550-03B5-4932-84E5-2D90137E0E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34667BC-2788-4DA7-B31D-79A98D2F3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9480EF-03E8-4258-B9F4-D0556B4CE8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C59B599-1433-4168-8BD1-7D5C259FA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B0F6A-A17F-462C-9DCD-FF004C5FF5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8C51FB4C-3439-409B-B298-3507D805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400AC4-3B77-4B02-8B1D-635966BE97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B55D8423-0E9B-4B74-8DC8-36A794AE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97D078-00FB-431F-AE9E-B8F94E91A7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ED92D4F3-6628-4FBF-BC27-A9D8D96D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500FA-0B51-4B4D-BD13-AADFBE9BA3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F86E1489-EAF8-4A7C-BF35-CFB10EA7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590C12-3BAD-4BE4-8EE4-8A94AB4FF8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7D7BE0C7-C837-4977-A1EC-423550D5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D10418-5B36-4313-A0E2-3A78CA050C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E9B9BF5A-D8F2-4733-AB7A-72CE9C46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6C8CB3-8096-4159-9439-255E7A4B14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A2FFB713-60EE-425F-933A-5E69007BA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ED587E-1427-445B-B481-EF25F044FB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F01FC059-4AE0-4DF3-A36A-46710404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68E5F7-5FEA-482D-B0BB-033F41D3B1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066216AC-504A-4BD0-B4FE-10541ABB1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1556BE-1415-4178-A650-D88629535A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547CE29-6717-4345-896F-AA9D1C5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39BA7-0DAF-480F-9958-29F4856E47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D2465DAB-ECB7-4C37-969D-B2AD29C2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95D528-C4FA-453C-B09B-A4644F48CC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99A74223-DAB2-4C9D-90AE-D240A51B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BC6384-2B0F-4F4C-AB72-268B5396F4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86D9BDDD-9C88-46B6-B5F1-415AC96D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80569-985D-4741-AF54-AF4898E2BD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70FEF66-2207-46B0-9524-FE7119E9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DEBB78-CE86-4565-93F0-65248F7BBB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2BF676F-043E-4FF6-A409-9EAA9F81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C1D339-3206-434E-B036-C4CFAF07ED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F6E76D6E-4E1B-4581-BB1E-8C8056C3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EA009-91EC-4EE7-8AF7-DFB921427A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BCB24507-EBB0-4691-A4B1-A62949AD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F53050-CAED-4CAF-A64F-52BE671E4E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2869EDD5-4747-4E38-A477-9C743D1C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ED0FA3-C443-445E-B90C-FFAD97795C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F1543365-94B2-4FF3-8466-580FB79A1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A8A5A4-D87B-4B80-AA8D-09CA6A3735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605DACA0-AE96-489B-9B1D-975010A8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EB930B-3401-4D60-A69D-75DDB9D62E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88B8ABD2-9DF7-4A26-8E48-1C9E4420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415FD9-ADB7-4106-9534-74758EE097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FA3DEF79-E6CB-49E5-97F5-99EF94EB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336224-9F43-4B94-A0AF-C1302736A7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3DD2AD73-5982-41C7-A7E7-EE83F0917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25CB1E-53B6-409F-A140-FB52EA6BAF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6DD70649-BCF6-43B9-9B00-87C9D518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0138F3-A225-465F-B25D-F72CF130D1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E4E5B7E3-7EA3-439B-9991-279B3073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5AEE1E-EE6E-429E-9A8D-CAF9B62DFD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E5AB9127-1A5C-4EB6-890B-FED8A55A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CEFBC6-3F9A-4E0C-A150-512EE5B1D3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D8F8ED6E-53BF-4050-B70F-90DC99F0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796B26-0189-43C0-AE93-7AD158DF5D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780744F3-EA0A-4A61-B8B4-B6BEBDB7C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91B42F-0444-4D89-A6D3-007CF60218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BAC5BA73-2A88-4EF3-9360-60CB127B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63E8F0-08A3-4521-8777-CB58558675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56348E46-D484-4BE9-BECB-C49DB663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907B88-DE62-448B-9A59-01A7A3C987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08B07D4F-3620-4837-95F2-2A5F1024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6CEE91-C0BE-40B3-B653-134BE01EB6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C89131F-768A-43F1-A402-78175E7F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E6A6CC-0945-4F77-8209-1A032DC048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97A14A0-0608-4ABD-9357-6F9FA2EB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5EDE0F-929E-49FA-96C1-28CE8C9D1B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61A9AEA-A23A-4960-A2FD-0B4B7A1F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5BE3B7-FFFC-489D-852E-328F0E6C94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B6AD4CB-4361-4953-9DEB-ED4DC082F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408EC6-834C-49AC-AD1A-2F7815F199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8E8AD03-6B8C-4609-AE36-37108A60E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55E7EB-C36C-40F2-8FCF-1E796BFAD7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DDC8B968-4244-4C61-9782-DA63481B0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DF0F6A-2DA6-4A09-8D04-31789CABEB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F444730-43B1-4D1B-85D5-5FD6450C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8F5D57-4A30-45A9-A43B-AD266F2323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F1C8F2BC-853A-47DC-998F-E13D7A9C9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BB306D-6E51-48FC-A12F-0734629170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ACD2564-F787-492C-8BE9-6F0CA1DA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5630A5-38C7-46EB-BFB2-5EF76DA7DC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D947CAD-BA35-486E-9D89-BA42F092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977189-4DDE-4314-9FCB-2000498796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B75C3517-0368-4616-9689-28091FC4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D1BBD0-469B-4BEB-896D-08B13547EF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15D86AF-9B8F-492D-88B6-19574B2F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B5281-A40B-4C37-9283-69C71B3893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9D93E115-0873-4A0C-A3AD-A73CC530B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1ED88E-920E-444A-8639-126820A695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925CBFBF-3D7D-4B05-BF69-63D597AD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E267FA-49D4-4EDD-AAEC-97B3D3941B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8C5AE04-36B0-45A2-88A2-2576C7B10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0F47CF-2627-4282-A60F-7B17B100C5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86BEB1F-46A1-4A4D-BDF2-25056968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1C133-F858-4753-BCEA-17021D8953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059A93A-3C69-4620-B8E8-843A272D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277AA9-68D2-4051-8A84-845B4F5F9E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8BFE423B-C7CF-469F-AC10-4115272F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95AC72-ECA4-49DB-9DA0-BADD3DFF0B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1D1603F8-2151-414D-B2F5-26C9CF633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E06646-4420-4B26-B8A0-82ED4F09BB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FE3DA9E-0EDC-408B-A5CE-01C74B5B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287093-2061-455B-B291-AD6456528C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7BDFFA8-74A5-4EFB-913E-31954FCFB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B44DA3-8FAA-47B7-A4B1-080E82CBDE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6E7CA0F-2F16-4ECA-BBD9-B733BE85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D20962-F7A0-4193-8650-A991FE8ACE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66E98D7D-B814-4281-ACD5-D7BD86C6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D2CC14-2FEA-4696-834A-344B637B94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3D192027-BAA8-49D2-BDFE-AF270677E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9D320F-E130-4AA6-84C7-EB1F8CC83A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5255B71-09A5-40F2-B16E-E9A7634F0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A5098C-985F-4D6F-96C4-6BA126DCFF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2E69FC6-4CF9-48A4-B296-3E9331EE7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56C707-AFED-425A-9E58-8ABFB61FCA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8566B8AE-C2FA-4EDC-90AC-4C313A06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30C071-5725-42CD-A25F-62FCCF96ED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3BAAC436-5D23-4679-8859-8AAF319E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F23D55-41BD-4400-903E-6F2CFE9C18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890CEAAA-8B0E-4B8E-9A18-65858022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EA07FE-4D41-4B0A-A97A-F6FC598BDF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1B8918DE-6813-4C42-BA8F-4005562CA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A528B4-44F4-4FBE-B05A-00B1BB2F61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5AD3D20F-C28E-4F5D-9E92-15F7E9F5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28F6B8-CF85-42EF-BF7B-A622553F4E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66741B93-347B-47C5-9212-D779FA9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7ADCCF-A17D-4DFA-9415-67AB80586D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AC84B843-8BE0-4CA7-BFC2-CFFED0DF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542D32-FF00-47C9-8806-28FF921848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F14D31E-5675-4CAC-8CB4-53E355DD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528DB5-195D-42A4-A1B3-52E8DF8350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1CA8A4B-FE7D-4764-889D-ABA2A09A1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9DB6E0-C998-4769-A055-689AB0628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1B8EF2E-4EDC-44E2-94CE-D4D72B1E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C273D3-7BF6-4D31-AE56-BF83683B93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FAFB8E0D-E961-4772-9B71-F9EF1389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810B3A-23D0-4B41-A5E0-DF46351F46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8DD7FB94-72AB-4412-8B24-57391FC4B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0E74B6-6092-447E-A924-0F7187A706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6B15565F-E4EF-4F6E-A98D-BAE47431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CBA7DA-A0CD-44A7-AC14-5191C121A7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76625C6D-6087-45D3-B83C-494C88E4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BFF58A-5CBF-4F65-9195-96E4FB8898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8088C7F-4101-46E1-A745-DA18E5B80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FE3B1B-382D-452D-BD80-6FE88AF6C2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716521F4-DBD6-448F-820B-241D6F30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1C107E-E594-43A2-B902-CB028BB52E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38F88455-DC8F-4ACE-8C68-0F3C2D29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D633A8-69ED-451A-A23F-91971A9245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2F81FB27-0036-4ECE-9744-5F6FFCD66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5DC5E6-3288-42E4-951D-EAEB566B81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8D6D08F4-22A8-4B1D-920D-BD34A3E3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D87532-10BC-4680-AB15-3703AF802B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29EF21EA-A786-4C46-B0CD-1566DD9E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846615-409A-4753-B05F-7DF3CDD93C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EA9877F3-C17E-4B0B-8169-BDDE3DDA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DB6539-21EE-4E7A-B046-7707995CBF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10B8849C-8A63-4C6A-8C71-C51AC0325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ADDFFC-AA7B-4EA5-92F1-18C8C43AE6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6B7CE41E-C130-4EDA-B8E7-272FC23F9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054D38-88A1-4537-ADC2-3FD4944104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98205D6D-86E4-4B95-8DC8-E7B4AFA6C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67C66D-FE6F-4F7A-8D38-58D1CF2D5A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866FB08A-EE15-410F-AAC4-A993A9F2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F3901B-A234-48E1-8F76-9275E22321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2609B360-98AA-4363-8B2D-1AD291DB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016957-0683-40D2-9B7B-184959643C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9076A35E-9647-44A6-B170-0020D497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34F19D-2356-4BDD-B1EF-BC52A61A6F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572AD9FA-B3E4-41CD-8464-A0F6A1A0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3E02A3-2562-48F7-AF6D-CA2583713A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32C2C735-E294-423A-9BD1-A2F91E47C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4B2239-339A-4CA1-9BBF-6C72A11147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9D0A8B25-5BF3-44FF-803F-252A1B6A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B18E1-74D5-4055-B36B-FC032F48EC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D1F2885C-29DB-40D2-B59C-2D7DE7870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EB4FC8-697C-4C34-9F08-9101BB9F6E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D6A5171-17F7-4C3C-8A56-AA5CB6A8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CFF848-B516-4403-869C-47E0AFA0BF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42C1A6F-E405-4789-8A81-538AA9B7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9A7C2-317F-4613-8FDE-671547CB16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DA87382-59C3-43E1-B4E2-385B79D2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94B01B-8DD9-4D95-93A0-5FAAC107B7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B82ACA3-A5AD-403B-BD5F-0C30A2425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505771-1C21-41DA-83BC-96D7143983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5A4BD3E-E492-4023-BC95-EA8E4320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9D5A64-FDCF-490E-BB26-149AAA66CB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E5CC831-98DF-4219-964C-4B428E2C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1AC698-4824-4B06-94DF-E70C8F745F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66A3D4D-6890-4B08-9089-6137BE3C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F7DA4E-B53E-465F-B5B0-C69F7E087F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3C2EFAD-8F69-4077-8A38-F071706F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975637-B102-43E0-988A-4A8F557033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0CF27641-F3D0-4695-8A6A-0C665C61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652D38-2C7D-4F0E-9C2B-ED99DDB210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2C0A822-A597-4D21-B7AB-E899972A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B985C5-7357-42E8-974A-DADE3EFCE2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579D09D9-2B0B-4AC3-8378-B934FA53D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04B921-83BD-4EE7-843A-35E14C72A6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AA0A5CE-1603-4E07-AE2E-9F671B6A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DCBE23-6703-4B46-BD4D-1BDD069B53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7CA39F6-F41A-41DA-9851-1D341AAEE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170F67-A6A4-4280-B57B-48321920EB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E9BFC7AF-4DA8-4E3F-81C4-00CBA63E3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145F91-2DB5-4C11-A266-E070468AF5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3A3C2FA-2B7A-461E-BC50-B6BE03267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35DC92-06AD-42A8-9B18-96D005603B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80276F7B-452A-493E-AE3A-ED4BD2AC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23920B-6BC3-4513-A42A-2060B906D2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70AC416-FFA5-4417-87F7-DCACFE5B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3C9168-2B98-481D-95CB-E25226BBD6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A149BAD-5106-4EC2-89CB-F15BDFA41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4A92BC-E410-4CCF-9C90-875555B820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DC7B8792-0724-4B96-B9B1-F80182CC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BD2E22-B8A3-4798-94B3-05F8A44C8E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8A0F710C-1EFD-490A-9389-58C23625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52F53F-B70D-4CF2-BBE1-6ACD8F24A9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180C2FCB-42FF-4DB3-B03C-EDD951C7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1F428A-0E86-4952-B34E-35A0E8375D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38BDF045-A589-47CA-8731-3F0F4A3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CF54C-C335-4D10-B1FB-1713BBFEFB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0DC238EA-0AF9-4339-B6BD-A56CD7EA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9C303C-4DAA-4B77-B555-8C014E700B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6F5D38BC-178A-4B3D-8147-91766868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9CF57C-A0F8-4113-AA13-4A8CA4FE90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7C11E754-31CD-4078-B7D2-62D0D7BD7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C824E4-2FFE-444D-B3EE-1C7202CF06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81D1B18F-FE3E-4FD1-99CB-57F5AEFD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61873-7629-4D95-9BFF-48BDA230FE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65073C7-40B4-4009-9D56-E56CC86E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19516F-05EE-4480-8C54-DB6C552E3D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0343FB4-D3CC-418C-8CD9-1977878E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79360D-D6A2-4319-BA92-BF21EC1F6E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125DBCD5-2B95-4D14-9A5F-364BA6EA3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167D80-933D-4213-8BC3-4305192051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B337E356-1D3A-41EE-B052-067F4333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69A682-6E73-4676-8DCB-8C2E7BE47E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E272C0C4-9A3F-45D3-9BD1-3EAA43C2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8D0699-A5E0-4B5B-B8DB-351D6D1AF4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26ECBBA-32A1-4274-880B-87952D313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122977-C7F1-40B3-9AD2-ED412A4D70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06DECE72-9AD2-4E0C-80F2-114F2CF6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7DDA7F-CE89-4D73-A117-0F4B983C57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26800050-82DC-44AC-B5F5-A176C8C59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C9DB2-9BD8-4F86-9736-82BAFD2581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B3C9F392-B63C-4635-AA6A-F772FC2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581CCB-A197-437D-A000-561A6B8D34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79B1EB48-BC57-49D6-B721-857F804DC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582E61-1303-4505-8935-1651B0C407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62E366EC-4010-49E6-ABC7-429BFDF3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E53C21-1743-43E3-AD84-2C4E903903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C9533B47-E0A5-4924-B890-4EC76804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36234-72DF-46CF-8338-02F83AFB0E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108ED42-4BD5-46B3-965B-7FFA350EF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93B6DB-6D49-49D8-A042-5A8744CCFA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6332AB6F-D443-4968-8D24-E6CD5109B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AF595E-A68F-4D8B-B22E-651DA025E8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3D76EE9F-1A59-407D-A46D-80B552BAE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ED0D8F-FF90-4BCC-884A-5BB1320A4D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5CDBC551-146A-4DF7-A563-42778E19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9066ED-8E19-4E16-97FF-C032E169D8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99F237F7-604D-4AA9-8F23-AC683DDB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D1C703-6167-4175-9BDB-D59E9D1D1A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81B67CF8-CC2A-43D9-82E7-019F0CB5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E71374-7877-4C39-A711-7036252B87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1FC096CB-8206-4067-8540-D24266552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6ECCA4-709C-4A2B-83F6-6D00EA9BBB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BA57E199-9627-4210-BEAB-1605D454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B54C11-5445-4D72-84B6-822F63B38D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43495EBA-515B-4369-A022-60547E4C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013F07-CAB5-44AC-8F70-97E49C9B09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D3C43364-BF5C-4F60-B931-0AF8B5DE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3EDBB3-74C1-47F5-92FC-7BD7DA1842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F75E5322-E211-4E5F-B6B8-2EF4B26C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FE8CB0-E777-4989-8376-C071F80E6B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3EDA8C70-11E3-414D-ACE9-1190A55E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1F059-D868-4943-9D2D-E3B5A884CA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124DA36F-5DE6-4C46-A7B6-5C6F8C46D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6DF4B2-5699-4325-B8C7-A7600712AF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0C24EEFA-9A1F-42A6-BEF1-51D3B5C9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3CF11B-C4DD-4FE4-B0B5-737CA44C44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EBABBC5B-8D60-4F3B-9077-2A6EBCE6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A0CD9A-EF95-48F7-B3EA-2D31153ED1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C7E05162-185D-4BB1-9091-1B23718A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D560AD-8A3F-417D-AEA4-C812F9A1BC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A46F03F9-EAA3-4248-BE63-74FD87629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F52C45-183F-435F-A564-8472BD7B41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65A99661-C2D6-42D3-B158-F930A392C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6D15B5-EA35-4C19-9AF3-B286FFF1A9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08BC73A5-A5E8-47F2-A552-B5DE591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D7E9CB-A620-4B8F-8F1D-5BC182B92D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9B9BEE8-9239-4D9B-9D66-11B884BC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189854-B1CC-4A20-8152-13D404156D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B5BB1B5-F859-4B4A-83DD-D4BABBB3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7B41CA-C863-4E69-8FA2-A38CFD7B2B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3222B677-9D92-4B1D-A51F-B223E68C7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7FC5C5-63EE-4EAF-9723-99C9058465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DF523C2-C9E8-40DE-AB20-DDD2307A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7C9AE-58B3-482C-8ECC-9B4C822006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9A277AD-A311-480A-A53C-0FF026DE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F1772A-0218-4369-9A5C-EB4CDACDD9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5EBD9E73-BAFE-4CC6-873A-814C4B18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A560EE-B408-4FDB-A747-3AC6DA41CF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9D99B41-7737-4B82-845F-7E0C3B39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18C1E4-ABCF-43A2-B455-D88159675B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85735B2-E712-4E1F-A079-146F0972D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934BB2-5391-4879-8670-AD04429026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D9A7AEE-DB41-49D0-BAE2-03F87CA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26A517-2590-4AAB-AB62-CE99DF366D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F6906B1-C6CE-477F-9BE5-7BB0907AB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A0B1C1-D2CF-42A8-94BF-478F522F36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504C29DC-1693-42A0-8038-FC2FD3BF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2B0DCC-9664-41AE-B8EC-760B4660CE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019CE9CA-46FC-4866-A45A-339E1B74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5EB042-698A-4B75-8842-340AF0712D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6FCB29E-9BC8-4AC1-93D6-199AA82D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366475-B92C-404D-B5E0-B630C47A9F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12FB340-913C-4622-B3A3-D20C88A1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CB4DC6-DC5A-4ABD-9484-A8FBAE5488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B87CC77-35E8-4EA9-B1F8-53D0423BC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7ADB8F-81E2-4CE9-8570-D31010D8D5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0CE94A2E-D857-484F-AF95-44F28525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74558D-BBE2-4BC9-9E6E-9FA09F1CA3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A7DA0D96-971C-4B5A-9994-BDC97867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624D6A-41E9-41CE-AE95-0D3CE7CB1AF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55C4B2C2-D267-4F80-BC47-EE0FB6C5C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A928D0-A708-4075-A8C0-6B6C15489F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8FC23E95-0C03-49DB-B35D-2ACA8E582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5A9706-A75A-4D98-B643-53F2ECAFC9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0ACA0EC-F72D-4CC2-9798-2A1DBF12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C5E998-8896-49B5-83BC-28C7D25A3D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35142359-6EC8-4320-A0F0-33753924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972C08-A1FA-40FB-8290-E2CF6E09C2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C933D125-C619-493B-B3B3-1BF8AE820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F58AB7-F90A-414E-A4A2-F6A37D5B75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EB883067-9967-4200-B4AB-382F4C4DF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46E4A8-BF19-4CE0-ACC1-A2B2442525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039B9080-9589-4721-9F7E-5C4DBA3E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F1C44D-0C8C-4EF4-B65D-0A9C611A1E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7FFE193-AB35-4E90-9CD7-894C30228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42AD8F-9666-4B01-8AD5-D403DC5386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BDADA0BF-22B1-4089-8405-D50780F92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B7AF2A-3BE0-4D91-81BB-ABC15B81D3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A83A3D3-A76E-46E0-BA0D-3C566BD3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FCE66C-CB74-4A40-8A04-C9340E2374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44C336F7-13CB-4381-810F-127C3B94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F64456-CEF5-4A8C-AF71-BDB7048F35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7A6B8E0-36E2-4488-8A78-857533F52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616643-0BB2-4FE4-BC0D-852A2CEA89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BD8115E5-0B87-45CE-919C-76D9F095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667526-C5F0-46AD-A299-735607C7C9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EF4F61EE-637C-4A1F-9D65-03066A3D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58C189-A27E-41DA-B3AE-AE38470D75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52C20CE8-E29C-4E0F-A1FC-67F583F06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B8EDE-9147-4C57-8013-5E54929AAA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7D89E404-1B1A-4632-8F8B-E87FDD404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8BE03A-4877-4A07-8086-78D03E0303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6C665C9E-13E2-4090-8E6F-1BAB5FB6B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361266-D0A4-478B-929B-4800AAB529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37801CDF-456F-4EEF-A152-6C5DA3D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4D585-CB32-448C-9873-DE028583D0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68473526-F238-4305-873B-5E89D11D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37325-32C9-4135-9057-042B905259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315F025F-F307-480F-802C-2EB510E3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9172D5-A3A3-431D-BD25-165A387907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53E9B2C5-6913-4A16-87FC-8EE4F900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66211B-3500-4276-8B7C-3F2A674BED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77B6BE52-29C0-494A-82C1-9A178BB9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963694-7EB6-4768-A113-F6E43F915D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221ECCEA-A010-4FE4-85BE-5065B257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72EFAD-D65B-4AAD-89AC-E03470BE23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D2CB87D0-0BE6-4892-B913-56966D0D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256618-D731-41E8-A463-A6C8C334AA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0AAB1898-5535-400F-8D36-9645E955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E431A-F006-46B5-B393-68DABCCABF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7014364-81B9-46CD-80B9-F56B892F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33623F-9F57-4751-85A4-B4A4B4A70D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66C5FEF9-B4D0-43DD-B2DE-1AEEAB3F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2C3327-553B-4FD7-8757-AA45C2F23B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43305D8F-8854-47DE-878D-C2F9FF054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CF4789-E127-4694-BDDB-AC09B92FBF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708B6FBD-B8C6-4E23-BF98-9D8E5A32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8EFE2E-83FA-4D47-96AF-737F5857FE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94A32670-1FAE-4D21-9918-4916A79C8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6445C6-2E73-494E-A9E6-B026D7B7BA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228EA978-564A-472F-9478-1AAD884E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A67F49-A033-45C5-9A83-85C9D3E227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1865B374-B8F2-4251-A0D8-FDDAB5D0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021472-7D5E-4650-B5D7-0BA6966D8F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BAD28BB5-A2A2-4C16-A725-A3578728E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7BC6A-8BDF-4489-BADD-61E9881755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C5759418-B27D-419C-91AC-26F34DAF3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04F69A-69CF-444D-B6A2-20B1892A31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CE30951F-FD62-4026-A779-6DEFAF318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7A96FE-F59F-471B-94A6-D42D7329AC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C95C13E0-D0BF-4536-8AC3-53B92441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A572F8-1FEC-444D-B45A-7B58387CB8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9D839A70-9DE8-48AB-AC13-77B11C1D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B2C8CE-3E9B-450A-BF3D-9447E6CFD6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4303B0B4-7F08-43CC-A8D2-E33F0D42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D83BB5-1D93-481E-8104-7D8B62042C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11DAD857-320D-4275-AF19-F917624A9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AB3B35-03EB-4E52-AEC9-112BE6CD19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CBE72F01-A354-4CBF-967C-3CDD4868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7DB4F6-9B12-4D1C-8EDE-1AD8665621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1A21FF49-707F-432C-A362-2A13A6941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C698C0-12B4-4158-95AF-C21DA1D121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8BB12BC9-0152-4101-82A3-D7276228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E57117-28F4-4E09-88E2-22E0402298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8095D59C-8A41-4C71-B35A-A0080F9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A718B4-2235-4CB2-9874-B5ED84737C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7B12477-4D83-4D87-806E-7C504E1C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58D664-7E9D-423A-939E-A1837128A9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4528062-4FFD-40B9-9F73-78471180B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E0E9EA-23AD-4B3A-B3A2-3DE605B9F9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35B265F-A590-40A1-A4D5-3679B771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874B55-36A1-4836-90CD-D7BD5B02F2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C423C79-4D1A-4B41-A522-C3374AE06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C74AD5-8040-46B3-9A25-25F18F6187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949629C-0678-45A8-A06D-31E6B66AA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25F51E-B36F-4FC9-8BCA-ADB380CC55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C55BCB4-E919-4F2E-B46E-2BBAB92D5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C0D87D-4012-4311-BF76-D3AA2B0231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6F14E92-BD08-42E2-B2AF-57F8DC6D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0D2D0A-0DEA-4588-ADAB-5875C3EEB1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34011B38-C2CD-4C86-BA68-213796E5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4686F2-F9A4-44D8-B342-9578E8E9E5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440E6998-D3EF-485F-9E73-59A3902D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0DEE01-D1F5-469E-B705-B1377CAFE8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40C4237-0022-4F80-906A-DCA78878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F22CD9-B7AC-4B33-ACF2-7DD0207B43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5FE5F88-B37E-4B60-8E48-11F496DA9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22E44-8765-40B7-B24F-83CF7AE243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27A186FF-C558-4825-B715-33FBC93A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1CAB53-A811-478D-9FDA-05478D78E0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6115C9A7-BE17-4280-A085-9FCFA867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00605E-B744-4904-90A2-38FCF7CCFAC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5F2B2DBA-E4B4-4478-946F-C4829DA1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56B6BA-C6FF-4EA4-AC74-58989F36BE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BE550BC-C192-4C05-A132-DE88BEEF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30C411-7AE7-4312-809B-F2D55EF6BE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9126AD7-BA30-4497-966B-5A9EEB698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088C70-6FAD-4765-9617-9B1D1F7440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2B668BF7-7061-49D4-9536-A766695B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3A632-9547-47B8-8005-F165A4D048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E436DE20-D315-427A-85B4-E6AD10E4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1D8C2E-D3AD-4AEA-825F-971507AD6E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D2DC64EE-9E61-4006-B29C-C551C883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7A38E-0043-4570-A853-A482328770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CB680E93-AC1E-4C6D-A9F2-D42B46CD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2B5B0D-5803-4493-99A0-52A030A475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5AEBD4DD-CE18-479F-80EB-685E650F5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AFE300-41FD-418D-95F2-77DCBBC8D8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CAD2F175-E66B-4706-AAC5-BA16357E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32BD57-12FD-4815-AC3F-712AC58E3E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EC165E4-207A-4D15-AB60-10A2CB5C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EFC6E1-1524-4B46-A510-6103601A7B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52C4A7C-C255-48B6-AA4A-697EDD9CC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A3587D-6AC7-4FC4-9437-0C08164C43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7F0C8B83-BB7B-4A64-A180-6EA789BB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711B2C-94F1-4C0A-B2A6-3ACAA8FD98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4B13AA0-346A-4955-A193-8515E235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322C6F-9EE8-411F-8E1E-E2FA54F26B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F2F3BF2-A377-4B84-AC04-547D7E75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2ACE18-7A2C-4149-A02F-A39B027842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DB94DDF0-4003-4EFE-AB8A-0FB0F7B1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0DDEF7-42E5-4FF7-9E3C-52EF90A0E3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4493054-EBAF-4CEA-81F2-BBEFCCF4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73108-A1CA-4091-A74E-98149FC6F5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F07510C3-2340-4A01-8F8B-E2603130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23E9F5-CC35-4140-A4FF-D86858185D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52DCCEAF-21AB-4421-90E8-D67514C6D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5433A3-0CE1-47B9-A44A-F6D0079BFE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F148BFCB-C635-4C03-9110-23D0EA18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F89BFF-A7F5-4EE9-9F1C-E44288106C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5F782E62-0D72-4C16-9204-7A9CA47D9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3AD7EB-B808-449A-B200-20209A72DE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938C99FD-B647-4D3D-A782-EDBEC641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B18860-5DE8-4610-B4B7-2BA7E148D0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4943ABEA-A711-46F1-8A89-E308FEBA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736E14-A267-4A96-8161-F2F881F822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6ADD80F-37AE-4923-A97A-60AB0FC20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2F2735-6D67-4BE2-BA66-3F363F250D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44521E21-4966-4F95-89D4-2B09A37CF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3AB9B1-9659-4293-B876-64F9B1003E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E790FEED-DAD3-432C-B116-C7F94187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494513-0A33-41EC-A955-F895115612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32E7D576-5A1E-4D1A-81ED-FE63C0EB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856DEF-C0AC-4216-9C8B-8D28A8C12B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6494329C-5EBE-4049-A669-F6B19F87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EB2B9A-C4C1-43A4-997F-F777BE9E5E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824124C6-AE5D-4A5F-B3F8-AEE888EB1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72AE71-BD3F-4CB5-A348-18EC1F974B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98A2F639-3D72-4A83-B4C0-1888A336D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A9A8FE-2BAA-491F-A241-C878465080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F08A9C4A-B3D9-495B-A26A-BEC1494D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2DBCD0-A874-4DA1-A485-76D399C1E0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4519FD34-08CC-47AC-9A3B-B6676A2AB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234693-C09E-44AB-9A4B-88558378D5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D8B0AC57-16F4-45BE-9ABA-E87B6DE8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0ACFE0-6B8F-4DDB-8877-D947826AF6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17D9F86C-D4E1-4749-8DC1-A2113DF2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02B72B-489B-4077-9B5F-2FCCAE7396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DDD3C14B-A542-4666-87E4-5CC67D5C1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FA288D-6AAF-4E81-AA12-3E859051C5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CA373A2-FB39-448D-8014-BCC7588D0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90A202-4004-46A2-A727-14C15660D1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13DB03A3-F46B-4D41-967A-D54EC6E2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E83234-0CF9-4F24-BE5E-2B77491A60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B90B3221-6897-4CE0-B569-92D2D6F6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8E0F0B-4E15-4AC7-A7C9-E8CB40E0B1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D3C5AE4C-6165-4737-9975-014CCD53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09B33-D721-4C3D-9C24-FB28DF7D79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370D9420-61A0-4B91-926D-926AFEB4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D35BA3-7F9E-4AF6-ACD4-41D92FAC8C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31C3C20-CCA0-489B-98B3-2AD8BF44D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99F287-9845-48B9-91C5-D092643491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95FBD61C-B799-4552-A3AF-0177B666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6567B4-F16E-465F-88B2-F67B66A435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EC969841-033D-4AE7-B78A-2E9643BEA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ACDD71-5988-4701-8FF8-815EEA8784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E818C603-C1B0-44F9-AE14-2F8FC9527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BC512D-E4B3-4288-AAB0-C450CDE827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9D56D975-0F35-48B3-979E-F9B84F5F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46ED6B-4566-4518-969D-3ED07D9F09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7E4E571-A625-4FC2-85CE-7E94C331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6355B7-1CD1-44E3-A0AE-2A4F5DD3B2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598BF143-DE3E-43CC-A412-800D703B3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D74D9D-D036-466E-9A55-E0C7FE76FD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A00959D0-F303-4F47-B8FF-374122FD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D921DD-30FB-4983-999C-C8D0B4622D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4E78DC8-F547-45DD-9AEE-A58A3E3F9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B6734A-6614-4BCD-BFAC-9D82E2A99E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2C0E736-4BFA-4568-A84B-95ECD06C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A26600-B429-4D09-8739-8981673EBE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332A641-53BE-4926-B04E-DEB681C56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36D2E5-3D04-4DBB-9770-19A6EC4D06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ADCA75E-8C89-4B9E-BE1D-8F755A296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F3796F-E3C2-4CD0-A47E-B94CFE7666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6153C8E6-3B11-4350-A099-4BE724E9A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7DA538-F3ED-453C-A1E0-680FDD9BF6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8D91C7C-0719-4D81-A517-D55D59A4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181229-D19B-4377-9E19-767DAEB204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FA2EEDC-44A0-4632-B400-3DB257B9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F048D0-E514-4715-BD73-CFA35A87A3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59DF66C-EA19-4404-BBFE-BF94D2C6C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E961D3-6B61-455C-95B5-9A76AD0E28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E1DA37D-A12D-485E-B8E3-47CFF085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46ACB-12DD-4EA7-BA27-E4D55C3687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E08431C-0108-432A-9A3A-C5CC58F46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FF8EA5-9EF5-4345-B126-F791CF969E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53399F27-2E9E-4D5A-BF9C-6571A315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E05874-31FF-4C0A-8FD7-FFD6D28FC7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BED8F07-AFFE-40E0-9884-02F33001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DB71CE-5ED7-4F73-B588-C62CE997D3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80117A61-EDFD-4FB0-884D-CEBE6154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23FB02-B377-4FC0-A649-4F1E6A0954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D0C4CD42-D4BB-4BA6-8A97-094F4183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036C1D-C4CD-47D8-A3A9-0E468C1C86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429A02C-320E-46C3-B72A-5CDF7ADF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BE254C-F99C-4BEC-82D0-64E5C6026F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FF2E6AD3-B3ED-45BD-BAE2-4FC94078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1A885-44AE-496F-BE3A-9630155352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5B0FF06F-F11F-4602-9C1A-320D6F73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DF8A67-8F4A-40A4-A926-33A240F621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61AF3EF3-69E4-488D-A481-00643E59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5658C7-011B-4AD6-ADAF-33F9C1490C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6B90E36-601D-4288-B8F5-CF5C099B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6B144D-4C0D-492A-B001-1653A7327B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CAED6E0-3C92-48B5-9DBD-D8726442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569320-5F44-4282-BA5E-4FFD42DBA4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466E16CA-A26D-4E9C-BC5A-60D737E0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961AA-F464-4000-A456-3DC29018AB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376FADF3-292A-4049-BDDD-180C4E126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9D5AC6-DBE6-4555-942F-A83A51BF13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CCA5D8B5-7DB8-438A-B52C-A9CD534F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E2649E-3388-40FC-807E-B1660102FB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773E05E-5385-4B95-8A7C-705CF361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EC5C1B-9401-42E8-AF92-C38055800B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DEA7417A-1E8E-4D7A-B092-CAC7262E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939DF0-A20D-4CF7-859F-20C548A61F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D9A08F5-7BCB-49F3-B658-54258CDDE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54220F-E14F-4488-ADAB-2FC0670833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AF19F82D-73D1-4B6E-B0D0-6C249A5CA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7E07DD-9BD7-42C1-BD19-DD8CF6E7F8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9792E512-5733-48C0-A692-BFC9B069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817AAC-D181-4EB4-8D73-D4A0B83088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D2078542-8F9E-4360-8128-E6B4DAAAF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D0D923-9ED4-4C14-9AC2-75E46ACC22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A5EBC63-5611-43D9-A6FE-FEB95BFF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C8085E-40C1-418D-8222-6E4CBA284D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376C8104-3038-43B5-A045-44406B29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93A5EE-6BEF-4EF1-89CD-E05276F176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78B6BBDB-502D-497A-9D6B-164600D8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16E1CC-F670-405C-AF83-5E98D3F6EA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DC562180-0CFB-4B8C-9B36-3AE71C0C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49EAEC-E81B-4C85-A162-FBEC35CD5C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D926DCA7-3849-4956-B6C4-0E4BC3DDC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376728-EAFC-46D7-8490-11BF8C8579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E5F2D87B-FE7B-4E2C-A6AA-BDF48A4CE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15C513-E972-483D-83C5-3356C9177F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D36EA391-DCE6-4C49-A7A2-B44D4098A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EC5FF0-AC88-4282-827A-59CC416E51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1AC3DEB7-D2AE-4248-A804-D6130F6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D409A7-6150-4211-BAFE-5F86A10DE2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E9E73732-A2AA-43B7-A1BA-1E125E41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5C7823-06B9-4CD7-8EA2-E1BB4AD176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27A8C619-9A8B-4D70-A56B-9184D65A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B76BAD-AC57-47C4-B51D-F5F319CAC2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5D721B9D-88E7-445A-A2C2-CEC890F3B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F21FE7-5FED-4FE1-A4D3-71C75B8308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2963B4F-4675-413C-8D5B-39739145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C549B8-1CFF-42EA-ABC2-6BE3E0C3CA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C6DF829D-FE4B-46E2-B2C9-419D0A18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690652-5B85-4FBF-8821-44F04FB7F4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B8FB73F8-4090-41C5-BD75-1EAA45BE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26BB3A-6140-4E2E-8A7A-086FBFC4F5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7C9EDC15-C31A-4250-A0CD-C312D07A2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A5FA4-D5FD-468C-9B7A-67573842BA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2AF1DCC3-2008-4934-A5C9-7C3A823E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65D4D8-5CC2-420A-A3AD-BC2A675290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9DC9C022-A45D-4D9C-9186-0F961EA6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707E7C-AB26-4A50-A35D-FB05370E8D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EE6CE672-86A6-4CFD-A8DA-BBD719AC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E4E21F-9BFE-4053-A71A-9FD9F3EE16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BC3E22B5-8A13-4228-A0B2-6912AC10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742034-1C20-46A8-9655-0DD46BCE31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3FB58883-F95B-494D-B247-CB3F756C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314777-9829-4031-B58A-2EC2104550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6D0DA153-46A7-446D-98CE-0DD08724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3E6DB9-E0F6-4BE8-AC17-BD508FFC5A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C94CBB81-AB29-474B-B089-84CF75B5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82269A-1444-4B83-9228-3B41FEA2C2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5552979D-7831-41A4-BB91-B0E966D0B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B69BE6-F2A7-4E4C-8B14-D1B12CACDB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0239FDE0-1939-4C3D-A158-B49E49E1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1895DA-1DAD-4EAD-BE74-71E2DBC6F2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D0B43290-0ED7-482D-BC8D-9EF0A425E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77371B-BD83-473C-9055-F20BA0CB0A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FB840FE9-C43B-431A-AE4C-2A4A07D9F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DD4DBF-C9C1-465E-A32A-3E23EF94D4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536997CD-291E-4C9F-ACC8-C4B956AE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65EA9B-BD77-4ABC-B8A9-F31654FE39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1F41C5FF-FBC6-4C61-8997-9D151DBE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6911A2-C1C7-4ADC-B576-F4CD727543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A8765298-CF4C-44A6-9DD9-0415CCE62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8D9F2D-129F-47E7-935B-43F57151AB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CA14B69D-F322-4BCF-B196-58209B0C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322056-111D-4FD9-88D2-28D485E6F1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0A858CDF-ABC3-4757-BC89-8AA643B5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388C13-6F56-4EE8-A105-24C391ACB6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4FC14794-1566-4653-BBBA-9BA676895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06500A-8783-4B77-AA6F-35C0870046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F500C31-E327-4D55-9517-6F78D918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09A250-C43C-4979-8F1E-89E8E1611A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FB30CD0F-85B0-4746-ABBC-0F2F0DB9A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01807-3BC8-48CF-BD69-AD20B73882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5E081906-C4ED-4D37-93F7-92536975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75A662-110E-46AD-A729-1FF8493035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44903984-DE73-4977-9CEA-F9894F2B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5CDC56-C2D4-49E5-9D04-6F4913C20B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22C3335F-7DEB-4629-86DE-788A4D6A0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A7FC05-87F7-4044-91FF-EF497134D7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1FA430C-7546-4A54-BB4C-377DE5721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8246FE-EE62-4D22-9C3B-CB49F26A44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9D8625C-A6D2-4A74-92E2-E393290CA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6D56E5-5955-44FB-9FF9-DBF093B9D1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924FFC7-3F65-4EDD-96D5-6E411692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D9E6C4-A8FA-4534-8D41-6BD15CEAB4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4433CDA-0588-4688-9A4F-A23A558EE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4B0B6C-3079-4E92-80EF-96FA681B56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DBED261-2611-428C-853E-42A4FF67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ACE452-DFF3-4C02-B63F-433A492F65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D98037B-E5DC-4A71-997B-CCE9FC25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628082-C206-4C85-A7DA-95CA99860E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15A302A-A4CA-4B84-BDC5-44B8181E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3B5EBC-C0D2-4A6F-9924-1DEB832773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AC7B571-75EA-4F26-AD52-CCF7FDBE0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CA6A53-AFAF-4C2E-BFE7-E024EFBF3D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AE9AC4FC-6EF2-4DFF-91D1-B0E87C8A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FB2721-0F2A-464A-A6FE-993BB6C756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58DD8B6-89F0-4BEF-A16D-6DA5B9C2D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418209-8F10-496F-AD21-28B51E55D2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80292170-F3DC-4B4B-ADFF-CE90DCEB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C6909B-559A-45E9-91A7-C1F9F7BF97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476A6BF2-D022-4BD1-A8E8-038903C3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10314E-AFB0-46C9-B565-F25F8FCBA5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5B533E0-B20C-49E4-AB77-85DC06587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EAD622-9833-4EA7-801C-6BD87CA1BA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6B7CCC1A-F12B-4905-B92D-822FED75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BA0ECE-AF25-461B-8E52-EA7E918F45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3225B16A-E4CF-429A-A813-F117B199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B5C510-A241-43BA-8D05-418FAE7803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3808FF2C-CE96-43AB-967A-94987248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5EC5EE-7584-4852-B472-681192082D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0672D004-9F6D-436A-A3E7-DC1D3348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EC471E-DA0E-460A-87E7-A98F25C8F8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3ACD80BA-119A-4BE5-A363-B14ACA7C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EAA9DB-36F8-47B6-8985-9D8D602C62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27DF370-32F1-4DD0-ACB5-4592D015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A3ED77-9041-46DF-AD3C-8EB755ED33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F6FD59F2-504D-44C9-9C0D-B2FE7B2C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7B1A7-3452-4CFC-89E3-B9CA8F97FE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38CAB8C0-B86D-45AE-9E1C-4A1C49AB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67DE15-B2A4-4ADE-BB94-06BEC8C0AC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FB6FD84E-8366-4FFC-8A08-B82640BB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CA5937-FF6B-412A-814E-5C5F734091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2925766-448D-4718-9F0A-5D2E9258E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F62146-8C64-408B-AD86-29546FED4D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BFB14829-9396-47E4-886D-611900E29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DCDBDB-31AD-4FAB-90F8-7843654AE6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37061AAD-4D03-4CEC-A942-F7A6A3E4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9CBDD3-022A-4A22-A694-78ECF493AC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CC4B106B-AAE8-46C0-AF78-181DDE96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8A0982-99B3-446E-9454-0AA5C63233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D4343D8-8F67-4BD6-B4B9-4EE4F643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DF5B1C-A500-4C5B-A4C3-5857A1B152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8A2CD866-7039-4145-A96C-54861C0F7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86A9E0-EEE6-40D1-9370-D2CA8CBAB9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880C0B78-CA8C-4C91-9AFA-92FF4E3F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201B24-61F3-4FEA-93E1-48B883A722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F0DCC4DC-B972-4AAF-A0D3-E28D021F6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83FF1D-D391-436A-B476-182BDB12B18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EBE08C35-74EC-4CCB-870A-F1C4402FF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F6B2B0-6373-4327-BB00-2A81F670EE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54C59325-A3D0-438E-8321-D3DC0926C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036E3B-60A0-4D8D-BFA3-7F91A84887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41A3F9C2-6AA7-45A6-8B99-A4BEA92F1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0228BD-4996-4BF3-9039-931ECF8F4A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DD361892-060C-4271-8093-E6F72DFAC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7D21AC-A714-45A1-93EC-D0DEE4C453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87EABFF-F54D-425F-8328-E6724674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7253BA-A476-4F8E-96D8-24C89F634C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CD255108-8444-475B-8DC7-41AC1B14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21EC3A-BF0D-4F5E-BEB7-B3B1ABC1FE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C0001C23-9357-4380-A7C7-7F2270034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672FD3-D88A-4B34-B2C1-2401CDD759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5066300B-76CA-43FA-99BF-91A477F3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BC7C29-8E83-4E12-8384-CAACA711F4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739FAB0E-C349-48CC-8CEB-D5C5F628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DE6214-F18F-45C2-8074-98FF2199A4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6558017C-FE36-4712-A604-9BDE210D1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E5DFCB-4B24-4E34-ACAA-3056059C00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057CD381-7D18-4CCE-A64A-1F2740F2E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E2A140-09DB-4CFD-B2B4-90854A3D24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E02D97AB-57C3-4532-94FC-D361ABFC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50E722-D31E-47E6-80EE-CC99937B80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2A04F45F-8910-4254-B075-A5AF8458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986928-B64C-43F3-9EAE-4DB7292102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BA2A6ADE-EC35-4586-ABBD-1E86B2CE8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65BABB-8A07-44D5-8A1E-59501BD687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3F050B0C-8DEB-4B08-A59D-297B69E1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DCA0A3-DF8A-4DDB-A723-E475CA4F7C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2BFBF3EA-782C-4032-89FC-BA10CA460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0DFDE9-6015-430F-92FD-BBF516FA5F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EF9D345C-0595-4C59-ACB7-89AC0A43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387ED7-71CC-46A0-8C1C-14325897C3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C059DF4B-DD85-44B2-BF54-CAA16F39D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6C4287-2C48-4092-9AC8-9A0195092D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57E98CB5-E8B8-40BD-A084-651A3B162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45EAC2-6603-414C-81F2-C4093292B2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1D9A941B-9B6A-470F-AEAB-5DF084F7B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91C882-2980-486D-AC54-D78A6121D4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505529C9-26F8-49A4-9684-BF0469EE4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48ABAB-B848-4610-A16E-8E9AB11CAC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4A0BA2F0-C5F4-4626-97C7-DC1D849D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9AC116-6C9B-41BC-8F8F-0EADFFF4CB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52EAA3D5-A7EB-42F4-AC4B-1A532AD9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2B195B-D78C-405F-930E-CF790C0341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44DEE6A7-B7E2-4AD2-8F3B-B02F0C1F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18CEE7-4A38-4F94-807C-92FB8B3C49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51CA1211-9694-430E-8796-6D511BF32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A37F96-2437-4A4C-8EC0-E8605E3CA8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2C52569-7AD9-45CF-9460-FA2A7655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51FC8D-46E1-4A46-92E0-C510F7496A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9B233107-51CE-429A-A4A6-A112F7923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363749-AADC-4577-AA2D-3167C70E62C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14A7BCA-E846-46AA-9CBE-1CF1F20E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86E9DB-1358-4573-9176-76EF8CD7E3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2A7D94A-9846-468F-A8AE-DFCB0E85B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0360AF-05B1-4BC1-82AA-3861D7FD7A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B6A85F48-AAD1-47DA-8D9C-267F195D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68C4A0-23CF-4870-94E8-48B885257B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88144C2C-F5D5-4628-BFAB-030E24C8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D88C4-54BE-453A-969D-4D0A8FD2C0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7F38DAC-F8C7-447A-B589-BA4C3792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91E773-521C-4FCD-AC48-B1E62C0B74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806F04F-9B1A-4CC1-9142-2632D7B0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8C8A13-BD64-446C-A1B6-11FF7E991F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D9751BD-F939-4207-B76D-4AB28A66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37A8D7-C2C5-4BA4-A3D8-C574F57661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0682B2ED-6D51-441B-B2CA-E205878E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9D73C0-6FBA-4A93-9504-9FA381A078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8B5046D-967C-44B8-9BF1-076DE5F8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D21466-D616-4191-A435-D50A682B8C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48A2FC1-1C0E-4A62-AFED-D41D786DD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999AF-E9C4-4771-9F0C-4E7FB872BF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55AADE55-AA49-445B-BB85-4BAB4C0E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71CC16-84C3-4825-9D17-D5168533C6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0E7A230-3A36-4D44-9249-46E90BEF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803EF3-A559-482E-9019-561C691D60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6334252-DA36-456E-AE1B-F16FAE36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E164-3117-4F03-BB7D-D16BEBCE11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ECD9F952-4AE4-4786-8E80-A76F96811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2BC79D-2A2E-43D0-A452-26EE4DCFFC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83463DE0-DFAC-441E-B709-452FF917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8E3843-F4A0-475B-9099-F74C1F3671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A8054E2B-7F86-4E18-95C0-80DDABF6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96420E-A5F2-41A1-8053-34DFB2C93C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4D948A2-704A-4879-B128-3974B9525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DE8F0B-A868-4356-9448-E7E0118EFD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2DCDD019-649D-4449-9119-E9757F16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741894-8E6D-4F42-8378-A44EA19467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06FC53C-FD2C-49A8-8612-C5442970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AFBBE9-E227-4ED2-B045-1EF650D014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E06BCC69-17E8-4D5E-A1A4-197B057F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951770-2CAE-40CD-AB09-AA72CD89CE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8A5FEA4-5586-437D-BEE1-858FAC28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7EDC5C-90DF-4DA1-B970-3578DB378B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EFD4FAC-C689-48C1-BC0D-8C72696F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145331-CA99-41D1-BE34-CA93087597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3679BE0-0307-43E1-B99E-7D2F0B767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A501A8-7643-43C8-8D80-2C00F36422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EE134BF-E649-41D6-B6B5-82AFA1FFF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5C8DC-13AB-4A2C-99A7-E53C5A0766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E1268F2A-4D1D-4663-ACC1-898FBF0AA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771CA1-AE75-438A-8193-559B5D7FAA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A52053E-89B5-4410-AA5F-F020B038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4D04EB-C5FD-4CBA-A7FA-706D6018EA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9F205943-8DE4-4267-9D78-47DBA8B0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9C699F-C098-4DF8-A2F8-DE72F7FCBF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3741C4D-D94D-42A3-B387-DAF27F38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A0053E-E67E-4F8D-A375-26D86CAD21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C7C8F8E-D3B8-49CD-B385-6AA79AEF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CD7F1C-6BE9-42FA-A4FF-F38278D22B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DB088047-23A2-448D-B4A1-60C0E1FED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A9D5F9-B25B-4668-8F02-C98F04174C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2D6C693F-BF45-49A0-989D-9318A102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939575-6714-4876-892F-8FA4FDBB2C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15D6BE58-F8C6-4B1A-9A83-6530865C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8CD8B2-A42A-46D2-9289-22654B2EF5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C36C854A-E333-43F3-B022-F0431780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300E8-EEE4-42A5-97B6-C699D1474E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A97A76A-A949-4502-875F-F27AB4A0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EDD685-215B-4EF1-BC3F-0F40CF1679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AA2AE6A1-AFF6-44A0-AD1A-E109A7A3B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03443B-1FF6-4494-A9FA-3359F430A6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B8686C81-6E5C-4A94-9D3A-FADE53F3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C162F3-DE5D-4C15-84AC-A89B6329D6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B7D503E5-2E5F-4E57-A3A3-D408B666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DC7796-8FAB-4A8A-98D6-40A4571240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4C544D4-30FF-4D99-9882-5E8041F3E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EA205F-E95C-464B-8500-A91A4B0181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CFB18C74-180C-4195-9667-DFE4D757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3A7320-97B4-44DD-865A-5A6E1B3E6F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967350F0-40C5-4C37-B82A-4837E58F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B4E4DF-70C2-4E6D-94D1-079DD53174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F92B2C4E-8739-4A13-B6F6-DF326649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597067-0E71-40C4-ACBF-EBCAA0D83E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B67D520-AB37-4FC1-865C-8704C509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7A4C7-86D9-4229-9DA6-3EC224AC4D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C80F4EE6-0FF7-491E-BB42-67A6E7BC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DA3AEC-507D-42FB-B8D2-5CAEAD222F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22CCFB02-613C-4677-A79F-4E192956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1FA528-2861-4CD1-9991-BF0F514A2C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207DF3CF-140D-4D80-B55D-BC1627EFD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244114-932B-4A8C-B880-C9E2E3DFE7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2D731018-A04C-4D55-B41E-76365DBE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AE5703-A35D-453A-AE9D-DBCAA9EBD8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F094898D-B107-4C24-AD53-F4E559814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ED3284-4C78-4130-8F93-F770FE219D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753FA4D4-2161-4D6B-88B4-DE586636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3A33FA-8CF4-4CBF-847C-4489C65CF9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F726E0FE-7097-44D0-BB5C-FF91B327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D6EEAE-FDFE-47ED-B565-5D2E8D3F48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DED42728-C35F-47E0-B867-61767AA2B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EF5C55-B8C3-4A79-BDC9-C09AE7F748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E3705FCA-CDFA-4D30-AEDE-E2AB85FB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64C738-C185-4FB6-9CD3-256ED677A8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DE62B30F-30D6-4515-8F42-382A14D7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64DE90-84AF-4C83-95B9-1E72CD8BC5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2633FAA4-DAB8-4CC4-B028-9FC4D1C93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A2A2B6-0194-479C-8974-30440343BC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B3C3B129-C77C-482B-9202-B8EA76657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E58622-8E0C-4480-8E0E-3BE5EFDAD9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4DDA6BA3-C830-496D-8ABE-3B2EBA05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98A0B4-CE6C-4170-BBA2-8D069228D7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302F1996-2E7F-45F2-9DB9-3B08548C5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E3EBBD-0706-47D3-98E1-AA4197377F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7851B93F-CE8F-4826-AEF5-B1236159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267C2-94A4-4386-812D-E226623C4B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252B520C-68A5-424C-86F4-7F366348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C010C7-3198-457B-A172-DA698499AE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2514128B-1B68-47DE-A6DC-1531E0FB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64D6AE-D4E3-42E6-8E6A-028DD627B8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42DA2BE7-2680-467B-8907-12A1387B7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5BA5E2-33E8-4C39-986B-6841B5F1B8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C1A7FE6E-6E9F-4360-AB70-B443AB136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042AF2-5097-49C4-99C6-D844771572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70E6D50D-756A-4B3D-B6B2-D84CF43E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CB8EEE-A943-46EE-8FB4-698C7FAC65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4E46859C-D605-43E9-8366-A138112C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9A544D-BB04-48B6-B3D5-3E2B413E23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CDCE15A-1C1C-41E6-B5FC-A1436BB5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079384-F710-4F42-9F99-BE770E0299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E142E50B-95F9-4148-A47D-A2ED73348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C385E8-1FB9-4BEA-9BCD-566A5C1461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FD7F3DAC-A62E-46AD-B2EE-B0AFE2F86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E2BDE6-F1C7-4A72-8FFC-F12CEABFF1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DBA2C7FE-6553-46DE-92DD-A0F50000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4ED7A1-7358-488E-A89E-1BB96D3233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FD16D5D0-C5B0-4F73-88EA-B837F5551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C23C56-27B7-49AF-BB9D-2EEEA62A97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8511570-C895-46A6-8C4C-FF9AD4BA9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A069A6-FBE6-4E5D-9A9C-599A0AFA5D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355D086-F28A-463A-B3BA-E58B8A5D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6B4A8F-6992-4EBA-8770-B0AE0BBB02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AC92B46-BBB9-4FC5-9075-0D0950A6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F30925-81AC-4A8E-A374-38AC8E0D8D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25BABB1-99E7-4A71-8934-81973A7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4A39F6-C3F4-4E34-9D5E-F894F81916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DB8B86A2-100E-4B0A-BEB7-F99B689E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E090D6-B352-44AF-B8BB-529D34549D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01D14AC-95C0-400D-942A-8E212C77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0C25B8-D4AE-4E24-9ACF-C4814D7416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92C7552-AF9D-45E6-B1E7-FD72B781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58A6AB-D177-404B-B0A1-A53A92B9C4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0FB6457-3DA7-4147-BBAD-53556994D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C643C3-AA93-46A0-945A-06967C2013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927F235-8248-4C37-A02F-B402E56C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A4C6E-0369-4C22-AF2D-B28AAE8545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69ED23E-4939-450F-A286-6D055799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00F20B-F68C-43FA-B046-69A909FD7C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21B3442B-34D9-45F7-8818-6BB2DA15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947D5D-BC4C-4A62-B6AB-FC4078B5B3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ADEEF54-2786-4EB9-97AB-5DBE0D6F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DEEE1C-715F-4830-B768-243AE1DE3A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B6D38CA5-D45B-412A-B265-18718600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EF83B9-B634-43B2-8889-52A36A33FB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43B8B78-837C-4C7A-A45A-7A0C5DD14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D5D2C0-B94A-4636-BE1D-535A88E847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10916395-AF5F-4284-9799-42989652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B457A-6687-4A9C-AF22-22576F4F47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2AD0CA17-BC96-4817-9B84-58C3890B4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01214D-20E4-4AF4-868E-FD95AFA0A2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50CD07E4-7C02-4C3A-866B-B21414C7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36403B-1086-43B7-A3DC-AD39F233BD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B9432D97-DC46-4754-9C2A-33493122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E9D9B3-2422-44DE-A42F-538016DC89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E6FA5FE8-D272-4A11-97FA-B6A7B09E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CA5532-CD5D-453D-BB02-B254953A20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694AAFB6-9176-4144-91EB-EBA939B4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8C8EA8-84F3-4C2A-94FD-4BAA455F55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46178C6-5F2F-4361-B8BE-EB8D0D422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8FC0B-0B6E-49BC-A347-30346AF810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A776AC9B-DA0C-4722-B2B9-451F08E46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5EB616-79C6-4D62-827A-8EDC8526D0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95560960-6E12-4833-8BA2-90CE8C1CA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6BDD87-7E09-46FA-AD29-8CE5EAD25A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293F4E13-FA06-4F71-94F8-82B6B038D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61FD17-A6F6-44A5-8EFF-F9EAA763B8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3973BBA-DF31-4A59-A1E9-7B4B235F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CEE1CD-1270-40B8-8447-A714A5EF76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9727C48D-5535-401E-951C-19931015F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DB086-920F-4553-B6C8-6155609D94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FC718421-01BE-42AC-91DA-94396E475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BF9A6-909B-44A8-AAC9-54170F5C73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F755762-439A-4232-BC80-7BEF50EF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7A7B2A-ECA2-4F47-B825-EEF7D59B8F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CD2F8B20-F6F0-4DE0-8A57-7607F14E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CFAD51-3FF4-4443-8737-D17B3E036C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BC1596DA-A722-4E8D-93FB-D3D4A194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AF8F5C-1A9F-4E9B-B3FD-959AC71EBC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0FECC91-081C-432C-8ACE-938EE18C8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E5C304-A644-492A-A6C7-DCF1FBEEE1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9FAEE23B-C3B1-434E-A81F-5026BAB5E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1DBB4A-7912-47C1-BA69-9CA57C9EBA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D103E2B1-B4C8-4FEA-8BA9-05332421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3EE60-22ED-4FE3-AC11-D128481807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E340FC21-877D-4B54-BCED-48D6D05E9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AAB966-2556-4B84-B66F-9B8E159BC1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F9F32891-2636-4AE5-B166-0C493FE2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FD9E6-62AE-4AB1-AF41-820ABF30DD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D722090-C6DF-4E9C-BE92-D3EFE926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B5ABB2-111A-42AD-9B08-18A61BD141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1BCA1762-84BD-41FC-A753-5A2532D3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FB137C-58C6-4131-8D9A-D773862E74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CDA6EA93-EA3F-437F-B4DE-34BD17BD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523BCF-A54D-4CB7-BCC7-3C68FF6CA8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1F4C1101-63A8-4070-9A1F-EEE55C32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1EC551-8257-4C1B-A1AD-825D8257F3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3944B237-ACDF-4A27-8325-BE91030B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FF121F-33F8-4010-BABB-DF6CCF102D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F7B365FD-17BB-4FC5-A57C-38DF6C02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9234BA-122A-4CED-B2ED-CA1559FECA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97FC47AC-875A-4CEF-9A16-BDB69CF60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E6401D-9BFE-4197-A580-E69A9DEFFC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FE7EEA96-9A42-4BE9-A018-A525E5CE7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DA583F-CE63-4913-88C3-497EA5309B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FF49A0E8-1535-4DFC-BCB6-8B3689607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6E354-8387-4C1F-9606-8A8BB59D14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CDED7D90-0621-4CFE-A1F5-41282EF8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ECACD9-B755-4940-A3EE-338E71B304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1D92D527-3BFB-4FEE-AD91-2FE4AC6F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9C1DCF-6851-4927-9CDC-0F2326AE68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D49295E6-57F9-4FEC-8B76-8BC0F1F9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FF2A5C-D509-4996-852A-08ECF7636D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3D8E3C8F-8DB0-45DD-9682-4E014F98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B1B733-E623-49A1-B35F-5ACD01EA43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CA059AC9-6BAA-4D6E-B746-F9B64C3D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8D56DC-A9D6-4AA1-8608-3006A96F04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A7A64EC0-8D59-4DDF-94CC-D006B1CB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AADB6F-B338-4B0C-B3E4-AA4B48E3ED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B310BD17-B5A7-4792-8D15-936495D3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BEBC39-72BC-444C-9647-B7E461C52E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FA928B5B-CA2D-4625-9FBA-9537CB5F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BCD53C-E625-462E-98BD-B6C978F142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91620BC4-2766-4802-8D8A-E11027ED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493ED4-6994-45BE-85F4-A9EE65158B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4FBCCC54-D087-4F67-9D2F-547FB5192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E00194-86DF-44F3-9068-AADF2AABF8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A2B30FB8-8AC1-47CB-9156-86EF96302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28725-CACC-427E-B532-A6164670D9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591BD6A-FFAB-4C92-998A-ECF627FCE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50DE8C-D359-4087-A3E6-3B6775A06E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AB773E7F-7015-494C-B910-925E5279D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0B7685-BAF4-4105-A199-5EBA0AE15B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7E1B6D4E-6FCE-4BAA-96D0-CC3B7DA99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594C39-20EC-427F-83D2-F02D95306E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6A5306FC-A999-439C-AF9B-2DE441FC0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D63F9A-0F2C-4DDD-90AC-66253A4C94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E6ECB6C-8F19-4972-82EE-78B393AA1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EDAF20-1693-4552-8157-3418461428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88A6FBC-9DC9-4C00-BC57-081820BD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160624-5751-4751-A225-108C57CBCA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3042C29-AF11-44DC-A42B-BFD5404BE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57D26C-6B8C-4A14-A6AD-B1FD11484E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165BD9D-039F-41FC-8590-33B72B5C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7863B2-960E-41C5-B282-8B159749CE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A1262985-6832-4C17-87ED-AD4132B4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6133F-678C-4F7C-B25D-6FCE5CE829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38D039B-E787-46C4-98E7-010C7D96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CC4CD1-37BF-45E4-8C1C-34F41D6169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26C3C1C0-D626-4FC9-8BBF-9C3B7C86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A66879-FA11-48EC-ABD3-4C681A19A2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E5CF013-99BD-434C-B0E9-1DEBCA32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9094D0-989C-426E-A91A-C682E5D579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E7347E67-AE29-44E6-A805-E72C993EE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CD383D-DF7A-46DB-B812-BFC6CA9AC5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63B42470-52F1-45A3-A718-23C0925D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24CC88-7549-453F-8EF6-28341EC3C1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BA2BD943-612F-4D4C-A732-57EE85A40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AE9DA3-B3F2-4FAF-B8D2-5BCFD9F1CD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7038EB5B-5B6D-40F7-8865-31E283D0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2BA8F-2883-464C-A33F-F1579FC34F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B25C884-F30D-46C8-9072-56D2182D4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FC63B5-D6A7-4F21-B27D-3FA77E2A2F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FDBE1DCE-940F-450D-82AD-79DD8794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C0525B-F8FC-4CEA-8C2C-26BF47DD45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C9B3427-95E3-404F-BF20-0FDC34DDC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2EB1FB-66F2-438D-B1E4-D4E23954C8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2231835-6F89-4B31-8D1E-87F46900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2185D4-F4C3-49CB-9AD2-C21E5FD290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C1016AC3-6291-4139-9417-EAEF5FB67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1879B6-E579-48E7-A25C-CD5F10F57F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08FB1722-D9D3-4F4D-BCB3-3E1E98E0E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DE8494-9320-4C32-AD10-C1CFD1C490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9FB6A05-7D0A-40A3-A210-6A458811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907CE5-CCB7-4077-8E76-D05B49908F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FB64E918-7A37-43B9-9F88-ADA6B879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09CC1C-71AD-403C-B65F-B61CCCD0E3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5165B10E-7E52-40D5-AB95-B000534C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292E97-69FE-4FB4-9D7B-8CBCE91F7A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41E4459-1BBD-4044-92DB-FFD10CE3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0C0D8A-700C-43F8-BCF0-B4C792B44A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CA32028-DD1B-4213-AA53-495B965E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614DF9-0BF4-4EB4-B734-E4B3A30249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5096AFF8-EBB1-422D-8537-FB31F2120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127197-8296-4390-8455-01A91340D1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386CC3BF-B346-4AA9-B5F7-902E2FC5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C44E62-EA04-488F-B1D8-AAE192ED9D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5E97299-1277-4F8A-94DF-4F0391478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D28984-0038-41C6-97C9-8E5FDD5659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F22570C7-32FD-4A18-B734-ACE761826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8DD51F-2F6E-4C61-A8D9-ED62CC21B5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49E81BF-C526-48E0-B45D-29A2A5A4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1279CD-B4C5-4164-933C-1BD1EFAA8F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5BE74C93-E7E9-4CAE-8877-AED35C8C4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F6EDC-3960-43AE-BE8F-D93E2B1ECC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164280F4-B51B-4A5A-BD31-A3453CC3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2A4FEF-9D08-4FA0-95A4-199DD89548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DBACC1C-CFCD-4925-8E3D-98B46976E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84BAF5-DA76-4C51-B8CB-3B7C4ABA6C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52F53CF-6C20-415A-AF0F-EC714A062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A98AF-B8CD-421A-8A80-539753C9DE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AA50C1C-AA04-4B93-94B7-927C54DE9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B111B5-848C-4AC4-8D4D-C5DED51A15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1E674CC9-C2D4-4CFB-B4ED-044C6464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3B47B-B390-484B-9AFD-A4CCE6D7D2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204E544-5BB1-4652-BB4E-145E4E40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9573-59A8-49C8-9357-6C3B464155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AEE27474-1466-4917-AEFF-D3F9919FB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69634-1197-4C32-97B2-C167B8CD4F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630697AE-7FE0-4318-AC3E-0C0F79B4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D9D558-ECBA-4D6F-B33E-883922B85C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B9208DEA-252C-4E6C-BD23-07C24E5D7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2ADF3A-F32B-4981-8C5B-D9F006D7BA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C586EC1-71F7-4422-93B8-EB5F7A75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22187C-57D8-4611-B91B-27D68BFEE5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42B5724A-FA30-44B5-9C8E-09A8FA45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9A2DC8-6F6B-4CA2-9D89-D248FDAFD8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44E068C-3EE8-4653-9C7C-A6875C32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00E29-2C42-4FDF-9F94-E305E79028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832E4F42-B5C0-45D3-8FCD-BBC33CB1E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C3D7A1-E3F0-4D14-BE91-93B0B188CD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C2E6A565-3B4A-45C5-8849-5ED7B163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B07364-10BF-47E3-B20A-1F226FD73E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08DDEAA7-7C6B-44E1-B82D-7686F5D73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AA897A-B09E-472E-A6BD-904BBEB19E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F3133C59-7601-45A0-BE37-29B8C440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A51D0F-0616-4FBB-ABBE-C617ACC050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9CB29285-2D8F-418B-8258-A68B49A8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2CFED8-88EE-4DB1-A2E2-4CBC60221C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A73947B0-3106-41FB-B19E-35F47949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62F77C-DC56-42B8-96EC-25BF490CAC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995F537B-B830-48F5-B598-E32D43FF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F6A7A6-163B-437A-8C3C-4909608D00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5171B158-D32F-43FB-8F6E-36DB09676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191E35-2C6F-4933-AAEF-1ECC5C4D9D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1D26F0F9-031E-444F-920C-EDE3885F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EBEEDD-8B15-4D1E-9B43-8F620BEAA6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58FD4A66-F5D6-4861-9B42-35C534F1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1C406-3105-4E42-A4B8-C74BA4E5FD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E9CD3480-7CA9-42BB-83A8-2DF06DD27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826709-91A3-4603-96FA-434AF8D843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E54B376D-3989-4C60-8920-654C051D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EC959D-0679-41AE-8831-A00BC97C73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44C137CC-9FC6-4C19-BDED-8773BCB6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CB860A-230D-4E38-BD27-AD43255B08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D5C6722A-D37F-4C09-A296-0F2FA68C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FD0D2F-1146-49EC-8CD8-AED3168DFD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E6552E6C-B5AB-44F1-884D-3973966B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652A42-6332-4B25-B240-AFC288B52D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229C2B30-000C-47CA-A8AB-D47B32DF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F778EE-B392-4DC1-B8CA-E130BD8F4A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118F820A-81BC-40D7-9DF0-41D2DAD43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B289FD-448B-4FDD-9813-CBD31889F3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60200993-2301-4F2A-A360-8D8FFDC8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489C27-C642-4BDC-8832-34A7A0CB64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8111B97D-BD94-4EE6-A2D5-B6309B88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320973-C3EB-4CF8-8BDC-9158E802A4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01FA07D3-50A5-4FB2-9CF8-B94D6279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B067D3-F695-44E4-A585-24A662A49A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49B9E655-B6E1-43ED-8480-55301D8EB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AE3E9A-0232-4366-8285-FA26EB64BA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47B6D194-A9FF-45D2-BEBB-4A0EB6C2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A982FB-6E62-4C76-92EF-8850C26138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00AB30A7-05A7-4799-B4DC-CF397949F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CE802F-00E7-44F7-84E8-EDF35CC5F3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EC9E7790-60BB-45A7-9C7F-2EE54D3D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43926A-F4E2-4441-963B-26B14022C6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EBEA246-A4BE-49C3-A85C-6E1DD7D88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92DF8A-A583-44FD-9242-3D28C3BF50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6B8D18F-42E0-4B25-BF47-33598284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37E056-F4AD-441F-86A5-899503DFDA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50C87986-C632-4221-BE19-4CFFA5196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693927-7C1B-4C71-A81B-3FAC30FE1C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74042B0-7C28-4350-8E6B-646FDA64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89714-61AD-449D-B9D0-22AE9F6252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BB8F10EB-8457-4CCE-A2D6-BE5975B5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8A7B53-2E05-492B-A4EE-0AC914F325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9AA7C79-C0A4-4339-8D00-E4F30B54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1F4CDB-659D-44D7-8B5C-B973763BE0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88801F23-09F1-42EC-88F6-3CDEFAAD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E950D1-3458-46D1-9C0D-8E7D1F94EE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CD2FA8B-EFE1-46D0-AA8F-8AE3FD0F7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F46431-5E2C-4AFB-8212-0BB0BD0092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F709CB9-33C5-45C5-91C0-F04AE2E81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EFE37D-C481-4FF9-8381-9FF2A98BFF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A833BEA-E4D7-4F89-AD4F-3009B35EB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839D99-17DB-4781-B82A-E96E3756E5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993EABEA-2BA3-4CE9-8879-CCE56775C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2A14DB-167A-46DE-8776-E88F932BE9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2B3EA1F4-483D-4799-BD4B-5D7B8D36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C34CD2-B0F6-42D0-A273-B6A6392761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D0B90734-699A-4AB1-9F0B-537B9A1E9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093B7B-F59C-426C-8786-CF33F8BB5A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43125AEA-BBC3-48B3-975B-1D9F87A6E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FC28F-7637-4403-B307-483EE6C2B1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9E33344-79FA-44FE-938D-94DD9FD1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C39FAB-6E63-495C-A2AF-B49FBBE9D3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934596E-D243-4C09-BBD4-D808FEF9A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3D21E9-8A51-4C66-B55D-A31CC53620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455D39A-9BA7-4B17-BD10-FFC98C1E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776710-6BC7-4221-AC18-F15DA5421C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CB0E720-2A91-4624-A065-25334E6C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86167F-1721-401D-A8DB-662103CC46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391BDA6-73C0-46B6-8A9B-FA51DE81C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40883A-392E-4209-AA4E-9F0D4CE1C1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231C5E18-E20E-45EA-A6C3-62B628DE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1AA734-6F8C-4395-82CC-44320DCDDC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16E0E30-CFA8-488A-AB66-F0A950069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F97A3F-1CDC-403E-97D4-AEF32CBC49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00EC5F6C-F8DA-4854-9859-37814823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62AB67-A2CA-4E16-B93D-5BFEEE4580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E88F010-ED99-48DC-9FC5-D3EB3F0C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C75077-F8C7-4CEA-BF19-E2EB4D4310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1EAA6AE-F59A-4814-ADAA-C1A1C7E2A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329993-4A6E-4839-A4C8-750FCE8F61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519EB4D6-D9B0-4DE0-864F-3F9C0E56A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D1B3C9-1711-443D-A80A-79926E0506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3C23EB6D-56DA-417E-9A5E-077727DD7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5E8C7F-677D-42F2-89D1-61A6B92B0C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D28021EA-4240-40C9-B5BC-1EE7F3F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3CAEBD-0590-421C-A573-755EE57E29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66E007AB-CBD2-43A4-A3CA-EE1A85C2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6AD9F5-8E03-4A25-8FBE-0D78FCD046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ACB7D693-F6C3-4703-8F26-C8A165DDF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E20DB5-9034-45D2-A5A6-E2D4A7B097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B37492B9-C7EA-4B5F-A01F-40B8EE6AC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2F5CDF-303E-421B-881B-2C4ADC041E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F271BA27-F3FA-4465-B8F9-641C2732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4CBD70-DE67-485B-9BD1-03F084D2C9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031AB12D-4278-4AF2-9935-71DEFC96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38E6F2-762E-447F-98BC-A99DD6E4F5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3D9820BF-1D66-4940-972D-524F1B76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F7B458-29E4-4BAE-98A6-360B4B5649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41AF5737-2B81-4072-93AD-4DE62E7E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9CADA1-A442-4CE9-99B6-62D0819CC3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BF25E4E-7AC3-4290-B352-10F6AAFF5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12BD69-78E7-4876-A268-45DC6E3756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CF760BC-3367-4CA9-B3B5-FD6BD5709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84B860-ECC2-46AF-A701-B74EB51686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0347C948-7CC4-4C3B-A5F9-7F9A875FE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8D6163-B856-400C-8B98-9F1BB28824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FA344C9B-8275-4F47-86B9-6CA2E1DC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C27AD5-71E6-4873-8B11-AFF9E51DF2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3D4CA45B-DEB2-4768-9931-C1EF9A50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44F5B6-BC98-41E2-996F-ADA4D6207E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FFCEA78D-03A4-4EF9-A8AC-B1229465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6F18B0-A675-449A-A176-A7E0F32207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3BC8336-3C25-4699-9981-8F79B7A9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A92B80-B4BE-493A-B44F-A7A9D7B391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4E7B380F-9D77-418D-AF7B-01678F5F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574B06-DEF4-46D2-9A03-32F27B2BE1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CD65C14B-4DD0-4CE3-AF99-B84476CB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7EF2E4-6CA9-43A9-92F1-CB2C87A53A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B5E81977-DF59-4BC4-8647-6829EE3E0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B21EE5-3254-4D64-BA41-446D00B0AC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5A9E150E-CE48-4126-8809-C0F78E661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F4663-E08D-4AAC-BA50-63D6814E3D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7A03D957-E06A-481F-82D0-E4F875FFE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D16487-ACD6-4802-8EB3-F9C666D4E7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18200C70-02F9-46E9-BFF5-C4889CEBC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F8C212-895E-442F-9E84-782FF76189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B6EAC602-D298-423F-A98B-B946FB22C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DA5ABC-DA15-44C7-95A0-10281DBFBE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CAF4B846-BA2A-4071-879A-A9012528F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97A05-BA75-4B72-817B-04458EC625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FD79D0DB-15F3-4869-8196-E40C22B8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AA9DBE-35F6-47DD-9402-9EE4DE4D43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C24F0FCF-A0C0-4C98-9DAC-F68917B4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BC1DFE-BC55-4CE6-AE50-84BF712E06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1BBE8C96-20C4-48EC-A8FE-F786811D3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F916A9-95F4-4AA5-88FC-B35201F204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32762FFB-E17D-4A51-A2D7-2F258FAC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FA1CC5-72FA-41E5-813E-A075C00AB2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0D7C3122-05D6-4A9B-8CE2-034A976D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87509F-ECA4-4AE4-9925-C24ADD7A86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CB9C441C-BE7F-4F30-99B6-CBFC180A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0D2F5-E15F-4003-B35B-858905A651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89632777-07C2-439C-A90F-9E1B49BC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016E6D-A93E-40F6-BFA2-10A5AC17F3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01B3904F-0974-4F19-B4BA-4229C722B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A1B328-FA7F-48E5-9023-851BB3E451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670BB8F-BE43-4E49-84F0-F520B3D5A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47F0E6-F125-4D91-B102-E2ED0116444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59855B30-A912-4010-8018-744B6836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AF7F65-A5FE-4181-8FEB-11726CA3C2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549031DD-2CD8-4A23-A788-17FEA3592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119386-C18E-4856-A44C-035988BFBE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32C71FAF-A26A-4D8E-9E2E-10BCF9F8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38576C-99F2-4903-A4A7-411F2E6E40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460FF940-1D1F-4D7F-9FCD-0B63EB965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5BE1D7-034B-4734-87DF-CEB5AD981E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939DEBB2-B283-4FC9-B9D6-ACF51125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B7FE73-301B-4D85-988C-DA08BC5F2E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11B3A4AA-DE60-4D76-9C92-C36F5A53F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9AD8E5-69B9-44C1-BC72-0DCA0C0316E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C81F7DE0-0A14-41F2-9D3B-810D9F97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470560-F0CA-4062-B324-DEEB405F6C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E1C84014-F2BE-4650-A7BD-136F7C1D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718008-288D-4BC6-BC24-53C7104549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B8BC54F-6BDC-45BD-ABE5-4E95057F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9F4C45-CF21-4307-BFF5-0F1F022960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BC30F2B2-2038-4CF6-997A-AC4C4378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3430BB-A9D0-4175-80C1-17C5F09C6DB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5578E48D-17B4-4CFD-9D3C-40C28CF31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DD5DC-6EF7-48CA-BCE9-63B4CE3E9A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20A9C39-BEC2-4FF2-B614-2BCF6842C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62AD52-CA56-4565-A1AD-F2649713BE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982F4D8-73F2-4012-A07F-AE04C8E6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887358-C213-4A45-A25B-99D47B376B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8812BE2-0EE7-4010-A9CB-B8EAD565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07D8F2-70A1-4906-97B2-2746C4544F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1F92FE62-EA68-446F-B8B4-5A151AF6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73BFE1-32C3-4A6C-A5A5-CBB6885FB3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DFAA11C-13AD-4E00-AA22-6AF9E4A3B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8FA595-2361-4769-A187-5E999EFB65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5493A961-6A99-4C7B-9F46-3886958B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702AF3-BC14-4348-ADE1-780F8B4B39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36930628-56CF-4130-A8B6-16ED42B1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E94D95-61EE-4FE7-ACA7-7A7A1D77DF2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4993C3EF-DD54-49AE-837E-5FAC5DEE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DE84DF-D154-406A-8E3B-D8C046D386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E4E1AF4-F69E-4A11-A559-64CC4581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5A149A-403D-47A7-84BE-3ACEA25EA4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D726FA9-3235-435B-9EE2-A626A127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2D2006-0DD6-4C22-8653-A9A4A33B5C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7BF5CAB2-69B9-4EA0-A113-A9F9CA92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9A76AA-E258-4772-93D1-487AC2031B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E0757E24-3793-4405-89FF-D780D35FD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3267BC-C367-4084-B0FB-B7140FCBBA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B20589F3-2E29-4C63-81D7-4CAC1DAFF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AB6AFF-D9B7-4948-A2D7-B315F4EE36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2733A0D-8D45-4176-8625-01ABCBF7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0A217-7879-4E13-8D01-250F4F8BC0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5D1E54F0-94BA-475D-AAC0-7CB744EE2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CE7067-46A2-455F-B0D2-D6709ED9A2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BD632095-7D03-4670-B668-5D6878157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B384BE-7FD4-46FC-B096-A31EB880AB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CA47E1F-645C-4EF7-87AF-EBF8621B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7FFA29-B773-4DA7-B75B-C8C8F26918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64289572-9BA4-44A4-8594-861B5F6FA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E7220D-C525-4B84-B138-DBC4CE6C01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80C24863-4F6F-4C39-BEA7-11540F9C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C5B7F-5697-4495-91EB-5DC3A1B8EB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952392A5-CFC4-4A3D-A71C-DEB87D6C5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AF842C-1C3F-4504-8AF9-8C12E09DD6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A71F8AE8-97BC-44C9-B39C-1F3FE0EC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CD13C4-C927-4D0A-8402-FC9D919EB2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44B8EAEE-6FFD-465D-8250-3431D900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97FE60-10BE-4AEC-A875-84C5A9690A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B1B5126-E9C0-42C0-B4C6-3B34D8550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1AF8B9-278B-42D2-9846-A602E91BAC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DD2A5EFD-399B-4AA6-BA24-A7259E52D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313E2A-DB0C-4BA4-AF98-9F2B7747BE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DE1CE26E-C0A5-45D8-86D5-BFF67E47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18E482-1CD8-4974-A4FE-8B384A7CB9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157C6D5F-9FA9-4EE4-A858-017938344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DB2A7E-CE89-4F45-9F97-3BC8C9652A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FEC81DE4-D837-4BD3-B35A-B09CE9FE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2EE1BB-6CAE-404F-950B-CAF55B571B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6CBA6FA4-D693-4DFC-ACD1-51CE66CE4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6DA07D-CC64-435B-A750-7B760750D9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6FCADCC0-B322-497F-976B-F63DC5E31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D46572-BE63-4C0F-AD6F-DA84A8F393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AA0CF8DD-7A02-41CB-A085-AE712797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30192-005B-46B5-8532-DE4DB34EC2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C8625C5-0D28-45BC-940E-16F0B2EB7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636ED5-FDA7-4F51-AB59-AABFC9F6867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81854C9F-1E7A-4AA5-9052-87F94AC1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7B7B0D-5BA0-41DB-AE59-B0B4DDDCED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45D2770C-7031-43DC-AD26-58BA2F0E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D3B5A8-6BDC-4400-A04A-813327BAEA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B9820FCF-E951-48B8-B88C-42CBDDBB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24A684-724B-4716-A7D6-BCCA12335B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F196CA5-59BA-458C-BEBA-390A198AC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D37C60-8119-4A19-A1A7-F3E90EFEFA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F5BA7B33-8B0B-4F3B-9C82-4B65BDA0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C6E244-C103-4340-B55F-FF3916C732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B4CFFB5E-FAB7-474B-9872-F30D865E0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E6E2B-385B-49A2-91FB-0C386C0BF6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DD232F66-9F7C-452B-8FA5-67647222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3650C5-CA8F-4534-A8EA-44D7E3906D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ED4D40AB-1645-462C-B9F1-2BF8BC64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EF5E9-BF9A-41BF-867D-0162A37CE2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406F813B-525E-4C92-8E88-59B6DEFC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FF9891-41F8-48D8-9C34-997F7F1011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BB866ABC-29EC-41C8-8E6C-5152F826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87F209-757F-421E-B00D-8DBEFEC1CA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438B758B-7144-485F-9A77-610D6411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5DC4D9-3317-414C-80DC-FE3F3F6BC9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D66D467E-E483-4F12-9FDA-B666A8AD1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B8BE60-ADCA-406F-B4E3-24B56C7230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84AB229F-14EE-456F-81D3-DE3212016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B284D-0F1A-4E68-A4CC-4FCF84BC69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90905DD8-A4C8-48C8-BD90-F41799DD7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44D567-9855-41CD-82A9-9C7A865EE8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260F04E3-1F04-46AA-BD6D-D17B06AE2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0FAB21-3CA2-47A1-89E1-2CE83A59F4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7730D474-2002-44AB-9E97-1BE8FDFA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05C109-0F23-4244-BDA8-55F1E871C8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30DB80FE-2A7E-40E6-8D98-3266BC747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90AF50-B28E-4361-A7F7-8F2EFEE05E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1B4D0E1C-FC6E-498B-B3C7-D82B14F2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D8B8E3-F884-4DDD-BB44-9689ABE709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ECC06DE-78AD-4C49-8B53-B1645C98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AA59E1-B3C4-4AD4-9F8A-AD3C854C60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CB8069F2-A2B2-42A0-A0B8-FAF87DF8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F2A26B-4605-4108-A110-118E790596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2E8EAA64-3F36-4C77-AF02-1765ED50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31EE40-3E3A-455C-BDBD-96C6335B38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0A8F82A0-0E6E-459D-8632-66BB3BD4A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AA745B-92F0-43E9-A87F-EBA2183CB6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63D05C4A-D629-4C59-8E33-F6920660D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5DB0FB-F759-4B77-B8BC-03BF2EEAD9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D2C6185A-FBFC-4EF3-BBF0-CD24F945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C0D8B-651D-4FC8-8C53-4AE61073DF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D6C5FEC2-95CB-42FA-82F5-8BACB3F13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AF893F-E7F6-4202-BCCD-674C9385314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0A99ED94-B4FC-4A4E-A744-43A038C4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6AB554-1993-4777-AD7A-A3ABFA4D6D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610D7422-9E20-4EF6-9BB8-FBEA5B9E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BA8DC-8BD3-4D90-A026-536962A4CD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04967880-9F81-4A2F-BA90-935D51B7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2A99D2-86C2-46D4-873A-2264ECC90F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5BA4E76B-C5B2-4EF2-A8E5-9A6EDB45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E509A8-F71A-467F-A9EB-9F2CEA8EBC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892550F4-D353-4C9C-9166-E435BEB88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26059C-2799-406C-9AE0-FB791CD7DE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48F48A61-0ED3-4DF0-BD76-8074ACFB6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E691F4-3123-4A84-B011-11E7CC54C4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528920AE-C00B-43DC-B7B3-3B252B58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8FCA2B-57EF-468E-9D96-B83F14CA8D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BD05DDEB-6F98-40B1-9474-AFC2730B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1A99B5-E636-4F13-9B20-509623BA1E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09FED0C-A5CA-47F1-9D0C-A4167F0E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FACA0B-4380-4252-A8DF-A0ADDD9001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8A0B79A-231F-4CF1-9536-1928CE2C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BFA135-88CF-45FD-936A-4BD9526EF0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7476F678-C1C5-4234-A233-1E536549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33463D-1BA1-4DA9-9EB6-AC3251F235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AB96D90-24D5-4834-94B1-6747996D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63B4A9-29BE-40F6-9486-7AEDC97A34E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E88A2399-084A-4729-8D3C-5C062FDB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400D2B-0DE0-401B-BC00-5E9C1DE6EE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1F79239D-373C-4CC8-8AB4-07BBB2D3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E3591E-1A4C-44C9-9CEE-452DBE7A6D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5E212F1-8402-4051-82A0-E86D7F2A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4734C4-DCF6-4527-A9C4-4E3317AD20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65C80CD3-8509-4301-A287-45BBF362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2EF1F2-8F62-49C7-B6DE-A151222836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46937D3D-1E6D-444F-A8A8-01D435C39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A2E69C-2F90-4DE9-945A-01FCD3B5C9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03789B0-57D7-485B-8E48-0C1FCA2F7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876CA8-7BF9-4760-A0C0-E6A4EC227F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7617EEA2-E3C2-4966-8776-9CD6ACC3B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101A1E-AB15-4894-ACAB-702A444B45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0B007ABD-D976-465E-9F95-A637C45C0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32CAE6-A281-4F9B-9896-4DF63FB1C2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78869AF-48AD-4925-A523-6EA8C5C5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08C8CE-8C29-4B27-867F-E1089FABED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7083908-A95F-4923-B4F5-CEBB6E7B1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8AA260-56AD-40CB-8784-4261C273FF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DF69E90-3009-4281-BC0A-FB3545D3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BF2991-BC9B-4323-8FC1-5D9B620190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65F6193-5739-4E34-AABC-4584CAF06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96BCCF-B77D-4730-B2C6-4E55D45939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9EFA456B-540F-4A11-B8AA-0C6D6AE4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2A118E-93B1-444A-ADA2-68E0282AE2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13C20A2-63F0-4B37-9D50-64D4F7DAC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B9ADF4-7EB8-4D8C-8C83-D209CBB1A4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B758D68F-4F17-4B6E-8558-C2B36738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C2C600-B434-48CA-A219-9FF463E153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86941B2-5086-42E3-A701-AEDDB000C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574101-D8F1-44C2-8778-CBAF671D78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AAFF8955-9A09-42A9-BB00-B4089F806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EA2687-F88D-41C3-8EB5-AFB7A022B8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1338687D-AEBD-4766-B591-436D6149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1ACB9A-3ED0-471A-92B9-6A4379F7BD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07B3DCB6-7588-4E4A-AF09-29DFF378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E39FF0-A4FE-4EF5-8BCF-57D00798E9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738AEC33-94E5-4E88-9BFF-CFEF8D7B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0984DF-6FD8-4837-A04D-DEC94DBB30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D5DC515A-47E3-4F52-AA7F-D6B1F818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D1767F-2EFA-4A34-953B-18AEF248DA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7B7F11C-5BA3-4531-8B91-BA33883B4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72825D-DC97-4A2A-A2D4-DEC5C5B2D7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57980BAF-A687-4A32-8F59-43389234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18F2A0-DC66-42E3-AB7B-E1C6F50F61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0A7EA7C-8017-410B-8F77-8FD023DBC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298143-BDC3-477D-BB2A-33C81ADF17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250CC661-0532-499B-A005-93835A427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2E2BED-279E-4927-A613-5199EF96AD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C3615D2F-2F9F-494A-9B44-AB8E4F29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5AFF3-0AC6-44A0-8467-CEE1626214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3954AAE1-1DD3-467B-B3CF-0C948547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A726E6-80AD-4C6E-89F1-C849FDBDEA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6BA26D14-5D1C-40AA-8DF7-4C230EE1D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856FD7-8C5B-4B0A-BD40-ED19A03AA5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54FFBDEB-D9D0-4325-B2DD-D0AE4171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498FBE-53B5-4D3D-A7E2-D09313BF8E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35835C89-4188-4954-9513-ACFDD618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C3AA46-E1DB-43F6-B8A4-7DDF20038E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296FFC4-571D-4269-85D7-4229D2FC6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CC31EE-78FF-49F6-8FC0-FC2B4F6449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B1A5369A-4B69-4D6C-B2D3-0AA875B3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5C7699-C3EA-41C6-9ACD-E6AC6DF6B2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3FFFCA3D-A593-4063-9109-2DA02A9B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7FF2B-EBFC-428C-94C9-4A3CA4532C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5D312187-2E5D-493E-A3B5-5A60325E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4D9DC1-A8B2-46D8-81D7-CFD2F3D43A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2272DC3E-B20F-4C74-986F-60DEAA6D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5B93B3-553E-451A-820D-EFA0AFBAB8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941F5435-8CA9-4A77-B447-E31B45D7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91C309-1284-445C-B29B-16F0347F5C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C37BF736-BF88-491E-A0CE-7664D81DC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832A86-0CEF-4E87-8566-3D5C7EB1A7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92B07F2B-4F62-4125-AC63-D49DCC298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7A6700-28B6-435D-B31C-728EE81035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62875687-66CE-40CC-88FA-1EF5E95B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C40C95-3E61-4F80-ABB7-558E73EBDC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151C786F-2176-411D-81FA-6DE8B5D1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7E29D1-FD6A-4094-9535-EB62B3AF13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BA343FBD-134D-4507-AA36-19BFF546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E6F80D-C98B-4CE9-AC83-DC05D69B37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CCC3C435-9C4F-4942-B873-DA940D2D2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DB90AC-C6F3-4B67-B552-D1935234EA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0F416DF0-EDE7-4077-A033-AEB06545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84121D-4EB7-4EB0-A0B9-33F191623A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3E239849-6EB7-49EF-8ED7-B3D2A222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900E62-53E3-4F72-84D6-D22391ADAF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703EE5AD-B862-42BE-A50F-C63DC2D7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50684B-2AA5-4CDF-9110-7675746ECE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B4BC535C-0C54-4953-A15B-0C4BC296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596D2-5ADA-497E-9462-E0D96BDAD1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230DC8E3-EE12-41F8-9D8B-B1DE0ABA9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7675E6-ECA9-4B02-9DB4-88F73D2A2B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724A220C-80AC-4766-A6A4-E7E86A5A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95ECFC-7D28-4C95-A772-4F8FE760A3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E0FF1F3-6C4A-4454-808F-10B43614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5FB102-87D0-44C8-B740-B456E6333C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76377630-CB3F-4CDF-9D9A-FEC02FEA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EB9F61-720D-4489-834B-7CB93FAA80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FCEA404F-E27F-4F08-8233-D0FA1A77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EB4E5E-1157-4AC8-9F01-32D1F909BF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8D27697F-E1BC-4860-B5F2-E81019615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B35EB7-02CE-4884-B481-1813832C890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FE8ABA98-E936-4E1E-89C4-D65AAA85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22E76D-FEAD-44A5-9AAC-BABB614392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CD43B197-EAE1-444D-884A-F57F80B7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5D6CFA-2C93-4952-9E0A-F7445FFEE6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4A574823-716F-4567-A83C-F3AECA63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5517C2-154A-41CB-B451-B8D6159CB3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E4388301-194D-4725-9043-DA17E028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B8B1EE-953B-4A56-A80D-B744E11334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196B84A6-6AC9-4B70-BA89-CC97428D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C30B46-9575-4B94-AAD6-5CF863DC0A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2FDB0363-1F1C-4085-BC24-869A9E21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D303A6-1265-483C-A562-B6AE82D8F7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0F4F6EBE-A208-4C24-A8C9-FE356B53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87CB70-FABE-4411-8CED-AC9FF05A5E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7408B3B4-26D2-4A63-954A-5833CCBD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7ED33E-955B-46C9-A667-553E3972EC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77A238C2-D82C-4369-B501-ABB506674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7E5F27-8573-4D7D-8890-3243AE51C5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1590C1BC-1E84-4183-B8E5-60E705821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EF1823-680C-4902-B1FA-AA71681874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1C01DA32-1669-4537-9789-86D5C2E33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B9E193-D11C-408C-A213-69F7E1331F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957DCC28-39A9-43E5-8EBA-FE65139C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9232F4-B141-4A5A-81DB-82ADCB53D8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3585FF2-6221-455E-80CB-8E08A461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E53FEA-EC9D-42AD-96D1-3F5BAF932C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E671A8D-D387-4F73-B33B-736B2708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C41A61-8DE6-4BA0-BA24-260FBC0690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B12D1097-B215-4D66-9725-B753D39CA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D6F72C-6C74-4540-9344-E1C415DF83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C3C5E0E-B660-4561-BA88-2E6B5F3D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939DC4-534D-4DBD-8281-1EF8E9C627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1A2EE4F-B2AF-4ACC-8D41-EA0C60D0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320B70-96D4-4BDD-B5BE-1FEC50BCE1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FD8573E-842F-477F-8DD3-EB835754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ADE581-DF97-47F0-868E-159FF55113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2DD97DD-2E9A-48E8-8F69-753A72C5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4124B5-3C08-4FDB-ACE3-8B8D2D87CF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90C1E2A4-6794-482F-AB7C-9581FD8D3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0E5A7D-8D44-4F50-BE22-41F35FD48B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EF5119D-9F1A-47BC-A0EE-A9430513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151401-B3B5-434C-B050-0B6F2E42B7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18F1E49-693B-434C-84FA-6C37BB708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A032FC-D933-412B-BC74-DB98E25994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4CD6FA7C-5A1D-4BB5-BFE9-9001B288E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5ABB75-4493-4858-A8E5-C70F9E1413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8115F7D7-8E08-4A9B-B2D0-05BF44E5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906C5-DDB5-4904-8E7A-6B4D565874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AEEEA7E-CEC0-48F2-8436-CAE4E4E93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C3874C-BC72-410E-A383-4176750004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0077D494-F594-4AAE-8A10-B463D26F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01B99C-3AE1-45B3-9112-9EE7E3DD77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8BE57AB2-4229-4853-AF16-FDE746026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823983-F0C4-43A7-AED1-9273F1402A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A2739C7C-559B-4465-8797-7570D9D2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7A3E48-58DC-4114-B360-4F8EC8230B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D14C2EA-FD29-4B1A-836A-361D7FBC7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28167C-24F0-409D-93AD-AD2788B809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680C04D-BF48-4617-8F1A-1CDE461DD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A35F-69FC-446B-806F-E7F36EE1CB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4C8FF67-8440-4713-9A2F-7B2CF372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01EC8E-539C-4983-902D-AFA19E07AB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B15537DB-4342-4B76-9555-FE3096B9E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90B965-0436-4163-A818-FF3EB7221B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F168FD1-9F7C-4CA7-9702-7739183E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F95065-D7C4-4A68-BB06-D5C9B96073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A4BD375B-FF86-4979-999B-8F33C76F9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9FAE43-F87A-401C-BDE3-92548ED92B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3DE0E4F2-5A47-42E1-B913-24AFDDCE4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83C11E-8C52-4C86-9A92-86CFE7AC17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30E41DD7-F647-4C17-84D6-D9CB42C3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94038A-EEFE-47DD-A0AB-40DEC382FE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916584E5-5C31-4A27-ABA0-6BA2373EF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BEA8D3-E8AC-41BD-8D31-A7550356FC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524B422-D9C3-4AF4-A301-37462D58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ADCBB-5508-40C7-83C6-395240FE4D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4C2F53DC-34C1-4F7F-90DE-1F362D9D6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770008-0206-4D50-BD2B-D05BDE6703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3D47E08-EB45-4717-AF74-0FD4FC55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80898C-4CB8-4823-AFAC-7E6A2FE5F8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04747846-E1AF-448D-80C8-8E196B0C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14D4A1-46AE-48C1-9C14-8255C66D25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E9691178-33E4-4C6E-AC53-0E93A6EF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93699D-E7D5-49E9-8BE4-141492FC4B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43D049A4-E067-4FFB-B6B0-D4180B5E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CACC3-6CEC-437C-8868-B023C3AB7A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2BB17FE1-355F-481E-8B30-3C85C18F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67D0B1-D848-41A6-9476-FD7AA6FABC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4B16F95F-D63C-484B-9E95-64D4989D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4EDD4A-4029-4602-BC02-DD679E82CF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944B2CC3-7434-4A6E-9FC8-0A4510AB4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A09327-AC8D-48E6-9FA5-81E48B86C3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2749A43-EA5F-4EF3-A4BF-CFC031B07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4BEDBA-96B7-4E18-9354-62FCE6A2C3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AC5D4515-2676-470A-B7E4-170A1BF9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581038-EB4F-4926-8FA4-3ED17AB3CE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8082DB1E-A1AC-4BBF-8251-6FFC29ED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386E78-C468-46EC-936A-39A1B188B3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6152A230-2778-41DB-BB81-4219CF9C0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5E82C7-76E9-45E6-9774-8D77FB4B4D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1DF7927-4696-4328-953B-BEA78C87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0DBDC8-238E-4725-9330-36E53CA65E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C23E1F0E-7273-4B43-B0B4-C473F45DF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E6AF2D-1E83-4958-9B06-1BF34EED32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CE856A67-A620-4A62-8568-A35FC0C4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D8EC4E-A2B3-4401-9D82-CCE798D1BA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BE929FE0-BBEA-4D81-9E6B-D76C0AFB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309855-DD7C-45AD-AC1D-9556D3EE35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0DAD8B7C-DF51-4307-BAB2-195D667E9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548897-DCF5-4711-912E-C974B9BBBF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BF76EE70-C100-4188-A932-A54ECB64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23CEC1-31AE-4E69-8B0A-FFBC8B5F86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6A32966E-7C5A-4924-988F-844CAC16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F50951-2B08-4607-8D61-E8640C402E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36F23027-A957-41DF-BC36-C053534E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3CBFBF-2405-46F9-8F58-F14E2D8C88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1784CDA7-4D0A-4E1E-A9E0-7BAD05AE2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152CE3-2806-4265-85F1-93663DE2E3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5ADB5337-5A72-4BF9-A72C-DB803360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E0B87-3DD7-4EF4-8802-2042D1558C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8DFD8608-88AA-4D5F-86CD-C224071C1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0B556A-CEB8-47D2-A267-7663519B8B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FDF778F-D5E9-4004-80D2-470C1BE3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35755C-1B55-4781-A290-944E718929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4A5C8AF0-1048-43AB-A7F4-B0FED8C5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FDFD0C-D613-4DC2-97E7-56354A218D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8B2F5EE2-FCBA-45D8-819D-3857C6DF1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DF47E8-39E6-4CAC-94FC-A9D8565096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93352D01-4B44-4EA5-8B07-55F0083C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7CF2E8-606D-4E83-989F-A017C4C4CB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4DB4EB0B-6F8B-4C10-8A95-ACE26C2D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44D9D0-DA1E-4651-BE93-B59E8A4802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91EE1862-8206-444C-B414-2EF4DF4F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9E9C38-9E8D-4339-88B6-1BC123FDCB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A4109BFA-0B90-4809-9CBF-3AB9794B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57B067-846A-4B29-972D-8F6D4E5C29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F014AED8-FF8F-44D1-934B-BA0264C3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93A765-DAAC-4C59-951D-A95722DC0C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88667500-F8D6-429E-93BF-D31428070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C2C5F6-FB30-4EE4-B5E8-09589E5D6A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9106E349-4DD3-44CF-BD29-B3EA98F67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E251FB-7F72-4D7E-A9C5-3C68ADCCE4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B1D08A84-478E-4CAD-9A8F-FFD7E379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B376AE-F002-493D-A45D-EBFBE206BD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A5514036-C18B-4901-B5DC-BBAFE61E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CEB60A-CEBB-4861-9102-56F2FB5CFB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3006DF2D-F59C-4B20-B6D0-29597659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173A84-7454-4170-A46E-4813789C9A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12889517-77F5-45DA-A116-1C1D137E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69D6BF-8784-4C3F-85B8-FF89FC06D2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A7031A1C-0B5E-4F62-840B-DB416F45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58BD14-5ABE-42BE-98D5-5B57B1E815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CA114A37-B723-4A04-82B9-F928E1A5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500CFF-564C-443F-8DCB-1130FE9C78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2DEF57BC-889F-4697-996E-573806E2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9FF61A-D8A6-4E54-B289-EBD7E350AD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289D7DAB-0C5C-45D4-B293-42DB82F7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A0C12D-4E80-4018-8640-14984711B7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4CC1B85C-4437-46CF-A8C1-B0C387EEB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12FDCA-EB62-4F23-B6F9-0CC434C38D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49FE6623-A111-4A91-8174-509FC777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30D579-091F-4B0E-91CB-477982D194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9D184E1-27E1-43B0-9612-A17D532A3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89C8B-7BB0-4AF5-B72B-4D9E46891D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502F550-D803-4DA6-B29A-821F2935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C75082-FAE2-4ED9-B90B-2D47E31424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4FBF903-82C0-4F2F-9B1B-536B8BB8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81FBB4-3F8D-41E4-97DC-E7159DE6A9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4353E32-C71E-4A17-8721-C7790BD5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EDB99E-863C-4C3B-A573-CF404B9D93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A9F4CB4-B092-46E2-9CF6-667E6735C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B49ED1-2965-4657-9A82-E30A1DFB6D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47296B7-2739-4266-A480-B213F3BC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172DD-AACB-4D12-AAA5-C77E2DBEC2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B88A7DB1-BB0B-4325-AC0B-13BE8B080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E1BCC1-D6CC-4CD6-9064-D51A5951B1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EB18702B-8057-411E-BEA7-E4F4169C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E088DC-11FF-4D04-87F6-7E39724118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04000CEE-E921-4996-B600-910D84D5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74BF8-DCFA-439A-AB6A-784A9AD0A2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3F4FDC7-61A5-4F51-9950-54393537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81F15F-9EEB-4F74-AAC4-078446FDB8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8266B56-A21C-4548-8356-68AFA803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CD3559-D14E-4010-AC4E-7C95AB2CB6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9A06243-8620-4389-809C-8DEFAD91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ECAB05-D590-49BE-9A0D-42198839B3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B33808C1-969C-46C8-8FDF-D75A4BCED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1AC9B9-166E-40C7-A9A8-A97BA5EF3F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E0EED48-3A69-45DD-AE0D-6A8380C0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573388-586F-485B-81BA-7C3BC61385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BBDEDBC-2466-45B9-828F-B6EE9465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7E2D92-1E71-40BF-98BA-A22F2C1D2E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9F04B158-0B31-416F-8FF6-C1CDB54ED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68CF39-8624-493B-984A-53C0F5B6FF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C5D71950-8023-4060-9CC3-75C3B883A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50EB01-BF6D-4C82-86BC-F1244EE711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3814A6F8-B094-42D2-90FC-02008584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F60213-553C-40A5-A333-37C6A3221D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F0776EBE-23E3-43B1-8A63-736A1752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610CC4-CF00-44DD-810F-221CE858DA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D18128AC-3F1B-43B3-B77C-0B34A899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023C51-27D3-409F-858C-BB3D11F361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D05EFEE-2325-447D-9EF3-E8A8FBD0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F8D4A8-665D-4661-B9BD-1B4BA3A9F3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C0A61FD-E058-49DA-B0DF-A2E541957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F0C22-F7C6-4991-B4C0-C71E1A7ED1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A06B6EF-BA3A-492E-AD12-4CFE1D03F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611BF-6709-4256-B43F-D6734756D4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15D67E57-D53F-4581-A737-AE59EFC9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638B85-9EDF-47E5-BE9B-A85DED0A06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2F2D106F-4C5D-4483-84FC-B66B6DAB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5E66DF-4BFD-4AEB-8510-831C7978BC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DEF138A5-27D0-4756-82F5-42FEEC1E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EE6969-D41B-44B6-9532-E0595FB817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833A1312-D999-4A87-9EBB-F8F9EA15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F97C89-82F0-4173-B233-B8C080BC02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662F75C9-5361-4CA5-BE03-C03E075D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79C127-556C-44AB-A664-C99AA06D78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6690CD8F-69B9-4673-BE7A-79001FB1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1BFE14-53E0-4996-91FD-4A1BEDF3AD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9EE39E4A-CC45-4979-8B9F-C2123AD7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551718-2B0F-4CDF-9C73-E3C6A0F759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937FA2B4-3717-4EE5-8216-C8392707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1666FB-8231-4A4A-99B3-315E7BDADD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22BA069E-A2FC-45CA-9617-38F0928C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2A1851-86A6-4ABF-9D4D-0484CAD5C5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9B401A56-07C2-451F-942D-0FCBEC63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466B56-31A5-40D7-874B-6B0ADE5872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52867F38-DC65-4C9E-9250-9C733FFA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488AE-B822-4E63-B3E7-AC28BB3FC2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EB08C16C-D2DD-488B-AC86-B7863EFAE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EE61CF-4C8A-43DC-893E-B457B64D45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AFC7DEC2-94E1-40BD-B9A6-6150043A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9A1CA2-68D0-454A-AABD-63ADDEB188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08A64E5F-4770-48E5-9B0F-21982D47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2BB643-6433-4E67-8CF7-33EA4DA8D7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46350944-765F-476D-897C-90DF618F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C90C15-428D-4284-8298-AFA5985980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59DD6629-DA7A-4F66-8177-9DFE64A7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0C225E-DCDC-47D7-98E4-7440F4E842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1359504C-B8EB-4407-A358-4E8172528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9D1FE4-5604-4030-9A95-0977F266CC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566373F1-1ABD-40D3-9520-2BE9D6A5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4B0B22-88FE-4387-921F-2AEAC3C1B3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1DF91C5-C69D-497A-AF66-121D2C18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D2E78A-4141-4563-9B70-3CBE180CF7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A351471C-C187-4A3D-8FC3-1ECD6FC3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FD99C8-69A7-4E42-B4E6-D4FACD1523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E3A479A5-A376-4062-937D-F793A34A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CC5108-4CD9-450F-9906-65AB56A143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309771CD-0B28-465B-AFAD-BB025B3DF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3DFCA3-B76B-47DE-B15A-7AEFBC6C82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3B263B05-2FDB-4A38-A8FB-A2DDD6FBD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9124D5-A7A8-4991-B05C-DE3C2CF397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C079B3A4-CDEC-433C-9F61-A188A321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D065F2-535C-465D-A513-75A1EC33AA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1C68A03A-2DC8-4062-B612-1C6AB72BF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0DAF3F-AE4B-4444-8CBA-A5EDBBE622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0A8FD34F-111B-41C8-B397-0895E38C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0935B9-9FD0-4002-BC2D-490F52E72A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66C73F9F-BAA0-43C0-A44B-CF11D940C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979900-3CDB-43B6-B748-C9217B056D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A728C983-676F-45DE-BF76-9D6B65EAD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D057EE-3562-4FE5-BB09-EA624937E6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E8811C2E-E4DB-45D6-B1C6-757DE9DEC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79283A-AC0D-4513-A605-A650A799A8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52F23C6E-10DB-4792-93AC-30B52240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AA2100-5F22-4418-A150-4480C44331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AEF77344-2633-474B-B533-BF26BAC0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A5D2D6-EFED-4876-B874-11BAA82ED1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CE45E2EE-6527-4AFD-B733-C8D0E4166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B89682-B203-4B35-B16A-B0A4EE5F83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EE9221BD-F79A-40E1-B37F-93272974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7DEDDB-88F1-425B-BD63-D4D4896E36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6228E528-75BF-4D0D-9E48-926C6B259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EFCDDE-3396-499E-AE15-DD6B216100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A8D61BAC-817E-456A-9A6B-5A9D9FD8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76EEF2-CF30-430B-BE82-75A7DC5B7C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6DFD7B8D-0F9F-461C-A1BF-BDB24688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C1182C-9AFE-4EDC-879C-2BC3AF3109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6725ED69-DD49-4B65-82AD-0D49AD437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9579E-2364-4929-A1C6-FE417E5A03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453CF116-7EE4-4F08-8AA5-B6838747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53DDF2-EE6A-48DF-A543-B0DFE54DA4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63DA2743-9776-4830-8C09-CCD57C5E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7A7E5E-D692-4581-B6F2-C8D69C3715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D9C2072B-5830-480E-9BC8-AEA641F1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62E192-528C-4440-B9AC-08DC99EE4B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7F267544-FAE8-4064-A93A-EF1F6853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A552C8-31C0-4797-AC67-CD86070332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24EC33A6-6D08-402A-AA70-54B3D31A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7214D4-3ECF-403C-BB55-A1D2EBC65F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A31B01D2-D380-4A83-AB9B-66A324B4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C48793-9D60-452A-B9E5-33644126BB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B9F7A4A4-5AB3-4381-9160-FD8C12AF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C55AE7-D94E-45B0-9262-D1412DBA77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221B4352-FC78-43EC-B6D5-12AFF9B5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80CC66-63FA-434F-84A8-FF8E15EBAE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34E8C794-B93B-4FD0-9FA1-00EA8B6D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D2996E-2755-4C81-95B9-8D6597A8AD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2B8E7D72-68ED-4A0F-BC7F-0BCD71E49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B23EE5-324D-4F74-B03F-AB4DE95FBC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B9FFB90-7BFB-4BD2-B947-9ACB7204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1CF8C9-E65F-4A6E-91B8-7D1B0F3785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849AEA2-3050-4F48-89F3-CFE95FEFE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D784F1-744F-4F7A-84B4-6B486B670D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BF4BB58-57E6-4766-A02A-F9E0BF894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FA5D30-2873-4065-87DA-18A9D41E19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AD059CA-89C5-48CB-B0DC-CCB5AE354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6ACF26-633B-409C-91BD-498E674601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7C679442-C54A-4F54-A7D9-D6BC9FEAB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6EF07C-93E5-4078-86B8-B5B873BCE6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3DFAFC0-2BBD-4DB3-A3A9-9E65606E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1C073-1410-4AB9-9879-42E0C27A10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D7BFD0BF-4184-4543-858D-76EA8123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90E5E5-F357-4CF6-B457-792205B810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CFF82B91-7FF7-41DE-A0B3-7C7914415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520650-1136-4EA1-ADF0-3F59DE2AA1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A66768E-1DF4-44A9-B993-94309DE3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456C7A-77F4-41E0-BDE6-4C9B2E6604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69C90D8-3D6B-4BAF-86C5-CA359EFC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8EF75B-3F01-4277-A144-1679BE1D5C7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3FA61BC-0299-4C26-8D0C-8FCBC145E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739C1F-7A2D-446A-AA5C-1DFA531AA3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022F708-3DE6-4E7B-B254-86528020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013808-78DE-459C-A914-0599B05A7E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B167432-9042-4089-9E6C-4A179648E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BAD9DF-4D75-4D31-94C5-A15F8AE5EA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05E3057B-0260-4906-88F0-CB8121D5C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059C85-31E1-4F7F-8828-1F539ECED6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FFB79E3-2493-426C-B36F-DF9EB0B89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587820-7F04-4A2F-B902-9B6DFDBF70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CF3AFBF4-DB32-498C-9DD0-42E04B3A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5D339C-17F3-4EB4-95B1-B5099E6766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48D09402-0EF7-465E-9B0D-FB81953F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F50AC1-3C85-4B13-A426-91D09FF0DF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232C0529-0867-4D66-9730-BFF144B3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4325D1-0511-4936-8D3F-320347B446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C06CEA6C-4419-4F22-9680-C4BAFB0F5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757DCE-BE42-4C54-B00D-7058D203AA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04E3DFA0-D7BB-4597-81D0-BC936549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B70F2C-7225-4358-8151-AC83FACBA1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D925064E-3B07-4277-904B-EE112C40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AEFB44-3CFB-4DB0-BE6A-C302AAFA7D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B0749B6C-8638-458C-8934-443837A7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E98523-97AE-4289-8D00-F0ACF828EB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E9D32092-CC07-4BCA-8AA6-FF1AA24D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9CAC9D-BD60-4A8D-8D29-734C3BBCAE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7328C98-D5D3-4858-A45D-142E0CDC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D75FAF-4211-4CD6-AC3A-8409E18E6B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495360C1-A238-4CEA-853A-77976B9C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DCED15-6F32-4860-BAEB-410E097126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E4DCDE60-A4B0-4AF6-8F28-B88F9439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B80FDE-B505-48F1-B238-74E0F81C96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4D6258C9-A400-4896-8920-95F9A81E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D87886-26B4-4856-BE1C-51576DB593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C0E451A9-C3AC-4AFB-AB01-49C750D3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325DAB-9795-442B-B89D-0059E62668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E847D07A-87C7-49C9-862F-24AFA71CC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FC2AF2-C1D5-4458-BEC5-40D378CDEF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C45B63B5-5557-4A3D-A846-67C28613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F0CAD3-54C1-4C44-BC34-395B6202AE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185E5E98-20D0-4D2D-A22C-0B8BE77E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CC039C-1306-4B5F-A9C8-AAB7C533E9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E98F6D30-A8B5-4822-8AB2-6098F1A9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85774-E07E-4742-9931-063012596B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DB77037E-A0B8-4DDC-B25E-6B4D3237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2DBCAA-564C-43D3-A793-5DE412791B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904BCF47-9BCE-46E4-BD16-5D41C2483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22C18-310E-4469-A1C8-D6CFDFC913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CF4066F-DCBA-4F28-9B1F-E47BD67C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8A54EA-8361-4FB3-A6C9-6CB56C5B71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40368CCD-A948-4354-86B2-DA5440A6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834934-475C-4BF2-938F-CB5E3A20F1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7A663AD8-D88A-4779-8FC4-A27355D8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98FE93-BB91-44EA-B2DB-5D403FE6AE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7A56BECC-494B-4EA8-BE99-B4796D578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2CD733-7BDF-4F07-8999-B94107C2AF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C83DFDF-182B-4A84-889F-99703FB5E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16BE1B-5B1F-4637-A0CA-61C54921FD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A455839-8DE0-416C-A917-5125BD163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2CC501-182B-4951-AB1D-DD217AFA1F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2E9DD2E4-8272-4453-9747-B21C776E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B71B5C-788F-4B3C-B7C0-726B63CDA2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FF56076B-C0F5-4A96-B799-FF65A184E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B8BAE8-4F6F-48A8-9BA8-7C1E0800DA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F2AEB630-E34D-4236-B8C5-F627C04B1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CD315B-FC17-493C-BAD1-784E932F37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D19F6B7D-6E93-40D1-8C69-E4AB9A9D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250803-A067-4B3C-8DDB-B878042EFF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6B740CCD-8B43-4CA2-B453-0B1861E33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BF09D3-D3FF-4949-9DC6-1C18F12920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ABA70B4A-801C-451B-AEFD-48FE5BE2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315B7-83B9-4852-BDCA-0A862AD969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8B4BDEF5-A00D-4993-8F9F-6B1561972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056233-9D06-436F-B39E-79B6BA681B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EB6F279-8B56-4EE1-9994-1F694BD16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F5370B-86FE-4F05-B5A2-D428FC5165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84DD7966-6C76-4DD1-ABB8-18821844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F94C01-C238-4E84-8AA5-DCF69067289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D05979E-5F70-47D7-9E31-BDC4174A6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89C53C-365C-46F0-8011-6A23B57581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6DDCA6C9-8BEA-4A70-80C7-D5E07748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D7A834-B4B8-447B-B4BC-DC3DF75233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2603380B-CB5D-47D0-9377-38CAA8B18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0B9C55-5618-4EAF-A1CE-6CAC36425A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AADD8440-AD65-4AB9-A0A0-4F95B3928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C3DE24-AA99-42A5-8833-85D8CADDC3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AF67F7E5-63D4-4EF0-A6B3-49E44137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DD0D87-4DA1-40A4-B132-C84696F1D2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385A081A-6CAC-43C4-AD3D-BB741F7D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42665F-0D66-4C49-AC4A-DC32CF29B3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E9972203-0ED7-4B1D-84C2-1DB7DC9D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29DBA7-8801-41FA-ABB6-3BD4915CAF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F92F5BC0-126B-4CFB-B5B5-220769752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253927-6AFE-4E4B-B58B-4A57863C46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AC3FC91D-BF86-456F-A5AE-7519C50CA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03F45A-2545-4427-BE22-FDF041C9A8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102A4586-F5D4-4FD8-A623-72C3F4AF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296E9-8D61-47D1-96DD-8F238EC022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91A8AE01-94E8-4470-A531-A8AD98EA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252F9-36D9-43CB-9F27-AF676962F4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37978B8E-3391-4456-A8C3-4EE7F7A6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D7FE56-720E-4EFA-B7AA-C45C252E6F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FC1BB47E-4F9F-4EAA-90C4-7201A2795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287C9-2559-46D9-BCE5-5D7A35CAC2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B2B804E8-E202-4EF1-8FDA-ED6B4E2C7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98B509-4CC3-4C87-9DE3-E9217D71EE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19B721EE-AAFE-46AF-A675-B435142E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CFA787-433E-4CEF-BB1C-B74AE5C944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C37FCB1E-D16D-442C-A1F6-CF2A3DC6B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4B068-AAE3-4E4A-8A7F-81C321948D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26611B9C-E73C-4D0F-BDBE-4D9F0FFDF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0F2CB3-CF59-4343-AA56-D1D7B50677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7A0380CD-A773-40E4-AEEC-7D441F81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F20ACD-4319-4DCC-9A6D-0CBE273A77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F7EF8B58-9CC7-4106-955B-1230CEE09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ADB4DD-BDF3-4D6F-B8EB-01DBC55D95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89EF007B-F4DA-4EFF-B069-71BB6F091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DEB304-63F2-4B75-BE83-EA0091DC98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0B28AD4D-35C9-46DA-A222-BDDF435D1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A07B55-F90F-4688-BB76-EFE4D2EDAC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FF48686C-2AD8-4C80-89C0-DE170276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5B89C6-216E-4663-8CC3-3CB4843EF3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146FF98-5AF6-4151-9446-288ED012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9A9F2E-980F-4AD4-9913-467C003627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94A9C61D-992F-413E-B144-D9EFD20EC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2ECF4A-6517-434E-9BED-01A3B1E5C9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515DEB4-347B-4A73-81F3-E5BC55ED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2049B6-95FD-462C-AF44-1122F406DB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F2EF566-DB9B-48CE-BF83-51DF04458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3F914E-E73F-4A6E-A2C1-5ACE8DB924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644DF88-AE7F-4AAC-B4E8-BB5B9B45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F0853-B94D-470A-B923-E540D95B10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63A1E65-9029-4DB4-B9A1-70C714B3A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A6BD4-1986-42E7-9E14-F93EFD34AC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DF63F57C-8C5D-458D-A677-3B5D3CB27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0144CB-970E-414B-834B-D75AFE9C131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35FFA65-64B5-48F1-BF51-FB504337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113A90-2927-421E-898D-337CFEF79C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3599361C-511B-456C-A374-F9197DDE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04D2D7-A0F9-4FB8-86C6-C955F6B5A9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DD49DB25-F18F-47E7-BA8E-9B5A05E0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D0B4FE-12D8-4FAC-AACF-F1FEBD7C56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EA77D48-3027-4206-86C1-87A2F046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E34BAB-9541-4EFE-9602-1EBA017901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B8092C7D-0D62-4A97-9728-3FF9414A6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BB2AB-FDB9-45B4-BBF9-7C11257BF9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1682CCB-24B7-406D-A4EA-06F09CD7D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E08A58-8480-4AE8-B2F6-5DCD60DF0E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A069A877-95EF-41BC-9CAD-C04C93F9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456F9B-4A9F-447A-B776-4A4B7B3C47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35781AF-A75E-4344-B9FF-F68707C7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8ABF6-0809-467A-ABD8-5276CBB9D5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B44B3F3B-B0F6-42FC-BA13-EFC7EF9EC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684453-612D-4F56-BF92-14DB86A34C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8D9BCA7B-0F66-4927-AF0C-43F718E2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0B05F4-1D9F-4CFE-AFF6-C982685664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374EEB7B-29F4-434A-BD6C-940028A1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FACFEE-6B0B-4713-BA82-742C6FF8B2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82129B5-6292-42AA-9467-72479B0D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A233F0-E178-4DC7-AE56-AAACAB3134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10838050-CF4F-4248-96F5-C4B71C7D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A031F9-0AA6-40B9-A3CD-258428A020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54068D28-D533-4CEB-8D35-96BABE141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DAAFEC-310A-4004-830C-815F82D279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FC25E987-C2CE-4CEB-8140-5106ADFD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34ABF8-5096-468F-8F0D-014F6296AC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E33E8553-FE1C-41DE-B138-EB36FD3C6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DA7F85-6F25-4BB9-8D4A-330E6F8E06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8C64EF0-0AAC-4A69-BB44-C3386314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936129-355C-4739-AE34-29EDFD83B7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B66F111-C6A7-4FB7-B904-D85F6F749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B12701-50CF-46DC-974B-85C08D0A55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125EE93-5952-428E-ABF5-99079340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1EACAA-8997-47F2-9562-468E1E134C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2105F4C-7E34-4150-BCB3-44760B64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2F095B-342F-4F0F-8C34-C62348C056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B062B4D2-E78A-4C09-A8D0-F3E38CD3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8D2AA7-F0E9-4507-B346-1E36351B9F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ED9FD571-BDD7-4D70-81EB-728BA04E7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E1D787-D258-466C-AD97-EDFD2F561B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4977BC4-958D-49E7-B767-DF26C57E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E00A53-A1BE-4441-AE0B-A4D5C27105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245D56AC-3DDD-46B0-B319-BF454422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CFCB88-32CC-4F3F-A198-625604DB75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8B4A602C-D3FC-477A-BE7B-5C385F583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734766-774B-4503-AE30-C19867B3EA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8A965BF2-5D31-42CD-AB8A-8CF4B153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9E833D-7A69-4834-97A7-82F33C3EB9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D905607-B8BF-42AF-ADB2-03249986C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FAE08C-E7A5-4835-8BC1-6F0C78CAAD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5EF65ED1-78F2-48CC-8848-E9FEACA6D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807F7D-BA46-4019-AFAE-7D79C4D4B5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C447AD0E-4B80-42E4-BBB9-B4B14870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8EE8C8-DDC1-4AC2-ACF7-E27D2C6512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94771597-35E8-4653-B311-786228C5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C55B14-542C-4653-8174-4A240B8283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A9E21149-F158-44C8-9134-DF691C40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421A8D-A04C-4887-B81A-DB90605F7F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D3F4AC4-1A6B-4B5C-95EA-FFF78535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C79B70-5CBF-4F84-BB31-878E3055EB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2EEFE2B0-49C2-4528-8B45-C892F5B1A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A2146A-6927-4908-B589-3FABAE4538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B10938FF-BC92-428D-B3F5-3834829BE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2249E1-E841-485E-B7C6-8416F54E8A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540302F-2856-4139-9648-B9A60D3AA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A81AFA-E5E6-4357-8187-B72C4817E7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4DB80071-39EE-4B00-8C57-4C90ECE90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8A4729-08AB-4B50-BF13-3981901100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58A6D555-1125-4F52-A23E-56BC9AAC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01567C-BAE2-4425-96E5-97BD873F0E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FF7C0086-CD1D-48F6-9E0F-92F67CC1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45EE9A-3D38-4997-84E1-39BCD47512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6CF9847F-2AFC-4C65-AF79-CD64E079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CBA3F-0513-4B69-B1AD-5BFD96A7855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98E783EE-19A6-4A11-A986-C4B5E1BF3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D26F84-72AA-4E5C-9DC2-C7E29780EE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064C3EF-9953-45D7-8CA1-4B73D252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3C1FE0-C171-44F6-9331-CD8FBAF4DF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F3F8C9F4-85ED-42E1-A362-E169C7E3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D822CC-DB34-4852-BF63-2D984E4558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06F1838-8AAA-4001-821E-122C6229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EFF0E0-9688-455E-A6A1-992BF2DB36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D81AA0C5-9515-415C-B063-C5585434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497AD5-FABF-41A7-B7AC-7E56FC361C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C7DE74D9-52A6-4339-ABCE-33E4CAFAC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A4D45F-7C8B-4FEE-90D3-41BE9BAEBA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1E7093B5-E26A-48A3-AE87-59E147BC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5A0F19-E37B-439E-AE85-8B609B6EA9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5A5F846C-291F-4678-BE76-43D82238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864F06-169E-49C7-9289-C223F4BAD4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FED39A4B-52A3-4D64-86AF-4AD7C9BC0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7AE528-4320-4590-9E6E-A78164E0E1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804ACDAE-D3ED-40C3-8576-38D5AC339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F8F872-611F-4D9D-BCA4-276739D85C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566DE645-0F48-4C38-8C0D-B233FB4F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DB9C19-8DE7-48C4-97B6-3CBC20E5D6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959AFCEA-A971-4B3A-9C1C-758D98C93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0A9A35-1882-4317-A3B5-06554C5C20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E1FFC6D3-0803-436A-84DE-21B8C8EE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719C46-D162-4841-9E3A-01CF777DC2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ACC9A837-64AE-463E-832C-60842CD6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94B140-F687-4997-8AA5-80099B6AAA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A22DE8C4-4BCB-4919-8762-73943D0A1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6CE95C-1072-4BD6-9471-1B73184A78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AF35B7BA-F507-4346-AA24-5D63384B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55C791-2422-449A-A893-295410A0DB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0E921177-9111-4CFB-AB47-CCF4CCBE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4B3EA8-060F-4380-8C4D-C6E15970AE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F3ED435D-294A-42E8-B2C0-54998E7E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D35BF9-2BA2-46C7-8483-5319546442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DD39A588-CF22-4208-A3FA-FE90B718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66B315-1206-4646-AEB4-A99A76B677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D234EF20-34A6-43E3-81CC-DB9581D6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5BD2B-5505-4D89-B983-3AB60EC774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F5E235CC-0A88-4012-96FF-7F54A521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641335-F677-41B0-B5F1-0019D27A87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0E21606E-69A0-4660-9CDA-5A533AC8B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175DB1-8874-43E2-B565-E806F6A82A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3691919E-30B7-4CE3-B96A-E45547EE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2DB555-67DA-4A1F-96A8-CCD3015506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BD66B4FE-5C02-463C-B588-82D512EB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D3BB88-37A4-4D72-A74F-37110559E0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47CC40F6-96EA-4435-9855-A71A0EF10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F839AB-4593-41F4-BCB7-FA81AE6AB9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58165739-84D3-4E72-B44E-50A8BA1D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705E97-A94A-4264-A537-6D9B4FD6C9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42B9E26-77F2-4D7F-902C-54E145EC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11E520-284A-4121-89BA-EFFF2F997CE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63A4BDB2-F028-4FC0-A4C9-9EEE768DE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637AAF-768B-4B9B-95C7-6B34F14F04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3B38B22D-A157-4223-8154-8D924304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1E3031-C7C1-49C5-92BB-021F868462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2BF5B32-6923-4D86-BCDA-2FF52438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8FD4CF-D560-4E02-A713-CD4DBC851B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BDC2B035-099C-45D3-AF1A-D38C4944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E95B55-5E06-42D1-A2BB-478BEB098B7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AD6E08E1-500B-448E-AAC5-D7076B68E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044473-A04D-4EE0-B2EE-75A83972D3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8BF6945-8670-4E98-8B66-27CB00C5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B7F184-CCE3-4170-A067-805E759387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9434437E-9691-489D-8F91-F93CFC81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2327BC-62AB-4859-A966-355CA5FCBE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3A03D61-036B-4F45-BE0B-65E52C7ED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1EA010-5A1A-45C1-84CA-66029A15F6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88BF75C1-BAC7-4040-A700-C522A0FC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6713B3-4264-46E7-BA33-6242328CF2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BE9F137A-76D0-4EEC-BF5B-3E2FA266C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CF8E-E2EB-4AA9-9D3E-C1DA9425B6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7583FCD1-C6ED-4B23-9DF9-B183DDCD8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BCC46E-6DDD-4C08-B052-DFABAB973D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E2AE44F5-CAA8-4999-A209-C5C92ED1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0C7E83-C311-49DF-9526-2A9EDC3CA5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13D83A60-3D65-49C5-B5D6-27E49BEC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1C6FC8-FCCF-4BB9-9D95-67832103583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8102F801-ACB1-4F7C-BE20-6339EE5A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8B2AB1-4793-4530-841B-34F01CB0C1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298F903C-C2B1-4662-B457-76DEB7EB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E136D7-B6EB-4A3E-87CA-B4F3B38055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954FC414-A5FF-4014-9B31-60FCE980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6A8406-F186-4D11-A888-4306DE638C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4ED8B9DE-5BA8-4B57-976D-A3F71E46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5890B2-FAD1-41D5-B426-0B60B88390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362F8A40-24F4-447C-B962-0BE8EB2F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EF54F8-1502-4240-BF37-A5CF8BC89E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07D1C7B0-5927-4502-9939-5C389507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C796F0-6C62-4B0F-BD38-71658614A7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E6098D7-4EF0-435C-9094-095CF09FE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5201EC-DF5A-4633-B685-76AF84256D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A6D40C2-C3B9-4935-BCCC-7143CE539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19930E-AFC6-4A7D-9E7B-97460405D26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25D18C58-18C0-4837-8DE1-A523FC6C4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DCBC8E-177E-471B-AFD1-C6C5E879DC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EAF7ACB-6776-4B3B-9199-021145ED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D1B3A2-A408-4040-9EA2-968F6ABDFA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940A942E-58A4-42B7-B833-80AA6DFB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7BE08-FE1B-4867-81F4-E91E00AF5F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24A58EF-E21D-4FE8-8971-4ABFA4B29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9F0708-C27F-4FB3-B233-EC86E8DA05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928712E1-1C1C-41A3-AF98-5C8461DA6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2F3DDE-8B89-4A38-A160-67FA13A67A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3E0E2C0-2C6C-4DB0-8679-50F48E75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2495AB-3E5D-4BA9-ACC7-FDB4CDE027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7E8EB06-0229-4A88-A6EF-65897B47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49D21C-9A2D-4884-BA81-E271FFD2FB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3462B231-4BD3-435F-88C9-A7A2418B2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2A6377-5ADB-4A95-940E-C8780154D3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2497CC5-6C57-42A2-B1DB-987E2423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7F7927-1BFE-4E38-9193-1C934EF78A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C41D6346-C698-49FF-97BE-03FFD7CD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06884E-B729-4356-A8E4-3E530C8BF3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69D47246-3DA5-45C4-B4FE-6FB862FAE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1C3F9-BBCD-4A6D-9C86-E72A8EA474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F526947-7020-4020-9628-981B1F04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E7EAED-A12D-49A9-A5B0-46F5612B0B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ED5205A8-2115-4DC8-B9AE-E8AF99F21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6D38E2-7B14-494D-9799-4CA02C5154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DEDF63D6-CFAE-4840-A0B1-460BFAB4F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5B96A-8DE4-40D4-8856-A24F8DE4DB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956BC297-BFEE-4919-882D-A3C3FA439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2214C8-FC64-4C62-AB06-E298B8794A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1FEB4A4C-8268-4B30-B4D6-D15E8D04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D655D7-2B0A-496F-AA1C-D5EB59212E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1EE2699B-36BE-45A2-95C5-966793A8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991E52-8789-4565-ABEA-37D400FB4B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45A488D3-568F-4A77-9A1B-7C686768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4FE3CC-1A1E-4953-9DE1-2DD1D6D40E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51BE06C4-E8F5-4328-8066-72696B480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76142-B9D7-4F4D-AA62-BB025EE3F2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F261060-E30A-41B0-8C74-90B48B54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52C0AE-51CE-420C-B54E-C54DD00B10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EC87FD80-57E2-4144-98A5-8F1A35BB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1E1A94-0B9C-4C86-81ED-00D5ADDD9D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F27F9D7C-EC12-4B6C-A527-2DDD464D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B49116-BCB7-4AA9-BD8A-53AD74D3BD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F534F5F3-2E29-41F8-BC59-555AAC74A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2E27DF-DCF3-46D7-9E39-BF32746E76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CC044E3C-9211-4C34-A09F-2883B724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44457A-5229-4C2F-B99D-8514334A42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BF9736D8-2526-4DBF-9D55-33247224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7A4F23-C819-4AF6-8B19-95C68381FD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2B5520E8-3691-42A7-A1A4-930F10C2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4C1F76-D616-41B6-8172-38ACAF84BB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7B480A55-B61B-4112-A95F-43AD427D0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8A863C-C3BC-42C7-9BB2-98F0D6C8E6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35CF603F-3F26-4C31-B2EC-6603E74FB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3BEF48-9DA6-4014-BB52-1FA28E38C6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DF2D8401-8DA9-4747-A06D-158E8FA80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69CFB7-3242-40C0-9616-BAFAD48FDE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AFF691B3-79F0-4E02-ACC6-D737001A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4C7947-5821-46AD-BF67-8246676188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A05AAD19-97FD-4BC9-A509-0632FC59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5A9192-B690-4295-B305-D3B8F0626A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28E45BC5-CBAB-4364-9B3A-9E8D329B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2310A8-4F8D-4D39-910A-03EE45CD1D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5BE714AB-E203-4DCB-A788-E5FEEB87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F5DC1B-CABB-494E-8549-B36B607486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564BD392-3D48-4442-994F-056C855A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C7AF95-7787-4F70-8176-E51D46B9D3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A01EEAF4-F2C2-4EA7-9B54-4801C62C2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F53CE1-EE7F-48C6-8234-C9EE418FB1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D24D4AB7-5C91-4E8C-9B9E-243504BE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B5C6FA-2928-48BA-9926-CE54A9FC7B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AD2886BC-57D1-4641-8986-DB6F3E851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53889D-7539-4BC2-9F69-67B6AA60B1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97094201-24FE-4A91-9441-B69430AA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60BB5C-1798-4F16-AD99-408EED54C9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36C48435-5D99-48F8-99F2-890EF075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A9476B-038F-4B10-A39C-DAF1BF5FAD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A9787F45-5716-4BB5-8A23-F0943D8BA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9F7CBC-6A76-4B29-9917-303833B80E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DC5463E7-BAFB-4C79-8F9E-2FD5C67E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7B87E7-667D-4274-8731-ABFE9D9C7D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D794CE1D-B40A-49BB-8111-89BC0811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66F721-EE0F-43D5-B4E7-C2E1B3F4720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A8385AE4-3290-44B0-85E9-5FAC1536E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1A7A75-2A43-4010-82A2-29840B290B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C76464CC-7B77-4389-A607-DA6F403D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7BBB11-AFEB-4449-AFBF-B102E25D88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D87FE0BF-5577-4AD0-A882-E01EE2C01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C4F84A-C670-4494-919B-8A1EB61B06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58D16A01-52B9-4063-8E44-D823AEA8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C5CA74-7F3D-41A0-B5AE-B41142B4F9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2E5EC94E-B737-46BB-A456-D431DB41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E1C1F-1131-47BE-A521-D77A3C6DCB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00F6FC41-832A-4E41-A44D-2F237E93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751D5E-1A76-4D7B-A1B4-B46880F785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A85D61D3-7BA5-43CD-90DA-2A1846FC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C8E1F-4362-44E9-BC8A-6F4248D13D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3B0BE3D2-A195-4BA1-B5CB-1624CD39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950A2-6DA9-4673-8B91-21AC2A098E8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43129014-1C0C-467B-80F8-0FF2E241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389994-387E-4B3F-8311-360B452E78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592E62C-66F0-44AC-A6D7-9F8CA386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6CF278-746E-41D4-8B3C-30C390B200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06A7DCA-B11C-4F7C-BB38-D5F5B1FF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6E1923-BB3A-429F-878E-6E760B8475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FC7F6A3C-4963-47DD-B930-C832C8580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AE8A5D-D3A9-4F3F-9955-FF46A37198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F28F58CA-568C-4EDA-A98F-8A658B692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4BEDE3-5057-456F-A180-8366D92E82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8D06ED2-6859-497D-B01B-7BA0F419D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5471F-636F-416A-A452-05D1FDFE26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83E7366-6363-4391-8D63-4BD6F342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84AB0-BB1E-4FD6-A1D7-81A45F79B3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98C0EC7-94A6-4579-A2E3-0237F2A7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7FD0FF-EC4C-476C-A158-5A95DF983B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F73F853B-6191-44FB-A7F4-3B08F7DA7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C2CE0-E881-46D1-B217-60F822488D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306811F-7488-42EC-A425-BC222E646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FB4AD6-4C26-443F-95DD-EE49D6AAA4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2F3BE0ED-39A2-4FD7-89FC-6A286FCA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B00BF8-DE7F-49FD-BAAB-BEF6A8110F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75E13A4-9E37-4164-BC51-60C00254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90A646-4E25-4F79-BF4B-74BB45D08F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8127343A-12E7-4911-91D0-158F9D668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50A10F-9C39-45AD-87BB-D3EACA6A4A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46AB61B2-05BC-40C7-9B21-8D1B71DBE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CC4D5-0C8D-4651-BDB2-23193B6161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2ED17BE-3288-4485-B257-6B4F76B13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53B586-4BBA-4860-8360-9FF86294AD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C5D35143-7A6F-46CC-98A6-76ED4126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BDDBA8-2653-4DD1-82F2-BC803470D3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E5FDA58A-3F04-42D9-98F2-328A7D20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C8FA35-2158-442D-A4FC-A12DA9B543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D711BF3-BCE2-4541-AE1C-30BCB812E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8A9148-1DD4-4F21-8AF5-2AEDDD77DC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1A10BA4E-B74B-4351-82F6-FC557B8B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3C83A5-35D4-49AC-B6CC-9FAC43E037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1BFF0AFD-3064-4BDA-AFE2-2DDDCDF6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DAFB7E-CD2D-4524-95AF-BB36D72C10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F3BCA932-CE27-4F18-945D-8D899D90B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B0C3A-F83A-4043-BF4F-E929459B12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776D6385-365E-4ECC-86DF-5C5E3E6F6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03C839-1871-4166-B615-9FD68C3302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E33615EF-2A27-4A1D-800A-1527E1D55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0B13C4-A6E2-4410-91B4-304D36F873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8B2C5B82-B931-47FC-8D9B-88F7C1B0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7B4DF9-400E-46BF-A626-DDCA8486F3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6D00A3D-8C1F-47D3-B35E-DF8F9ECE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05CE38-D8A5-4DF2-8654-4EA4DDFB8D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80200811-6767-41D4-8ECD-8FA0877B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358446-15A6-422A-974E-7512D09764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9323D951-AB76-4420-9AD7-E5C0DE20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6A9717-1848-463E-ACC3-CA4FB9A474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9ED145B4-D680-445C-B4CC-EDD0CF0C6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58B5A3-9BA7-40EC-AE11-0DAAE4210C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ED1E481-68DF-4BB8-A4A1-291389E8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18B8B7-58B7-42E3-A6DE-CEB8C7B463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F37E3E3E-D00C-4F8F-87DD-2920D3867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53337A-6A93-4F57-B598-C4597D368E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485BB116-4583-43D8-8D6D-E2FEF9F92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04E477-3A88-4FCA-A0E1-2F359BAAD5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71E315FB-1297-4671-BC81-6AC9E667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AA8129-903C-4200-A6E6-D7641F10CF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36DC7677-BCF0-49CA-BAC5-1C798DA8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588091-7E2F-44F7-8649-2BD726AE2B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0338EEEE-533D-4DF5-8C2B-4C398966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90567A-E8F8-472F-8ADA-89FAD5AC8E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5692EB4-848C-4ADE-993C-CADE5C09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AA22A7-53ED-47AD-B1B7-69C7C40555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E6C99F71-0812-43F8-8643-0268F6B3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235CAA-FD49-4268-9A0A-49BF01B989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BC0A2CAF-F90C-4F1E-84CB-0861A2B6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6C06F6-103F-4742-9F92-481F02BE13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12E8E51F-D624-491B-88D4-9329A7A1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C478E4-4FFF-48EE-8384-68F73404B6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28E266A5-810E-4F83-AE85-9864598B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0DB405-6F40-4342-9005-AA4DABE087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59191F3-86F9-41A7-9FF9-1E320A50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4752B8-9A0D-47E2-AB7B-FF33256774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CB355B14-2278-4D11-B66C-A0644A59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E92EE3-C081-42D6-969D-48225C7058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C62A8A25-57B2-4753-9F62-F447477F9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C0C1B-C53C-4ED1-AF52-8A345C5CD1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536FEC3-A00C-4E5F-A307-9680713C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213018-736D-49E6-A927-0D6D4231B32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22D5B959-7F3D-4FF9-84B9-5BDD39ED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74D8E9-4389-4E07-94AF-DD3B4EB254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6203732C-3CA2-40AD-AD95-2CEE5A78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8194B9-5979-485E-B6FC-CE0DF156F2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D5A3C71C-029C-4373-B247-FC4B3EC1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D64E49-A0CB-411C-AF9D-BE6F9F69FD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00D7F657-9A1A-4EF0-9B28-733CF8182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856C93-6141-4732-A9EA-2FC6D5BF8C2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81837E8A-41F8-4736-87DA-9EEE4F2F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6FB696-6828-4FF3-A2ED-60B5C188C2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77CE8F6C-852F-4F0A-B822-4F2E1AC2A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C690-2279-4BF6-8F7B-E2A63D0C5E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16BE016A-354C-41F9-9327-670A7835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9FC204-7B89-46C7-AA3D-907990B961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B6407973-8CC0-48EB-B004-6AD73ACF2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B4BBA9-5C55-44F5-AD37-5264917ED1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421ECD68-CDA0-448E-BA31-C052FE3D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F8EEA5-47D7-48F3-BBA8-D5715623D6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49A14E40-80AF-4C95-A9AC-AB41E71E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24E4D3-73D9-4AB3-8C51-7C9233C212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E3756245-21A4-4180-8C32-C625C59BE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9ACEE6-4196-47A8-BECE-601F3ECDBC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DD633F4E-9376-4FD0-88B4-A336E63B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E65C72-64E0-40A0-9B34-8A109BB769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9C0C4384-51CA-435D-991B-D2239F98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60D83C-A22E-44D3-9C89-220FAFF44C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EBCB0F75-C6DF-4FDC-8604-5570F52F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5E5822-84C0-4178-9A5B-104C6DAD30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4054BC9B-B07A-493D-8AAE-6BF6A2AA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AF8457-0708-4465-8415-9FA026C15D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D80B12F2-A31A-4056-9B61-9B541BDC1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02BEBD-E91B-47F0-86D6-FCA3ADD5EB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6B570DC1-93B5-405B-8F53-D30A39B94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2963E3-8CD8-4689-9847-BD2BF83B0A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96021F2D-D112-43EF-BA6A-A3214C26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FA4858-E6EC-4CB2-9260-FD1A6BB725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04CE7554-18F6-4CA0-9867-D0409B413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7C430A-A83D-43C2-88B7-3FE74BCD60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C927EDAE-8668-430A-B0FF-CA85E811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C78466-E7D4-43A0-8886-F9C5F8D580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672F325A-0C07-4027-A995-F5820177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FC6409-D65D-4F5E-8CB6-F3F75F42BF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DB7EA3E8-ABC6-40DE-A8F7-6C79B528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196C2-544A-4234-89FA-89B6025F3F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E069F71C-9F4D-48AD-B86A-55ACB6046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3CA51-5323-4E49-9C9F-B8D16F2A2A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668CCDC5-5D3B-4E40-A610-5C6BA31F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92A1A7-29B9-41C4-B6E6-F53C7FB646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D9B8C26A-6713-40B3-B601-F655FCD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65923C-B817-4BD9-9AC4-181766E2E9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2505ECD4-BD82-48A8-9952-A05DE858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AD581F-D6E4-42EE-8EAC-B6B0458E85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FD5EA519-F3F6-4E2C-A659-9CBCBD28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5A091C-68D5-4110-A808-0E89F850BB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69C71E86-954F-48A0-9DFE-2C5427DA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6516B9-53EC-4D84-ABED-0D78550AEF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C0C568E5-B5FD-4747-B86D-654771E0F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682B9C-057E-4EE6-A816-B46E8EF491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B72A1D52-D867-4CE3-8760-CFF726863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74D4E2-734E-41E0-8619-1C3A12F9F0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42F9FC08-4503-419B-8C87-9B502FA2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5838BF-769E-41AC-899A-8BE0D2C093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4CBAF1EB-3E7E-475E-9303-51EE5104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2B00D5-3A2A-4E8E-8C87-EB9011DC05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BEB177E-9B63-4777-8EAE-B4EECDA24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AE449B-690C-4B76-8734-E6A9074713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68A4F753-F9E7-408F-B7CD-827422F6D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B55003-C126-4D8C-B71B-B2F5412564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FFE7993-B1DF-4131-A78F-7F31AFBC2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A20E89-6798-4C86-9C66-0C67CE6C29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94F749B-121E-4E80-B0F7-E5DDB298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0C6D2F-87AC-44C2-AEC2-2A9DF917AA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5F2FC135-2CD2-43FC-83BA-1F44B933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7B1FD4-5F82-4E62-99FE-6BE99860CF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977891B8-9115-4D40-A980-C3DB105FA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91A925-4C6D-47BE-AA4A-B83ED975AC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8E2F1FBA-10D4-4A1C-8017-6EF90034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61A08-F496-40B5-9829-D9C629A9B8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BE11D05-6945-4AD7-8AF8-B6F0CF6D0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C969C7-FD6C-4666-BA66-ED9E693F62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0699316-BC21-4879-BDED-E308A492C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2CE37A-7A76-4E2C-8AD4-B76D0AADC9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F4197568-D27A-4534-83A1-F49B463D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08C752-9AB0-47DC-BA85-9881FAA4B4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759F5211-17C4-43D5-9CF1-72D9E1C9F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7CE3BE-0D74-4311-8865-7A823496A3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3FFDE11-CC3B-4124-90FD-5D0A5C34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BA3184-AEB2-4116-A004-4EF6886044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2996D6F-AE80-47EB-BCDB-573E5A1A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82A71D-1CEA-4023-ADFE-A3DE9E23CE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3A40CD9-D812-4973-80AA-FC7E67DE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F9A8AB-5F30-4207-8C85-B1CF7CFA165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34AA3BA-D5BA-42CB-B0D0-F80CF70F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240EF8-1195-4DBB-B2F3-9BAC4751FD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00CAEC82-2821-4F69-8803-100A34CD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948E78-91CF-49C9-93C9-A5A60DCFB2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3B747D9A-CCCF-4066-99BE-B0C30403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E916AD-C620-47E9-839C-76142047AF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6C05B35-A713-4EA9-811C-49E0C75D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FAF59-7732-46D6-A0AF-0DDE371909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79578E25-769B-4C1B-8071-A6A86E9F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43B17D-28A9-45E7-8224-9AF8EB28D5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07908821-C04E-4D63-AFCD-F66D3FEA0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FC0A00-B37F-422D-9DEA-1CEAD0B43E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1092DAD-3D3B-497F-9ABC-7754EC80A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41D3F3-0CE1-463E-BF10-4290E6CC87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803F832D-BAB1-481D-94EC-3F6C51657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46A989-81FE-4860-9860-E1B4E64452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81E7A50-B1E1-4E8A-B7CD-EA0D1BB7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AC922A-A8E9-4B20-AF9A-0D6BA1C2AC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63885517-DE84-421A-AB59-1BB17D39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C53B75-7AC8-4C4C-BF19-C3F2E72E08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B6A77FD-DA98-4BA4-8944-6EAF03F2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039583-FC55-4EAC-83E7-4A88738878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A1EDBD17-76B4-4C7E-A158-4245FA32F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6AAA18-66E5-4B57-8766-CA5436BEBE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B3CBEBB0-2ACA-4EC6-A89B-60FD519C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741B5F-6063-4F08-B9F3-2117E88A1D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E200CD36-E496-40BF-AC6D-98243EB6D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375080-305F-422B-A2B5-8900CE9CAE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C2E8DFD5-C1C2-4343-A7E0-7E62CD0E0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E680B7-66C3-4D24-BFC3-B988CA03BC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D53BE14-C2E0-461B-B61D-B558555DB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3EFB9A-056B-415C-9DED-92B2CF9FBE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1C8C84C-D6CD-4AAF-91E2-339A16E00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653407-E592-4816-BF34-8096C08A7B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4DF4125-DAB9-46B7-914F-E41A620E6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CE7CC2-445C-4158-8C1B-9AAFAD4D3E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860F931-B8E9-4786-A82A-A89E263B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C8B1E2-B840-4761-B2D1-A8888E18DD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C690C8B4-4322-4971-A8C9-D805A95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3996F2-11D4-4A3B-8412-CE2E83DC03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844DA68C-66C0-4F8B-A219-3CAEB3B5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27FBED-2268-49C9-8F3C-40DAA2ECDD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87BDBC37-6257-4E5B-A885-6A3E95A20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AC24F3-48A9-4FB2-A48A-1416514E9A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1D334E5C-121F-49B4-8CBB-100813B42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857BE7-8B31-498E-AF19-59F5FE21F6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85B87BFC-F647-49CC-8762-2F564D97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AD2542-DC68-43CA-9035-42A21D3FF4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EA9BF19-A6A4-4CFE-BE8C-A16C9351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8ECE83-39C9-4E22-A030-66D4AE9868E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659E2E22-FB83-4710-AD99-9E462FB5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70E171-2E3B-4021-B5FC-B29C7DB7D1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EB6A6DE3-C6EC-49C9-9479-076B2CF0D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C9D7D7-BA2D-4C30-B8FB-E1E816AE47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9963BB48-6A32-4B40-B981-4BD71266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A2AE3C-E72B-44C8-94EE-56EF53E2EE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6DF06272-C6DD-49F2-8F38-862F1C19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04FF1B-8F35-4052-AC49-A133E18B40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86F305CE-967C-4ED4-9B0B-64748ED2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830F96-FD76-4C65-BAC2-C332B10202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EEB97811-A78F-4FE5-80AE-198B330A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C3FFD9-90A0-45F6-9BB6-6E59912968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21994B35-BAFE-4044-828E-2DD28D739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C1DF7C-C4DF-43BC-B8A4-2BBA05A754F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AE48B826-774F-4C65-81DA-63DE76F5F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B8D43-4B96-4A19-86BE-1826AB60AB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2B1A6D11-48F2-49D5-A900-28DC0017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EAD201-25E3-42ED-8018-FFCDC069C6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3D0EAC05-8607-4D80-846E-6458BCF7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C63B84-32B9-4C2A-A04E-B5DDC8F8AD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FAC7533-90E4-4EF9-82A5-222204C5C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8A48B2-CAD6-4DC7-879E-C1E1BA793D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3B274331-AC62-40DA-89FC-950D496E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C74DD7-A106-4343-9BB8-76B9E05BA5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49E88366-89E5-47E5-84A6-8E729EA24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3664B7-B72B-420F-8328-B6A3C038FB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7F4EB0B4-557D-4EA1-98A4-1B967E3A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9BDBDA-174D-48FD-A6C9-B47080FA06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B34A8C88-6788-497E-80D4-6488D84EB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6CAA47-BE14-4A4C-BB13-39FB4CE2F5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A410CB4B-DA9C-406D-AA25-3CFB5FB8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F85F67-2E50-4F16-A784-BBEAA11973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9F9827C4-8259-4D79-992C-A392D992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BEF033-B901-4C9B-8483-B59626772C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07A1FF2E-5568-40B3-96B0-9EB775D3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4183F2-CECB-4582-969E-91D923BBD8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510F4288-13C4-4AEC-8240-D2FEFB74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20AB20-90EB-4ADD-B4BE-0B94E7636A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FC9439EB-13FB-4814-8EA7-E23BD5C68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F36238-72E3-4B90-ACF1-9589A3CA84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CD0A938F-D610-42B0-9B4C-BCBB5FA2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3F7BD6-4F3F-4941-A898-2327999EB8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B5F463A-4DB8-44A8-9244-032F75A3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FD18F1-8057-4A41-ACC2-D6863576C4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A0F85218-0C13-4AB9-9FF7-62FBE3F0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A007A-2337-4B66-B051-0B124F5556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988B41D3-C294-42D9-8060-D075C9FD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1E7A74-80CB-47D2-B409-6B57C3D736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E6632C21-8BF6-483B-83A2-595C9E13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84FFE-DFD3-43BB-87CE-008BB0FE6B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3CFAAEE3-4BEF-4B83-A356-927EF6C9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5F78B5-3296-44C7-AB02-BCDD8A5EBEB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95894F8E-3CFB-42C7-A98C-8F911E7B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264679-152D-4A99-B9ED-D8984D4F57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F6A7923C-D59B-4A06-9ED3-4E380CA3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E18CB5-9A8D-4DAC-ACEC-C2E4F8BAC6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0967C107-2F44-49C4-9617-D4B0F5ED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9E4305-A602-4ED3-82C8-F96C245E16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2487E0C2-D603-493C-9B45-07B5B031C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48740A-DECE-4EE8-99E8-4AC8482002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20CD8A60-5B3D-4B6D-B7B4-4D422C1A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8695AB-A5AC-4DBC-9FF9-30969B8FA3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5525C105-447E-43E6-87E4-55EB7B921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B08765-F419-405C-9E78-6FEF22511D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3C58F03E-BD49-4501-9A58-64A29B3FA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19EB66-4BE8-49F2-9313-EC0B6DF197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7819857F-453A-4753-9070-5AAFCCC5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C8A8D4-2E79-4110-959C-0461307B53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7F24BD58-4E24-4319-A6E7-C042442CA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93D167-B983-483E-AF40-2E29156218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5103C0FB-510A-4786-A3BD-810255A8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A42FD9-A8B0-4323-B45C-C84CF960D0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5CD246F-B0AB-4BCD-A2CC-4B2EEF24C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B06DBB-2203-41B1-8B3B-265C03EA60F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941A789-999B-463B-8638-07099E49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62EEC4-7FB7-4A53-AF72-F649340BB3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46D3F591-9013-4771-8228-64DB1EA69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D60A9-B7F3-45E1-88E6-F8DC2C155C6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34FA524-3503-4FA8-8C6A-6FE44ACE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A6795E-B039-4180-A768-2ADBDAF9BE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D238F20-EAC6-4B73-8805-CFADAE9F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1C4C0B-DC0C-49F7-A8FE-E825E9FC72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46DDEBF7-BDC9-4724-8AB9-CEE71D0C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4D79D6-C241-44F2-B74A-0D2738B2CC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EF39CC52-2A27-4390-BAAC-6DBCDAB6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E07B5A-E3D8-41A2-9B94-D35D377C6CC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5FAE74AD-AB22-49AE-B80F-E55F105D5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43DEE4-D73A-4E1E-9C15-981C5C7ABA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79E5A2B7-4E41-49BC-A2EA-87DB0285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5F2477-F224-4668-B567-ABD95EFE1B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5084CECD-9BF7-4AA6-AE2F-84DF5AD62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0A300F-3A76-4A69-812C-F07FE49953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B72848B-8FDE-43C5-B62A-44D73F36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5EF54B-18E8-4AB1-AF3E-5DC45CCF34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5B08353-C2F2-473C-8F24-97BC20FB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815ECE-0D98-4F63-BF48-4FAC63FE83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4485C7A-4569-4375-BA5D-4F3372166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7858FA-AA11-4852-B69F-6383C51FDC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14E2BC7-5AE6-4B4D-A6DF-C22ADE4F5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FA2E80-3B3B-4366-B43B-6457DAA484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0D945C7E-13E9-47B7-847A-4AFCBF7B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6A9CEC-A210-4C02-B7CB-E412CD9851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8FA95B75-4BC1-4B00-BD1C-F10F61891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F9D96A-1D9E-430B-AB67-F9A260DFE17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301B2B90-4E04-47B2-8F3D-42FBFAD8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3C21A0-B64C-4385-BC2F-809FD5F88C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936E7A03-355A-457C-86C9-969907814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A26E4D-A3C5-4B82-A07A-8A5CBA5D25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F5DBEB3-B7DF-44FF-A2EA-856BDE2D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3C854D-7CF2-4966-AB70-20DB6D144B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54E82EC5-71EA-420F-8945-9E92930F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28A4D-723D-4A17-8061-442BB3D7E7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02C2AD30-CBA1-4AF5-A0D4-52D84E512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842F37-DB93-45BF-9CFA-A29F7BE4C6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75C2F08-8FA9-491C-A6FF-1C6B2CF1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EC9D07-12EB-4D8B-93E3-A3868D2FE8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5D87BC52-D656-446F-8291-A652BC4D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5FA40A-D974-4CC4-9799-05D4161E541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89EA7E1-9E43-41B4-9D63-925D8447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D6A775-324A-4AF0-8590-51DE602D8F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5C0352B3-327B-4F99-B97C-4EEAF518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B80C7D-AF62-444B-A891-42E93FB962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C0EE901-3179-44AD-8064-0DCB37593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90C561-1A48-46F8-B635-7E1FF37EE3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4A5184F9-B44F-4B33-8535-91EF37560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6A1CCF-DD39-4C53-9EE0-DF7C4BAACE6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79607429-F789-4420-822A-4DC7882E8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D8F668-8266-4593-9401-C044B9BB87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522026C-F263-4C2D-A927-5802AC953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577A1D-2D37-4100-B31F-CE54A02B7C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CF707833-9D2C-4129-B117-1B1A41BB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E6106-50CD-441B-B45D-83A7086FB4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C471FD09-B9C7-408F-8AAA-1A9A4EDE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605E54-2106-4DB8-8A65-2409DC70AE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4F85D53B-7BF9-4CBC-BD18-D52A6E32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57AF01-3DFA-4EAE-8CA1-A81179735E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6063CE4B-EB32-4D38-8E93-CC8604C91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289786-0774-4BC7-8D31-6ED167AEA0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A643A48-C0EE-4712-B270-4EC0CBE9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CC4826-6827-4E96-8A9E-15680C138C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20531E78-4A09-4B0B-B2BB-7B1047C28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1A996B-0B0C-41F6-9F05-01CA5FA6219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F6B10481-9FFC-4F2D-8235-E8B17205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ED7D98-7C80-4D34-953C-890D94F3A4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35670F7-15CE-4CCA-9932-0B7A7E7B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A36404-9CFB-4D6F-9161-C8FFB196AB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08C5BF8F-D0DF-4FF8-A9B0-A2F0EB656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72FF60-8F9B-4CAF-9427-8494D53F4F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105C5A74-C37E-4999-9E48-40361958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6ED083-7E16-47AF-82D2-FED97BC54F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AECAC0A0-E484-489F-A2B7-9D98FFF7A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AAF3E7-00C6-497C-9244-688F9CCC37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CBDF587-0764-4887-AEC8-8B0D6995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854721-0449-4D00-B5A6-107D566FA99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FDF22177-B900-4F92-9606-C15174B38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D84B41-F502-4B80-BCA3-1D10F675CB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668A1995-9F24-4DF3-8359-0C1E9512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8C7815-2BF9-403B-842C-E73DD1F7ED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682EE301-EA81-4E44-95AF-13731114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0AF4A0-49D0-45F6-BC3F-E96082D9F4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4AC3A291-9403-48AF-A813-74FCBAF0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3B8B9F-C8E8-4D57-9B5D-1E8DEA8CB8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AF578A8E-84C7-47AF-A7BC-33BF24E9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1B7A35-A8E6-4760-A084-57CBB42310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8AF3F227-5ABB-4FB7-B023-7631C4CB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91B677-A5C1-480F-A67E-A5EFE62C61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C9733BEC-3B10-4E4F-97C7-F13D3FCB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A2CC9C-CE6A-466C-B842-1D65E2B0DB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1A1A31DB-4F92-41DB-90F5-2730217A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08B772-DA40-4F73-A282-289E3BBE70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52CDDF00-82EC-4A5D-881F-21DCEAA7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B99765-BA4E-4A54-A44F-4AB937A69C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A017409D-A7FF-4D6B-B99F-B6144771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FD1BC2-F5F0-44F0-A181-FED0C10668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A1A95A4C-D35E-4E20-A9D3-5F3626FA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5DC93-BBFF-49CD-9DDE-775D25AA0E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B86D1C80-4D03-4F65-84F9-531D8525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32971F-C0DD-4B7D-B44E-E9FE575873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63E679E2-D0E8-41CB-8AE8-EE63CAC4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1C2C27-3AD7-4B91-AC84-0B68071309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E74EFD22-7905-4D7C-B465-E7D29CB9D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1207A-96A1-404B-B0C1-7C6253E2D2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4230525A-9DAE-416C-ABE7-6B358FB2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299F87-0FDD-4C38-9BA9-EFD6F82659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98A56862-AB38-4DFC-8C25-88AD4D5A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D0A800-976A-4F71-A3DE-C52E2AECB6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237B9F8-447A-4D45-838B-263F2BB14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4BC5D1-DC3A-4FED-AA88-975382F66FA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F39C6D0F-554E-4249-BB84-3D4E05AC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E42968-DE68-4078-998A-F009E4EF74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EA760555-5309-453D-9D03-CADBF7A1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D9991C-8873-43F0-A3C7-025501145C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A6EB1228-5BAE-4940-9898-0344E3D1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34F20-7E4F-4944-87B2-4449CDC7CA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42E191A8-67B7-4EBB-B6AC-CCE26848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9513CA-CD2B-4D54-8FD7-7864D19B52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6C46D46D-78B3-4C8C-85D6-B207531D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AAA2BE-B452-4A92-880A-EFBE5783AE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5930C3D2-AAB9-4DEB-AE7C-5A4315E9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D72309-28B1-46E5-B670-AF7A7F79E7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3CA10E14-0CC3-4056-9915-3A10EF2C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25477F-F55E-42DD-9704-A20606B6FB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1B077081-F719-4B09-9E85-E7D95D64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58EA36-7EE1-4A86-91C9-C94B81EF1A6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8BB0A351-3C00-4A88-88F9-FE60D0ED1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BED62F-81CD-4C39-8BF4-C6C094685A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9BF16D8A-3239-4853-9EE3-EB77253B9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B9CE9A-682B-4B5E-A81B-22CBCB0E21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39F598BE-B650-409B-8654-9F32C15E9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28BCFB-DFFA-4EDC-971F-C592F3E4418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76A1B1EA-01A0-4995-8ACE-68582E0E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309FC2-3DF5-4DC1-86BA-D3BA9A8489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F92FD579-E8E0-428F-978C-74AF6966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722489-5D0D-4FE8-A785-7FD1F4D904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E2CF5759-86D0-4A09-8A55-062528DB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9C65FB-F4AA-456F-8E1B-14E0C6C3A9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1DA2F64C-735E-4E16-A883-B0E70BD8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2399D6-A13C-4175-B5AF-B47AF1C1CB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C63FEAAB-947D-4540-A07C-56EDD280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65F8E8-4B28-4927-8193-95BB214954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7A1AE358-461A-4E61-8FE9-736E1F59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97418E-4E6D-4259-B09A-06E074B351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250B38E9-6F9D-434A-B6DE-A3BB72E34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08CB57-E911-4D81-8DA8-92BD8469C0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8298506-FCAF-4538-923F-04E9546B0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C865DA-7EFA-460B-AAAD-FE2C772F5B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BE185D1-FCB3-4CCF-BB2A-706CA1CDC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39632B-2FCA-49B4-9192-B424301E46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ED9C9802-A267-4AAB-999F-96A514842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B6CF16-B665-4FB7-BC83-29381920D9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A9E89FA-BA79-4302-AEE7-18F8EA38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35532F-BED0-46B1-984F-41DB8CCFF6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AB3AFDF-664D-43E7-A9D0-5D7D47EA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078502-B063-413B-A6D5-FF7E2367F4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C103D103-D9BC-4E41-A2C9-171926C2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A0223B-16F4-4AA0-A532-6158CF2FE8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7031ACB-8F69-4F58-9264-B0ED68E9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7E8D6E-F38B-494D-8FEB-043455DBA9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38D645BC-E1EC-49E8-9BFE-F40E00957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7A432C-884D-4759-BD02-A60E29B473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48AA360-51A8-4D93-90A6-32E29E8C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AB010-9357-4A29-B092-D802FEA36C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AA892184-ED92-4A88-BCF3-065F4CB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DA2F68-BA49-4A98-BD59-03CCD9B035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6560005A-0EAB-4F38-A6CA-14C7FCCEC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65B8C4-E230-4FB6-8DAC-22ED9BB7DC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EBD5CFE1-E280-4072-A065-C76024734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DA3291-BB6E-4E66-9E74-A7A916195EC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7EA2C68E-337B-41A4-AECF-12E56010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7F82BF-7FBD-422E-AD28-7C1C861616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3E5328D-CE72-4A8A-89EF-60BE65A0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D349E8-EB8D-48AF-92FC-832791ADAF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B18D7681-BF64-49C6-95BB-7AF603A8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0CC108-FD33-499F-9FCB-B1B6A944BD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66D32821-1F35-4C83-8596-F38683A1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F3A464-7426-451F-8119-FB0B53C2E7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03F5628D-45C3-4271-9F56-04C921025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B12E0A-E4B3-43FE-ABED-7D2854CD02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3B281561-AF1B-4941-BEBA-2F4B2DD22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210AE6-50F1-4C33-AF10-F2021077BA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6E8B5757-DD13-43F7-BCDC-0A0199DB1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ADC01D-6F3A-4577-BA5F-09A45CD9DA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D606052B-8156-4BC5-BFC2-ABC1A163C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C00EFA-7346-4B63-8A14-5C54B338E1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670A03CE-AE16-476A-97BA-89850025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71AAD0-E478-42BF-9C3F-DCFF4DB4D9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48C8DE26-95D5-44F5-ABA9-ECFD5259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5F7D04-56F0-4DED-AB2D-80BBCB7688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F8FE871-0F32-494A-85E5-5ECCA0BD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D495E3-2C4D-43D0-9E9E-86B3670868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AEEBFAE-FADE-4C15-B17D-6F9342EFB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82C463-73A7-4398-B8DE-CEEAC502B9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2486064-A08E-4E2F-8DDD-4219092B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E4129-EC5C-423D-81D4-EA02539CAD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01968B3-23D4-424E-A8B1-FF15A38C3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2B7A7F-3028-48DE-9826-ECE3C6280D6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8315186-842E-4F6A-A55D-097BBC81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10BBE6-35B7-4434-BEA5-AA34051AE8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3D99127-4CB9-4639-9A56-931E23DC6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7FB485-ACB6-49CA-B34D-2C602E4304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52DFE77-864F-4F09-B848-CAED5D31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370F4D-F5B5-4BD3-8624-C0243D41CF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134BB3C2-9891-4981-91FC-07DD45683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2C791E-856E-42E8-B3C7-C3CA602DC0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02E2800B-1257-480F-B8C2-7D8620F7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4A637F-084D-4631-BD3B-0BB89386E2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05466CD2-0545-4DCD-AAF6-07274555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B4F1EC-E868-4D61-9EA7-1B67C38461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0A4A3EB-3933-42EE-9CD7-99181C7B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08FD72-67D3-45BB-BD63-C6081309F7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F4C3C963-B8EF-444A-9F5D-43F35BA2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2F7C7D-E53F-437D-A30E-B9B7F2661CF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8C34CADD-1354-4C7A-B2AF-734FEABC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5916A7-A9E6-43F4-8ECA-B61C7B328D8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18542F67-3CC2-444D-AF7E-5E107AC4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32675C-DAC7-4CF8-A37F-6F1FDE7AC1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46A5D399-BA1E-4E80-9B76-F65BD9FA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C57722-7932-4644-A92D-1F80195C6C4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A9743C03-12CE-48ED-B972-5E9C66C9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7BCECF-EA57-4519-8F7A-4CFA1D0FA8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EEBEA28F-F67B-495A-8F29-A447240C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8BF02-0BEB-4A12-AD0F-EA8391640F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1DBF948A-DA73-42F7-BDFE-055866C3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3F3233-4B34-4424-AB31-49AE7A13C5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17CED6A4-A853-4A0F-8D6E-DA367A05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806B83-B1AC-4F8A-8688-92B761DA48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B84E7B66-E277-4986-9091-CDA130C7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EDFEA6-227B-44EC-BF37-39D160D320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19DB4627-314C-4FAE-9AEC-950C5BABB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32BF2-97EC-4AED-8C06-1BA18D1006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CB06DCCF-6E7B-44DD-8DE2-811540E5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0E3C73-E883-4613-ABC0-0223BE5B5EA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F70163BF-E54C-4FF1-A854-500A7DCB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EC58C4-0666-42D0-8080-A8FEBF4C09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CD0EF879-7924-4799-84A7-462B6645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D34A50-C6A3-47F1-B81C-200A506BB6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92FC2599-537A-486D-9639-F34529D8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03B16B-8DF0-458C-A296-959A657C05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E2F59E91-6E33-4ECE-B515-0F23C66E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F43AD1-467F-49BB-9528-634FF2CFC8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E10E4998-6A4A-4219-AB92-01318F93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ED0C08-79AA-4AC5-A40A-31C7BEEF0C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27960AC8-E28B-4ACD-B419-9C3B153B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14AA18-2BCF-4AA2-B3DF-2C9A485130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BC29A3A4-2FE3-44E6-91F6-69F23F107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3058FA-AA58-4C85-A4B2-C8EB719E715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A725DA24-4A1D-4181-9AAA-F49A0B28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C81721-36D4-4A83-9281-626B5D9342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AB19E76-D79B-4D2B-9A2C-F4F826AD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CACDAB-161B-4199-A545-7658136AFB9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002E3F7C-B72A-464E-8C75-45A89D121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D358EA-D204-42B4-87EA-DF4A16382E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EAD79FCE-428D-4599-8E6B-B4BC2C6D0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E253D-4BF4-4D55-A2FF-B35CE6F237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D4ECE903-4ED5-47CE-80B5-2617C213B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5DDD30-D14D-4FFD-BB60-C2F81A1BA86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CF2AE87E-E4D9-446A-B3D7-CB28BD356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C9172A-4926-4AA7-97BD-D25C27053F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8E7A91B3-8B4B-4673-BE7F-994E7CF4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33A7B5-5675-4D43-B413-5D392D0AF2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9245BCAB-2E98-4F9B-AB32-FCE72B7D7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A31981-ED6B-4DBC-8EF3-166DF5E4CF3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6929B2BE-903A-4AB6-BB9E-20741E3B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4B74F4-7A87-42A5-A2AF-49D7AAE78A2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53F71654-CCD2-439F-A4F5-66D1934C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274C20-6D94-4306-AD06-97C5199D3A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D3DA03C8-8C3C-4C18-A0BE-7061D212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69C572-B103-4F47-B269-7AB5F690C6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B3CD3C18-1207-4947-A377-B6C1EB97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40D1D7-5AF1-4BE5-948A-3FD7F63AED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AF1AC119-4501-49F0-A6D8-27E4DD36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1A9FD5-3364-4810-9FB4-3E58B30866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95D6E6DA-1B30-4DCA-8879-9B19EAD2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67B7A8-62EF-405A-90F3-F7FACB5F2C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820BEECD-6E69-439E-B050-27A5E4A0D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B41218-CEE7-44C1-B3B3-CF4A2A637E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CE9091C0-96F7-49FF-8882-39ACFA70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ACE55-5247-4CED-ADEE-D8883A8603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68FA8E81-17B0-4ACD-85C9-309ABFC7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8830F6-E9B7-4C95-8C9E-20DEC9363A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D7C940F0-053C-4FF0-A2FF-62445156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BE5064-89FB-4DA5-9FE5-9F402DB05E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325BFEF4-3560-45A9-BC48-284D297EB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1B8055-2E5B-4141-A70B-C091D8AF9B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033213B8-C100-46FB-84AC-37365990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C83DC9-875F-4DF6-8F5C-D12B0EE921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459E7B55-DD9D-4024-BE5F-9DA2F3B24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310DA5-2374-43BD-B986-DBA41A06DC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D0E8747B-8DF7-4ACF-8410-56500806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A19233-0311-45CC-8C5F-0ADED4F1E9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E0752591-09D8-4933-85A4-B145B334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ABA65-1EBB-407D-A7DC-8F3D2F8EBA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0610B221-ED2B-49A2-A113-B727A8EE9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B85D9A-72AF-483F-8B74-24FC015283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98806740-8E2F-4B3D-B24D-1C22B362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9EA309-F77A-4CC4-B67A-E857C20A24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2FCF8F2-6D96-4228-ADF5-EABA40AF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2CC77C-EC2E-48B6-8919-B441C8C562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3CF8323-5B9B-4BDE-9A43-47AC643AE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EE531C-71C4-423F-9314-BD0D39A06D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FA68B2E8-A15A-4B4B-A755-A7C88A79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EF95CF-455C-44C2-9551-9E711101A5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D596AE7D-E04F-47FC-9C9E-F635ACBF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11DDAA-F429-429E-9091-2F4B91F6A9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528546C-D798-474E-A89B-044856A19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8E11E8-D803-4ECA-8E60-E16AA4376B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E5EFDE3B-9331-4267-9C32-8C733A9C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CBD8F8-0845-4C6A-9236-BDB4593991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41EEDEE0-8F33-4C3E-97CD-AC073B546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162ACC-807F-404D-B410-4E9C305188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C0969EB3-8650-4951-A970-8F6D6DD59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24E9C6-0A9A-4D0F-9253-1469FD5CA1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8509CC73-9163-4595-859B-4C72A5D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1B6904-7BE5-4BE2-B455-C407B31AC6E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B2C431FF-ADC0-4E13-8E05-AB962EA9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8CE985-EC8E-48E9-8215-15DA5BDF30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7432DB14-E65C-473E-814D-323BF961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96C00B-F373-462D-BF1C-427527053A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DBC810B-22AC-4B75-A536-C32031082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37F807-69B3-418F-B34F-73C4864AF3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7AB428E-BC5B-4271-9778-2E13F466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6CFCCF-60E1-48F2-9EEE-02A2EA1398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8484B4A6-0955-4976-A5CB-8093141D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559A29-4B94-4B26-A2AB-392F1785B9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C3B9B8F-D8BB-4067-B083-5D4489DE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66A9B6-D7FA-4F51-930E-C68535EF80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887FD2F-3EC6-4187-BDBB-7CCA1AD44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89CDDA-66F9-4465-B3B1-7F97198B99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0BA500B-0DBA-4449-8302-B310B3FBA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B178D-8377-478E-B825-41A35C2F3F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97D8928E-2600-46E5-950C-6A8C66B13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A86D27-ED91-410A-BDD4-199AFEC8DD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FFA5E7E-F0EB-42BF-A3EE-41D9985E0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1171DE-2AA2-48B7-90A9-30563BF150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33234A7D-FEE0-4205-B449-C2D310FC4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FF616A-E06A-4D92-89D5-6F5774A868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1AE7D21B-EEC4-477D-A191-A90580D6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F96708-A5F8-4C56-B64B-38C90CBECEF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5070F0C2-4557-4A47-99BD-BE4DDC13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11AA68-2E84-4C1A-AABA-8B41E9CAA2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E7E5AF6E-FC1E-4771-BF31-1CC5BAB48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21E34E-7662-41CE-A485-DC442C6323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7B6E60D5-7DF4-4D33-8A00-2C5E94910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260444-AFEC-47C8-91EC-4D5E5CE563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6E057E7A-03E7-49EF-A5A8-39B2F430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2AA26C-881D-4D6F-B9AD-1D5ED0CDE21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16184834-6B6F-4380-8092-E293986AF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68C9A0-0A31-449B-9E16-E2A26C8CD8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F3D4B872-9B75-4386-94B2-8202A0316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D36CA6-1DF4-4120-9B9D-0E3FCC2A39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B3FC6BF-0288-478B-BE82-E50B842B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C8EDC8-78CF-452C-B36A-76CFD8BCB9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7BB80EA9-3C0A-46D2-8878-A2C66F71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9F04DC-39A0-4335-A673-BEE75C7C3B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16D6515-0303-4A94-B420-87A3BBA11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AEE1B7-0A53-4342-80A4-C874B79741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166F52A3-0C2C-476E-8EFF-7507A302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265F-80B4-44BE-8733-E568CC9755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1F43FB10-88FF-424C-8136-8FAC142F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B8141C-3CF4-459B-B491-CA62078088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8BEEADC2-90B7-4B83-B9BC-6643AFB5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0CEC47-8ABB-4BB1-AD95-13E8B6D0BC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7E55B8D1-8668-484F-B10B-CC111C4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ED8117-3C2F-4170-BC93-9F917D6C61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50F5828E-09CA-4505-AEE3-4EF99815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D2722B-D844-44D0-A34F-579622E83E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E4402CE1-5990-4D08-9FD3-CCDC8295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C9B5F5-D563-46C4-AC23-636CEAC477C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C51E97EE-FA46-4D3C-B282-BDBF35C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DED3D2-3EEC-4110-AA8A-F51EC49CA2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7D47EC6B-44A0-45B8-ADE2-917CABE7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88B5CA-019C-4645-9DE5-5A11CDCC28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E50F62F7-F494-4959-B1FA-4B4B5F576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46BC71-2003-4F30-B17C-65891FFA38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C1E61B74-34A0-41E5-AFDE-5A26D0F6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CFC9A5-89A3-4D29-B522-7448BE9CC1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8903648-5871-4C78-9E86-E8716C08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9489A3-7A12-4640-9AAB-18D957CBEE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F9C94729-4A94-4BA1-A00E-BE7D8667E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119233-FFE0-4115-A4C4-DD76F0C4C09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4EC7687F-AE2F-430B-A300-BC56FFE1F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C06EA8-2526-4B69-81AB-C8CB0A83C7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A1530C56-F760-4649-9969-CE7D04C9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5BFD12-02D5-4135-98F6-049D6767F6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19E429FF-5F85-4EFA-BCD1-08E6D40FE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F0A67F-690D-487D-910B-037173E497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5F95BF32-F382-487E-A3DE-8795A0972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8F4E8E-149F-4971-BD33-6DED2B9111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A7E0EA1B-E408-45C9-B9DC-25F4E9F3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1CAA3C-4974-4EC7-97F5-17A0A5EDF5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426CDF95-4563-4F64-A2EA-50E534D6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3DA8FF-05AB-43C6-BF8E-6C79451B48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48357355-C72A-41EE-A986-CBC8DA556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025614-95DD-4909-AE81-49F58B772B9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4622D6CF-08B8-4BEC-9875-8E594DD0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29723A-1EC6-4CCD-9139-27DD9FC831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C781F001-6716-4BA7-83A8-8E719FB4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EB613C-6C5D-4313-8A40-EFA60CF7DC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ECF52D86-BB29-4926-B977-605B1C7A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EF1A1D-ED86-41B2-9287-DBFFE09028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847AA004-FB4B-4951-A648-1158330E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A385C2-9033-4C8F-8FB9-A810CFCBD5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3A84338B-3792-4037-A433-D0AFBF72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D75986-F6A5-494E-9B73-9BFCAB04C0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20B4794D-DBB0-431C-BE39-3906CFC6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29EDC4-A18D-4981-85E7-93FE679F72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8E2BD0FA-1823-44EE-9392-CF6C28ED9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FC2048-4A46-4DA4-BF77-F6397C2F36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92C5ADC9-B7C8-46FE-8D4F-EBFF6361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61C962-99D9-4EE0-ADE4-D22D5A9910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95D3BB14-4BFC-4E4B-BB02-180DA81A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7EEFB-49A7-4232-8EDA-E0FB10E2C9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808BCFE0-EF37-42E5-9C38-53C80129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E3FE28-108F-4480-BD0F-0FC35653FF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E9EFBBFE-8F74-43FF-833B-7DE1EB54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49B0A5-781C-4786-AA2D-8136F2FF8AA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27643F1-B4AE-4264-9FA5-657786F15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5FC157-9433-43A8-8F0C-3950038C04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3B4BB0D3-F4FB-4DD5-8E91-DE9D89925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982883-7695-4CCC-8BA1-18AAE3033B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6168C997-C076-47C6-A0F5-F1304531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6B394C-1C0A-4DDA-A614-A48FEE7A74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BC9E63CC-0052-46A0-9A75-6CDDFEB7E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023AE1-BC56-49DE-9975-6C68061F02D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BB558047-480C-46BC-B781-8BCE4B37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D2821C-2BF0-498C-B330-29BE74A968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CA478600-F44C-45FB-9840-28A3C570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71C565-1970-415C-A439-A80CE439CC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395C5799-B120-4C02-95C4-C4CC349E5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9F8C26-A87A-4C63-9955-A7667F59AE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EE18DF02-8A2C-4FF8-9A46-389737A05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CEB0BC-A0E7-46F4-AA07-43F40F0F0F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4F39E88B-773E-47C6-AAC1-274BECCD5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B325AA-B239-471B-B4BA-974A24F3E9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3E438D6B-7AD5-4BDE-B06E-FDBDC720F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546504-7A95-443A-A969-8FB44D8A70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336FBE40-12BE-4CFF-91D7-0721C90F9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0E2D4-EAF6-433A-A476-0D7D50FEBC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93F76B02-E1D9-402E-B025-5E38234B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A1E9A5-57CB-424C-9DC6-5E1F253BFE9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A7FB860C-4BC8-4DD8-8B15-496879D51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2BFB23-238C-4B99-B5AD-B8272B1BF7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05DA08A3-25D9-41EE-8626-D282A6D0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FE284-A761-4C9E-8BC9-6ACEB60ACD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5B74BF6F-A3BE-4BD9-92EB-7D1361DBA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C3508F-1EE3-42BC-B936-6A139E0027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1BD8732E-010C-4519-A90F-43CBF0E4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D59C1-E394-4B22-8847-A86D02B8E2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18FECB0C-6D84-410D-9899-3E65F7DC4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69BB84-E328-4D27-9C6D-43DCF9218C8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80110BE-D530-4E9C-BC08-D1691C2E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AA56D2-3E04-45A1-BFA5-2DFDC3C6EF9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3CC1E4C-8DB3-4F59-978A-17DC8149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401D32-BCC0-42A6-A26A-CD63418E460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B1450A3-54F7-4C3E-8425-48E88D6D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8FA721-C9BB-4722-BE3B-3DC372688BC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CEC48965-5741-4A92-80E0-2E4D41B94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32579D-DE46-4724-98D1-F93E072B1BF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4193709D-FF9B-4F74-A62B-2436CBCE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744740-EE9A-45C8-8092-0FE797D337F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E40FAA9-3CBB-4EBD-9022-860C2828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AFF4CC-37F9-4D50-92A5-276498C05B1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536CBA6E-DAF3-4E6B-B1A3-FC164A9E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DBFF20-0BC5-4E77-80BB-DBAAF1713A8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44928E2-B291-4BB5-B6D6-A10178E11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F3BCC3-740E-4BD2-93F1-CF3396E2546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18D64F80-8248-42BB-88B0-83693EA3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04714A-F6FC-4271-BAB9-66E01F82F31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D041DA8D-1246-410B-9A39-4C366DE0F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4DE5F4-AEED-4AF7-9F80-0134506EE3D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9BA9CC8-0EE3-4811-A9D7-B11BAABE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B35271-12D3-4EE5-8093-EE2C226621B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9DEEFF1B-3C7B-424C-98B0-53A13BCB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F672C0-1E8B-4562-9C0E-62D8779874A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94A2BB71-4A8B-4432-97C3-CA90D2B3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D7879-62BB-49BF-81E1-8DBB53C7D63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3142CD1-862C-4DCF-8C94-EE8781F2A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5060BA-FB4A-4A77-BFA4-7E59A5CA0FA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DFCA48D7-912F-4A46-B642-67B2E80B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E0B68-49D4-402E-BA08-DFDA2020E9F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A1C3C19-A524-47B7-BCBF-5D09E1371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99B587-8061-4BAA-8F7C-356192E5730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DDE4C9A4-5D36-4EFB-AE56-FDE3623B4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D7D715-7344-4526-BA5A-96F725A3EA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C66A86C-21DD-4E8D-9826-BC8640124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585A49-0372-490F-AA73-0B998C4CC74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8DE1638-9591-41DE-9773-CD11C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A82B0D-63CC-4EFD-A803-83D479038AA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44665924-EE55-4AAB-B979-6E7BDA34B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6C96D-3687-42D8-A360-30406E8B5B2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7BCA681-92BE-46A0-A53D-C3E3B20FC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0787E-96AA-4345-8875-FB28C1039ED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10D48892-77A4-4341-8533-0A565101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BEA13F-F852-4495-BB8C-92FC620A76E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1CEE1460-51BB-45A6-9058-190CCA46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704B31-8AFC-455A-899E-61E48459795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0922B78F-B5E7-43ED-975C-93D15C8A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552422-B933-4D92-AFFE-BD4673A75AC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BD44B08D-36A1-488E-803D-AF677B17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740F07-726B-42D8-91A6-455E5791745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A3B31E0-0C5C-4A2C-9413-1FB64FF4F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4F38DD-0667-4E29-B562-A59988CF8B7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B8664808-8CA0-4082-839A-2B3C5A419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84F06-044A-4421-8999-B62A8011BA6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51233D9C-634A-44A4-A310-7F721E05F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DC27F0-AE75-4FD2-8FC8-1ACE740C3D5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9E1AE0CA-B576-449A-BCE7-50E55768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275366-8BFA-4C95-B87B-CAD3F3CC130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A2C70181-49DE-4064-A194-3C1ED1416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BF4D5B-139D-4673-810D-CED4B9C0BBD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7782F891-24AA-422C-8811-A0B3A1B5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551557-F3D4-4324-B2C3-35A19C5AED1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03690B2C-DBD4-4E41-B4F7-8821D0922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7B2A2E-C9E8-42DB-B797-A66A50193E7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CC2051D-8429-4736-A3D7-E224A6D2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7C4A83-8693-4580-BC9E-48A961FAFF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AC9C9666-B514-4EC0-9541-B66ED82B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D520A5-0CAF-4520-B273-307F5A4CACD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44D1A569-F12E-4D3F-BC86-72E82FE5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836FD-3EE3-439A-AE58-3499FF03D73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A660A6D5-A7F7-448C-97A8-52FBA2D1A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1EDD01-A0DC-46FB-876B-252F8FC0835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D465FE2-6269-45EC-9A5D-533FF92F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935E80-22FF-4E03-9588-5DA11D494E8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3076D4CB-A936-48AA-8F18-BB26FCC74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A6A85-CC4C-4C55-96FE-A0655934A3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85694725-3DDA-45DB-AFBF-381A759D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3B1A1-E121-4ACC-8517-47EFB76DB00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03881587-BE42-4CFA-A792-8A516D507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9007E1-3BF9-4E64-9B47-10486019C02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A1921FFB-529C-4E5E-8B6D-E6E9423C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B90492-74B2-4188-B6AC-C4B0E4B1EF0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2CA88BA1-B8F5-4AEE-BFE7-DFC3DFEC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49DA0A-338D-4953-AB5E-FFCA95083C3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D37AC84E-03E8-42E3-9F0A-238301F5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028C65-58E0-4E1C-BDDC-63E400B333D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5FDEB7F4-A2BA-44F5-B624-06492980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369678-07E0-4CDB-BA6D-ABF81F62999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278F5288-299A-4F73-9819-068AEE0B9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995A8D-67C5-411D-942E-9B01F7DCED5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081530CA-5A4A-4684-9F92-6BC36FD4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A5843E-C907-4478-AD96-F789E618A4F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0A84AD24-9F4C-4B5B-8860-502A2BA5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AFFA5A-02BB-4DD3-BEEE-30124A82979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AAD6B55-1C3A-44EB-9881-D0798016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8887AB-9DB6-418A-A0FE-29655C6C44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13FA3C3E-BF8B-495F-842C-35FF8D5D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F9E59E-D632-4A27-979F-785D716E814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2493D88-7A65-46A7-8C38-F45ABD75D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6AD0D4-4672-4FD1-A8D6-AA71C07F08B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10B7FDF9-152A-4848-9EC5-027CC54E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34868-6DE7-44FB-B026-5F209F6933A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F8A2F32C-5547-491A-A243-5E39CFB6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F00BA7-BA45-4A56-AB5E-CF48D2CBD40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64D91120-917B-45FD-B63F-37E0C7080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E83358-D462-4CE3-B632-563915E5138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16D4D49E-0310-49B4-A057-024E46DE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9F8E8E-8F67-408F-992C-BCDB522CA38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AEFBD0F0-1DA0-4B66-A510-817A4CCD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A77FA1-C276-4CA1-9CAD-FFD1FEF78DA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1CF9EE5D-C449-4F38-BB2C-58BE117DB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CAF483-F239-4C3C-93FA-F208DE6EE65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3EEC2A45-5740-4E16-9FD3-A263D520F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E40DA9-17CA-4D71-9A4B-F2A34E0358D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06D89703-BB64-4615-99DB-30FBF83C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7E28DC-8CE1-407E-BF71-D5279B9BDCC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2404203A-B979-4D80-A2DA-E97C17471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869A89-9D59-4050-9187-677FB2ED5BA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52A410EE-03F3-4952-B702-C5D576F1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E2C308-8A6E-47EB-9B74-76616C8A569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C5AF2B6-E08E-4AFC-B31C-8AD7B54B7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20D7A0-CA3D-43C8-BE21-CF8C87A71BE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4F064F2B-0BE1-4BD5-9A4D-F0001BD15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C9188E-E108-49F0-BBDC-3E7BBF25BC0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2BDA9E19-F0BD-46E1-817E-C0927F4A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9AC889-54E8-4288-9648-160F2FAA702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7F8A9522-F885-4C70-9D48-7DF5B32F0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49C04A-49C4-43D7-B2A9-28FFEFCA0DC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2DEFB1F8-9C94-42AC-9217-5B2AE2A1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2D7F6F-BE82-4E23-92F2-E81236213C6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2772D750-2CC8-46FF-8A9D-8BB25D2C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43E33A-2F40-4622-8494-E95224305F8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52773760-DF31-41A6-94C8-33C698DAD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BBCD2-D3C9-4A02-865B-297B5ED3407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B9032AC6-E63D-4970-8727-B220AE96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357E7-EF3B-4DEB-B38B-E06AD10344D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D053B42D-F3DB-44CF-B7FA-F906851FD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888218-D122-4F8A-AE3A-42F6D1ECD97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C899A962-B220-467B-8FF5-5B08B573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651D1B-01FB-4FA4-932F-C88FEC01941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8C3082E0-7C7C-4406-B147-2E00FA217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409953-DF46-4F78-9EDF-E48D3805E66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8E10D640-E0C2-4E29-8BAD-76DCE8C99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EAD0B2-4A6A-4CC5-8437-44B396ADBFC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17E1B3BE-CB39-4A40-B841-273C1B142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F94FD3-5CFA-451A-9C76-D547C0C2AF3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DBE14B7D-435F-4C25-8328-118CFFD18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F09AB0-F725-4B01-91FA-E4089B3B2E3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34637777-5BE5-435D-869E-91F67D8F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866C9A-00CB-47FB-9B95-C1A02583AE6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C78C11A1-1550-4EEE-9381-F5994CF86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5590DA-4E2B-4C82-8E91-A4C87F960D3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B2BF1774-0E67-4F8C-97D6-D07FDEC92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4CB972-8813-4773-AC8B-CDA808D20AE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A5EC8620-7AE5-4248-A3EF-0535C7C3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836351-92D1-4166-B3B8-687CF784A44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B58E6E6-B709-4200-871D-72994221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2A7DA-FB46-4C8D-9333-D3445470DF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1571490-C85D-4769-B81B-A353BB723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DEE153-38DB-4BBF-8358-C5A4856EA96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5F72A52B-789A-47DC-B37C-7F25408D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722A84-FA2F-4E16-AE9A-2614509A6A2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68C4FFE3-3AF4-48DF-8E90-9BF6714D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27F284-FF64-48CB-9442-707B066183C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3DED707-30BF-45FE-BA4F-41952A1B8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D9C26A-2ED5-42AE-9ADC-0E98845A5A5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D0964C0C-A2FC-483F-90AE-1625DD36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2F7A86-C6C5-4A70-8E64-4F04D65955A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CE3186D2-5B17-4B09-8033-23E0C7BE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F71EB6-AE0A-4E72-9D37-C92BCEFC625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74768383-C735-4174-BD1C-79BF6F5C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C0818F-8DAA-4ECE-8E7E-133CB0D06E1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46E9ABF3-441E-4445-B20E-5A0E173B8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771B9A-550D-4551-9C5A-6A1A7842B3B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CF042BEE-97B9-4BC6-AAEB-8732682A1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400EEC-17AB-4CF9-A19B-5A3FBEBA3F2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D07C55CA-23DF-430D-AEF4-DED2E269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A1B5B2-A5E4-4E6F-8B71-4D65374A649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C52128A4-C00E-4F84-89C9-C4984472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E7306E-9BA0-4971-82A8-CF5BC527830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0378BFA-BA5D-4671-A2D7-E48CCCFC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107FF4-775C-474F-8778-E922443268A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2CB1247-6265-4CE3-8BD8-474D4B042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8D199F-6ACF-488F-9A44-A938D5E5FF1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346AE46E-BD03-46FD-B7C8-E8A67856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035BB8-F284-4A6D-9FF0-FF47BAB472B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0231A4C-23AB-4318-AA6E-283FC65EB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0E51B-D305-4AF1-AB50-F33204CE53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E2434740-03B0-4C5A-805D-4946A0F4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46CE56-ABC1-45D5-AE87-563C71CA77B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DC57C26-6E0F-459A-903F-DCED1362B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AB3821-FCC1-415D-BCBF-EFBD565C2C8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A122BFA3-9567-46E3-9E66-DFDC46A3D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4D4BAE-46F8-425B-8C77-A423B7B115F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5C960C15-D4CA-48C9-BD7E-8D9942DBA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7B8BFA-B5A7-422E-ADF7-AE256E66BFA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DC1151F-FCE5-4ECC-A01B-B2A382C3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B62D6-BF65-4F21-881E-09F78DA77FA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A79E0AF7-FB48-4BB6-8925-E3D4356D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75E5B3-1A66-4DDF-9253-1A905DCC83E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776E2456-AE92-45E5-A066-2149F219C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515666-0342-44CA-9AC3-7CEAC75E629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3C91E154-C36B-4B59-9BE6-35DCC6574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2F7367-C9A8-4572-95C8-B94DD5B40A4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5EE6686B-24A0-4B78-A403-F915C3E4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20BC9-6239-43D8-A6F8-471980E2055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F5548616-E206-435F-BBA3-021A1C0C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B7F772-6703-45E5-B958-AA590252A84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866D1FB6-D24B-4562-9676-0B496282D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F26CE0-8019-4F96-8943-50847000071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18F5DC98-7D98-41DE-8098-EB924F0F7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A33B04-4482-427A-B28D-293EF4670F2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68846C07-F9F8-4D68-A262-5480EFEC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2AA56B-1724-4727-BDC9-1DA4B0F7C7D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6D73FE43-D097-4A1C-A380-39BE27AF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EECA5B-6F14-43A1-BA49-A7F25627EF2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FA343F10-95F0-44A3-8E89-0E0CEE7F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FF7B17-7314-43A1-9EE0-15CEA333BB6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B333FD77-4C93-482E-8E6C-C5F798C3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895B85-DB2C-4955-94F1-1896D04D530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258E923-46A3-4E9C-80B0-1699F3DA1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4E8263-0349-420B-B37B-0109C821263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E2DB33DA-3465-4173-B24B-63C2FB31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D4F861-291D-4D34-92EF-51B42ADA651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0981B316-7155-4527-9ECE-D19193398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9EC14C-EDB4-4D90-BB8D-F163E97D701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0DE0AC3C-6825-4BDF-AF7D-4FEB6447A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080392-EAE2-4857-96BD-2C204937E0E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A1695E94-E0FC-4986-AD63-A62C8877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66293B-A35E-43F8-833B-690934767E6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D2DB4FDA-811C-4E64-88E8-CB037173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3E48F5-366F-4805-BAE3-B3123A5E11B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F3FB5964-4C6A-4587-968B-D8561479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163C42-6AC5-4216-A72B-29CC6582762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3E15DF8A-80B6-4B17-A6BE-5814A9E5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03208F-8D0B-4525-ACF9-4BC047CBF7B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1812A49F-4C23-45C1-85CE-9AED0825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981AD-59E6-417D-87B1-D0E8C475A93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EEE2A75-DCCD-4AD7-9205-5DF8D295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AD3550-50D5-4614-AEBC-4A721FCB09C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A1336D11-6B7D-49B6-9A5E-09C9821B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7E00F9-6FE5-4104-A37E-8F1C86462B7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E2DC900A-875D-408B-874D-7C1C7345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5F813E-F8B2-49A9-874D-3A19E026257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4C263C4A-A58A-4BBB-892E-67451BC9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FE79AA-7352-4AAD-A976-83E3375B150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9309833E-E9B0-44E2-B6A8-49CFEE1A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930E7A-5920-4FC4-9841-58769F9CEE3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44EBD6C5-CBCB-4F32-B25F-7D93CFE4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7BF06D-1283-4AD6-9BDC-C149419399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893D3C9A-B38F-4FE1-9736-8988EC15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19E449-108A-4106-BB56-139FECCE7F6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97344EC3-0E6D-4633-A10C-B8445F95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B2DF96-7FE4-49D9-8EDB-FC8B8D607E8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D6A27D15-1092-44F3-B9C8-53702623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C2153B-65B1-48B7-B4A2-D394FA01D76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0EC4A845-7412-457A-9061-D1822CAE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7FAF8B-FA00-4802-BEF8-BD8B50227B9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33A9A712-2582-4649-BA6A-443E2A7F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6E465F-DAED-4170-9473-9E41E9F86BC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D6D799A7-60F9-4F77-B826-B21DF718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A70FFF-A7CF-4E3F-B204-FD9918F5201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CCCAD05B-C275-4A82-BDA9-C62CE267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86A383-DB72-47E1-B4DD-BCD451AE624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1314BCF2-0290-41AE-A346-CCD03A5ED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7833BB-B462-4A1A-A1F7-183FBC4A054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B4A194D6-2A62-4724-8435-DBEB6EBF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30AE43-862D-4004-B79F-C2D1ACB66ED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52C5FDB9-C072-4415-84C4-1F58F2BB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D121E5-BF3D-4209-AEA5-422129F1FA3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B3297D7D-48C0-4D0D-B697-A1B90D7D2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450781-7F39-4530-BA5F-0296C6666E2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3FA505D0-C1D8-475B-B9C1-827A5113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CC7268-5ACF-4BEB-95E0-76C6362FADF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A79FBC34-4913-4553-BA3F-43EC3541D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2704D1-7960-4D9D-A187-770CD3DCCC7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A800BEE4-A3FE-4D55-A09B-8A129BDB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11C70A-E726-440A-89FF-D3E32EBF053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EDFC9F21-43E0-4087-8763-9FA22D230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8857A8-7E03-4375-9FA9-B49E12CC1AA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0D13C52E-216B-40B8-A88D-8DF4A29D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676636-0D85-474D-AB2E-E17A446ED24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F0F14D1E-B3CE-4C87-80CD-FF7E72E6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0FEB3B-0AE7-4E46-B042-8C86FAD4D0F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1CF21753-C165-4490-B963-6EF89EC26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E38D98-E45D-42B0-AEFA-8256AAA953F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B0E6AD28-1206-4DA0-8CC3-961DDF146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2A7365-2D45-422C-A618-1AC560214F6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64775A65-3CCE-403D-A217-A694E29D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0F2768-D9BB-41A7-B28A-F707332187E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3089C208-066D-4629-974E-2CF5CDFFD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042A72-E0A5-4A2C-9D5C-10E9DB581C1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4C4BE8F1-547D-4AD7-A6F3-FFE12C4F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45C4AB-FB6E-4D2C-8B1A-4192ECFF18A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33D095AA-4585-4493-80B5-7EB622D8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458E10-1243-4A60-8A4B-87226728CCE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8D386C37-A573-46D9-9AD7-6F09FEFC0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5C1A24-E6DD-4BE6-B94D-A8EC920275D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9DEF5224-DC92-41EE-8BD7-5077B2F9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485777-FFF0-4B29-87FD-53ABCB00CB8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37967A0B-50D9-4675-A1A4-A5823241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E22EAF-9AF1-4CCA-864D-7F1A5A9C22C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EF81FB93-6C2C-472E-A663-3CE82377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CC6CF2-8C91-491B-8FD1-0EA26FC7816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B1733C82-3D69-46A7-9AEC-4480068E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983990-F99B-429D-AA10-10C1446CAC8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C97027A5-FD7A-4F38-A152-0F3FC72E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579933-8580-41AE-BF23-732A456E2E0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B7D9BF20-C261-4B1C-AD69-CEF59837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A9B3A-0F50-47FD-B07B-5EE67405A3C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058E8EA8-94A6-47FF-A051-DE1B5F3C8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C26B2A-3D21-4BF8-A9CF-D1CAAF3F389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31095574-9AC3-4426-BBD6-D047B08D2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1061A4-CE5A-487C-AC28-51B04DB1B7E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4C8460C-A572-4CD9-B6B7-1CB0B7F95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EBC15D-8D32-42CE-9399-D677088A3F5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89D3BFC9-A200-412E-B1A1-509C2B91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BD0E53-59A0-4BB8-AF97-2341CB8B764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CF7DBE0-C230-4946-9A3E-CED2E9C9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C4C424-452E-4308-B8D1-74E9D258573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6E7111E-4447-48F0-8E85-05BE537C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2A6860-892A-496D-B0E6-4647F1ECF66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C99896D-B0B0-4740-B567-E2491D6E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9B215A-50D3-4E00-B7C3-B43D19F0EFA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A75CC74A-EE24-4B6C-A5A8-056156211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6880F4-5CBA-482F-9C92-67532AE8FDD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CAAC334-8C7A-4A66-A701-90E80743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BF191E-7997-4BFE-9367-C893267C412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10E18E4C-411E-4800-81E9-8F472281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ED6938-D0D2-4C08-9CF6-ECA269F7242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9AA7BD06-783C-4835-ADC2-0B8E57C72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F11C76-1EEE-4198-A443-51D7DCC90F0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36F23E74-288D-4BFD-AB6C-42C095B1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7DD6DE-4517-47F4-A646-6E709D69E4A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28777A9E-C145-470D-B556-DC8BEEBB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4F8E1F-D143-4B0F-8F7B-0F54290A83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3595D8A-8EDF-4FD3-95B6-D0A76F53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269C40-F6D4-4291-AED0-1C431B68EBC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B0C2BD0-1B0F-4471-AE44-555120CF7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01FC86-60D4-4D38-A110-6EEB981484C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2DC8D9A5-DAF8-4639-81EE-08F801F97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AC76F7-BFCE-423A-9A0B-67918689B66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5A6A2D9C-CFE2-42DB-A552-688A932BB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B1B2AD-6C52-4FEA-B675-99356BBCF71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19FA72FD-FCF6-41A2-ADF1-428A9D664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7A89B4-1E49-4207-954C-81F5B05D4AA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204581EB-FF1C-4E9E-8A09-906525EE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9B854B-83AF-4E33-93CE-4D9AFE0076E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813A7921-9EA4-4D15-A4EE-F7831F5A9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4E4A49-CA83-4F1D-8202-B3B5A937E7B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2202C7ED-0563-4F03-9CBC-94B169B7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54325C-A25E-4DA7-A0BC-2E6EA91527F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1301DA7-A912-4EA5-B1C8-2254D159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C9F8AD-0B1C-4ED2-80EE-E936977F39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E2CB0EF3-7D7B-42A3-BD41-96BF5661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C0740D-2457-450D-8BC4-A405489CFDB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09DC6FC-EE1D-4E66-A393-868FEB55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C79D86-919B-4B86-93D0-0658F057DCD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FA6F7F10-B9C9-43AA-A0BC-999B7805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9AA888-2010-45EF-8B66-CEE28B5A35A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41937F35-4824-49BB-AC11-1C6CE859F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227B36-A56E-43B0-ABCA-38621CD6DD8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492C6095-7BFC-46EF-AB76-CE98A30E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E37CE7-3ECE-4D4D-9470-F0F44D50E0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6A2954D-9DA8-4E38-AC0E-85F7D4903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13D616-2089-4676-9AEC-68035A5F423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C3985EB2-BA23-41E7-8DED-933072DA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FB40F4-2B8E-4F1F-B7C9-CDF317DD211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E5826C6A-C85E-48EF-A778-4F2504A0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A6AC29-66ED-4B03-AD42-8748A97A982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0A263C7F-4262-4502-870E-97B75BF6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EB21BB-E20B-4287-B6CF-CE7180B21B9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4CB85A96-C451-4E4E-BA19-415F7DF6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91B4FD-CCD0-4AEA-B494-3C4AAE3DB38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76630A81-9161-461F-B5F0-72FF673B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E858D6-4BB3-4675-9CF5-D1AF259327D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8B1632D6-6C6F-4F05-B308-3794EE0BE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7EC580-B7D5-4602-B639-3AD2E863C9F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121B826B-C769-4D87-9418-9F783423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33BF81-2234-4014-B80A-049EFEBA365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EA3B5001-A639-4671-9D01-73ACCD61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C5FC51-20FF-4BC5-9B75-6625181EF4B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2BF69ECE-2B3B-475B-838E-A8BEB0283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15787B-33CC-4193-9B20-538BDFBBC4D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1A70BDC-CC48-4D65-99FE-C7AD39C5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3AC2E8-94C7-4981-805E-BFACAB64819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6B833729-4F01-4DB2-88BC-58889250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78C0C8-C137-4FAE-9A4C-4716836115F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9785C4B0-DB39-4390-A117-BA466665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339FE9-3E5E-4605-9615-4FC5EE81A5F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CA9FFE1F-9F8F-42BF-8A94-CBDC4538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8C877C-3941-487C-AE21-16EEB8A975F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9382792A-59DF-4340-AEDD-8E678A9F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90EE06-865F-42C3-B974-F572C6CAFF9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72BAF64E-2E32-48F4-8743-9CDBD0609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8B521-3740-43C3-B2C4-98E0BBB69F3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355AD0EB-8E81-4F67-9AB5-8E3672B4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1D9CC5-A328-4058-A576-57431C93A58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F65F7A46-8E82-4E80-B7D7-87FD3282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C445AA-1007-4538-A617-D68656FC186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A2B25361-510C-4C92-B72B-927E7D4F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248A56-DCA9-4EF3-A61C-7CFC020A462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C7FE0949-E36A-494E-89EA-1F7E3560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1FDA78-D848-43EA-A85F-252BBE1C223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53531754-0E42-4CD5-B6A7-ED90C402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708679-9EB7-4272-8D9D-338051AD63A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BD5386E9-6C7D-4508-BF4B-18F52E43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8785E1-BF37-47A3-908F-908F8F7EE3A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FFDBED2B-3A4B-4616-B7D0-F50623BA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16B360-EDE1-48FD-9EB1-1AD4BDC5A36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B607FC51-963E-4D40-824E-4C86EC2D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89ACC8-78B0-4095-BA8D-A94FA16C195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8DBD5275-5FC3-4424-BC12-81F657507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60AE94-EE3E-4DCC-BE37-BD828593868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0523093B-B8A5-40EA-ABD3-CAE7B7665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A396-11E7-40FA-B83C-34561C12ED6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9903C13E-3804-4F43-861C-CDFFE9B31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A43F45-E92A-4AA6-8A89-63E8719A5AE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921DBE4D-842B-4D47-9B0C-047AE1E36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4451A0-ECA5-4261-9DD1-165E31FD119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241B0AC4-67EB-43CB-A743-6ADD0CBC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76602A-660F-4984-BCCB-50D70DF2600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709DFDD3-3A11-4BEF-95B4-4E0B3995E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0330F1-E390-40EA-BE9F-9C84F883A39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768436E4-B6D3-4B3B-9FE3-967BCCE8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EB6E8A-DC62-4729-AC90-6A05254AE4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028CE05D-4E50-43EB-BF20-02E207A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A6C34F-CCD7-4E9B-8A7A-184E5A7C073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A35273F2-4E25-4397-89D6-C8F59935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36495A-2CFC-4613-9ECD-4CF0F203F2F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93466138-F0E0-4E7C-BC0B-59344EAD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7A4422-0B25-41A5-9403-EB9D0C59BBE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063178FD-4B60-4F81-9F5F-669397E6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02FD0D-7DF1-43A1-BD1F-B716B0A5C7A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7DF0CFB9-FEDF-406F-9B56-94FC431E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669F9E-4D07-4C45-9EB2-E0C8C1B0318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B4AFE63C-373D-41DF-A159-D58FD96E6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5B1320-D61F-4C5F-8473-6213B1CFCF9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0D239630-FD69-4768-A279-BAD15B8B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46C278-2A96-4C9E-B095-E572A7365C4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B9EC7957-7AFF-4D5D-B4CF-6629EF185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11C2E5-4CE8-459A-A1D4-1434A179F78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7939E04B-5D1F-4EF7-AD2A-9F4E6DE8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E0E796-0867-4229-AE37-411C39A211C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30AB47D6-44F5-42CC-B40D-65372501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C04B11-F003-4F51-9057-D432E70FF35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1D4CEACA-6ACC-47F1-991F-6DDF9C76B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D76FA5-D552-4699-B7DD-84AE0DCE8FB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F89EEFF9-4BD9-4A51-9B84-04094D91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1AE944-D697-4579-B46F-E5902A76B9C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E5FF608C-9837-488D-9130-A585EFF7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2CB771-F3CA-471F-BF3C-E5C46DD368C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9150B2FF-6480-4C14-8897-0122EFF8D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EEBCC-58D8-45DD-8998-979836FBD39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AAB0E899-2D6B-45BD-8BC1-5FB35B5A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2A2EF4-AE39-4637-A6D7-B47ABDC1B21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57ABC427-83FE-404C-8C7D-04F392A0E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ED1F3F-76E0-4685-BF27-87916DF75C3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3624ECBE-5823-47A6-A41C-D3CF96B3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9DFE15-C845-43B1-A1F8-E68D8A26070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DC015B4F-6F20-4440-8A28-7E69CC70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7F8227-137F-4138-8B88-4529812BB25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E0BB25A9-CF8C-42C9-8655-D5550E7B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62F122-0F2F-4632-926C-AFE79E7FAC0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FCCCAF12-5D5A-4285-9479-D5009596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032A01-DE7F-4DCD-B8B3-94A25E15A8F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916B3A75-E3F6-42DE-8DDA-35C79283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A2839F-B33B-41F5-8005-89A92B5951C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7731BEF5-1945-4399-8B34-B03DBC7B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629F22-690C-469F-941D-FF3D7D05773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342C7E60-115F-4B2D-9A6E-F08C32E3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DD955C-B08C-48CE-8BFB-BD43900D60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748458D0-CBB1-4A3E-9562-BF9EF20DF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2424BC-8A7D-4B02-B6C2-4D9DEB579FC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2E2AB6F-C3CA-4909-8C1D-D6217369A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67C176-7E96-4CC9-93CF-CA677C7FE46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2E36702-693F-4CC6-B902-8A194459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9E7A0F-525F-407A-ACA4-0D4C3E2A31A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3F30AAB6-08BA-479F-938A-EB5E67E3F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567214-8DDB-4255-A338-5354A7616AB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0D0938B7-FF5B-4532-90D4-A3BA35E0B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489573-49D5-4C33-A7BD-1FCED744602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9BDF6E5-9EB0-4915-A776-FEE24EF68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BDE58F-934C-4525-8310-8CCDA6C2C88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87E2178B-E723-4775-A0E5-550569B22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1F5476-4444-43D5-86FE-96ED607457E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FBBAA8DC-8C14-4D4F-BD8C-54F6B758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E38AF6-A19E-47D4-8B9B-F34E879AE57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3136C960-895D-4E12-9B09-F997B2DCD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7445A2-0DE9-4CD1-BCEB-BA022F4582E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91F549F3-9B97-47FD-8D2D-5A01249A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D9555A-03AB-44E0-8572-03D812B3C67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644FA039-1544-4D0F-B9E4-3EFC52AA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F0DF28-3579-4B61-83E2-04D6C035B2B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5D11E9F6-D59F-4285-9CD7-77FDDEB3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9010E1-05E0-4194-B90D-02FC17F8DC3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FB3DFA21-3641-4F5F-B417-96F3E8FF2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778D6-7826-4A50-869E-E5EA29454E1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F36D3617-0F58-4182-8A03-3692D61F7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2BD1B5-AF15-4D5B-9F66-913065F51D7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B42B9125-8B55-4B08-8AB9-B48D477D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C17290-3738-47A0-BB7B-C93710CDBAA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0D1A2EDA-A2E3-48DE-B4B7-08C804476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F8983A-90E8-4C39-BBDF-7AF4DE870CF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59C6C191-1448-42D4-A375-97AEF0D3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FAED1-DFB8-4034-98A0-A0A7B020213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EBD2DEAC-9964-4266-97FF-917952F6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E69127-DE4A-4068-B061-532509081C4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653BD5F2-46A6-486B-B0AE-7A61205D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33DEB-3F62-41D9-91B4-0823F5A3529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E48E97B6-EFA6-4803-A22B-62889239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A0C376-FBB0-4944-BBF9-353705B2612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5F1D6623-44F2-45B2-8C24-B13A7BC9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9ED0F2-9D06-4ABD-94F3-7555992CC83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C5BE41A-84DC-4B87-AC3A-C8FCBA751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077082-668D-4BD1-BC86-411B00D655F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36A4B550-7F3C-463D-ACBD-FC97D55A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F5C31E-4291-4D21-B055-8C4F96E63F2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8743B91A-798E-497C-ABC0-13A0F83E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BB754F-3D77-4E5D-9293-2D8F2467F44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32B6AA68-4378-4E3B-83C5-5559C675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2386F4-63AF-4746-9AA2-A6CADF8F2E6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05FDCC6B-8E78-4EE4-B9FA-D735A437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3BCF80-6D26-4EFF-A196-4F297AF4613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9F916C26-6563-4FF8-909D-8A40ACA7E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05AC9-5F2E-4925-BEB1-62B6F8914EC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3EF8B41B-C4AE-4D22-8D4B-6D45316A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CA15D-8DC2-4854-93F8-49E5B086D7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7DAA197D-DACE-4E64-9429-FA99D0337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1AC31C-01CC-4C5C-97C5-3DB60AAA94E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F926D5F6-3C00-4AA2-ADAD-1FA6E81DE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F602CA-0DE4-4CAE-BA0A-7CB53D4B206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963481D2-5EAE-4F0E-8CCC-59A32AD3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382F1B-749F-48C3-A723-2D9B82751E2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BD4CF4D5-D627-4ABD-AE69-BEE79C735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5D6284-4584-4AE5-A1F3-E26DEB0CC39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BC2514EA-DCFF-497A-8886-3AB784F2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E06CA3-5A50-4C3C-8754-FDA575B1189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B6581303-1B87-4B36-A268-4AD15CA0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8B216A-9804-44ED-8726-8F82A524D44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0CB4C663-FFB7-4B16-857F-BE6CFBB23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AF3473-F026-4556-8632-744F4130A27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148FDF04-0618-4569-8178-BAB00B34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D20B6C-266D-46FD-8326-6DD020E6605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0EB764D9-1922-49AB-B753-00D644CB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A6F924-3835-49EC-B275-88FCF6EF63D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2F1EDB8E-1EC3-4DC8-935C-26413C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A297A3-08A9-4C52-A468-ECE508B2F21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E5AF2381-4A09-409E-9B33-88F52C12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3864A-EBCD-4F8B-BDD0-3A84A42C24A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634B43F6-3D41-4DCB-BC98-F8D666D01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1E1133-C1A7-4BDC-A6BF-C3A6E60DD95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8291979F-374A-4ABD-8438-94E05D21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A80B17-2C34-4B51-AA58-E1D2C6DFFD9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7737A563-802D-4B3C-B672-2C46CA00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712C08-D10C-46C3-A25C-C6A6D415CEC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C14F6F67-48A9-4A1D-B74C-63366E2E4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1C5C24-C810-4EE8-A20D-608874DCC5F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B36145E8-F3B7-4A87-A213-7F63D0D5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F4AF81-46CD-45B0-AB45-EB54F1FA1FE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BAF822DE-3684-42E8-8ABD-5B279762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12145F-B9DD-4A45-8E26-095D6948B86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001A39C9-FAE3-44C3-94FE-E7CD77E0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C0B7BF-8922-49C2-B33F-F4EF9A9EF64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F95E6DEF-7E95-435F-8210-80D81B03B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47AECB-9A93-431C-B1D3-118FBFA52C2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17D53EE1-D3E9-4C68-81C8-1851F0B59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CF1850-EA03-45DC-8C22-E595A58BA20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DFBCF415-D2BE-4396-A67E-FE4984EA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C14FD7-FEF2-4607-8713-53B744BCA71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5DE26240-C9F6-4815-9AB3-0C09BA1DC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910BC-B46C-4C03-8A61-E54C48BC85F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CFCB6647-1CBB-4625-8F3B-7476F9D37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957A8-7D51-4D7A-9D71-5D87673C860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4185B92E-7A34-431B-88A6-7F7F74772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49B22C-0BCB-46D2-857D-7AE58DEB332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BE3B8674-6A03-4E36-8981-0DC93C49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D4577A-1B09-4DC6-9886-B01076BC0BE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4EDCE4EF-70FD-4F39-A21E-6AB54D35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21B9DA-FFDA-40D5-B28F-73DB435414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D18A206C-2EA5-47C4-93F6-FFBE237A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78905C-357A-47D2-8A6E-FB4D4688C49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1D2C9810-3F48-4465-A4B3-F65AEB85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5282E2-B1F8-47B2-AEFA-B608C187ABE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40FC00D0-3CD9-44E0-8C71-183F45AD2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A4CCE2-0EF0-4EA4-948E-6794CF98702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2BB80F50-D18F-4D02-AEDC-09694792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C7D0B9-74D1-48A2-8446-43AEC0AD5AE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9742648-E84F-4EA1-983A-F750CC862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E53FD5-D99B-400D-8074-CA9A30B206B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16537164-CA20-4B12-ABB6-F14614239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088A4C-0755-43B0-9B5C-D28960D7E38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27A920DA-AB0D-4578-BEF9-61679495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CA6102-B5AF-44F9-B026-3B22C181BBE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8D2A5EDB-AD48-41A6-9B45-0B15DAFF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142B31-7626-447B-BD8F-79478C7E151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20355752-9096-4C19-ADED-785F2411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FA7EC2-115F-4EF5-BDBE-2988BEA1EBA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27D1A436-D463-4F1C-8BF0-65CFA757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1C188-DB66-4054-95BA-A77677ECCFF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06DD3726-C9DC-4B4F-ADC2-3CDE4853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DCF266-0792-47E3-BDA9-F10B0550375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114A82BA-7365-4023-BCFD-063A540CC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AAB0D8-68CD-4C5F-A25D-289A4544BE0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0B9134BB-02D7-45B8-B728-86360D941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E18EE0-CE45-4170-96AB-0D2DC03EF8B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A20962BD-F11B-419A-B54E-69C956A9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1BD3FE-120F-454C-9574-37EEF203584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9F750B00-15E3-442B-A373-38757404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F2DB31-BD88-4B17-B24B-42BBD0AD477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4F555D0A-CDFA-40C1-B87A-2230E7D71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160982-B8FC-4EA3-A308-2953984FFF9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CEFB674E-2EE4-43DA-A0CE-94827CC44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BD1773-814F-44C4-B4B4-2395C6E9CC1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159BE41F-93D9-4BBE-A66D-8D3C084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C15587-667E-4822-8B4C-4470C39C3F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345B87AE-72FA-4038-93A0-C2178646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32A90A-F02C-4EC2-92C9-C552A308E41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6B6BBFD2-7D1A-4EF7-8A28-782907634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8B974C-AAA1-477A-9799-B1F6110CBEF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4C01FC98-E1E5-49A5-A352-312E512E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B7EE56-D4B0-46A0-86F2-F1E818F171B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54013C93-B8E1-4D08-BE2B-7F7D1BA7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CE5FE6-4868-475D-8AAC-EF125D02366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2124B799-DD0C-4631-BF9C-62C4FE35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C406EF-2DA9-4B5F-9CD1-EC78B0265EE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6508FE36-6D27-4FBF-80CF-05640D15F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5F090A-5F20-49B8-9620-A52571F7F16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B2E03C7A-2D29-40FA-9169-1F175C11E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21B00D-F9EC-4012-944E-D2334E341E2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CA29E151-FBD9-49D4-A69A-9BC174CE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9DCA59-29C2-4F8A-ADC9-D0D2F79B695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C1ECE4B7-1C94-49EC-8212-F3D0C7E1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CCECDF-3A0A-49D3-95A2-9F0A1DAA9AA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85F4A3E4-AFDF-43A0-A306-1AD737BD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E18CCF-DC4A-43BF-A337-C0FCA9FC93A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83C13C7-CBAC-443E-A5AA-61757014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CFB46F-D1F4-4FF7-AA69-A864920066D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509EE1A-73DA-4F47-83C9-0FEDBD33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623C98-3E78-427B-BD6E-0593CFC6966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1589040-598F-485C-BB2E-736C90DE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671A24-4120-4A60-84D6-42BA0ABA3C2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AC2D0288-E875-47DD-9C6B-95FD4E90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A48A1B-F339-4137-A7EB-62BD0D2147B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1876643C-1F8C-4BD4-A012-CCCF2BF6F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5C0455-2EEE-4BC0-B9B3-02A2769064F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B029E79B-F90D-416D-A68A-ABA01F026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C5C2D6-F5DD-46CE-B956-A8C7FBD0577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6A96630C-B40A-4F60-8F19-E4DC97FF7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DF655D-8CB8-4DC8-9F76-7EDBC72C787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4C64F56-F90C-4F40-8DD5-BF8E9D4C0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FCFFE9-B4BC-48C4-8CA3-6200848C36F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5233FE3C-80B4-450E-9F83-1C305C46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F05FD9-B3A9-4CAA-A01B-02B02AB92EE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0321A48D-C4D9-42FD-B774-9E4B52F45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CF4DDA-4AF5-4E79-9742-27A5DE91E11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32C910B3-6E54-4FDC-A1E4-ABF6E209D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E00E5E-72FE-4F85-B10F-9EF26FFED55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0018F69-914A-4C39-88D5-1BD51EBA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7E329F-FC41-4DDE-B565-7DD3C083130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A1CA3D08-F5C0-45F3-A6B7-F94FC3817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58ED36-64FE-4F2D-9E25-82CE37A125E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CFD6DA11-F7F0-416F-BBF2-FBE6DA3D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9C438F-D26E-4001-BE16-B3E204E8DAB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7BE4E1BF-67CD-48CF-BFE3-5EB86C46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45372B-EEFD-468A-8A4A-D4BE1E71E43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3F3E8D39-0975-4ED0-B0FC-0B2FC1AA4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5905A3-4B45-48CF-85EF-7A163F49714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76339ABA-E276-4001-BCBA-8DB0765D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E84124-826E-4B8B-82EA-B4A22A3DC8B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A109914-B4C2-4FE6-9474-4130A473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9EDA01-B245-4AC9-BDC5-CE309A4F938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53A22214-3E6C-4342-B605-41E8EAAE3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F9A1-DB2E-4F0A-98A6-A0BEDBE1727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984FCAF3-1F61-49BF-9B29-5A0948BA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FF7DBE-622B-48F9-8F72-4C7A2E0DA04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1C3F678-6262-4A14-9D41-DDED3189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BC0C2B-150A-4875-A169-96951C1944F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9E9D4C0B-7CFD-4B29-92BD-992D360A1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2D7C79-67B8-41BB-B951-5E1995D4512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62A0DA67-1E07-4B6D-AC23-1037CFAA2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B5F0E-B0F6-4F5A-94F1-3D7F239357E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8D88F340-C6FE-4540-97B7-58E9B61D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F66834-F864-4EE2-A7FF-0E1E5A48B6B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8C904F3A-DA37-43BC-B3B2-268CE492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C1D31B-1B26-4FD6-9101-B6600C16733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760B19F6-3694-48F1-8B0B-BDD1FACD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B06134-3EB5-4573-9FA8-2B3C2ACC6C2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7F8B4569-A1FB-42CD-BD8D-87323FA6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C3059B-A303-47CF-A1C9-BEB2346102E1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0A134926-6D85-4307-81FA-345BAA81B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ED8F27-DD90-43C2-883D-4D7B8C44376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5FB1018C-446B-4991-9902-2925B1B91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95BC95-3A71-42BA-8C90-BCBD98874B4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26050EF1-D4BA-4FC3-936B-6663432F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9B79C-B25A-45C8-90CC-3D9983C27FA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CC9EEAF0-66C5-48DE-BA22-5F09A8408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B0B105-F9BC-4143-94E6-EC8B3BA2574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C830B75B-BB69-46A0-BDBC-5F05C0A61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0FFA95-8E74-4340-BD2B-4A4B7A4C30A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C14762D9-1AF2-4D7D-B370-8D1E225A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5F0751-14E5-4A56-84E1-841865818DC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4CC69C6F-5BB3-4E6F-9969-E1FEA4BD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AF6B08-7813-420D-BBE3-FE1399BCCFF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05413FF0-C3A2-4583-8DF8-C1DD2BB1E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E367E4-CE98-4197-8ADE-1621311ECB9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CF7D5DFC-31DC-478C-A56D-1FA8B07F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F7F24D-C494-4BFA-85C1-13342C48532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FFBE1E1A-D0B0-46FF-9F09-976498994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B4AE3D-CF8E-4014-AA79-7831DCA574C2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A23CE3B4-BA67-42C8-97B1-8DA82E5B7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7B250E-7F5C-483C-8AF6-A2A8483BBAB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58057B10-5B54-49EB-AFBB-BE3BE265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FE40B8-658D-4816-8DC7-B765AF79FCD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B6DA23C5-3D0A-44E8-826D-B5097C42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CDAFE8-4767-44CE-B9ED-3ECC57B1DE0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6AFA8515-A893-428F-8331-D141BEA5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5B0DAC-DB7D-493D-9520-99ED6465510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0625775B-FC89-47F1-9414-C4561A03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FDA97B-A36B-4613-88B8-8220788D3BD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43AB5BA5-4330-4E5A-B0BE-149E2640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DA77CF-0B07-4CF1-BB37-EB29FA94B8C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6A694687-58CC-46C4-9D98-4AA0EDB7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51BEC6-E08C-41EC-89DF-77157218F8F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6763DF9D-4375-416B-864C-BFA43CEC2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0CE24-5BF1-4BF6-9FA3-E59EB9B60B6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DD1F9DBE-0234-4FAC-851F-5E2182999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E127D-F94D-46D8-8EA1-F7B36E200D6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9AC1F2AD-17EF-4E02-A720-0A0B4B19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78FE26-E40C-41B0-8D6A-19A22FEBFBC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68D55A5-848B-444A-9955-3B49D855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4C6FE8-0237-498C-A198-F10FBBDF35C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7102D6B5-8AE2-40EE-AD81-CEE08499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777329-A58E-4450-B4E6-432E52D3499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A5102D92-550A-4F7C-866F-A85E6AA9B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B6FFD8-0F02-48E5-B260-25AAC57FBF9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9CCB523A-1634-4FB3-9427-87FC2996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532F81-631B-4EDA-97BA-B362C02CD41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07E28052-A262-4DE0-BCE0-B147288F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8AA8F4-7380-43C2-9FE4-5E03831475B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135F4069-5E34-46C4-A92F-B2A043D1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807362-D4E6-4CCD-AF8A-E4CEDA247DD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63CAEFCD-0574-495B-B132-C4920729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40B06A-5CDD-4410-8722-1D7BF64C1D39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69FB4293-F9A3-4CE3-B139-7BCA51FF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BEFD7B-79E7-4D8C-BC4C-8B0122B8ECD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FFD12185-34D4-4D40-8027-A063129E1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FA50D3-89F8-4200-B98E-5F9CA2B4BB9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5E7B35E6-A8E6-4004-AAD5-E47ED97AD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77D546-7CFC-418F-A53E-4D90D3EBB8E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2F601A60-6B57-4765-A657-60181D3BF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312D38-7021-4E13-B825-991C8EBAB07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76E44998-04AB-48A0-8080-586CAAAA4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953B83-B058-455E-857F-109910E16CF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6689A01F-A3F4-4D03-A7B7-3150DD5B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87B466-D597-4E01-8E35-B971CE14B6C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65AEB562-DE0E-4D7E-89C6-37965F9B0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8CD3C5-F2C3-4AB6-B583-6A4A5803CA0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11103D52-9E07-48CD-969E-86C4EDEA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9EB323-9E5B-43F2-8F0A-BE750BF8875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EEBCD0AB-E21A-4B6E-94C7-8373C310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6667DA-F0BB-4B2D-9CEF-C8CCBBBD7C9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89CA337F-C6EF-463D-A3FE-B13B7DD8C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70C74-7224-497A-8EE0-32C600B9DE7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FEAB7CEB-89DE-4ECE-B60B-69B694D65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0827A8-506F-458D-99E6-19A145A5324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455E88F3-3161-4019-B882-68AE487E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85F00F-EF0A-421D-88DC-CE41BD1CC410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CD0DC9A8-E45E-49A6-9F3C-AEEDD8560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34284B-6532-4919-AE3A-B327E3CD310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B4B19592-715B-4E9A-BC1C-57E2D4D5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0118F-EB1F-4ADA-A23B-0CA03E520FE7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90CF485F-D0ED-4B70-84A3-208CFD08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ED4046-4F99-4AEC-8AA6-72DEE35DC405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A33FA5A0-DE48-411D-870A-10EDDA27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7B44FA-962B-469B-AFAC-8DE1A4FD3A2C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E24957FB-34C0-4140-BFE9-B397C4D0A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666F21-0FE3-4F55-8E62-93C190FE729E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90EE9A02-BD2B-407B-B268-5B7DE949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788551-3E38-4C7D-8791-AEA83B8855DD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17BD776D-5FED-43EE-95A9-96AAF25A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D10433-CFEC-4BB9-A1AB-F3F7A5951F1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AA1C3379-DAF6-4F54-8F77-5ADCB8044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FDBE14-2F9B-484A-BD91-78AFADD4A2E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1D31C5E9-A374-44F9-84FD-FCDE825A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6984FA-931F-449D-AF76-4488640E147B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C080F9A8-A308-4630-8B43-659699A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1EE6D6-897C-4DD3-A941-A3C660F20DA8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2EE4759C-34D9-4DC9-8287-260CD348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70C507-F296-4C38-92DF-CE1D5F860A26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0F75081B-D812-4265-A17B-AB31A1DC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23A712-30BC-4A98-922A-2130F83DD293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707149C0-6400-465E-8889-F1CE8451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4FCF04-12C7-4FAD-A0B2-6DE5B53B42DA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2484ABE6-92F7-4426-824F-390D947F4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7EE643-F8C0-4DD4-8FF9-8C25F5CBCE34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EF2B7708-D5EB-47D7-A9DC-B75C7FA10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E1C522-88A7-4994-9244-193F0CAA77CF}"/>
            </a:ext>
          </a:extLst>
        </xdr:cNvPr>
        <xdr:cNvSpPr/>
      </xdr:nvSpPr>
      <xdr:spPr>
        <a:xfrm>
          <a:off x="137826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4" name="Picture 163" descr="DFC logo">
          <a:extLst>
            <a:ext uri="{FF2B5EF4-FFF2-40B4-BE49-F238E27FC236}">
              <a16:creationId xmlns:a16="http://schemas.microsoft.com/office/drawing/2014/main" id="{F7E968F2-5FD6-4B39-85BB-674E71D8C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5" name="Rounded 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A750C8-EA41-46BC-8F32-968E92ED5A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00B04F4-F788-49E8-9DC3-393ED693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86C0E1-50EB-4200-8435-02FEAB8407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8772337-63DC-4930-A05D-AFE890987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E642F8-C1C3-483B-BFAC-0C3C2BE1D7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DD1A219-5515-4802-B749-DAF59ACE0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95AE40-D5E7-4A97-832F-4E3745D99F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DB6A8694-33A9-4C3A-9DAF-5051BD983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681230-4984-44C9-8164-A28C27098E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3E017AA-052E-40A9-BE5C-1C86E506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51F6A1-0390-4583-B897-FE256110B5F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283EB4C9-D6D8-48D2-9104-2C0484B0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5DB79-E7C1-4AF0-98BE-F1EFFC07BA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DF73E6F0-3B96-4A0F-8D57-88A707062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58507F-9265-425B-ACC1-1B3A55BD62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89BEF7A0-0F6A-4C5C-A6A6-0B35F2CC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0EEED4-CF14-44C4-AD9B-5F7B7E3050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DF715AB7-7509-445C-9187-07C9102BA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90C7CA-E4F5-4D73-9F5A-FA829448A6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33F3AB84-4554-4744-ABC1-09855A39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69DBCF-054E-4DCD-897E-D9493F8B07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82A52882-598A-499E-8248-C2316EA9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DAC6EA-B75F-4ED8-9808-7191A6218A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26C2CE75-A29B-43A1-B2E1-68D75A9A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1DFE8F-137C-4807-9F81-9A66DFECCD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58AEFE9E-959D-4319-9B9D-0B90EEB9B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11A35E-8825-4FA0-B22D-E01DE57697A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3D93C819-87FD-4A7D-AB70-32FCEBCF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D0DF19-94D9-4BBE-B855-70563D006C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25475358-4C71-425B-96F1-C645C3F4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B8A2D7-0DD6-4DC8-AD8E-627D174DC5E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D71D0332-0BD8-45E2-A462-E8296D602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1B9953-F668-4D64-AA0F-AD72958C4D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B7B9D823-E11A-4AE2-849E-B4F194C0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22606A-AA1B-47E7-AA07-3E72B4BEC43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76EA5087-5631-4428-8223-AABF98DA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3AF160-D737-4361-8970-EA581E8C18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1ED0AFC2-8AC8-435F-A0FD-D33C24B84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3464D-4FA5-4E2B-836C-97BDAA4FDC6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79FD7403-7699-4B30-BB1D-C2805939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6BA95A-67FF-449A-8D51-8D9DBA251E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B7CB989A-D9A6-4B73-B6A3-C84AAE9CF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B8B5E-6B8A-4542-A75B-CF4B0355E9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6F1AB7F3-CAF6-4118-B02D-69F40CE0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B58C71-3BEF-4FD0-8B19-2112627C8E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4FC39AB1-BAF6-40C5-A17B-DE929DABE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B86102-8C2C-4289-B5EC-37B06F0B39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90BCDFC5-2CE3-40C4-98FE-846924B3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A56E9E-8BD3-4E20-BAFC-BEC1BDEDF8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96FBBBA3-92D1-416E-9405-CB82330EF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AD6050-AF91-4A51-B61E-3CDA05C4CF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29FC0FB-A49A-4CFB-9007-FDA6FAE5C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3CFEED-6DE7-4F07-B08C-C3505B52FF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0C2EC4CB-5BAE-48F3-9CF9-2C848FC5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4BE27D-8918-47D1-9A8F-825EC1478E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384AED82-CC77-4B80-B740-5D193F7E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FF5142-D397-49EC-9F19-9C51DFC59B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2818BFAC-5037-4F88-AA63-98228736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DF414-E4B3-4BF3-9869-0B30EF00B1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43BCE053-B1B8-407F-91A2-1083FC91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156551-E81D-48B2-B187-112BE1BB3A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22A0DAC7-D00E-4A86-BB6D-A2197294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38AEDB-7731-4B23-A821-0FAC271803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D3ECA589-8371-48D9-9B38-70005FD29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D5AEA-8F86-4EA5-905C-84A82FAB19C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79F9A7DD-1C8C-419A-8854-759B7819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1CD2A3-1DC2-44EF-BED3-AA8F19DD077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70DA516E-B1E2-43A0-990F-1942A756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45CB4C-512F-41E5-A48D-7D934BEA05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9FB14EA3-2B6E-4CF1-88B3-EB5C28E68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812B2C-8722-4665-B2D0-132A9EAEFD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526B62EB-EBAC-4B05-9956-A016F57B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72F712-2529-43C8-A43F-19ED474713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A7E1BD78-79B7-4DD8-8D8B-9CC09144B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0E2430-B027-429B-BD3B-6929F2E85B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B7D04720-7236-4471-91F7-04D062C7E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162F8A-D269-4EBE-B456-400CA0A44B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796E0BB-CFC6-4539-9597-8D04E22D2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B3E1F5-3A5A-480B-A82A-FC932DA6EAC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C7F07F7E-28C1-41DD-A280-8B0233B3E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BE62F7-31A9-4885-93D7-BD6BE265FE7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0576A509-D8CB-4ACC-8EBD-6F96C76F8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C21B5F-04BC-473A-8560-3BBD21FC02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AA7EA09D-0FF9-440B-ACE9-FB556B04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331CB4-ABBE-499E-B4F4-2D9A8210FF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BE805F9C-8CFF-40D3-99E8-53AF23A32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620274-2461-46EF-8576-48387834A60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2A910867-9F8A-4C3C-AD72-D2E4B4C1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4145DA-6BB7-4D72-9A03-6D5C2E945F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C9569233-3F73-49C0-A214-91F0E9C83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25434-9EDC-4121-A9BF-A9513FC8F0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DD491B77-DD25-4842-AAC5-F1378895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CC2167-0AAE-4B98-AA35-76CDBC327F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8D016DC2-477D-4320-B4AC-DD7A43C2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BB5F2C-CC9E-4252-A44E-6FC5BF840FC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74E9784-97D8-4441-96D4-4B63F3D8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5699B5-DF85-4325-870A-FAF2C53BAC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ACB62DC8-E421-417D-A29D-D7B5ED6A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847900-9458-4FF8-807F-12A06EAE53B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C50AB37A-87C9-459B-8546-B75366EDE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715354-7D05-42A3-95EF-212A7B9BC2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51BC3010-4B4A-47A3-A71D-5694F66AC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BF25AC-9C11-4D95-AAB1-A2ED8390B2A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5E445DAA-AD3F-48A6-A583-979949BBD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22599A-04CC-4AD4-99F2-A6180933A69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A50B5637-0931-4B63-B3EC-816895D7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B9CE73-119C-41D6-9DC9-9CEE628C08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31AA60A1-C8D0-4CA0-A1FA-2C2F2E64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B85147-DD3D-44A3-9797-5D1FB382C7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BEF8A929-4C27-4D4A-AA4D-D83558C4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EE56DD-D7D7-4CCC-81BD-6A0420434DB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00AEC84E-673C-467E-A0DE-D5D48DECB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DDFF12-0021-4A44-8F08-099A80624C5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1583ACD1-A7A6-4414-AA88-40E6E101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F73DE4-47DE-491C-BD72-EE63986774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F8FFF163-110E-44A8-BB51-EF33B8E7A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5AB70F-D850-4ADB-BFD1-EC7CED2A33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2F744102-98C9-495C-A0F2-A02190BD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A13673-6884-441F-92BD-FE3B6B8917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D25E6FC9-1DFC-4448-98CE-8E25114CC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EB79FC-231D-4518-8003-43176152D7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FCE8D0E8-095E-40F6-8292-55A005766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B4C32F-5BFF-4224-AA18-894B571AF08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D32909FA-1330-4908-82BC-D4F674E9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D461B1-A4C3-4C85-8D51-86BB8112C07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56532DF7-D937-4744-9549-AD337DA4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21DF8F-4CFB-43C7-A462-72C77069404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FC6D2905-E4B4-4E3E-9581-D0906E51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9A4A11-5B2C-4BA1-BB69-06740FD580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5995CB4E-301C-4067-83FB-67F9B2412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44F98E-5EF4-4221-9AD4-B43C79549B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FC030483-0935-4A70-AFD3-EB56E6153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9F5306-EF55-43E3-B385-1452D66C766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75873734-3F52-4BF1-9A1E-781AB39BE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15641D-2251-4952-A3FF-E5489189DD0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D0EFB90F-A6B2-4E91-98E4-E24D8096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7FDCF1-2881-4329-8986-8CC4BD3D3D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A0B78EB0-4026-49A7-BAE5-57CE1D2E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4D20B8-F05A-44B8-B561-A1F945FC102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49F16947-6D07-41F1-B784-B5907EB00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63E480-3D91-4D7B-961A-7E5DD096D3B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0308B30B-268E-4436-A657-4CD7769C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310093-594C-4EAE-973A-FD651B0120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3200ED81-85F0-433B-A63D-E36F58B9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FAC94-30B9-4DA2-AA17-7E1C39793D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E65CD874-07D6-4A1A-BA4A-4A95C59A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27235B-361C-4FF8-A721-8EBAAD97FEA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E7588F41-B73F-4CE4-8363-88136CC9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A2FC2A-A131-4FC4-9CD9-0D37D529C9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7B68B7C2-D378-44B2-B6BC-84212029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E45ABC-BD3A-49F3-B89A-AA475411860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760415DF-F8CD-4DE7-970E-4DC5730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617B08-47AE-44A8-B247-FFD472C29A9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D85D136D-B17D-410C-818A-348BAE85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73DDED-76DF-4119-A2F5-0878BFB2C6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1337AE88-4BCB-4C69-8E5A-482F1E63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4F0DFC-CF26-4A3A-8406-9CA018526A1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F27F4992-D85F-46C6-9D0F-FB141B89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15707E-6395-485A-9098-601382EBBD2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8B6595E2-4770-4826-9F97-C6417C775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8C8997-02F9-462E-9677-497049989F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CE62FA61-225E-46D6-8FF0-FD11E020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A344C6-6CD9-4282-BA18-FC5115BF7D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4" name="Picture 163" descr="DFC logo">
          <a:extLst>
            <a:ext uri="{FF2B5EF4-FFF2-40B4-BE49-F238E27FC236}">
              <a16:creationId xmlns:a16="http://schemas.microsoft.com/office/drawing/2014/main" id="{08639A73-FC23-4BAA-9FE4-E7BEE83A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0262B1-5B7E-4DFF-AC0C-B139D00A07D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6" name="Picture 165" descr="DFC logo">
          <a:extLst>
            <a:ext uri="{FF2B5EF4-FFF2-40B4-BE49-F238E27FC236}">
              <a16:creationId xmlns:a16="http://schemas.microsoft.com/office/drawing/2014/main" id="{C89980E1-2CB7-4623-9EF5-D362128FC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7" name="Rounded 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D44637-9E44-497B-B775-CAE03C4033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CA7DB6B-3537-4388-9BAA-B04D79BD0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633A42-2850-4CAD-B432-4A8BEDC884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C18365F-4C6D-4930-861C-5A8AF99A3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B7081C-8DDC-49A3-8095-05070CCD80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E54B9D7-33B6-4512-996D-52F7A42CD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6713CA-E782-4AAC-8C98-2D4270DC8F4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97890363-16EC-43A4-AB96-647102FD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237E7B-D3EB-40AE-B10E-DE400E66D70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819A1794-B250-42FD-B5C1-F7DC34614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03A556-9AA7-44B2-8A2A-E76E25B3887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176960F0-1032-4AE2-8C47-347B18F8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35C4D9-EB85-4008-9D64-D6B3B2B44F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3E44ED72-9011-40C1-8F75-0746BF16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098393-B4A7-47F6-803E-696E07C0A25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D6C737E4-C28F-426A-9DC7-A29B53A2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970128-D34E-49D4-80BC-C0826F6B134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2C42DD04-835D-456C-8FD2-F64244C7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962296-2B1F-4913-BE3B-39A8ED13A4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106F7BA-F55C-489A-BDD2-9A5A045FF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2C0CA0-F2FD-4E09-89BA-624C1948CD0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C1241ADC-A918-47CA-9C7D-44E95BB8F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C4DF53-28E1-4278-9D7B-C691D333953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D3A33597-5288-4CE6-97E7-C1107D0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09F4CB-421E-4FE9-9DD7-D1CB85D82A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1B820999-49C8-4541-8952-F2B57E8C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975207-0577-4E78-B5D3-7CE2AC67BD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1064A1B-9E15-4529-B906-C12DD80D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D8D46A-7BF5-42D3-87D1-2DD0E6DD9BF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B3008651-7AE0-4F9B-BBA6-2E190160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CAF68A-CE13-47F5-902C-51D0BE7A0C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CE70FB4A-8C4F-41F0-AFC4-D8490A39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080D43-0A4F-48FA-82EC-7F50D90744D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9B983F20-DC69-42F1-A6F2-0A338C12E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F93DE0-A14F-493F-B3A1-14CDD9ED376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BC5F416E-3546-45E0-9B7A-BD44EA18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92AA4C-E6FE-43F6-BD67-04A88E006F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6F1EB98F-EBCA-4126-AA03-552999D2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26BBE3-4016-426C-8ED2-E8A5C6D095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08F3BF4E-3DAE-4CC3-9DFE-95F2D51DE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5B1472-A31A-45BC-8B23-A8D1BEF7772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E4CDA7FC-4B87-440F-953B-9F099769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2AD435-1DB8-4C55-8319-CC574A97AFD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D432B0FF-84CF-4B7A-B8CE-40A74B4B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39F4D3-E538-4B7B-9165-7D069DFBC63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A32D1F5B-CF57-45EE-9846-13E4AB4D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8FE698-0C9A-4BA5-9F8E-61C197FF06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F19068D7-B98F-4A9E-9406-356D6B7A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4C2DDA-3EBA-4671-A688-F65C2D14D46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A5D8EA53-E3AF-436F-8FD4-6C23E760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F30C5-DE0D-4338-B136-30BA9EE9FCD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C7CD982B-2976-48E9-87A3-1965FDB7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991747-1FD0-49A8-9536-62436E04AE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101CCE09-5BFF-40C7-84E9-A0D3938E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DAE77C-7121-40ED-ACF1-417AA12F0E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35AA2F1E-5528-498B-BCD5-0C4076F1C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9B35A0-40DD-4B06-B583-4411A0E382F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8DA4370A-C373-4334-970A-E3B672610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65670D-E980-4770-AF05-EFD6F876C3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32F91B11-0E1C-42D0-9280-ED1E7853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C62E2D-7D8F-4F07-91E7-1E7C0379131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2723F827-F1C4-448B-83F6-076B4F2A7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F5E0D4-642D-48E1-A56A-1FEABD028C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B1B9E8C5-27AD-4EEC-9C13-72260A3B7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307066-F0FE-4112-8502-130201F2F7F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8196079C-7192-4188-8A3E-402CC25D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8DA259-D180-407B-9820-55CB2BED0D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BD6C4857-C108-4725-8C3B-5AC7122D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1A12E7-F076-4C1D-838C-DFB400DB69E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3BDFEDB0-5B36-4C4A-A83C-76B1CC4D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3CC2CA-FBD5-40A5-B665-C470E628474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55545AEC-51B4-4096-AED9-48A9AAF2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4AE160-EBDA-4375-A7F4-AF6AF6D8635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73EDFFD5-2221-4E92-8E82-A669EB47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4DD55-4FBB-46B9-B2D0-2A6F0B012D7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A248A349-B8A9-45B6-BF0A-E576297F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E56831-2BEA-4C31-A613-8F1252D9B3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4B265987-14AF-4FCF-92B2-6953265FE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4482D7-67E5-4E24-B388-F464C9F5E6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EE3F34E8-BFB5-4006-989B-0B18A48C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33A41E-0080-4DDB-AEC2-75FEBE477CE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B4D09AF1-73EA-465F-A649-75922167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CAE8F0-B918-4654-A886-7F2629AAB7B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850E3F46-3CD0-4C21-8327-47C622B6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0EF9CA-30DE-4452-AA2B-F1DAE000AC0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34E95284-2BE3-4AB0-A14C-D772B627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095BA1-BC42-4174-8A18-5A5C320A125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E2ED6802-C939-4DC1-9A20-E37740AA5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D935FB-9122-440C-B633-53AF2B8CF83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D65AFBE0-AA4E-4EB5-A434-35B8286D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188FF0-F6C7-4A0C-AEBB-7618AA43FA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ADC6BB5F-34BA-4FD6-977F-7156B32A7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B96FFD-0131-4E9C-A9DD-C925F4550C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05ABD7BE-E0A8-4643-8DB1-6514D6315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357C06-9115-4278-86F0-409E869A21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08B9556-FF4A-4E75-815C-C2C67F458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62E2FA-EFE0-4B78-8F9C-4545F107F43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9F1E3EA5-4F11-4159-BB9D-F69C844B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5985EB-A8DC-438D-B576-861B1110AE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0E69DB09-7BCE-466E-82C7-A29794D4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DC131D-2B5C-400B-9C4E-90D6FE3A674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2CD554B7-B22C-4E99-ACC7-B51616E9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9CC3D3-71BB-476F-817C-5F9E217E0F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56573C4D-303A-4F11-AB77-3447D682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D78F4B-E48F-4043-A07C-D98D1B6A8B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740FBE25-FF0E-4954-84AF-3B836C439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EFD558-CE99-469B-A618-BC183FA44C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75D88F54-6D3F-4E92-B3D8-8B474AAA4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9C1389-8E0F-47A1-8B00-C81712546BE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65246164-7138-4197-84BF-E7DCF9BF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28E142-95B6-47F9-B208-E74E52B1A2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D869F9D8-952A-4526-99FE-F022A8B5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8B0660-A500-47C3-98B2-9918027D1B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95C1045D-2094-458B-8D65-7E58FCDB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5A89B-C82F-4E14-8B52-E09BE500C1A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6C181566-906A-48B5-A996-054F74EB1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8F04EE-1749-47DE-BCAE-2B637C1B074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9FF29944-00E6-4FA4-AC48-B1E7FEBD3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15B41E-FEC6-4674-9C4D-9B02E9064B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2144F5CF-4634-4EB9-99C5-333F06AF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1915B-74CF-4C03-8E97-7442E61BC50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DAE439CB-4780-4FC1-85AC-B42F6AB0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F69429-60FD-4926-AE30-75C5FBEE08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654B64AB-4B66-4537-95BF-698DB3006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B6CA8E-40DF-45C4-AA36-E34CDB0AE9D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9C84AB89-B153-422F-A4ED-ABFFBF3C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0EFB23-79B3-4D57-B704-80C01805A91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89B8240E-52D9-420C-A664-AB3BA2D8E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A7DBFC-3BEB-4E66-8986-11A30FB4DA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96B3CDAA-52B3-44E5-9202-5E333F6D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A5172D-7D6D-418B-8E07-462508F9445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CEEE133E-B201-4255-AACF-3A0A4405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EC0283-B640-4BB0-BD8D-29EC9459EB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D8A3E9F6-D3F7-484C-AA29-969D750D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A69E51-4180-4D74-BE7B-E950D2B83F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6282DC18-DCC9-4FA5-9FA9-986702ED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784B93-295B-4A8D-9A70-3F54C7ACA4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947E99BD-40D1-4B7E-8DC8-84CA243B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46C530-8806-4D6C-B3D6-6D5B35FF73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1F95CC85-9F03-467D-A9D9-4EE1D024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0EFDD8-D00D-40C3-ACB4-15B58F288F9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72C15340-DF84-4542-A6F8-612BD731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5B324E-4DB9-4AD3-9571-69A41508B57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C3F4FE1E-10D8-493B-96AB-AC65ED37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513E80-658E-48FD-8923-4B14A9B9232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11725B47-F723-4C9C-AA8E-493BF731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2383E3-E7F6-4850-9946-714A07D2F6F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0E74BEA0-22B5-45DB-9100-4D979577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9F2A46-C9FA-4D25-A275-CCF1AC27C2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657E4BB3-DAC4-4EF4-8F91-748BF206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8F3576-7203-4C4F-B731-EAF931631E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B944FFB0-4E34-4CA1-9BBC-CA981A7B8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E7023-52CF-4D90-A256-D2FA5ACB8DE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BF970B2C-F263-4FF2-A8C2-48E280AD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FAD356-269B-4535-B898-62D104301E4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55C2833D-F31A-424F-8411-A2044C29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DD8568-FD9D-47BB-913A-4909503597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81B8A6F0-D935-4B41-AF7F-83EBEBB6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6E3508-D926-45F5-BFF4-F9F96D1DC56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4A9B44D2-7998-4410-8067-B8F16564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FBE7A9-111D-4A82-A464-5615F04CE4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386A7D9C-7A8C-4419-9CF7-9CE29DF1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D99CA9-910A-41ED-9357-D1FFC654AE8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4" name="Picture 163" descr="DFC logo">
          <a:extLst>
            <a:ext uri="{FF2B5EF4-FFF2-40B4-BE49-F238E27FC236}">
              <a16:creationId xmlns:a16="http://schemas.microsoft.com/office/drawing/2014/main" id="{27B2DD67-28CF-4C9F-9275-7071F039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C19CD-691F-4AC4-88BB-69155613CA8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6" name="Picture 165" descr="DFC logo">
          <a:extLst>
            <a:ext uri="{FF2B5EF4-FFF2-40B4-BE49-F238E27FC236}">
              <a16:creationId xmlns:a16="http://schemas.microsoft.com/office/drawing/2014/main" id="{F76B130F-B618-45F6-B2DC-2FBE37C31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7" name="Rounded 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6CB54E-6A0A-4E94-9E29-6CA4247098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C959F13-06C9-4CB6-A857-B8DA32842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B5EE21-210D-44F0-ABED-62C1B4A9439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93A71F3-88E9-425E-814E-CF630CC9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3AF4EF-ADE1-41A2-BB00-31B1D83E95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8CC0B87-4D05-44C5-855F-1B8D895B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753BE5-55BF-455C-A21D-FCCC91D807B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5534ABD4-6370-4A5F-90CA-B945EFB1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A8774B-7662-4A7E-A259-DFC65D754CB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7A00B5D-FED6-45FD-927A-93F2B340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4AD24E-63A5-47CC-9D7A-E1A0E9BB679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5A1ED104-27FD-4F33-8D71-FFA511990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14686D-55D7-48F7-992A-5D00F418B8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8A17B06B-A3EE-4001-85BA-0686FBB8B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7BB509-A471-41E7-80F8-A2A59053DF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AE83F16B-9D8C-48C1-BDB1-146D3BADB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6FE47-4DDF-43EC-A438-59F79B5440D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6799F9BF-60AD-41A6-A8E0-8E7AA034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A694EB-644D-40D9-B953-F0DD1456D5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1F63B34D-207D-4E40-9005-8ED0E8C2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3D8F29-34DD-4967-A287-052111F938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AFBC2C32-5EAA-45B4-8B01-2A41C442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EC9553-6BFB-47CC-8249-93DE6C2D66B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393B09F8-F233-4424-AB66-5A92DDF7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7F6EF7-6BCF-4C6E-9A62-C0F2642B88A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01401FBC-2679-46D2-AA27-2BB681E8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C63C84-74DA-4192-80F7-7B8CE2A574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EA9467A0-252D-44C2-A360-B473E634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19AA4E-1188-4A2B-9360-0313691C68C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2D5FB071-EBAA-446B-9F1F-C77B18AD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D0CB11-7F49-42D1-BF56-BC33907FEC8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20AD9748-C5D7-4715-AFBC-7D0FCE5B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389F51-D079-430F-AEF7-ACAD556BAD7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3D7B3B37-C130-4966-B3F1-17EDDD3E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264854-CF21-43EF-B624-FAE3BCBD89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CDDCEDD-3796-4308-BBFB-CAE8DD1E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082CB5-B361-41C5-A54D-9BE7F0200F6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9ABAA847-0E0B-435B-85D6-B6A78AEF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6C9313-3E5E-4561-B412-54A6C2B198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ACD0163E-6A2B-4905-B0C8-FE2A994CC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BDC2A1-882D-42D8-B344-6CB22F2D6CE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82877090-2FC5-4E3B-AB55-3A6495AF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883E74-CDA2-40B9-91DE-34CD218D64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7FFEE9AC-0D86-41B2-B33D-DFA8492D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4A59C4-CAF0-4F22-AAFC-0AC8AADB877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6B19B6CA-96D3-4AD1-BBAA-0C995777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724CC4-493A-488F-9CF6-FF4202F974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AE08359C-5471-40EB-942F-04992B45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3E87A6-9BC2-4328-9E05-9BE3A32B054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6137E56C-583F-4C30-9EF1-358197D40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3A9C0F-0E94-4B9D-9BB2-8EE321B95A4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B3B07738-8E6A-4D5A-BE15-A75AA1C70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226412-0782-4E07-8E86-B94951972AA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A1664A5F-DD4A-4D68-AECF-652BBE72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75296A-D2E8-47DE-9C91-35A235F64F5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82F20784-C7C9-448D-88E9-4EA40D41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4BA6CA-0DEF-40E3-97ED-2584D2B3CD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44AD9A61-8F9F-4C6F-AC3E-4A098532A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7FA521-7F76-49C1-9D71-258A22D6366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58FA91DF-D215-4295-876B-33B636E24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F5CCBF-A4FB-45A2-B63E-373645A535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3E1D0A7F-CBB4-4966-94A8-3E2C89BC1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397120-4FC4-4216-979D-5630BED0D9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66E8AE8A-780F-47E9-A0F6-81458716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13D87-1C67-4298-A964-D050A429C37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E3FEA57B-A0DC-4B03-9DF3-705CE0FA0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54AFD0-30B9-4A44-8984-779C9D526B4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54581BEA-0D10-4BC9-8FFB-2DB9D08E7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308D26-669A-42B2-B0B6-EBAF8FCEA3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F3B57DFF-604C-4B3C-AE29-90CCAEBD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1C88E4-75C1-4E78-A9EA-0CBAAC00F13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D7593064-60F9-418B-BF76-1EB32CB7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A4F79A-0D3D-4D51-9367-D705EB94CEF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E49288AE-7D62-4702-A1D9-1BAB1271D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A137C7-8684-4F9E-9F98-B787535A8ED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0A94B0BC-D64F-4A91-B2AE-B557A712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83CCA7-66D3-47E5-B2EE-A82D0685C2C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9401117F-3A55-4AA1-81F5-95849C174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F94F7B-6FD9-481E-8C59-3630F577BED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ADBE864A-63C1-482D-9756-BE6B8F5C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53AC90-91DB-4BC2-910E-C5420BC856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1287574B-6077-4ADF-88D4-54F0B5DA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BC5481-E128-4AF8-9552-B537918EA28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71CBB3BD-2F6E-48A1-9846-6619B6585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870C36-0C78-40F7-89F0-493CE74340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E25F247B-5A41-4446-B3A9-58A807978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C2A5E-2673-4D31-AA4E-87C6A456F8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D7B07A49-55D2-4B0F-A4D1-5B6313DC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CCDEB-1140-4E72-9A9F-A9A8D4B91B8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8A9B23A4-1102-4668-9487-3853B2CE4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0380C1-78D9-436F-83ED-79231EC3FE2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435697D7-0A78-437E-A05C-75206FB6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D6426-2842-49EB-A268-595351088D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0DF7A7DD-90E5-48D6-869E-1CB798FA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376DA0-0CC3-4FAF-845C-80F46B5548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8B7868EA-353D-4B59-836E-E4B2E849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D8107-606B-4CCB-B985-F830F77752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83329292-8B53-4845-A6CA-35994C5A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748421-18C8-45CF-9B7D-F4123DF871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24375EC7-DC12-4E46-AABF-5A11C05B8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6802CC-4E63-489D-A832-3D9C5B37428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15687E8E-1DC2-492E-BC7C-90F732F93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75EEC-99E0-4EED-A793-0AF0D3993DB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323F8FA3-3C98-4D63-B72B-F7F9191C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793595-5A5D-46FB-9AA7-D48CDAD158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8BF5F614-CB0F-4E35-9664-FBB0FB36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E5F2BB-35E1-4D4B-85B1-30BDE9B4E61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74905868-F6BF-4939-832F-F8D836A1B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3D8B25-F2D7-49C8-868A-A399A70DC1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9C27D92F-D5DC-4DFA-B52B-6E93D23A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EA05F8-17DA-4A9F-8C97-EBB7782883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1DFAB423-E6B7-49B9-B831-54538F1AA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80B1AE-CD41-4A26-9D1C-2C061D0A9C2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273BD81D-CF58-41C5-A897-DECDA1B5E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160ECF-B30F-4DB5-B7DA-14CFFDA5B95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C6D26B4D-80E7-43AF-96BD-B5E3342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556DE1-F29F-4472-8661-4F0F03BD7E1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4813E1FC-D690-4259-BA3E-EF328A79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3381FC-4C0B-4F8B-B391-DCA85EA6CF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E5679446-C0F4-4E00-9BC4-AB2081E7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75DE99-14AD-424D-94BF-0F49CFA1C4E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532266EA-2A65-41B3-BA94-4B9991E72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606B9B-289C-4F61-B227-0D9949F021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B9578EA3-43C4-4656-BEA3-BC6AEC4E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0DD3E4-4C86-47E4-9DA0-A177B320C53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D331374B-3953-417A-BCED-C430F00C0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E3F093-12D2-4235-894E-49291BCD34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D0659F6E-CB63-45F6-AEE3-A478B9B0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E77660-A72E-4023-AD11-46E11794AF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530BD51A-CA62-4F75-8A24-AF0AEB95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8BDC80-D738-431D-B864-3D5557D209F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DE09CC7D-C79E-4751-9521-3B233A262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C6501A-6B7E-4190-AD1C-1C528DD6B8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B68B3EE9-A1F0-4B47-8277-02026775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A1285C-6468-4523-9A0D-1877E420765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AB4BE896-DF27-45AD-BEBB-D64DDDDCB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90D11-9752-4F8A-B970-C97E71BD24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63E4C42D-7FE6-40D5-91C4-E8AF1202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E86142-5FBD-413B-B5EC-67B0C7D510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BE408C5E-30D5-4B8F-ABBB-5B8B6F1E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712F0B-BA61-4896-94C4-280D58F423B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1716BCBF-EE14-4B38-B3EF-FD363832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F695BA-EAB7-46F4-9581-35123AC9E1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7E0B512D-1E64-43BF-A672-B7E1433F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30B84C-8A6E-415D-AA26-DE503503A53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6F475C01-406A-4571-A1F3-4219D531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BCD538-D956-4F0D-820F-29D1787357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0C80A9EB-4B0A-4109-BC6B-0852D0FF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83449B-45E0-4599-85DF-8D994C3A918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1169FD9F-61CB-460A-97AD-B24B6E43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F0581F-C1A3-4D7E-8B15-62851E80793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87D0BA5E-9F6B-43F8-84DD-5C1E7673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2DD611-126C-40FE-95D6-4ED9F589759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D5F8857A-2598-4106-8ADB-61F060A3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F09961-40D8-4F92-B6AF-7CE5AEB4C4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2378CF1E-9BF4-47BD-A9B8-0A6E2DAB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A71115-2928-482E-9AA8-2DFDC3D2BE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8E339D78-DBD1-4A35-90E0-F1EE88F7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B6E5BD-BCB9-432F-8B67-B5518BD89E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485B9A6C-377B-43A6-8691-0340F605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426B30-CC16-4026-84A8-DCA43C6ED94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99133BB7-1B69-46EC-843E-8165F1D3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51940B-0C63-42E3-8485-376D54099B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4" name="Picture 163" descr="DFC logo">
          <a:extLst>
            <a:ext uri="{FF2B5EF4-FFF2-40B4-BE49-F238E27FC236}">
              <a16:creationId xmlns:a16="http://schemas.microsoft.com/office/drawing/2014/main" id="{8245777F-B4BE-4AAD-B584-B43104CC1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645025-E410-4974-A483-B71AB70C98C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6" name="Picture 165" descr="DFC logo">
          <a:extLst>
            <a:ext uri="{FF2B5EF4-FFF2-40B4-BE49-F238E27FC236}">
              <a16:creationId xmlns:a16="http://schemas.microsoft.com/office/drawing/2014/main" id="{71A5AA22-6081-419E-A5A8-CE4E96C0E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7" name="Rounded 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97502D9-9BD5-4390-A186-C69D31A6B19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B1E83A0-8FB2-4A8D-AF21-712CBFBF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843D0A-001C-440E-92D2-47FE2D4D0FB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636BCF5C-86F9-4AE3-B644-C78F12BC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5324D7-27BA-4D8F-A3BD-0727F3429F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CA59D92-0A78-4B38-BAC6-62CF2C65C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12CD30-423E-4BBD-87F8-6277EE42A0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236F7B8-5A6C-4B12-8EC0-8A32928BD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C07E87-41C7-4B6C-8228-C1750590ED4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90614881-4061-47A3-8750-76550AFF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31C9E2-9C0F-42E3-8395-4978F50CFB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FEE47FA9-65D2-4694-8578-0B3769B7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C37AE5-E0DE-4047-BD77-B97F45F69E8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" name="Picture 13" descr="DFC logo">
          <a:extLst>
            <a:ext uri="{FF2B5EF4-FFF2-40B4-BE49-F238E27FC236}">
              <a16:creationId xmlns:a16="http://schemas.microsoft.com/office/drawing/2014/main" id="{AE4FDF9A-9555-464F-AC20-609403436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DB5058-A89D-4CDD-BE2F-3F470C9427A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" name="Picture 15" descr="DFC logo">
          <a:extLst>
            <a:ext uri="{FF2B5EF4-FFF2-40B4-BE49-F238E27FC236}">
              <a16:creationId xmlns:a16="http://schemas.microsoft.com/office/drawing/2014/main" id="{2AC2195C-810A-41AE-8B1C-BEFF8387A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2BABDB-E606-4A71-8795-41AA5837041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8" name="Picture 17" descr="DFC logo">
          <a:extLst>
            <a:ext uri="{FF2B5EF4-FFF2-40B4-BE49-F238E27FC236}">
              <a16:creationId xmlns:a16="http://schemas.microsoft.com/office/drawing/2014/main" id="{B1C1A115-BDA6-451D-86F9-B809590C9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DB2E6A-07D1-43F3-936B-CE5A4F21BA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0" name="Picture 19" descr="DFC logo">
          <a:extLst>
            <a:ext uri="{FF2B5EF4-FFF2-40B4-BE49-F238E27FC236}">
              <a16:creationId xmlns:a16="http://schemas.microsoft.com/office/drawing/2014/main" id="{9AB39910-5C03-4294-9163-C372D7AB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E9DBDC-7A27-4E45-B219-373CDED777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2" name="Picture 21" descr="DFC logo">
          <a:extLst>
            <a:ext uri="{FF2B5EF4-FFF2-40B4-BE49-F238E27FC236}">
              <a16:creationId xmlns:a16="http://schemas.microsoft.com/office/drawing/2014/main" id="{1AF9EA9C-0CA2-45AD-A8AF-768A1AA2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5AE2B6-C741-4DEF-BF22-2A17E44E6BD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4" name="Picture 23" descr="DFC logo">
          <a:extLst>
            <a:ext uri="{FF2B5EF4-FFF2-40B4-BE49-F238E27FC236}">
              <a16:creationId xmlns:a16="http://schemas.microsoft.com/office/drawing/2014/main" id="{5B6E08E9-DD78-4FB8-AA13-74613449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36582F-AA00-4A84-9EEB-C7A95D7CD45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6" name="Picture 25" descr="DFC logo">
          <a:extLst>
            <a:ext uri="{FF2B5EF4-FFF2-40B4-BE49-F238E27FC236}">
              <a16:creationId xmlns:a16="http://schemas.microsoft.com/office/drawing/2014/main" id="{3FE51D64-3DAF-4BC9-801F-E50D9868A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6031D9-3C66-4309-B8A5-EF9D9EDF33C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8" name="Picture 27" descr="DFC logo">
          <a:extLst>
            <a:ext uri="{FF2B5EF4-FFF2-40B4-BE49-F238E27FC236}">
              <a16:creationId xmlns:a16="http://schemas.microsoft.com/office/drawing/2014/main" id="{6CEAA95C-C365-4A38-8DC7-E77D7CD0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7E8506-A153-4FB1-849F-7DA30E012E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0" name="Picture 29" descr="DFC logo">
          <a:extLst>
            <a:ext uri="{FF2B5EF4-FFF2-40B4-BE49-F238E27FC236}">
              <a16:creationId xmlns:a16="http://schemas.microsoft.com/office/drawing/2014/main" id="{1BD33468-ED7B-4720-B125-60654D39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4365FB-609A-4D88-98D9-628D9C2AD0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2" name="Picture 31" descr="DFC logo">
          <a:extLst>
            <a:ext uri="{FF2B5EF4-FFF2-40B4-BE49-F238E27FC236}">
              <a16:creationId xmlns:a16="http://schemas.microsoft.com/office/drawing/2014/main" id="{3D6B339C-A6A8-4AE4-AF45-38D0E03D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F67F9D-A5C9-4EC9-882C-597E0C3B748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4" name="Picture 33" descr="DFC logo">
          <a:extLst>
            <a:ext uri="{FF2B5EF4-FFF2-40B4-BE49-F238E27FC236}">
              <a16:creationId xmlns:a16="http://schemas.microsoft.com/office/drawing/2014/main" id="{19C133CD-CC0B-4A15-B62C-D49050E2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ABC57-6B0B-43EC-8701-4DDA92FA15A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6" name="Picture 35" descr="DFC logo">
          <a:extLst>
            <a:ext uri="{FF2B5EF4-FFF2-40B4-BE49-F238E27FC236}">
              <a16:creationId xmlns:a16="http://schemas.microsoft.com/office/drawing/2014/main" id="{FC02CB38-B367-464F-83E9-7030F66F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A82B5C-D118-4A56-9555-D68A2F95A45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8" name="Picture 37" descr="DFC logo">
          <a:extLst>
            <a:ext uri="{FF2B5EF4-FFF2-40B4-BE49-F238E27FC236}">
              <a16:creationId xmlns:a16="http://schemas.microsoft.com/office/drawing/2014/main" id="{60B8C6AE-59D6-470A-82B1-348A89E95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E70DE3-BE11-41BC-BBF1-3845B024ED6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0" name="Picture 39" descr="DFC logo">
          <a:extLst>
            <a:ext uri="{FF2B5EF4-FFF2-40B4-BE49-F238E27FC236}">
              <a16:creationId xmlns:a16="http://schemas.microsoft.com/office/drawing/2014/main" id="{B7D61DDE-3F8E-4CDF-9567-EF58B62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166C9C-23C4-4309-8C93-66EDB28EB11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2" name="Picture 41" descr="DFC logo">
          <a:extLst>
            <a:ext uri="{FF2B5EF4-FFF2-40B4-BE49-F238E27FC236}">
              <a16:creationId xmlns:a16="http://schemas.microsoft.com/office/drawing/2014/main" id="{98670771-0D73-4345-9F73-BB0FC6396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EC9A11-ADEA-4D88-B011-42081FAE99D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4" name="Picture 43" descr="DFC logo">
          <a:extLst>
            <a:ext uri="{FF2B5EF4-FFF2-40B4-BE49-F238E27FC236}">
              <a16:creationId xmlns:a16="http://schemas.microsoft.com/office/drawing/2014/main" id="{C5F2B135-D192-4680-9319-ABD5AD127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D313EA-C687-4A2F-8891-7CC5B470D33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6" name="Picture 45" descr="DFC logo">
          <a:extLst>
            <a:ext uri="{FF2B5EF4-FFF2-40B4-BE49-F238E27FC236}">
              <a16:creationId xmlns:a16="http://schemas.microsoft.com/office/drawing/2014/main" id="{67B90F0A-D2DB-43D9-B3DA-16654575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B82D28-6A86-46EE-B811-FC5332AEA01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8" name="Picture 47" descr="DFC logo">
          <a:extLst>
            <a:ext uri="{FF2B5EF4-FFF2-40B4-BE49-F238E27FC236}">
              <a16:creationId xmlns:a16="http://schemas.microsoft.com/office/drawing/2014/main" id="{69C4C17A-9B6E-4245-BF6F-890F28AD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2352F4-655B-4CDC-B62B-21A3539E8A7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0" name="Picture 49" descr="DFC logo">
          <a:extLst>
            <a:ext uri="{FF2B5EF4-FFF2-40B4-BE49-F238E27FC236}">
              <a16:creationId xmlns:a16="http://schemas.microsoft.com/office/drawing/2014/main" id="{18C5D722-5CE7-415B-AE84-92A773E14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1B15E5-9F72-40A9-9E44-C41184AF8C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2" name="Picture 51" descr="DFC logo">
          <a:extLst>
            <a:ext uri="{FF2B5EF4-FFF2-40B4-BE49-F238E27FC236}">
              <a16:creationId xmlns:a16="http://schemas.microsoft.com/office/drawing/2014/main" id="{646FBE6C-9D44-41CD-8F48-A70B0221F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553739-28F1-4A9F-912B-C7551B9BC7D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4" name="Picture 53" descr="DFC logo">
          <a:extLst>
            <a:ext uri="{FF2B5EF4-FFF2-40B4-BE49-F238E27FC236}">
              <a16:creationId xmlns:a16="http://schemas.microsoft.com/office/drawing/2014/main" id="{7C4BBE58-75AF-4A84-86F2-15F570D2D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BE24A3-F0E7-455A-972F-007BC410DFC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6" name="Picture 55" descr="DFC logo">
          <a:extLst>
            <a:ext uri="{FF2B5EF4-FFF2-40B4-BE49-F238E27FC236}">
              <a16:creationId xmlns:a16="http://schemas.microsoft.com/office/drawing/2014/main" id="{C570BCDF-CD5D-412E-A5A3-6720AA5FD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01D6EB-C439-443E-88B3-F97AFE033BB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8" name="Picture 57" descr="DFC logo">
          <a:extLst>
            <a:ext uri="{FF2B5EF4-FFF2-40B4-BE49-F238E27FC236}">
              <a16:creationId xmlns:a16="http://schemas.microsoft.com/office/drawing/2014/main" id="{302DABF0-4BE3-4144-8610-70AB8199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CDC411-DA60-4977-A981-27F68DBE2CE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0" name="Picture 59" descr="DFC logo">
          <a:extLst>
            <a:ext uri="{FF2B5EF4-FFF2-40B4-BE49-F238E27FC236}">
              <a16:creationId xmlns:a16="http://schemas.microsoft.com/office/drawing/2014/main" id="{819070BF-E9EA-42ED-9987-EA8318EE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4E059C-4D1D-42AB-8594-FD2614B71ED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2" name="Picture 61" descr="DFC logo">
          <a:extLst>
            <a:ext uri="{FF2B5EF4-FFF2-40B4-BE49-F238E27FC236}">
              <a16:creationId xmlns:a16="http://schemas.microsoft.com/office/drawing/2014/main" id="{548CB2EC-461D-446B-BAD8-66C16C35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334CC7-5F55-46EC-8276-CF646DDCF0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4" name="Picture 63" descr="DFC logo">
          <a:extLst>
            <a:ext uri="{FF2B5EF4-FFF2-40B4-BE49-F238E27FC236}">
              <a16:creationId xmlns:a16="http://schemas.microsoft.com/office/drawing/2014/main" id="{BD68E46F-DDBE-4FC2-B8F7-7D97869B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5B0C1F-963E-45BD-8192-521FAE2666B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6" name="Picture 65" descr="DFC logo">
          <a:extLst>
            <a:ext uri="{FF2B5EF4-FFF2-40B4-BE49-F238E27FC236}">
              <a16:creationId xmlns:a16="http://schemas.microsoft.com/office/drawing/2014/main" id="{8385B901-42C1-4E5C-BB39-980E2B0AE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F2BA29-5892-409B-9D9E-AE205BDDCF8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8" name="Picture 67" descr="DFC logo">
          <a:extLst>
            <a:ext uri="{FF2B5EF4-FFF2-40B4-BE49-F238E27FC236}">
              <a16:creationId xmlns:a16="http://schemas.microsoft.com/office/drawing/2014/main" id="{315BFA4B-FBB7-4D59-AA94-3C6AE27E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6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5D2A21-ACD0-4555-B6EC-BDFA9E9535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0" name="Picture 69" descr="DFC logo">
          <a:extLst>
            <a:ext uri="{FF2B5EF4-FFF2-40B4-BE49-F238E27FC236}">
              <a16:creationId xmlns:a16="http://schemas.microsoft.com/office/drawing/2014/main" id="{D881A53B-0A75-47D9-94B6-BA12D427D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5970F4-80F0-4673-9351-D21F7A0D6B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2" name="Picture 71" descr="DFC logo">
          <a:extLst>
            <a:ext uri="{FF2B5EF4-FFF2-40B4-BE49-F238E27FC236}">
              <a16:creationId xmlns:a16="http://schemas.microsoft.com/office/drawing/2014/main" id="{689C6CB6-8E9D-40BE-B4FB-D7E15858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49B03B-26CC-4EB3-99D5-EDCC3FEA62A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4" name="Picture 73" descr="DFC logo">
          <a:extLst>
            <a:ext uri="{FF2B5EF4-FFF2-40B4-BE49-F238E27FC236}">
              <a16:creationId xmlns:a16="http://schemas.microsoft.com/office/drawing/2014/main" id="{C9FF7D34-297B-47EF-941F-9BB0C9EA0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5384E0-0FF3-496A-8E5C-345CF720291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6" name="Picture 75" descr="DFC logo">
          <a:extLst>
            <a:ext uri="{FF2B5EF4-FFF2-40B4-BE49-F238E27FC236}">
              <a16:creationId xmlns:a16="http://schemas.microsoft.com/office/drawing/2014/main" id="{09238BCA-83D3-4E79-A89A-2A9A7CCA6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224B07-4559-4BCA-9C71-4B8203040EC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8" name="Picture 77" descr="DFC logo">
          <a:extLst>
            <a:ext uri="{FF2B5EF4-FFF2-40B4-BE49-F238E27FC236}">
              <a16:creationId xmlns:a16="http://schemas.microsoft.com/office/drawing/2014/main" id="{4419898A-69C7-4C5D-B041-0FDEE330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8B13AF-2F64-4DE4-BC6C-B5926A0D1B5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0" name="Picture 79" descr="DFC logo">
          <a:extLst>
            <a:ext uri="{FF2B5EF4-FFF2-40B4-BE49-F238E27FC236}">
              <a16:creationId xmlns:a16="http://schemas.microsoft.com/office/drawing/2014/main" id="{CC40F68E-F58A-45FE-9998-B9F0ED0C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142F22-A0C6-48FB-8DAF-B2EFAD65B3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2" name="Picture 81" descr="DFC logo">
          <a:extLst>
            <a:ext uri="{FF2B5EF4-FFF2-40B4-BE49-F238E27FC236}">
              <a16:creationId xmlns:a16="http://schemas.microsoft.com/office/drawing/2014/main" id="{940653A5-64F5-4EA2-9073-2C79FDD0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855B63-8B3B-4517-90AA-CE09D26DAFE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4" name="Picture 83" descr="DFC logo">
          <a:extLst>
            <a:ext uri="{FF2B5EF4-FFF2-40B4-BE49-F238E27FC236}">
              <a16:creationId xmlns:a16="http://schemas.microsoft.com/office/drawing/2014/main" id="{74141F02-31C0-446F-9891-83AF460E9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CD4202-FDD5-4C26-9DFA-4AB307A215A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6" name="Picture 85" descr="DFC logo">
          <a:extLst>
            <a:ext uri="{FF2B5EF4-FFF2-40B4-BE49-F238E27FC236}">
              <a16:creationId xmlns:a16="http://schemas.microsoft.com/office/drawing/2014/main" id="{33DBFF1E-8B5F-4CD8-B626-997FD7E9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728B73-5BED-4D0D-8F0C-04708DC2080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8" name="Picture 87" descr="DFC logo">
          <a:extLst>
            <a:ext uri="{FF2B5EF4-FFF2-40B4-BE49-F238E27FC236}">
              <a16:creationId xmlns:a16="http://schemas.microsoft.com/office/drawing/2014/main" id="{306919A4-0DD4-45B4-87D1-B7313D0A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8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E33C41-2A0F-49C4-8033-20A06246E80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0" name="Picture 89" descr="DFC logo">
          <a:extLst>
            <a:ext uri="{FF2B5EF4-FFF2-40B4-BE49-F238E27FC236}">
              <a16:creationId xmlns:a16="http://schemas.microsoft.com/office/drawing/2014/main" id="{AC274203-8947-4400-AFC4-EDFF7792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03FA3F-BA14-4311-B104-CFFFFF33BDD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2" name="Picture 91" descr="DFC logo">
          <a:extLst>
            <a:ext uri="{FF2B5EF4-FFF2-40B4-BE49-F238E27FC236}">
              <a16:creationId xmlns:a16="http://schemas.microsoft.com/office/drawing/2014/main" id="{19CE7768-9C27-45DA-AC72-CA7E251F4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A57E86-E641-4E3C-9927-41D9A98EC89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4" name="Picture 93" descr="DFC logo">
          <a:extLst>
            <a:ext uri="{FF2B5EF4-FFF2-40B4-BE49-F238E27FC236}">
              <a16:creationId xmlns:a16="http://schemas.microsoft.com/office/drawing/2014/main" id="{07368AB5-B104-41B5-A558-91C20FC02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5671EF-5AAD-41F6-B096-8180D025F8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6" name="Picture 95" descr="DFC logo">
          <a:extLst>
            <a:ext uri="{FF2B5EF4-FFF2-40B4-BE49-F238E27FC236}">
              <a16:creationId xmlns:a16="http://schemas.microsoft.com/office/drawing/2014/main" id="{AA932FE9-F654-49E3-A716-24598F39D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C6A5DB-AA58-4B27-9FB3-0C7BF71D55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8" name="Picture 97" descr="DFC logo">
          <a:extLst>
            <a:ext uri="{FF2B5EF4-FFF2-40B4-BE49-F238E27FC236}">
              <a16:creationId xmlns:a16="http://schemas.microsoft.com/office/drawing/2014/main" id="{42F998D4-DC9D-4118-9029-DD451D6C3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BF7E00-A08A-46E6-A20B-A39A2C19A01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0" name="Picture 99" descr="DFC logo">
          <a:extLst>
            <a:ext uri="{FF2B5EF4-FFF2-40B4-BE49-F238E27FC236}">
              <a16:creationId xmlns:a16="http://schemas.microsoft.com/office/drawing/2014/main" id="{635F5863-474E-40C4-A911-26181BC50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3EE793-3492-4A27-A989-7B8B596127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2" name="Picture 101" descr="DFC logo">
          <a:extLst>
            <a:ext uri="{FF2B5EF4-FFF2-40B4-BE49-F238E27FC236}">
              <a16:creationId xmlns:a16="http://schemas.microsoft.com/office/drawing/2014/main" id="{6AEED39C-F631-44A4-AC9F-BB04E6965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AAA586-009D-496A-9002-9DB4B0B2470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4" name="Picture 103" descr="DFC logo">
          <a:extLst>
            <a:ext uri="{FF2B5EF4-FFF2-40B4-BE49-F238E27FC236}">
              <a16:creationId xmlns:a16="http://schemas.microsoft.com/office/drawing/2014/main" id="{DA244798-7564-428E-833E-2EEF0251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109F60-6713-4EB0-BD30-E7D2745DB13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6" name="Picture 105" descr="DFC logo">
          <a:extLst>
            <a:ext uri="{FF2B5EF4-FFF2-40B4-BE49-F238E27FC236}">
              <a16:creationId xmlns:a16="http://schemas.microsoft.com/office/drawing/2014/main" id="{5DA46937-A831-4405-A24D-A8164A65B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C2AEE3-123E-45CF-AA82-D9C36DB81A3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8" name="Picture 107" descr="DFC logo">
          <a:extLst>
            <a:ext uri="{FF2B5EF4-FFF2-40B4-BE49-F238E27FC236}">
              <a16:creationId xmlns:a16="http://schemas.microsoft.com/office/drawing/2014/main" id="{F2F03AA5-4390-4F22-AA2C-14A6598E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0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6DCA94-EA11-488C-9CC8-49477228C6C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0" name="Picture 109" descr="DFC logo">
          <a:extLst>
            <a:ext uri="{FF2B5EF4-FFF2-40B4-BE49-F238E27FC236}">
              <a16:creationId xmlns:a16="http://schemas.microsoft.com/office/drawing/2014/main" id="{72B2A81B-67E3-4A43-B1A4-1C141818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F7C41C-96D2-4525-8200-40974AC06CC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2" name="Picture 111" descr="DFC logo">
          <a:extLst>
            <a:ext uri="{FF2B5EF4-FFF2-40B4-BE49-F238E27FC236}">
              <a16:creationId xmlns:a16="http://schemas.microsoft.com/office/drawing/2014/main" id="{F7B3B7D1-2584-4432-806F-9EA719B0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397650-EA2E-4CEA-8FEA-19818A38E12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4" name="Picture 113" descr="DFC logo">
          <a:extLst>
            <a:ext uri="{FF2B5EF4-FFF2-40B4-BE49-F238E27FC236}">
              <a16:creationId xmlns:a16="http://schemas.microsoft.com/office/drawing/2014/main" id="{8B2653D7-B661-438D-989C-32106536E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5E1007-7200-4523-B79F-3804746938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6" name="Picture 115" descr="DFC logo">
          <a:extLst>
            <a:ext uri="{FF2B5EF4-FFF2-40B4-BE49-F238E27FC236}">
              <a16:creationId xmlns:a16="http://schemas.microsoft.com/office/drawing/2014/main" id="{8F07B0FE-B362-4119-9BEF-11F7F0CA8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83181-5B4C-4BA0-B237-3BA58E591FD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8" name="Picture 117" descr="DFC logo">
          <a:extLst>
            <a:ext uri="{FF2B5EF4-FFF2-40B4-BE49-F238E27FC236}">
              <a16:creationId xmlns:a16="http://schemas.microsoft.com/office/drawing/2014/main" id="{F96CC0CD-E1E4-432E-B956-104F1C489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050C5E-98C8-44D2-A38E-B95433456D2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0" name="Picture 119" descr="DFC logo">
          <a:extLst>
            <a:ext uri="{FF2B5EF4-FFF2-40B4-BE49-F238E27FC236}">
              <a16:creationId xmlns:a16="http://schemas.microsoft.com/office/drawing/2014/main" id="{C6FA08B7-7C9C-49AC-B6B8-2ABBDC3B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9B8B6C-DBFC-48C9-B853-54EE5BD31E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2" name="Picture 121" descr="DFC logo">
          <a:extLst>
            <a:ext uri="{FF2B5EF4-FFF2-40B4-BE49-F238E27FC236}">
              <a16:creationId xmlns:a16="http://schemas.microsoft.com/office/drawing/2014/main" id="{9ECA2D04-4A5B-4E13-9F99-096263951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51B2A0-622F-4BE8-9A75-63419B644D0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4" name="Picture 123" descr="DFC logo">
          <a:extLst>
            <a:ext uri="{FF2B5EF4-FFF2-40B4-BE49-F238E27FC236}">
              <a16:creationId xmlns:a16="http://schemas.microsoft.com/office/drawing/2014/main" id="{B6621C8A-BCE0-4F0B-9C12-49F510991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191E28-E57F-460F-9F11-311D3C1FCFA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6" name="Picture 125" descr="DFC logo">
          <a:extLst>
            <a:ext uri="{FF2B5EF4-FFF2-40B4-BE49-F238E27FC236}">
              <a16:creationId xmlns:a16="http://schemas.microsoft.com/office/drawing/2014/main" id="{DF5FBD2F-1C57-4A89-B303-A32C0CAAC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755AC2-0BAA-4BEB-BB7D-2BE78747FA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8" name="Picture 127" descr="DFC logo">
          <a:extLst>
            <a:ext uri="{FF2B5EF4-FFF2-40B4-BE49-F238E27FC236}">
              <a16:creationId xmlns:a16="http://schemas.microsoft.com/office/drawing/2014/main" id="{84718B3D-1167-4F73-93E9-358F45ABD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2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BC7721-DCE3-4760-BC34-B2A77C275B0D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0" name="Picture 129" descr="DFC logo">
          <a:extLst>
            <a:ext uri="{FF2B5EF4-FFF2-40B4-BE49-F238E27FC236}">
              <a16:creationId xmlns:a16="http://schemas.microsoft.com/office/drawing/2014/main" id="{2C3F73C4-FC83-4410-B9B1-F1A1098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9FB01D-A55A-4616-B02D-845A2073CF2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2" name="Picture 131" descr="DFC logo">
          <a:extLst>
            <a:ext uri="{FF2B5EF4-FFF2-40B4-BE49-F238E27FC236}">
              <a16:creationId xmlns:a16="http://schemas.microsoft.com/office/drawing/2014/main" id="{083253F0-666D-4C61-9961-67CD4FA2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F1242-9BF7-4650-BEF3-661850739DC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4" name="Picture 133" descr="DFC logo">
          <a:extLst>
            <a:ext uri="{FF2B5EF4-FFF2-40B4-BE49-F238E27FC236}">
              <a16:creationId xmlns:a16="http://schemas.microsoft.com/office/drawing/2014/main" id="{44D30B6F-3FD2-4617-B584-5F6F1700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FD404B-DFCE-42E3-94FB-329DEEBA605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6" name="Picture 135" descr="DFC logo">
          <a:extLst>
            <a:ext uri="{FF2B5EF4-FFF2-40B4-BE49-F238E27FC236}">
              <a16:creationId xmlns:a16="http://schemas.microsoft.com/office/drawing/2014/main" id="{A0053A36-4353-4902-98B5-F319F8F0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BB6514-9D84-4AC6-B9E2-43C5457F8A4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38" name="Picture 137" descr="DFC logo">
          <a:extLst>
            <a:ext uri="{FF2B5EF4-FFF2-40B4-BE49-F238E27FC236}">
              <a16:creationId xmlns:a16="http://schemas.microsoft.com/office/drawing/2014/main" id="{4A824D43-2F82-4A1A-B0B9-4799DBBA8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C22715-DE7B-4D1B-9138-2160539569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0" name="Picture 139" descr="DFC logo">
          <a:extLst>
            <a:ext uri="{FF2B5EF4-FFF2-40B4-BE49-F238E27FC236}">
              <a16:creationId xmlns:a16="http://schemas.microsoft.com/office/drawing/2014/main" id="{219C4A1A-2178-4BB3-B5F2-710F2FDBC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662CD5-7FD4-4FB2-8C14-F45C730FF7AE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2" name="Picture 141" descr="DFC logo">
          <a:extLst>
            <a:ext uri="{FF2B5EF4-FFF2-40B4-BE49-F238E27FC236}">
              <a16:creationId xmlns:a16="http://schemas.microsoft.com/office/drawing/2014/main" id="{0BBCC951-50E4-4ADC-9001-13ED3B19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2487D-55DE-4800-BD52-A14319B4D84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4" name="Picture 143" descr="DFC logo">
          <a:extLst>
            <a:ext uri="{FF2B5EF4-FFF2-40B4-BE49-F238E27FC236}">
              <a16:creationId xmlns:a16="http://schemas.microsoft.com/office/drawing/2014/main" id="{49DC69F5-FF08-4842-9CBB-CD06183F5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C196E9-14F2-434E-8A81-0D5BB003F2B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6" name="Picture 145" descr="DFC logo">
          <a:extLst>
            <a:ext uri="{FF2B5EF4-FFF2-40B4-BE49-F238E27FC236}">
              <a16:creationId xmlns:a16="http://schemas.microsoft.com/office/drawing/2014/main" id="{CB2C0EE2-B319-4603-8800-5471787A4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FD8688-BCFB-4C1D-9ACC-E4046579236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48" name="Picture 147" descr="DFC logo">
          <a:extLst>
            <a:ext uri="{FF2B5EF4-FFF2-40B4-BE49-F238E27FC236}">
              <a16:creationId xmlns:a16="http://schemas.microsoft.com/office/drawing/2014/main" id="{06336679-131C-4385-B674-257E1126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4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CFC1B2-7210-49E8-95CD-BD42B14F382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0" name="Picture 149" descr="DFC logo">
          <a:extLst>
            <a:ext uri="{FF2B5EF4-FFF2-40B4-BE49-F238E27FC236}">
              <a16:creationId xmlns:a16="http://schemas.microsoft.com/office/drawing/2014/main" id="{4AB36190-ED75-4455-8131-DB4245E7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EB3D5F-003B-48DA-88D6-717D17B57935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2" name="Picture 151" descr="DFC logo">
          <a:extLst>
            <a:ext uri="{FF2B5EF4-FFF2-40B4-BE49-F238E27FC236}">
              <a16:creationId xmlns:a16="http://schemas.microsoft.com/office/drawing/2014/main" id="{D91AE840-0E0F-4E5A-8807-0862ED9E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F51A40-5F86-4866-9515-A7A66401C017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4" name="Picture 153" descr="DFC logo">
          <a:extLst>
            <a:ext uri="{FF2B5EF4-FFF2-40B4-BE49-F238E27FC236}">
              <a16:creationId xmlns:a16="http://schemas.microsoft.com/office/drawing/2014/main" id="{89F1E2CA-7339-4FD7-84CA-30DB5A50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21ADAC-3F16-4048-BDE6-599E07D346E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6" name="Picture 155" descr="DFC logo">
          <a:extLst>
            <a:ext uri="{FF2B5EF4-FFF2-40B4-BE49-F238E27FC236}">
              <a16:creationId xmlns:a16="http://schemas.microsoft.com/office/drawing/2014/main" id="{DD89A1E0-6DE0-4DCF-AF30-199DB9C6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3D2CC1-D356-4C83-9EDE-BD93B85E3DB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58" name="Picture 157" descr="DFC logo">
          <a:extLst>
            <a:ext uri="{FF2B5EF4-FFF2-40B4-BE49-F238E27FC236}">
              <a16:creationId xmlns:a16="http://schemas.microsoft.com/office/drawing/2014/main" id="{D5E0BEB4-081D-45E4-9D8D-4238127C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5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38BF4B-25B2-40CC-8592-3BB915392FE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0" name="Picture 159" descr="DFC logo">
          <a:extLst>
            <a:ext uri="{FF2B5EF4-FFF2-40B4-BE49-F238E27FC236}">
              <a16:creationId xmlns:a16="http://schemas.microsoft.com/office/drawing/2014/main" id="{6351B4D9-EB6D-4E1C-ACC9-A1DE555B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BF6FB0-789A-4CA1-B92B-851A1F0D21FC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2" name="Picture 161" descr="DFC logo">
          <a:extLst>
            <a:ext uri="{FF2B5EF4-FFF2-40B4-BE49-F238E27FC236}">
              <a16:creationId xmlns:a16="http://schemas.microsoft.com/office/drawing/2014/main" id="{9C2C1229-29E9-4D0C-BFDA-72E56B58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3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AE0421-A604-463E-87F3-D253782B66F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4" name="Picture 163" descr="DFC logo">
          <a:extLst>
            <a:ext uri="{FF2B5EF4-FFF2-40B4-BE49-F238E27FC236}">
              <a16:creationId xmlns:a16="http://schemas.microsoft.com/office/drawing/2014/main" id="{EE90165E-E0F9-40A8-A8EC-FEFEE905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087A8A-2F2E-4F57-9D6E-B5697B03B20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66" name="Picture 165" descr="DFC logo">
          <a:extLst>
            <a:ext uri="{FF2B5EF4-FFF2-40B4-BE49-F238E27FC236}">
              <a16:creationId xmlns:a16="http://schemas.microsoft.com/office/drawing/2014/main" id="{7948CF0C-C3E8-40BC-99A1-37BD7366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67" name="Rounded Rectangle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6E11553-346E-4270-B0F4-4B07E10CCD5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2A10-B4B3-4147-81D7-472C0B94F569}">
  <dimension ref="A1:I90"/>
  <sheetViews>
    <sheetView tabSelected="1" zoomScale="115" zoomScaleNormal="115" workbookViewId="0">
      <selection activeCell="E19" sqref="E19"/>
    </sheetView>
  </sheetViews>
  <sheetFormatPr defaultRowHeight="15" x14ac:dyDescent="0.25"/>
  <cols>
    <col min="1" max="1" width="10.85546875" bestFit="1" customWidth="1"/>
    <col min="2" max="2" width="35" bestFit="1" customWidth="1"/>
    <col min="3" max="3" width="14.5703125" bestFit="1" customWidth="1"/>
    <col min="4" max="4" width="14.28515625" customWidth="1"/>
    <col min="5" max="5" width="14.85546875" customWidth="1"/>
    <col min="6" max="6" width="11.140625" customWidth="1"/>
    <col min="7" max="7" width="13.5703125" customWidth="1"/>
    <col min="8" max="8" width="14.85546875" customWidth="1"/>
  </cols>
  <sheetData>
    <row r="1" spans="1:9" ht="50.1" customHeight="1" x14ac:dyDescent="0.25">
      <c r="A1" s="1" t="s">
        <v>44</v>
      </c>
      <c r="B1" s="67" t="s">
        <v>45</v>
      </c>
      <c r="C1" s="67"/>
      <c r="D1" s="67"/>
      <c r="E1" s="67"/>
      <c r="F1" s="67"/>
      <c r="G1" s="67"/>
      <c r="H1" s="67"/>
      <c r="I1" s="2"/>
    </row>
    <row r="2" spans="1:9" ht="26.25" x14ac:dyDescent="0.25">
      <c r="A2" s="68" t="s">
        <v>46</v>
      </c>
      <c r="B2" s="68"/>
      <c r="C2" s="68"/>
      <c r="D2" s="68"/>
      <c r="E2" s="68"/>
      <c r="F2" s="68"/>
      <c r="G2" s="68"/>
      <c r="H2" s="68"/>
      <c r="I2" s="3"/>
    </row>
    <row r="3" spans="1:9" ht="39.950000000000003" customHeight="1" x14ac:dyDescent="0.25">
      <c r="A3" s="48" t="s">
        <v>47</v>
      </c>
      <c r="B3" s="48" t="s">
        <v>48</v>
      </c>
      <c r="C3" s="48" t="s">
        <v>49</v>
      </c>
      <c r="D3" s="48" t="s">
        <v>50</v>
      </c>
      <c r="E3" s="48" t="s">
        <v>51</v>
      </c>
      <c r="F3" s="48" t="s">
        <v>52</v>
      </c>
      <c r="G3" s="48" t="s">
        <v>53</v>
      </c>
      <c r="H3" s="48" t="s">
        <v>54</v>
      </c>
      <c r="I3" s="4" t="s">
        <v>55</v>
      </c>
    </row>
    <row r="4" spans="1:9" x14ac:dyDescent="0.25">
      <c r="A4" s="49">
        <v>1</v>
      </c>
      <c r="B4" s="49" t="s">
        <v>43</v>
      </c>
      <c r="C4" s="49">
        <v>3101</v>
      </c>
      <c r="D4" s="50">
        <f>'3101'!E6</f>
        <v>100</v>
      </c>
      <c r="E4" s="50">
        <f>'3101'!F6</f>
        <v>0</v>
      </c>
      <c r="F4" s="50">
        <f>'3101'!G6</f>
        <v>72</v>
      </c>
      <c r="G4" s="50">
        <f>'3101'!H6</f>
        <v>28</v>
      </c>
      <c r="H4" s="49" t="s">
        <v>398</v>
      </c>
      <c r="I4" s="49"/>
    </row>
    <row r="5" spans="1:9" x14ac:dyDescent="0.25">
      <c r="A5" s="49">
        <v>2</v>
      </c>
      <c r="B5" s="49" t="s">
        <v>42</v>
      </c>
      <c r="C5" s="49">
        <v>3104</v>
      </c>
      <c r="D5" s="50">
        <f>'3104'!E6</f>
        <v>50</v>
      </c>
      <c r="E5" s="50">
        <f>'3104'!F6</f>
        <v>0</v>
      </c>
      <c r="F5" s="50">
        <f>'3104'!G6</f>
        <v>25</v>
      </c>
      <c r="G5" s="50">
        <f>'3104'!H6</f>
        <v>25</v>
      </c>
      <c r="H5" s="49" t="s">
        <v>398</v>
      </c>
      <c r="I5" s="49"/>
    </row>
    <row r="6" spans="1:9" x14ac:dyDescent="0.25">
      <c r="A6" s="49">
        <v>3</v>
      </c>
      <c r="B6" s="49" t="s">
        <v>41</v>
      </c>
      <c r="C6" s="49">
        <v>3107</v>
      </c>
      <c r="D6" s="50">
        <f>'3107'!E6</f>
        <v>4</v>
      </c>
      <c r="E6" s="50">
        <f>'3107'!F6</f>
        <v>0</v>
      </c>
      <c r="F6" s="50">
        <f>'3107'!G6</f>
        <v>2</v>
      </c>
      <c r="G6" s="50">
        <f>'3107'!H6</f>
        <v>2</v>
      </c>
      <c r="H6" s="49" t="s">
        <v>398</v>
      </c>
      <c r="I6" s="49"/>
    </row>
    <row r="7" spans="1:9" x14ac:dyDescent="0.25">
      <c r="A7" s="49">
        <v>4</v>
      </c>
      <c r="B7" s="49" t="s">
        <v>40</v>
      </c>
      <c r="C7" s="49">
        <v>3109</v>
      </c>
      <c r="D7" s="50">
        <f>'3109'!E6</f>
        <v>4</v>
      </c>
      <c r="E7" s="50">
        <f>'3109'!F6</f>
        <v>0</v>
      </c>
      <c r="F7" s="50">
        <f>'3109'!G6</f>
        <v>2</v>
      </c>
      <c r="G7" s="50">
        <f>'3109'!H6</f>
        <v>2</v>
      </c>
      <c r="H7" s="49" t="s">
        <v>398</v>
      </c>
      <c r="I7" s="49"/>
    </row>
    <row r="8" spans="1:9" x14ac:dyDescent="0.25">
      <c r="A8" s="49">
        <v>5</v>
      </c>
      <c r="B8" s="49" t="s">
        <v>39</v>
      </c>
      <c r="C8" s="49">
        <v>3114</v>
      </c>
      <c r="D8" s="50">
        <f>'3114'!E6</f>
        <v>4</v>
      </c>
      <c r="E8" s="50">
        <f>'3114'!F6</f>
        <v>0</v>
      </c>
      <c r="F8" s="50">
        <f>'3114'!G6</f>
        <v>2</v>
      </c>
      <c r="G8" s="50">
        <f>'3114'!H6</f>
        <v>2</v>
      </c>
      <c r="H8" s="49" t="s">
        <v>398</v>
      </c>
      <c r="I8" s="49"/>
    </row>
    <row r="9" spans="1:9" x14ac:dyDescent="0.25">
      <c r="A9" s="49">
        <v>6</v>
      </c>
      <c r="B9" s="49" t="s">
        <v>38</v>
      </c>
      <c r="C9" s="49">
        <v>3116</v>
      </c>
      <c r="D9" s="50">
        <f>'3116'!E6</f>
        <v>2</v>
      </c>
      <c r="E9" s="50">
        <f>'3116'!F6</f>
        <v>0</v>
      </c>
      <c r="F9" s="50">
        <f>'3116'!G6</f>
        <v>1</v>
      </c>
      <c r="G9" s="50">
        <f>'3116'!H6</f>
        <v>1</v>
      </c>
      <c r="H9" s="49" t="s">
        <v>398</v>
      </c>
      <c r="I9" s="49"/>
    </row>
    <row r="10" spans="1:9" x14ac:dyDescent="0.25">
      <c r="A10" s="49">
        <v>7</v>
      </c>
      <c r="B10" s="49" t="s">
        <v>37</v>
      </c>
      <c r="C10" s="49">
        <v>3119</v>
      </c>
      <c r="D10" s="50">
        <f>'3119'!E6</f>
        <v>2</v>
      </c>
      <c r="E10" s="50">
        <f>'3119'!F6</f>
        <v>0</v>
      </c>
      <c r="F10" s="50">
        <f>'3119'!G6</f>
        <v>1</v>
      </c>
      <c r="G10" s="50">
        <f>'3119'!H6</f>
        <v>1</v>
      </c>
      <c r="H10" s="49" t="s">
        <v>398</v>
      </c>
      <c r="I10" s="49"/>
    </row>
    <row r="11" spans="1:9" x14ac:dyDescent="0.25">
      <c r="A11" s="49">
        <v>8</v>
      </c>
      <c r="B11" s="49" t="s">
        <v>36</v>
      </c>
      <c r="C11" s="49">
        <v>3122</v>
      </c>
      <c r="D11" s="50">
        <f>'3122'!E6</f>
        <v>4</v>
      </c>
      <c r="E11" s="50">
        <f>'3122'!F6</f>
        <v>0</v>
      </c>
      <c r="F11" s="50">
        <f>'3122'!G6</f>
        <v>1</v>
      </c>
      <c r="G11" s="50">
        <f>'3122'!H6</f>
        <v>3</v>
      </c>
      <c r="H11" s="49" t="s">
        <v>398</v>
      </c>
      <c r="I11" s="49"/>
    </row>
    <row r="12" spans="1:9" x14ac:dyDescent="0.25">
      <c r="A12" s="49">
        <v>9</v>
      </c>
      <c r="B12" s="49" t="s">
        <v>35</v>
      </c>
      <c r="C12" s="49">
        <v>3125</v>
      </c>
      <c r="D12" s="50">
        <f>'3125'!E6</f>
        <v>3</v>
      </c>
      <c r="E12" s="50">
        <f>'3125'!F6</f>
        <v>0</v>
      </c>
      <c r="F12" s="50">
        <f>'3125'!G6</f>
        <v>1</v>
      </c>
      <c r="G12" s="50">
        <f>'3125'!H6</f>
        <v>2</v>
      </c>
      <c r="H12" s="49" t="s">
        <v>398</v>
      </c>
      <c r="I12" s="49"/>
    </row>
    <row r="13" spans="1:9" x14ac:dyDescent="0.25">
      <c r="A13" s="49">
        <v>10</v>
      </c>
      <c r="B13" s="49" t="s">
        <v>34</v>
      </c>
      <c r="C13" s="49">
        <v>3131</v>
      </c>
      <c r="D13" s="50">
        <f>'3131'!E6</f>
        <v>10</v>
      </c>
      <c r="E13" s="50">
        <f>'3131'!F6</f>
        <v>0</v>
      </c>
      <c r="F13" s="50">
        <f>'3131'!G6</f>
        <v>7</v>
      </c>
      <c r="G13" s="50">
        <f>'3131'!H6</f>
        <v>3</v>
      </c>
      <c r="H13" s="49" t="s">
        <v>398</v>
      </c>
      <c r="I13" s="49"/>
    </row>
    <row r="14" spans="1:9" x14ac:dyDescent="0.25">
      <c r="A14" s="49">
        <v>11</v>
      </c>
      <c r="B14" s="49" t="s">
        <v>33</v>
      </c>
      <c r="C14" s="52">
        <v>3134</v>
      </c>
      <c r="D14" s="50">
        <f>'3134'!E6</f>
        <v>100</v>
      </c>
      <c r="E14" s="50">
        <f>'3134'!F6</f>
        <v>0</v>
      </c>
      <c r="F14" s="50">
        <f>'3134'!G6</f>
        <v>67</v>
      </c>
      <c r="G14" s="50">
        <f>'3134'!H6</f>
        <v>33</v>
      </c>
      <c r="H14" s="49" t="s">
        <v>398</v>
      </c>
      <c r="I14" s="49"/>
    </row>
    <row r="15" spans="1:9" x14ac:dyDescent="0.25">
      <c r="A15" s="49">
        <v>12</v>
      </c>
      <c r="B15" s="49" t="s">
        <v>32</v>
      </c>
      <c r="C15" s="49">
        <v>3138</v>
      </c>
      <c r="D15" s="50">
        <f>'3138'!E6</f>
        <v>100</v>
      </c>
      <c r="E15" s="50">
        <f>'3138'!F6</f>
        <v>0</v>
      </c>
      <c r="F15" s="50">
        <f>'3138'!G6</f>
        <v>60</v>
      </c>
      <c r="G15" s="50">
        <f>'3138'!H6</f>
        <v>40</v>
      </c>
      <c r="H15" s="49" t="s">
        <v>398</v>
      </c>
      <c r="I15" s="49"/>
    </row>
    <row r="16" spans="1:9" x14ac:dyDescent="0.25">
      <c r="A16" s="49">
        <v>13</v>
      </c>
      <c r="B16" s="49" t="s">
        <v>31</v>
      </c>
      <c r="C16" s="49">
        <v>3142</v>
      </c>
      <c r="D16" s="50">
        <f>'3142'!E6</f>
        <v>100</v>
      </c>
      <c r="E16" s="50">
        <f>'3142'!F6</f>
        <v>0</v>
      </c>
      <c r="F16" s="50">
        <f>'3142'!G6</f>
        <v>65</v>
      </c>
      <c r="G16" s="50">
        <f>'3142'!H6</f>
        <v>35</v>
      </c>
      <c r="H16" s="49" t="s">
        <v>398</v>
      </c>
      <c r="I16" s="49"/>
    </row>
    <row r="17" spans="1:9" x14ac:dyDescent="0.25">
      <c r="A17" s="49">
        <v>14</v>
      </c>
      <c r="B17" s="49" t="s">
        <v>30</v>
      </c>
      <c r="C17" s="49">
        <v>3145</v>
      </c>
      <c r="D17" s="50">
        <f>'3145'!E6</f>
        <v>5</v>
      </c>
      <c r="E17" s="50">
        <f>'3145'!F6</f>
        <v>0</v>
      </c>
      <c r="F17" s="50">
        <f>'3145'!G6</f>
        <v>5</v>
      </c>
      <c r="G17" s="50">
        <f>'3145'!H6</f>
        <v>0</v>
      </c>
      <c r="H17" s="49" t="s">
        <v>398</v>
      </c>
      <c r="I17" s="49"/>
    </row>
    <row r="18" spans="1:9" x14ac:dyDescent="0.25">
      <c r="A18" s="49">
        <v>15</v>
      </c>
      <c r="B18" s="49" t="s">
        <v>29</v>
      </c>
      <c r="C18" s="49">
        <v>3147</v>
      </c>
      <c r="D18" s="50">
        <f>'3147'!E6</f>
        <v>50</v>
      </c>
      <c r="E18" s="50">
        <f>'3147'!F6</f>
        <v>0</v>
      </c>
      <c r="F18" s="50">
        <f>'3147'!G6</f>
        <v>25</v>
      </c>
      <c r="G18" s="50">
        <f>'3147'!H6</f>
        <v>25</v>
      </c>
      <c r="H18" s="49" t="s">
        <v>398</v>
      </c>
      <c r="I18" s="49"/>
    </row>
    <row r="19" spans="1:9" x14ac:dyDescent="0.25">
      <c r="A19" s="49">
        <v>16</v>
      </c>
      <c r="B19" s="49" t="s">
        <v>28</v>
      </c>
      <c r="C19" s="49">
        <v>3150</v>
      </c>
      <c r="D19" s="50">
        <f>'3150'!E6</f>
        <v>20</v>
      </c>
      <c r="E19" s="50">
        <f>'3150'!F6</f>
        <v>0</v>
      </c>
      <c r="F19" s="50">
        <f>'3150'!G6</f>
        <v>10</v>
      </c>
      <c r="G19" s="50">
        <f>'3150'!H6</f>
        <v>10</v>
      </c>
      <c r="H19" s="49" t="s">
        <v>398</v>
      </c>
      <c r="I19" s="49"/>
    </row>
    <row r="20" spans="1:9" x14ac:dyDescent="0.25">
      <c r="A20" s="49">
        <v>17</v>
      </c>
      <c r="B20" s="49" t="s">
        <v>27</v>
      </c>
      <c r="C20" s="49">
        <v>3153</v>
      </c>
      <c r="D20" s="50">
        <f>'3153'!E6</f>
        <v>50</v>
      </c>
      <c r="E20" s="50">
        <f>'3153'!F6</f>
        <v>0</v>
      </c>
      <c r="F20" s="50">
        <f>'3153'!G6</f>
        <v>25</v>
      </c>
      <c r="G20" s="50">
        <f>'3153'!H6</f>
        <v>25</v>
      </c>
      <c r="H20" s="49" t="s">
        <v>398</v>
      </c>
      <c r="I20" s="49"/>
    </row>
    <row r="21" spans="1:9" x14ac:dyDescent="0.25">
      <c r="A21" s="49">
        <v>18</v>
      </c>
      <c r="B21" s="49" t="s">
        <v>26</v>
      </c>
      <c r="C21" s="49">
        <v>3156</v>
      </c>
      <c r="D21" s="50">
        <f>'3156'!E6</f>
        <v>100</v>
      </c>
      <c r="E21" s="50">
        <f>'3156'!F6</f>
        <v>0</v>
      </c>
      <c r="F21" s="50">
        <f>'3156'!G6</f>
        <v>60</v>
      </c>
      <c r="G21" s="50">
        <f>'3156'!H6</f>
        <v>40</v>
      </c>
      <c r="H21" s="49" t="s">
        <v>398</v>
      </c>
      <c r="I21" s="49"/>
    </row>
    <row r="22" spans="1:9" x14ac:dyDescent="0.25">
      <c r="A22" s="49">
        <v>19</v>
      </c>
      <c r="B22" s="49" t="s">
        <v>25</v>
      </c>
      <c r="C22" s="49">
        <v>3159</v>
      </c>
      <c r="D22" s="50">
        <f>'3159'!E6</f>
        <v>14</v>
      </c>
      <c r="E22" s="50">
        <f>'3159'!F6</f>
        <v>0</v>
      </c>
      <c r="F22" s="50">
        <f>'3159'!G6</f>
        <v>7</v>
      </c>
      <c r="G22" s="50">
        <f>'3159'!H6</f>
        <v>7</v>
      </c>
      <c r="H22" s="49" t="s">
        <v>398</v>
      </c>
      <c r="I22" s="49"/>
    </row>
    <row r="23" spans="1:9" x14ac:dyDescent="0.25">
      <c r="A23" s="49">
        <v>20</v>
      </c>
      <c r="B23" s="49" t="s">
        <v>24</v>
      </c>
      <c r="C23" s="49">
        <v>3160</v>
      </c>
      <c r="D23" s="50">
        <f>'3160'!E6</f>
        <v>1</v>
      </c>
      <c r="E23" s="50">
        <f>'3160'!F6</f>
        <v>0</v>
      </c>
      <c r="F23" s="50">
        <f>'3160'!G6</f>
        <v>1</v>
      </c>
      <c r="G23" s="50">
        <f>'3160'!H6</f>
        <v>0</v>
      </c>
      <c r="H23" s="49" t="s">
        <v>398</v>
      </c>
      <c r="I23" s="49"/>
    </row>
    <row r="24" spans="1:9" x14ac:dyDescent="0.25">
      <c r="A24" s="49">
        <v>21</v>
      </c>
      <c r="B24" s="49" t="s">
        <v>23</v>
      </c>
      <c r="C24" s="49">
        <v>3161</v>
      </c>
      <c r="D24" s="50">
        <f>'3161'!E6</f>
        <v>40</v>
      </c>
      <c r="E24" s="50">
        <f>'3161'!F6</f>
        <v>0</v>
      </c>
      <c r="F24" s="50">
        <f>'3161'!G6</f>
        <v>20</v>
      </c>
      <c r="G24" s="50">
        <f>'3161'!H6</f>
        <v>20</v>
      </c>
      <c r="H24" s="49" t="s">
        <v>398</v>
      </c>
      <c r="I24" s="49"/>
    </row>
    <row r="25" spans="1:9" x14ac:dyDescent="0.25">
      <c r="A25" s="49">
        <v>22</v>
      </c>
      <c r="B25" s="49" t="s">
        <v>22</v>
      </c>
      <c r="C25" s="49">
        <v>3162</v>
      </c>
      <c r="D25" s="50">
        <f>'3162'!E6</f>
        <v>5</v>
      </c>
      <c r="E25" s="50">
        <f>'3162'!F6</f>
        <v>0</v>
      </c>
      <c r="F25" s="50">
        <f>'3162'!G6</f>
        <v>2</v>
      </c>
      <c r="G25" s="50">
        <f>'3162'!H6</f>
        <v>3</v>
      </c>
      <c r="H25" s="49" t="s">
        <v>398</v>
      </c>
      <c r="I25" s="49"/>
    </row>
    <row r="26" spans="1:9" x14ac:dyDescent="0.25">
      <c r="A26" s="49">
        <v>23</v>
      </c>
      <c r="B26" s="49" t="s">
        <v>21</v>
      </c>
      <c r="C26" s="49">
        <v>3163</v>
      </c>
      <c r="D26" s="50">
        <f>'3163'!E6</f>
        <v>10</v>
      </c>
      <c r="E26" s="50">
        <f>'3163'!F6</f>
        <v>0</v>
      </c>
      <c r="F26" s="50">
        <f>'3163'!G6</f>
        <v>4</v>
      </c>
      <c r="G26" s="50">
        <f>'3163'!H6</f>
        <v>6</v>
      </c>
      <c r="H26" s="49" t="s">
        <v>398</v>
      </c>
      <c r="I26" s="49"/>
    </row>
    <row r="27" spans="1:9" x14ac:dyDescent="0.25">
      <c r="A27" s="49">
        <v>24</v>
      </c>
      <c r="B27" s="49" t="s">
        <v>20</v>
      </c>
      <c r="C27" s="49">
        <v>3164</v>
      </c>
      <c r="D27" s="50">
        <f>'3164'!E6</f>
        <v>20</v>
      </c>
      <c r="E27" s="50">
        <f>'3164'!F6</f>
        <v>0</v>
      </c>
      <c r="F27" s="50">
        <f>'3164'!G6</f>
        <v>10</v>
      </c>
      <c r="G27" s="50">
        <f>'3164'!H6</f>
        <v>10</v>
      </c>
      <c r="H27" s="49" t="s">
        <v>398</v>
      </c>
      <c r="I27" s="49"/>
    </row>
    <row r="28" spans="1:9" x14ac:dyDescent="0.25">
      <c r="A28" s="49">
        <v>25</v>
      </c>
      <c r="B28" s="49" t="s">
        <v>19</v>
      </c>
      <c r="C28" s="49">
        <v>3165</v>
      </c>
      <c r="D28" s="50">
        <f>'3165'!E6</f>
        <v>10</v>
      </c>
      <c r="E28" s="50">
        <f>'3165'!F6</f>
        <v>0</v>
      </c>
      <c r="F28" s="50">
        <f>'3165'!G6</f>
        <v>4</v>
      </c>
      <c r="G28" s="50">
        <f>'3165'!H6</f>
        <v>6</v>
      </c>
      <c r="H28" s="49" t="s">
        <v>398</v>
      </c>
      <c r="I28" s="49"/>
    </row>
    <row r="29" spans="1:9" x14ac:dyDescent="0.25">
      <c r="A29" s="49">
        <v>26</v>
      </c>
      <c r="B29" s="49" t="s">
        <v>18</v>
      </c>
      <c r="C29" s="49">
        <v>3168</v>
      </c>
      <c r="D29" s="50">
        <f>'3168'!E6</f>
        <v>2</v>
      </c>
      <c r="E29" s="50">
        <f>'3168'!F6</f>
        <v>0</v>
      </c>
      <c r="F29" s="50">
        <f>'3168'!G6</f>
        <v>1</v>
      </c>
      <c r="G29" s="50">
        <f>'3168'!H6</f>
        <v>1</v>
      </c>
      <c r="H29" s="49" t="s">
        <v>398</v>
      </c>
      <c r="I29" s="49"/>
    </row>
    <row r="30" spans="1:9" x14ac:dyDescent="0.25">
      <c r="A30" s="49">
        <v>27</v>
      </c>
      <c r="B30" s="49" t="s">
        <v>17</v>
      </c>
      <c r="C30" s="49">
        <v>3169</v>
      </c>
      <c r="D30" s="50">
        <f>'3169'!E6</f>
        <v>10</v>
      </c>
      <c r="E30" s="50">
        <f>'3169'!F6</f>
        <v>0</v>
      </c>
      <c r="F30" s="50">
        <f>'3169'!G6</f>
        <v>4</v>
      </c>
      <c r="G30" s="50">
        <f>'3169'!H6</f>
        <v>6</v>
      </c>
      <c r="H30" s="49" t="s">
        <v>398</v>
      </c>
      <c r="I30" s="49"/>
    </row>
    <row r="31" spans="1:9" x14ac:dyDescent="0.25">
      <c r="A31" s="49">
        <v>28</v>
      </c>
      <c r="B31" s="49" t="s">
        <v>16</v>
      </c>
      <c r="C31" s="49">
        <v>3170</v>
      </c>
      <c r="D31" s="50">
        <f>'3170'!E6</f>
        <v>50</v>
      </c>
      <c r="E31" s="50">
        <f>'3170'!F6</f>
        <v>0</v>
      </c>
      <c r="F31" s="50">
        <f>'3170'!G6</f>
        <v>29</v>
      </c>
      <c r="G31" s="50">
        <f>'3170'!H6</f>
        <v>21</v>
      </c>
      <c r="H31" s="49" t="s">
        <v>398</v>
      </c>
      <c r="I31" s="49"/>
    </row>
    <row r="32" spans="1:9" x14ac:dyDescent="0.25">
      <c r="A32" s="49">
        <v>29</v>
      </c>
      <c r="B32" s="49" t="s">
        <v>15</v>
      </c>
      <c r="C32" s="49">
        <v>3172</v>
      </c>
      <c r="D32" s="50">
        <f>'3172'!E6</f>
        <v>50</v>
      </c>
      <c r="E32" s="50">
        <f>'3172'!F6</f>
        <v>0</v>
      </c>
      <c r="F32" s="50">
        <f>'3170'!G6</f>
        <v>29</v>
      </c>
      <c r="G32" s="50">
        <f>'3172'!H6</f>
        <v>25</v>
      </c>
      <c r="H32" s="49" t="s">
        <v>398</v>
      </c>
      <c r="I32" s="49"/>
    </row>
    <row r="33" spans="1:9" x14ac:dyDescent="0.25">
      <c r="A33" s="49">
        <v>30</v>
      </c>
      <c r="B33" s="49" t="s">
        <v>14</v>
      </c>
      <c r="C33" s="49">
        <v>3174</v>
      </c>
      <c r="D33" s="50">
        <f>'3174'!E6</f>
        <v>5</v>
      </c>
      <c r="E33" s="50">
        <f>'3174'!F6</f>
        <v>0</v>
      </c>
      <c r="F33" s="50">
        <f>'3174'!G6</f>
        <v>2</v>
      </c>
      <c r="G33" s="50">
        <f>'3174'!H6</f>
        <v>3</v>
      </c>
      <c r="H33" s="49" t="s">
        <v>398</v>
      </c>
      <c r="I33" s="49"/>
    </row>
    <row r="34" spans="1:9" x14ac:dyDescent="0.25">
      <c r="A34" s="49">
        <v>31</v>
      </c>
      <c r="B34" s="49" t="s">
        <v>13</v>
      </c>
      <c r="C34" s="49">
        <v>3175</v>
      </c>
      <c r="D34" s="50">
        <f>'3175'!E6</f>
        <v>5</v>
      </c>
      <c r="E34" s="50">
        <f>'3175'!F6</f>
        <v>0</v>
      </c>
      <c r="F34" s="50">
        <f>'3175'!G6</f>
        <v>3</v>
      </c>
      <c r="G34" s="50">
        <f>'3175'!H6</f>
        <v>2</v>
      </c>
      <c r="H34" s="49" t="s">
        <v>398</v>
      </c>
      <c r="I34" s="49"/>
    </row>
    <row r="35" spans="1:9" x14ac:dyDescent="0.25">
      <c r="A35" s="49">
        <v>32</v>
      </c>
      <c r="B35" s="49" t="s">
        <v>12</v>
      </c>
      <c r="C35" s="49">
        <v>3177</v>
      </c>
      <c r="D35" s="50">
        <f>'3177'!E6</f>
        <v>2</v>
      </c>
      <c r="E35" s="50">
        <f>'3177'!F6</f>
        <v>0</v>
      </c>
      <c r="F35" s="50">
        <f>'3177'!G6</f>
        <v>0</v>
      </c>
      <c r="G35" s="50">
        <f>'3177'!H6</f>
        <v>2</v>
      </c>
      <c r="H35" s="49" t="s">
        <v>398</v>
      </c>
      <c r="I35" s="49"/>
    </row>
    <row r="36" spans="1:9" x14ac:dyDescent="0.25">
      <c r="A36" s="49">
        <v>33</v>
      </c>
      <c r="B36" s="49" t="s">
        <v>11</v>
      </c>
      <c r="C36" s="49">
        <v>3179</v>
      </c>
      <c r="D36" s="50">
        <f>'3179'!E6</f>
        <v>2</v>
      </c>
      <c r="E36" s="50">
        <f>'3179'!F6</f>
        <v>0</v>
      </c>
      <c r="F36" s="50">
        <f>'3179'!G6</f>
        <v>1</v>
      </c>
      <c r="G36" s="50">
        <f>'3179'!H6</f>
        <v>1</v>
      </c>
      <c r="H36" s="49" t="s">
        <v>398</v>
      </c>
      <c r="I36" s="49"/>
    </row>
    <row r="37" spans="1:9" x14ac:dyDescent="0.25">
      <c r="A37" s="49">
        <v>34</v>
      </c>
      <c r="B37" s="49" t="s">
        <v>10</v>
      </c>
      <c r="C37" s="49">
        <v>3180</v>
      </c>
      <c r="D37" s="50">
        <f>'3180'!E6</f>
        <v>2</v>
      </c>
      <c r="E37" s="50">
        <f>'3180'!F6</f>
        <v>0</v>
      </c>
      <c r="F37" s="50">
        <f>'3180'!G6</f>
        <v>0</v>
      </c>
      <c r="G37" s="50">
        <f>'3180'!H6</f>
        <v>2</v>
      </c>
      <c r="H37" s="49" t="s">
        <v>398</v>
      </c>
      <c r="I37" s="49"/>
    </row>
    <row r="38" spans="1:9" x14ac:dyDescent="0.25">
      <c r="A38" s="49">
        <v>35</v>
      </c>
      <c r="B38" s="49" t="s">
        <v>9</v>
      </c>
      <c r="C38" s="49">
        <v>3181</v>
      </c>
      <c r="D38" s="50">
        <f>'3181'!E6</f>
        <v>10</v>
      </c>
      <c r="E38" s="50">
        <f>'3181'!F6</f>
        <v>0</v>
      </c>
      <c r="F38" s="50">
        <f>'3181'!G6</f>
        <v>7</v>
      </c>
      <c r="G38" s="50">
        <f>'3181'!H6</f>
        <v>3</v>
      </c>
      <c r="H38" s="49" t="s">
        <v>398</v>
      </c>
      <c r="I38" s="49"/>
    </row>
    <row r="39" spans="1:9" x14ac:dyDescent="0.25">
      <c r="A39" s="49">
        <v>36</v>
      </c>
      <c r="B39" s="49" t="s">
        <v>8</v>
      </c>
      <c r="C39" s="49">
        <v>3183</v>
      </c>
      <c r="D39" s="50">
        <f>'3183'!E6</f>
        <v>10</v>
      </c>
      <c r="E39" s="50">
        <f>'3183'!F6</f>
        <v>0</v>
      </c>
      <c r="F39" s="50">
        <f>'3183'!G6</f>
        <v>7</v>
      </c>
      <c r="G39" s="50">
        <f>'3183'!H6</f>
        <v>3</v>
      </c>
      <c r="H39" s="49" t="s">
        <v>398</v>
      </c>
      <c r="I39" s="49"/>
    </row>
    <row r="40" spans="1:9" x14ac:dyDescent="0.25">
      <c r="A40" s="49">
        <v>37</v>
      </c>
      <c r="B40" s="49" t="s">
        <v>7</v>
      </c>
      <c r="C40" s="49">
        <v>3185</v>
      </c>
      <c r="D40" s="50">
        <f>'3185'!E6</f>
        <v>5</v>
      </c>
      <c r="E40" s="50">
        <f>'3185'!F6</f>
        <v>0</v>
      </c>
      <c r="F40" s="50">
        <f>'3185'!G6</f>
        <v>3</v>
      </c>
      <c r="G40" s="50">
        <f>'3185'!H6</f>
        <v>2</v>
      </c>
      <c r="H40" s="49" t="s">
        <v>398</v>
      </c>
      <c r="I40" s="49"/>
    </row>
    <row r="41" spans="1:9" x14ac:dyDescent="0.25">
      <c r="A41" s="49">
        <v>38</v>
      </c>
      <c r="B41" s="49" t="s">
        <v>6</v>
      </c>
      <c r="C41" s="49">
        <v>3186</v>
      </c>
      <c r="D41" s="50">
        <f>'3186'!E6</f>
        <v>10</v>
      </c>
      <c r="E41" s="50">
        <f>'3186'!F6</f>
        <v>0</v>
      </c>
      <c r="F41" s="50">
        <f>'3186'!G6</f>
        <v>7</v>
      </c>
      <c r="G41" s="50">
        <f>'3186'!H6</f>
        <v>3</v>
      </c>
      <c r="H41" s="49" t="s">
        <v>398</v>
      </c>
      <c r="I41" s="49"/>
    </row>
    <row r="42" spans="1:9" x14ac:dyDescent="0.25">
      <c r="A42" s="49">
        <v>39</v>
      </c>
      <c r="B42" s="49" t="s">
        <v>5</v>
      </c>
      <c r="C42" s="49">
        <v>3187</v>
      </c>
      <c r="D42" s="50">
        <f>'3187'!E6</f>
        <v>25</v>
      </c>
      <c r="E42" s="50">
        <f>'3187'!F6</f>
        <v>0</v>
      </c>
      <c r="F42" s="50">
        <f>'3187'!G6</f>
        <v>14</v>
      </c>
      <c r="G42" s="50">
        <f>'3187'!H6</f>
        <v>11</v>
      </c>
      <c r="H42" s="49" t="s">
        <v>398</v>
      </c>
      <c r="I42" s="49"/>
    </row>
    <row r="43" spans="1:9" x14ac:dyDescent="0.25">
      <c r="A43" s="49">
        <v>40</v>
      </c>
      <c r="B43" s="49" t="s">
        <v>4</v>
      </c>
      <c r="C43" s="49">
        <v>3188</v>
      </c>
      <c r="D43" s="50">
        <f>'3188'!E6</f>
        <v>10</v>
      </c>
      <c r="E43" s="50">
        <f>'3188'!F6</f>
        <v>0</v>
      </c>
      <c r="F43" s="50">
        <f>'3188'!G6</f>
        <v>7</v>
      </c>
      <c r="G43" s="50">
        <f>'3188'!H6</f>
        <v>3</v>
      </c>
      <c r="H43" s="49" t="s">
        <v>398</v>
      </c>
      <c r="I43" s="49"/>
    </row>
    <row r="44" spans="1:9" x14ac:dyDescent="0.25">
      <c r="A44" s="49">
        <v>41</v>
      </c>
      <c r="B44" s="49" t="s">
        <v>3</v>
      </c>
      <c r="C44" s="49">
        <v>3189</v>
      </c>
      <c r="D44" s="50">
        <f>'3189'!E6</f>
        <v>10</v>
      </c>
      <c r="E44" s="50">
        <f>'3189'!F6</f>
        <v>0</v>
      </c>
      <c r="F44" s="50">
        <f>'3189'!G6</f>
        <v>7</v>
      </c>
      <c r="G44" s="50">
        <f>'3189'!H6</f>
        <v>3</v>
      </c>
      <c r="H44" s="49" t="s">
        <v>398</v>
      </c>
      <c r="I44" s="49"/>
    </row>
    <row r="45" spans="1:9" x14ac:dyDescent="0.25">
      <c r="A45" s="49">
        <v>42</v>
      </c>
      <c r="B45" s="49" t="s">
        <v>355</v>
      </c>
      <c r="C45" s="49">
        <v>3190</v>
      </c>
      <c r="D45" s="50">
        <f>'3190'!E6</f>
        <v>1</v>
      </c>
      <c r="E45" s="50">
        <f>'3190'!F6</f>
        <v>0</v>
      </c>
      <c r="F45" s="50">
        <f>'3190'!G6</f>
        <v>0</v>
      </c>
      <c r="G45" s="50">
        <f>'3190'!H6</f>
        <v>1</v>
      </c>
      <c r="H45" s="49" t="s">
        <v>398</v>
      </c>
      <c r="I45" s="49"/>
    </row>
    <row r="46" spans="1:9" x14ac:dyDescent="0.25">
      <c r="A46" s="49">
        <v>43</v>
      </c>
      <c r="B46" s="49" t="s">
        <v>2</v>
      </c>
      <c r="C46" s="49">
        <v>3191</v>
      </c>
      <c r="D46" s="50">
        <f>'3191'!E6</f>
        <v>4</v>
      </c>
      <c r="E46" s="50">
        <f>-'3191'!F6</f>
        <v>0</v>
      </c>
      <c r="F46" s="50">
        <f>'3191'!G6</f>
        <v>0</v>
      </c>
      <c r="G46" s="50">
        <f>'3191'!H6</f>
        <v>4</v>
      </c>
      <c r="H46" s="49" t="s">
        <v>398</v>
      </c>
      <c r="I46" s="49"/>
    </row>
    <row r="47" spans="1:9" x14ac:dyDescent="0.25">
      <c r="A47" s="49">
        <v>44</v>
      </c>
      <c r="B47" s="49" t="s">
        <v>1</v>
      </c>
      <c r="C47" s="49">
        <v>3194</v>
      </c>
      <c r="D47" s="50">
        <f>'3194'!E6</f>
        <v>62</v>
      </c>
      <c r="E47" s="50">
        <f>'3194'!F6</f>
        <v>17</v>
      </c>
      <c r="F47" s="50">
        <f>'3194'!G6</f>
        <v>28</v>
      </c>
      <c r="G47" s="50">
        <f>'3194'!H6</f>
        <v>17</v>
      </c>
      <c r="H47" s="49" t="s">
        <v>398</v>
      </c>
      <c r="I47" s="49"/>
    </row>
    <row r="48" spans="1:9" x14ac:dyDescent="0.25">
      <c r="A48" s="49">
        <v>45</v>
      </c>
      <c r="B48" s="49" t="s">
        <v>0</v>
      </c>
      <c r="C48" s="49">
        <v>3198</v>
      </c>
      <c r="D48" s="50">
        <f>'3198'!E6</f>
        <v>4</v>
      </c>
      <c r="E48" s="50">
        <f>'3198'!F6</f>
        <v>0</v>
      </c>
      <c r="F48" s="50">
        <f>'3198'!G6</f>
        <v>1</v>
      </c>
      <c r="G48" s="50">
        <f>'3198'!H6</f>
        <v>3</v>
      </c>
      <c r="H48" s="49" t="s">
        <v>398</v>
      </c>
      <c r="I48" s="49"/>
    </row>
    <row r="49" spans="1:9" x14ac:dyDescent="0.25">
      <c r="A49" s="49">
        <v>46</v>
      </c>
      <c r="B49" s="49" t="s">
        <v>356</v>
      </c>
      <c r="C49" s="49">
        <v>3201</v>
      </c>
      <c r="D49" s="50">
        <f>'3201'!E6</f>
        <v>4</v>
      </c>
      <c r="E49" s="50">
        <f>'3201'!F6</f>
        <v>0</v>
      </c>
      <c r="F49" s="50">
        <f>'3201'!G6</f>
        <v>2</v>
      </c>
      <c r="G49" s="50">
        <f>'3201'!H6</f>
        <v>2</v>
      </c>
      <c r="H49" s="49" t="s">
        <v>398</v>
      </c>
      <c r="I49" s="49"/>
    </row>
    <row r="50" spans="1:9" x14ac:dyDescent="0.25">
      <c r="A50" s="49">
        <v>47</v>
      </c>
      <c r="B50" s="49" t="s">
        <v>357</v>
      </c>
      <c r="C50" s="49">
        <v>3204</v>
      </c>
      <c r="D50" s="50">
        <f>'3204'!E6</f>
        <v>20</v>
      </c>
      <c r="E50" s="50">
        <f>'3204'!F6</f>
        <v>0</v>
      </c>
      <c r="F50" s="50">
        <f>'3204'!G6</f>
        <v>14</v>
      </c>
      <c r="G50" s="50">
        <f>'3204'!H6</f>
        <v>6</v>
      </c>
      <c r="H50" s="49" t="s">
        <v>398</v>
      </c>
      <c r="I50" s="49"/>
    </row>
    <row r="51" spans="1:9" x14ac:dyDescent="0.25">
      <c r="A51" s="49">
        <v>48</v>
      </c>
      <c r="B51" s="49" t="s">
        <v>358</v>
      </c>
      <c r="C51" s="49">
        <v>3207</v>
      </c>
      <c r="D51" s="50">
        <f>'3207'!E6</f>
        <v>4</v>
      </c>
      <c r="E51" s="50">
        <f>'3207'!F6</f>
        <v>0</v>
      </c>
      <c r="F51" s="50">
        <f>'3207'!G6</f>
        <v>2</v>
      </c>
      <c r="G51" s="50">
        <f>'3207'!H6</f>
        <v>2</v>
      </c>
      <c r="H51" s="49" t="s">
        <v>398</v>
      </c>
      <c r="I51" s="49"/>
    </row>
    <row r="52" spans="1:9" x14ac:dyDescent="0.25">
      <c r="A52" s="49">
        <v>49</v>
      </c>
      <c r="B52" s="49" t="s">
        <v>359</v>
      </c>
      <c r="C52" s="49">
        <v>3219</v>
      </c>
      <c r="D52" s="50">
        <f>'3219'!E6</f>
        <v>20</v>
      </c>
      <c r="E52" s="50">
        <f>'3219'!F6</f>
        <v>0</v>
      </c>
      <c r="F52" s="50">
        <f>'3219'!G6</f>
        <v>10</v>
      </c>
      <c r="G52" s="50">
        <f>'3219'!H6</f>
        <v>10</v>
      </c>
      <c r="H52" s="49" t="s">
        <v>398</v>
      </c>
      <c r="I52" s="49"/>
    </row>
    <row r="53" spans="1:9" x14ac:dyDescent="0.25">
      <c r="A53" s="49">
        <v>50</v>
      </c>
      <c r="B53" s="49" t="s">
        <v>360</v>
      </c>
      <c r="C53" s="49">
        <v>3220</v>
      </c>
      <c r="D53" s="50">
        <f>'3220'!E6</f>
        <v>20</v>
      </c>
      <c r="E53" s="50">
        <f>'3220'!F6</f>
        <v>0</v>
      </c>
      <c r="F53" s="50">
        <f>'3220'!G6</f>
        <v>10</v>
      </c>
      <c r="G53" s="50">
        <f>'3220'!H6</f>
        <v>10</v>
      </c>
      <c r="H53" s="49" t="s">
        <v>398</v>
      </c>
      <c r="I53" s="49"/>
    </row>
    <row r="54" spans="1:9" x14ac:dyDescent="0.25">
      <c r="A54" s="49">
        <v>51</v>
      </c>
      <c r="B54" s="49" t="s">
        <v>361</v>
      </c>
      <c r="C54" s="49">
        <v>3221</v>
      </c>
      <c r="D54" s="50">
        <f>'3221'!E6</f>
        <v>10</v>
      </c>
      <c r="E54" s="50">
        <f>'3221'!F6</f>
        <v>0</v>
      </c>
      <c r="F54" s="50">
        <f>'3221'!G6</f>
        <v>5</v>
      </c>
      <c r="G54" s="50">
        <f>'3221'!H6</f>
        <v>5</v>
      </c>
      <c r="H54" s="49" t="s">
        <v>398</v>
      </c>
      <c r="I54" s="49"/>
    </row>
    <row r="55" spans="1:9" x14ac:dyDescent="0.25">
      <c r="A55" s="49">
        <v>52</v>
      </c>
      <c r="B55" s="49" t="s">
        <v>362</v>
      </c>
      <c r="C55" s="49">
        <v>3222</v>
      </c>
      <c r="D55" s="50">
        <f>'3222'!E6</f>
        <v>7</v>
      </c>
      <c r="E55" s="50">
        <f>'3222'!F6</f>
        <v>0</v>
      </c>
      <c r="F55" s="50">
        <f>'3222'!G6</f>
        <v>3</v>
      </c>
      <c r="G55" s="50">
        <f>'3222'!H6</f>
        <v>4</v>
      </c>
      <c r="H55" s="49" t="s">
        <v>398</v>
      </c>
      <c r="I55" s="49"/>
    </row>
    <row r="56" spans="1:9" x14ac:dyDescent="0.25">
      <c r="A56" s="49">
        <v>53</v>
      </c>
      <c r="B56" s="49" t="s">
        <v>363</v>
      </c>
      <c r="C56" s="49">
        <v>3224</v>
      </c>
      <c r="D56" s="50">
        <f>'3224'!E6</f>
        <v>20</v>
      </c>
      <c r="E56" s="50">
        <f>'3224'!F6</f>
        <v>0</v>
      </c>
      <c r="F56" s="50">
        <f>'3224'!G6</f>
        <v>10</v>
      </c>
      <c r="G56" s="50">
        <f>'3224'!H6</f>
        <v>10</v>
      </c>
      <c r="H56" s="49" t="s">
        <v>398</v>
      </c>
      <c r="I56" s="49"/>
    </row>
    <row r="57" spans="1:9" x14ac:dyDescent="0.25">
      <c r="A57" s="49">
        <v>54</v>
      </c>
      <c r="B57" s="49" t="s">
        <v>364</v>
      </c>
      <c r="C57" s="49">
        <v>3226</v>
      </c>
      <c r="D57" s="50">
        <f>'3226'!E6</f>
        <v>10</v>
      </c>
      <c r="E57" s="50">
        <f>'3226'!F6</f>
        <v>0</v>
      </c>
      <c r="F57" s="50">
        <f>'3226'!G6</f>
        <v>5</v>
      </c>
      <c r="G57" s="50">
        <f>'3226'!H6</f>
        <v>5</v>
      </c>
      <c r="H57" s="49" t="s">
        <v>398</v>
      </c>
      <c r="I57" s="49"/>
    </row>
    <row r="58" spans="1:9" x14ac:dyDescent="0.25">
      <c r="A58" s="49">
        <v>55</v>
      </c>
      <c r="B58" s="49" t="s">
        <v>365</v>
      </c>
      <c r="C58" s="49">
        <v>3228</v>
      </c>
      <c r="D58" s="50">
        <f>'3228'!E6</f>
        <v>7</v>
      </c>
      <c r="E58" s="50">
        <f>'3228'!F6</f>
        <v>0</v>
      </c>
      <c r="F58" s="50">
        <f>'3228'!G6</f>
        <v>3</v>
      </c>
      <c r="G58" s="50">
        <f>'3228'!H6</f>
        <v>4</v>
      </c>
      <c r="H58" s="49" t="s">
        <v>398</v>
      </c>
      <c r="I58" s="49"/>
    </row>
    <row r="59" spans="1:9" x14ac:dyDescent="0.25">
      <c r="A59" s="49">
        <v>56</v>
      </c>
      <c r="B59" s="49" t="s">
        <v>366</v>
      </c>
      <c r="C59" s="49">
        <v>3231</v>
      </c>
      <c r="D59" s="50">
        <f>'3231'!E6</f>
        <v>5</v>
      </c>
      <c r="E59" s="50">
        <f>'3231'!F6</f>
        <v>0</v>
      </c>
      <c r="F59" s="50">
        <f>'3231'!G6</f>
        <v>2</v>
      </c>
      <c r="G59" s="50">
        <f>'3231'!H6</f>
        <v>3</v>
      </c>
      <c r="H59" s="49" t="s">
        <v>398</v>
      </c>
      <c r="I59" s="49"/>
    </row>
    <row r="60" spans="1:9" x14ac:dyDescent="0.25">
      <c r="A60" s="49">
        <v>57</v>
      </c>
      <c r="B60" s="49" t="s">
        <v>367</v>
      </c>
      <c r="C60" s="49">
        <v>3233</v>
      </c>
      <c r="D60" s="50">
        <f>'3233'!E6</f>
        <v>20</v>
      </c>
      <c r="E60" s="50">
        <f>'3233'!F6</f>
        <v>0</v>
      </c>
      <c r="F60" s="50">
        <f>'3233'!G6</f>
        <v>12</v>
      </c>
      <c r="G60" s="50">
        <f>'3233'!H6</f>
        <v>8</v>
      </c>
      <c r="H60" s="49" t="s">
        <v>398</v>
      </c>
      <c r="I60" s="49"/>
    </row>
    <row r="61" spans="1:9" x14ac:dyDescent="0.25">
      <c r="A61" s="49">
        <v>58</v>
      </c>
      <c r="B61" s="49" t="s">
        <v>368</v>
      </c>
      <c r="C61" s="49">
        <v>3235</v>
      </c>
      <c r="D61" s="50">
        <f>'3235'!E6</f>
        <v>122</v>
      </c>
      <c r="E61" s="50">
        <f>'3235'!F6</f>
        <v>0</v>
      </c>
      <c r="F61" s="50">
        <f>'3235'!G6</f>
        <v>75</v>
      </c>
      <c r="G61" s="50">
        <f>'3235'!H6</f>
        <v>47</v>
      </c>
      <c r="H61" s="49" t="s">
        <v>398</v>
      </c>
      <c r="I61" s="49"/>
    </row>
    <row r="62" spans="1:9" x14ac:dyDescent="0.25">
      <c r="A62" s="49">
        <v>59</v>
      </c>
      <c r="B62" s="49" t="s">
        <v>369</v>
      </c>
      <c r="C62" s="49">
        <v>3237</v>
      </c>
      <c r="D62" s="50">
        <f>'3237'!E6</f>
        <v>82</v>
      </c>
      <c r="E62" s="50">
        <f>'3237'!F6</f>
        <v>0</v>
      </c>
      <c r="F62" s="50">
        <f>'3237'!G6</f>
        <v>50</v>
      </c>
      <c r="G62" s="50">
        <f>'3237'!H6</f>
        <v>32</v>
      </c>
      <c r="H62" s="49" t="s">
        <v>398</v>
      </c>
      <c r="I62" s="49"/>
    </row>
    <row r="63" spans="1:9" x14ac:dyDescent="0.25">
      <c r="A63" s="49">
        <v>60</v>
      </c>
      <c r="B63" s="49" t="s">
        <v>370</v>
      </c>
      <c r="C63" s="49">
        <v>3239</v>
      </c>
      <c r="D63" s="50">
        <f>'3239'!E6</f>
        <v>2</v>
      </c>
      <c r="E63" s="50">
        <f>'3239'!F6</f>
        <v>0</v>
      </c>
      <c r="F63" s="50">
        <f>'3239'!G6</f>
        <v>1</v>
      </c>
      <c r="G63" s="50">
        <f>'3239'!H6</f>
        <v>1</v>
      </c>
      <c r="H63" s="49" t="s">
        <v>398</v>
      </c>
      <c r="I63" s="49"/>
    </row>
    <row r="64" spans="1:9" x14ac:dyDescent="0.25">
      <c r="A64" s="49">
        <v>61</v>
      </c>
      <c r="B64" s="49" t="s">
        <v>371</v>
      </c>
      <c r="C64" s="49">
        <v>3243</v>
      </c>
      <c r="D64" s="50">
        <f>'3243'!E6</f>
        <v>140</v>
      </c>
      <c r="E64" s="50">
        <f>'3243'!F6</f>
        <v>0</v>
      </c>
      <c r="F64" s="50">
        <f>'3243'!G6</f>
        <v>105</v>
      </c>
      <c r="G64" s="50">
        <f>'3243'!H6</f>
        <v>35</v>
      </c>
      <c r="H64" s="49" t="s">
        <v>398</v>
      </c>
      <c r="I64" s="49"/>
    </row>
    <row r="65" spans="1:9" x14ac:dyDescent="0.25">
      <c r="A65" s="49">
        <v>62</v>
      </c>
      <c r="B65" s="49" t="s">
        <v>372</v>
      </c>
      <c r="C65" s="49">
        <v>3251</v>
      </c>
      <c r="D65" s="50">
        <f>'3251'!E6</f>
        <v>100</v>
      </c>
      <c r="E65" s="50">
        <f>'3251'!F6</f>
        <v>0</v>
      </c>
      <c r="F65" s="50">
        <f>'3251'!G6</f>
        <v>50</v>
      </c>
      <c r="G65" s="50">
        <f>'3251'!H6</f>
        <v>50</v>
      </c>
      <c r="H65" s="49" t="s">
        <v>398</v>
      </c>
      <c r="I65" s="49"/>
    </row>
    <row r="66" spans="1:9" x14ac:dyDescent="0.25">
      <c r="A66" s="49">
        <v>63</v>
      </c>
      <c r="B66" s="49" t="s">
        <v>373</v>
      </c>
      <c r="C66" s="49">
        <v>3255</v>
      </c>
      <c r="D66" s="50">
        <f>'3255'!E6</f>
        <v>10</v>
      </c>
      <c r="E66" s="50">
        <f>'3255'!F6</f>
        <v>0</v>
      </c>
      <c r="F66" s="50">
        <f>'3255'!G6</f>
        <v>5</v>
      </c>
      <c r="G66" s="50">
        <f>'3255'!H6</f>
        <v>5</v>
      </c>
      <c r="H66" s="49" t="s">
        <v>398</v>
      </c>
      <c r="I66" s="49"/>
    </row>
    <row r="67" spans="1:9" x14ac:dyDescent="0.25">
      <c r="A67" s="49">
        <v>64</v>
      </c>
      <c r="B67" s="49" t="s">
        <v>374</v>
      </c>
      <c r="C67" s="49">
        <v>3256</v>
      </c>
      <c r="D67" s="50">
        <f>'3256'!E6</f>
        <v>20</v>
      </c>
      <c r="E67" s="50">
        <f>'3256'!F6</f>
        <v>0</v>
      </c>
      <c r="F67" s="50">
        <f>'3256'!G6</f>
        <v>10</v>
      </c>
      <c r="G67" s="50">
        <f>'3256'!H6</f>
        <v>10</v>
      </c>
      <c r="H67" s="49" t="s">
        <v>398</v>
      </c>
      <c r="I67" s="49"/>
    </row>
    <row r="68" spans="1:9" x14ac:dyDescent="0.25">
      <c r="A68" s="49">
        <v>65</v>
      </c>
      <c r="B68" s="49" t="s">
        <v>375</v>
      </c>
      <c r="C68" s="49">
        <v>3257</v>
      </c>
      <c r="D68" s="50">
        <f>'3257'!E6</f>
        <v>2</v>
      </c>
      <c r="E68" s="50">
        <f>'3257'!F6</f>
        <v>0</v>
      </c>
      <c r="F68" s="50">
        <f>'3257'!G6</f>
        <v>1</v>
      </c>
      <c r="G68" s="50">
        <f>'3257'!H6</f>
        <v>1</v>
      </c>
      <c r="H68" s="49" t="s">
        <v>398</v>
      </c>
      <c r="I68" s="49"/>
    </row>
    <row r="69" spans="1:9" x14ac:dyDescent="0.25">
      <c r="A69" s="49">
        <v>66</v>
      </c>
      <c r="B69" s="49" t="s">
        <v>376</v>
      </c>
      <c r="C69" s="49">
        <v>3258</v>
      </c>
      <c r="D69" s="50">
        <f>'3258'!E6</f>
        <v>20</v>
      </c>
      <c r="E69" s="50">
        <f>'3258'!F6</f>
        <v>0</v>
      </c>
      <c r="F69" s="50">
        <f>'3258'!G6</f>
        <v>10</v>
      </c>
      <c r="G69" s="50">
        <f>'3258'!H6</f>
        <v>10</v>
      </c>
      <c r="H69" s="49" t="s">
        <v>398</v>
      </c>
      <c r="I69" s="49"/>
    </row>
    <row r="70" spans="1:9" x14ac:dyDescent="0.25">
      <c r="A70" s="49">
        <v>67</v>
      </c>
      <c r="B70" s="49" t="s">
        <v>377</v>
      </c>
      <c r="C70" s="49">
        <v>3259</v>
      </c>
      <c r="D70" s="50">
        <f>'3259'!E6</f>
        <v>50</v>
      </c>
      <c r="E70" s="50">
        <f>'3259'!F6</f>
        <v>0</v>
      </c>
      <c r="F70" s="50">
        <f>'3259'!G6</f>
        <v>48</v>
      </c>
      <c r="G70" s="50">
        <f>'3259'!H6</f>
        <v>2</v>
      </c>
      <c r="H70" s="49" t="s">
        <v>398</v>
      </c>
      <c r="I70" s="49"/>
    </row>
    <row r="71" spans="1:9" x14ac:dyDescent="0.25">
      <c r="A71" s="49">
        <v>68</v>
      </c>
      <c r="B71" s="49" t="s">
        <v>378</v>
      </c>
      <c r="C71" s="49">
        <v>3261</v>
      </c>
      <c r="D71" s="50">
        <f>'3261'!E6</f>
        <v>5</v>
      </c>
      <c r="E71" s="50">
        <f>'3261'!F6</f>
        <v>0</v>
      </c>
      <c r="F71" s="50">
        <f>'3261'!G6</f>
        <v>2</v>
      </c>
      <c r="G71" s="50">
        <f>'3261'!H6</f>
        <v>3</v>
      </c>
      <c r="H71" s="49" t="s">
        <v>398</v>
      </c>
      <c r="I71" s="49"/>
    </row>
    <row r="72" spans="1:9" x14ac:dyDescent="0.25">
      <c r="A72" s="49">
        <v>69</v>
      </c>
      <c r="B72" s="49" t="s">
        <v>379</v>
      </c>
      <c r="C72" s="49">
        <v>3263</v>
      </c>
      <c r="D72" s="50">
        <f>'3263'!E6</f>
        <v>5</v>
      </c>
      <c r="E72" s="50">
        <f>'3263'!F6</f>
        <v>0</v>
      </c>
      <c r="F72" s="50">
        <f>'3263'!G6</f>
        <v>2</v>
      </c>
      <c r="G72" s="50">
        <f>'3263'!H6</f>
        <v>3</v>
      </c>
      <c r="H72" s="49" t="s">
        <v>398</v>
      </c>
      <c r="I72" s="49"/>
    </row>
    <row r="73" spans="1:9" x14ac:dyDescent="0.25">
      <c r="A73" s="49">
        <v>70</v>
      </c>
      <c r="B73" s="49" t="s">
        <v>380</v>
      </c>
      <c r="C73" s="49">
        <v>3265</v>
      </c>
      <c r="D73" s="50">
        <f>'3265'!E6</f>
        <v>2</v>
      </c>
      <c r="E73" s="50">
        <f>'3265'!F6</f>
        <v>0</v>
      </c>
      <c r="F73" s="50">
        <f>'3265'!G6</f>
        <v>1</v>
      </c>
      <c r="G73" s="50">
        <f>'3265'!H6</f>
        <v>1</v>
      </c>
      <c r="H73" s="49" t="s">
        <v>398</v>
      </c>
      <c r="I73" s="49"/>
    </row>
    <row r="74" spans="1:9" x14ac:dyDescent="0.25">
      <c r="A74" s="49">
        <v>71</v>
      </c>
      <c r="B74" s="49" t="s">
        <v>381</v>
      </c>
      <c r="C74" s="49">
        <v>3266</v>
      </c>
      <c r="D74" s="50">
        <f>'3266'!E6</f>
        <v>1</v>
      </c>
      <c r="E74" s="50">
        <f>'3266'!F6</f>
        <v>0</v>
      </c>
      <c r="F74" s="50">
        <f>'3266'!G6</f>
        <v>0</v>
      </c>
      <c r="G74" s="50">
        <f>'3266'!H6</f>
        <v>1</v>
      </c>
      <c r="H74" s="49" t="s">
        <v>398</v>
      </c>
      <c r="I74" s="49"/>
    </row>
    <row r="75" spans="1:9" x14ac:dyDescent="0.25">
      <c r="A75" s="49">
        <v>72</v>
      </c>
      <c r="B75" s="49" t="s">
        <v>382</v>
      </c>
      <c r="C75" s="49">
        <v>3267</v>
      </c>
      <c r="D75" s="50">
        <f>'3267'!E6</f>
        <v>5</v>
      </c>
      <c r="E75" s="50">
        <f>'3267'!F6</f>
        <v>0</v>
      </c>
      <c r="F75" s="50">
        <f>'3267'!G6</f>
        <v>2</v>
      </c>
      <c r="G75" s="50">
        <f>'3267'!H6</f>
        <v>3</v>
      </c>
      <c r="H75" s="49" t="s">
        <v>398</v>
      </c>
      <c r="I75" s="49"/>
    </row>
    <row r="76" spans="1:9" x14ac:dyDescent="0.25">
      <c r="A76" s="49">
        <v>73</v>
      </c>
      <c r="B76" s="49" t="s">
        <v>383</v>
      </c>
      <c r="C76" s="49">
        <v>3268</v>
      </c>
      <c r="D76" s="50">
        <f>'3268'!E6</f>
        <v>5</v>
      </c>
      <c r="E76" s="50">
        <f>'3268'!F6</f>
        <v>0</v>
      </c>
      <c r="F76" s="50">
        <f>'3268'!G6</f>
        <v>2</v>
      </c>
      <c r="G76" s="50">
        <f>'3268'!H6</f>
        <v>3</v>
      </c>
      <c r="H76" s="49" t="s">
        <v>398</v>
      </c>
      <c r="I76" s="49"/>
    </row>
    <row r="77" spans="1:9" x14ac:dyDescent="0.25">
      <c r="A77" s="49">
        <v>74</v>
      </c>
      <c r="B77" s="49" t="s">
        <v>384</v>
      </c>
      <c r="C77" s="49">
        <v>3271</v>
      </c>
      <c r="D77" s="50">
        <f>'3271'!E6</f>
        <v>2</v>
      </c>
      <c r="E77" s="50">
        <f>'3271'!F6</f>
        <v>0</v>
      </c>
      <c r="F77" s="50">
        <f>'3271'!G6</f>
        <v>0</v>
      </c>
      <c r="G77" s="50">
        <f>'3271'!H6</f>
        <v>2</v>
      </c>
      <c r="H77" s="49" t="s">
        <v>398</v>
      </c>
      <c r="I77" s="49"/>
    </row>
    <row r="78" spans="1:9" x14ac:dyDescent="0.25">
      <c r="A78" s="49">
        <v>75</v>
      </c>
      <c r="B78" s="49" t="s">
        <v>385</v>
      </c>
      <c r="C78" s="49">
        <v>3272</v>
      </c>
      <c r="D78" s="50">
        <f>'3272'!E6</f>
        <v>2</v>
      </c>
      <c r="E78" s="50">
        <f>'3272'!F6</f>
        <v>0</v>
      </c>
      <c r="F78" s="50">
        <f>'3272'!G6</f>
        <v>1</v>
      </c>
      <c r="G78" s="50">
        <f>'3272'!H6</f>
        <v>1</v>
      </c>
      <c r="H78" s="49" t="s">
        <v>398</v>
      </c>
      <c r="I78" s="49"/>
    </row>
    <row r="79" spans="1:9" x14ac:dyDescent="0.25">
      <c r="A79" s="49">
        <v>76</v>
      </c>
      <c r="B79" s="49" t="s">
        <v>386</v>
      </c>
      <c r="C79" s="49">
        <v>3274</v>
      </c>
      <c r="D79" s="50">
        <f>'3274'!E6</f>
        <v>120</v>
      </c>
      <c r="E79" s="50">
        <f>'3274'!F6</f>
        <v>0</v>
      </c>
      <c r="F79" s="50">
        <f>'3274'!G6</f>
        <v>120</v>
      </c>
      <c r="G79" s="50">
        <f>'3274'!H6</f>
        <v>0</v>
      </c>
      <c r="H79" s="49" t="s">
        <v>398</v>
      </c>
      <c r="I79" s="49"/>
    </row>
    <row r="80" spans="1:9" x14ac:dyDescent="0.25">
      <c r="A80" s="49">
        <v>77</v>
      </c>
      <c r="B80" s="49" t="s">
        <v>387</v>
      </c>
      <c r="C80" s="49">
        <v>3276</v>
      </c>
      <c r="D80" s="50">
        <f>'3276'!E6</f>
        <v>2</v>
      </c>
      <c r="E80" s="50">
        <f>'3276'!F6</f>
        <v>0</v>
      </c>
      <c r="F80" s="50">
        <f>'3276'!G6</f>
        <v>0</v>
      </c>
      <c r="G80" s="50">
        <f>'3276'!H6</f>
        <v>2</v>
      </c>
      <c r="H80" s="49" t="s">
        <v>398</v>
      </c>
      <c r="I80" s="49"/>
    </row>
    <row r="81" spans="1:9" x14ac:dyDescent="0.25">
      <c r="A81" s="49">
        <v>78</v>
      </c>
      <c r="B81" s="49" t="s">
        <v>388</v>
      </c>
      <c r="C81" s="49">
        <v>3278</v>
      </c>
      <c r="D81" s="50">
        <f>'3278'!E6</f>
        <v>12</v>
      </c>
      <c r="E81" s="50">
        <f>'3278'!F6</f>
        <v>0</v>
      </c>
      <c r="F81" s="50">
        <f>'3278'!G6</f>
        <v>12</v>
      </c>
      <c r="G81" s="50">
        <f>'3278'!H6</f>
        <v>0</v>
      </c>
      <c r="H81" s="49" t="s">
        <v>398</v>
      </c>
      <c r="I81" s="49"/>
    </row>
    <row r="82" spans="1:9" x14ac:dyDescent="0.25">
      <c r="A82" s="49">
        <v>79</v>
      </c>
      <c r="B82" s="49" t="s">
        <v>389</v>
      </c>
      <c r="C82" s="49">
        <v>3280</v>
      </c>
      <c r="D82" s="50">
        <f>'3280'!E6</f>
        <v>24</v>
      </c>
      <c r="E82" s="50">
        <f>'3280'!F6</f>
        <v>0</v>
      </c>
      <c r="F82" s="50">
        <f>'3280'!G6</f>
        <v>24</v>
      </c>
      <c r="G82" s="50">
        <f>'3280'!H6</f>
        <v>0</v>
      </c>
      <c r="H82" s="49" t="s">
        <v>398</v>
      </c>
      <c r="I82" s="49"/>
    </row>
    <row r="83" spans="1:9" x14ac:dyDescent="0.25">
      <c r="A83" s="49">
        <v>80</v>
      </c>
      <c r="B83" s="49" t="s">
        <v>390</v>
      </c>
      <c r="C83" s="49">
        <v>3282</v>
      </c>
      <c r="D83" s="50">
        <f>'3282'!E6</f>
        <v>12</v>
      </c>
      <c r="E83" s="50">
        <f>'3282'!F6</f>
        <v>0</v>
      </c>
      <c r="F83" s="50">
        <f>'3282'!G6</f>
        <v>12</v>
      </c>
      <c r="G83" s="50">
        <f>'3282'!H6</f>
        <v>0</v>
      </c>
      <c r="H83" s="49" t="s">
        <v>398</v>
      </c>
      <c r="I83" s="49"/>
    </row>
    <row r="84" spans="1:9" x14ac:dyDescent="0.25">
      <c r="A84" s="49">
        <v>81</v>
      </c>
      <c r="B84" s="49" t="s">
        <v>391</v>
      </c>
      <c r="C84" s="49">
        <v>3283</v>
      </c>
      <c r="D84" s="50">
        <f>'3283'!E6</f>
        <v>6</v>
      </c>
      <c r="E84" s="50">
        <f>'3283'!F6</f>
        <v>0</v>
      </c>
      <c r="F84" s="50">
        <f>'3283'!G6</f>
        <v>6</v>
      </c>
      <c r="G84" s="50">
        <f>'3283'!H6</f>
        <v>0</v>
      </c>
      <c r="H84" s="49" t="s">
        <v>398</v>
      </c>
      <c r="I84" s="49"/>
    </row>
    <row r="85" spans="1:9" x14ac:dyDescent="0.25">
      <c r="A85" s="49">
        <v>82</v>
      </c>
      <c r="B85" s="49" t="s">
        <v>392</v>
      </c>
      <c r="C85" s="49">
        <v>3284</v>
      </c>
      <c r="D85" s="50">
        <f>'3284'!E6</f>
        <v>100</v>
      </c>
      <c r="E85" s="50">
        <f>'3284'!F6</f>
        <v>0</v>
      </c>
      <c r="F85" s="50">
        <f>'3284'!G6</f>
        <v>100</v>
      </c>
      <c r="G85" s="50">
        <f>'3284'!H6</f>
        <v>0</v>
      </c>
      <c r="H85" s="49" t="s">
        <v>398</v>
      </c>
      <c r="I85" s="49"/>
    </row>
    <row r="86" spans="1:9" x14ac:dyDescent="0.25">
      <c r="A86" s="49">
        <v>83</v>
      </c>
      <c r="B86" s="49" t="s">
        <v>393</v>
      </c>
      <c r="C86" s="49">
        <v>3294</v>
      </c>
      <c r="D86" s="50">
        <f>'3294'!E6</f>
        <v>100</v>
      </c>
      <c r="E86" s="50">
        <f>'3294'!F6</f>
        <v>50</v>
      </c>
      <c r="F86" s="50">
        <f>'3294'!G6</f>
        <v>50</v>
      </c>
      <c r="G86" s="50">
        <f>'3294'!H6</f>
        <v>0</v>
      </c>
      <c r="H86" s="49" t="s">
        <v>398</v>
      </c>
      <c r="I86" s="49"/>
    </row>
    <row r="87" spans="1:9" x14ac:dyDescent="0.25">
      <c r="A87" s="49">
        <v>84</v>
      </c>
      <c r="B87" s="49" t="s">
        <v>394</v>
      </c>
      <c r="C87" s="49">
        <v>3296</v>
      </c>
      <c r="D87" s="50">
        <f>'3296'!E6</f>
        <v>2</v>
      </c>
      <c r="E87" s="50">
        <f>'3296'!F6</f>
        <v>0</v>
      </c>
      <c r="F87" s="50">
        <f>'3296'!G6</f>
        <v>1</v>
      </c>
      <c r="G87" s="50">
        <f>'3296'!H6</f>
        <v>1</v>
      </c>
      <c r="H87" s="49" t="s">
        <v>398</v>
      </c>
      <c r="I87" s="49"/>
    </row>
    <row r="88" spans="1:9" x14ac:dyDescent="0.25">
      <c r="A88" s="49">
        <v>85</v>
      </c>
      <c r="B88" s="49" t="s">
        <v>395</v>
      </c>
      <c r="C88" s="49">
        <v>3298</v>
      </c>
      <c r="D88" s="50">
        <f>'3298'!E6</f>
        <v>1</v>
      </c>
      <c r="E88" s="50">
        <f>'3298'!F6</f>
        <v>0</v>
      </c>
      <c r="F88" s="50">
        <f>'3298'!G6</f>
        <v>0</v>
      </c>
      <c r="G88" s="50">
        <f>'3298'!H6</f>
        <v>1</v>
      </c>
      <c r="H88" s="49" t="s">
        <v>398</v>
      </c>
      <c r="I88" s="49"/>
    </row>
    <row r="89" spans="1:9" x14ac:dyDescent="0.25">
      <c r="A89" s="49">
        <v>86</v>
      </c>
      <c r="B89" s="49" t="s">
        <v>396</v>
      </c>
      <c r="C89" s="49">
        <v>3299</v>
      </c>
      <c r="D89" s="50">
        <f>'3299'!E6</f>
        <v>1</v>
      </c>
      <c r="E89" s="50">
        <f>'3299'!F6</f>
        <v>0</v>
      </c>
      <c r="F89" s="50">
        <f>'3299'!G6</f>
        <v>0</v>
      </c>
      <c r="G89" s="50">
        <f>'3299'!H6</f>
        <v>1</v>
      </c>
      <c r="H89" s="49" t="s">
        <v>398</v>
      </c>
      <c r="I89" s="49"/>
    </row>
    <row r="90" spans="1:9" x14ac:dyDescent="0.25">
      <c r="A90" s="49">
        <v>87</v>
      </c>
      <c r="B90" s="49" t="s">
        <v>397</v>
      </c>
      <c r="C90" s="49">
        <v>3300</v>
      </c>
      <c r="D90" s="50">
        <f>'3300'!E6</f>
        <v>3000</v>
      </c>
      <c r="E90" s="50">
        <f>'3300'!F6</f>
        <v>0</v>
      </c>
      <c r="F90" s="50">
        <f>'3300'!G6</f>
        <v>0</v>
      </c>
      <c r="G90" s="50">
        <f>'3300'!H6</f>
        <v>3000</v>
      </c>
      <c r="H90" s="49" t="s">
        <v>398</v>
      </c>
      <c r="I90" s="49"/>
    </row>
  </sheetData>
  <mergeCells count="2">
    <mergeCell ref="B1:H1"/>
    <mergeCell ref="A2:H2"/>
  </mergeCells>
  <phoneticPr fontId="34" type="noConversion"/>
  <hyperlinks>
    <hyperlink ref="B4" location="'3101'!A1" display="PUNJI " xr:uid="{6FB0535E-335C-42ED-B4FD-22480D8D914E}"/>
    <hyperlink ref="B5" location="'3104'!A1" display="Pick Axe" xr:uid="{0957803D-38FF-4E6A-A5BA-AF2EEABF4B15}"/>
    <hyperlink ref="B6" location="'3107'!A1" display="ALUMINIUM LADDER " xr:uid="{8B3352D0-1F54-4EFF-A6C6-10DE6368DA6A}"/>
    <hyperlink ref="B7" location="'3109'!A1" display="RAIL DISC CUTTER" xr:uid="{584F7FD5-0BE4-4555-A575-1A02DFC10B55}"/>
    <hyperlink ref="B8" location="'3114'!A1" display="Rail Drilling machine" xr:uid="{110F9373-D280-45BE-B423-2BF6E3FDCEF4}"/>
    <hyperlink ref="B9" location="'3116'!A1" display="AT WELDING TRIMMER" xr:uid="{EA0CD987-652B-48B7-9F5B-D8E9785D2D49}"/>
    <hyperlink ref="B10" location="'3119'!A1" display="RAIL MEATING BLOWER FOR AT WELD" xr:uid="{27AA5B7A-3C6C-4363-8F97-5C924B146F57}"/>
    <hyperlink ref="B11" location="'3122'!A1" display="THERMIT WELDING TOOL SET" xr:uid="{8FD30E5E-5454-439D-9C40-5ACEEBE80ABF}"/>
    <hyperlink ref="B12" location="'3125'!A1" display="RAIL PROFILE WELD GRINDER " xr:uid="{27A75CE0-001B-4541-91E4-EF55A38CCB8F}"/>
    <hyperlink ref="B13" location="'3131'!A1" display="TRACK JACK MECHANICAL " xr:uid="{2E5F1CBA-DDD7-4BDD-85AC-2CCCB07E6981}"/>
    <hyperlink ref="B14" location="'3134'!A1" display="HEXAGONAL BARI FOR TRACK WORIS " xr:uid="{412E3F12-13F0-4F87-AF3B-71271AF32B0A}"/>
    <hyperlink ref="B15" location="'3138'!A1" display="FISH BULT SPANNER " xr:uid="{E1D3506E-7038-4F7A-9956-6C6F3489AC6D}"/>
    <hyperlink ref="B16" location="'3142'!A1" display="Keying Hammer" xr:uid="{08346C8F-2003-4489-A516-3D1BDDDBFFBF}"/>
    <hyperlink ref="B17" location="'3145'!A1" display="P-WAY INSPECTION TROLLY" xr:uid="{7991001A-8122-4571-AAEF-F1F8C9EA34B6}"/>
    <hyperlink ref="B18" location="'3147'!A1" display="MAGNIFYING GLASS 100 MM" xr:uid="{E0B6D759-C373-4E92-BA01-0FFEFC1B0EFB}"/>
    <hyperlink ref="B19" location="'3150'!A1" display="PLATE SCREW TUBULAR SPANNER" xr:uid="{8B038903-6D7D-4C79-B059-3FF6595163D4}"/>
    <hyperlink ref="B20" location="'3153'!A1" display="POWRAM SPADE" xr:uid="{8C378501-8B3D-4093-A168-D5130D3508C1}"/>
    <hyperlink ref="B21" location="'3156'!A1" display="PAN MORTAR" xr:uid="{B1989F2E-3483-4F24-A849-D38C6338615E}"/>
    <hyperlink ref="B22" location="'3159'!A1" display="GREASE GUN " xr:uid="{22ED285F-4418-491C-9BEB-B36AFAF1CC6A}"/>
    <hyperlink ref="B23" location="'3160'!A1" display="CONTINUAU RAL THERMOMETER(CRT)" xr:uid="{DC408A85-FBD5-4C75-82F8-2D2317D11259}"/>
    <hyperlink ref="B24" location="'3161'!A1" display="Rail Clip Applicator" xr:uid="{D95FF184-5EC7-4C3B-93DF-DB83AAB6CDE0}"/>
    <hyperlink ref="B25" location="'3162'!A1" display="Chambering Kit " xr:uid="{575FA3DF-BA47-4691-94FD-8DD17FD4E035}"/>
    <hyperlink ref="B26" location="'3163'!A1" display="Insulated Rail dolly " xr:uid="{FB638C11-B68B-4D60-9AF9-33DECC1ABA1E}"/>
    <hyperlink ref="B27" location="'3164'!A1" display="Rail Tong " xr:uid="{AE3F8FD1-0EA1-4501-8C50-27DF0AEBE82B}"/>
    <hyperlink ref="B28" location="'3165'!A1" display="PRC SLEEPER CAHIN " xr:uid="{AC039A14-59BA-4150-91BF-263071477D45}"/>
    <hyperlink ref="B29" location="'3168'!A1" display="MATERIAL TROLLEY " xr:uid="{D5C11DFC-DDCC-40B3-A825-2DA6E94CF12A}"/>
    <hyperlink ref="B30" location="'3169'!A1" display="DIP LORRY " xr:uid="{740BC7E3-9F6C-461F-A1DA-BEF7883B6859}"/>
    <hyperlink ref="B31" location="'3170'!A1" display="wire Basket " xr:uid="{C582D797-3626-4328-AB60-38A06DCB8D26}"/>
    <hyperlink ref="B32" location="'3172'!A1" display="Rake Ballast " xr:uid="{D977E66B-C71D-4770-8933-9DD45688B8AD}"/>
    <hyperlink ref="B33" location="'3174'!A1" display="Chain Saw" xr:uid="{82999707-5FD6-4374-A735-77EF9E266D25}"/>
    <hyperlink ref="B34" location="'3175'!A1" display="Bush Cutter (MC)" xr:uid="{B125C283-0831-4BC4-B2CF-38863FAC50D7}"/>
    <hyperlink ref="B35" location="'3177'!A1" display="Digital Toe Load Machine " xr:uid="{BE4849D9-9222-48E8-B485-A82205A5DA60}"/>
    <hyperlink ref="B36" location="'3179'!A1" display="Safety Belt " xr:uid="{2221CD7D-D4F0-45EE-A3BC-6ADAEE22D291}"/>
    <hyperlink ref="B37" location="'3180'!A1" display="Emergency Lighting (Aska Light)" xr:uid="{A4645ED2-4EAF-4AC3-8559-9F4BE746D07C}"/>
    <hyperlink ref="B38" location="'3181'!A1" display="Caution Board" xr:uid="{48D58FFA-1F1E-44C1-B111-050662930648}"/>
    <hyperlink ref="B39" location="'3183'!A1" display="TG Board " xr:uid="{BD2A3C81-DCE9-4F46-80A4-57ECE9AC76CA}"/>
    <hyperlink ref="B40" location="'3185'!A1" display="Speed Indicator 10kmph" xr:uid="{358D67AB-7C5F-4154-9336-935E78A1F7D4}"/>
    <hyperlink ref="B41" location="'3186'!A1" display="Speed Indicator 20kmph" xr:uid="{2DE0F076-288B-4FFA-8346-193EBD393197}"/>
    <hyperlink ref="B42" location="'3187'!A1" display="Speed Indicator 30kmph" xr:uid="{92B1D257-DC66-4C18-BBFB-A9AF23EC0ECA}"/>
    <hyperlink ref="B43" location="'3188'!A1" display="Speed Indicator 45kmph" xr:uid="{37EE886D-F1D4-4877-A62E-FD3ED0C7773E}"/>
    <hyperlink ref="B44" location="'3189'!A1" display="Speed Indicator 75kmph" xr:uid="{FA1B8C83-B4B2-4F70-B057-E3B3202E7CE1}"/>
    <hyperlink ref="B45" location="'3190'!A1" display="DC Generater" xr:uid="{2927EA3A-9CA5-427C-A3FC-CC9114CA6807}"/>
    <hyperlink ref="B46" location="'3191'!A1" display="Air Coolers " xr:uid="{8974A190-EA6C-4719-ACCC-AD5BA41BE145}"/>
    <hyperlink ref="B47" location="'3194'!A1" display="W Board " xr:uid="{6E2F664A-D2ED-4EEF-8518-339D68B3E769}"/>
    <hyperlink ref="B48" location="'3198'!A1" display="All In One Computer (HD) " xr:uid="{C859EECD-38A9-4F44-95A5-01F35673F6C0}"/>
    <hyperlink ref="B49" location="'3201'!A1" display="Tent" xr:uid="{2248BE48-2B5E-459A-B467-0496098CA243}"/>
    <hyperlink ref="B50" location="'3204'!A1" display="Chair" xr:uid="{32197411-F8C4-4836-B79A-81526AB073C9}"/>
    <hyperlink ref="B51" location="'3207'!A1" display="Table " xr:uid="{EBD1AA14-4722-4B5D-997B-AC4E349F4E17}"/>
    <hyperlink ref="B52" location="'3219'!A1" display="Rail Drilling Toll 31.5" xr:uid="{1E3D2839-1582-4A67-887C-CC4C16B46029}"/>
    <hyperlink ref="B53" location="'3220'!A1" display="Rail Drilling Toll 26.5" xr:uid="{6870BD7E-552F-4D37-8B9A-70A0E9197CC3}"/>
    <hyperlink ref="B54" location="'3221'!A1" display="Rail Drilling Toll 18" xr:uid="{AA1F17C0-E586-41DA-931A-29AF6E264D9F}"/>
    <hyperlink ref="B55" location="'3222'!A1" display="Straight Edge" xr:uid="{3FB6D0A3-1E8B-4EA5-BF9F-6EBC26711BFD}"/>
    <hyperlink ref="B56" location="'3224'!A1" display="Track JACK Hydurlic " xr:uid="{A677A9A7-B1C2-4148-9129-7C3DCD701F21}"/>
    <hyperlink ref="B57" location="'3226'!A1" display="Rail Thermometer" xr:uid="{D643DAE0-422D-484C-9FBF-586D3E52AC8B}"/>
    <hyperlink ref="B58" location="'3228'!A1" display="PWI KIT" xr:uid="{A39330E1-35CE-4CAB-A773-C6E1405770DB}"/>
    <hyperlink ref="B59" location="'3231'!A1" display="Versine KIT" xr:uid="{739BD021-6143-4C6E-9A26-043F0F296888}"/>
    <hyperlink ref="B60" location="'3233'!A1" display="Track Gauge Cum LeVEL" xr:uid="{7CF0095C-35FA-4D9F-B6F2-D543FF05B209}"/>
    <hyperlink ref="B61" location="'3235'!A1" display="ACD Male " xr:uid="{83A0C49D-22B4-4F17-AE15-F899E8E5921C}"/>
    <hyperlink ref="B62" location="'3237'!A1" display="ACD Female" xr:uid="{ED2E4AD3-D3DC-484F-8CA5-3CC53CE1F891}"/>
    <hyperlink ref="B63" location="'3239'!A1" display="Electric ARC WELDING M/C" xr:uid="{5B99F76F-6935-40AD-A03B-4FB11531382E}"/>
    <hyperlink ref="B64" location="'3243'!A1" display="Safety Chain With Lock" xr:uid="{781C909D-427D-443B-AFEE-C40641CD508E}"/>
    <hyperlink ref="B65" location="'3251'!A1" display="Number Plate " xr:uid="{E6EF2EAF-EE2C-4A41-914A-FFAE08373AAE}"/>
    <hyperlink ref="B66" location="'3255'!A1" display="Measuring Tape 30mtr." xr:uid="{27D60E84-057B-43CC-8C50-6D375C7A4A5D}"/>
    <hyperlink ref="B67" location="'3256'!A1" display="Measuring Tape 5mtr." xr:uid="{C6CD58FE-5A34-4DEA-B51B-0372D1456495}"/>
    <hyperlink ref="B68" location="'3257'!A1" display="Steel Section Cutting Equipment " xr:uid="{7E82817D-963B-4E20-8020-C88F950E2237}"/>
    <hyperlink ref="B69" location="'3258'!A1" display="Adjustable Spanner " xr:uid="{F1307C92-F76B-45B3-9EF9-F23ADDAB32F4}"/>
    <hyperlink ref="B70" location="'3259'!A1" display="Whistle " xr:uid="{E69DD3D5-14C6-48EC-887C-0D7334E9E8CD}"/>
    <hyperlink ref="B71" location="'3261'!A1" display="Small Testing hammer " xr:uid="{8E0A880E-6E31-4DE0-BC11-770888EDD935}"/>
    <hyperlink ref="B72" location="'3263'!A1" display="Chipping Hammer " xr:uid="{38C16D8B-7AC5-48DD-B91F-65F617DB6468}"/>
    <hyperlink ref="B73" location="'3265'!A1" display="Elcometer " xr:uid="{14175268-2427-405C-9E55-C67F46641EEC}"/>
    <hyperlink ref="B74" location="'3266'!A1" display="Measuring Tape " xr:uid="{A48EC6FB-7D80-45D5-9100-97A0F132AD2A}"/>
    <hyperlink ref="B75" location="'3267'!A1" display="Calliper Set (inside + outside)" xr:uid="{76538066-D5AA-445F-912E-3B251C507FA9}"/>
    <hyperlink ref="B76" location="'3268'!A1" display="Feeler Gauge" xr:uid="{3F5A2E85-2B46-424C-A745-C31B1CF46550}"/>
    <hyperlink ref="B77" location="'3271'!A1" display="Plumb BOB" xr:uid="{32435255-24B8-4C40-971A-8E69DD3AFC01}"/>
    <hyperlink ref="B78" location="'3272'!A1" display="Auto Level" xr:uid="{5DD89051-E8E0-473F-B309-197DC4BBF48C}"/>
    <hyperlink ref="B79" location="'3274'!A1" display="Point Clamp with lock" xr:uid="{672F8ACC-E2EF-42F5-BE17-B64E1AA8927B}"/>
    <hyperlink ref="B80" location="'3276'!A1" display="Chair Vistor" xr:uid="{6A298978-BAD2-4B14-89CF-A2D1BB337D3B}"/>
    <hyperlink ref="B81" location="'3278'!A1" display="First ADD BOX" xr:uid="{B2E48DAF-3B22-45E2-A60E-950A4A3109F8}"/>
    <hyperlink ref="B82" location="'3280'!A1" display="Fire Extinguisher" xr:uid="{DCCD1BE7-9956-45F4-A9C7-3D319378FAA8}"/>
    <hyperlink ref="B83" location="'3282'!A1" display="Fire Bucket With Stand " xr:uid="{74B5D992-1701-4524-8356-B46A57AE8B46}"/>
    <hyperlink ref="B84" location="'3283'!A1" display="Emergency Medical Hand Stretcher " xr:uid="{B6CC3617-9C81-4050-AD94-BDE71F68D649}"/>
    <hyperlink ref="B85" location="'3284'!A1" display="Wooden Skids" xr:uid="{B537F603-9D10-4B63-98CB-EDA172BF3E6E}"/>
    <hyperlink ref="B86" location="'3294'!A1" display="Safety helmate with troach" xr:uid="{96BAE9BF-E5BD-4CB8-A120-35DACDCBAD7B}"/>
    <hyperlink ref="B87" location="'3296'!A1" display="Electronic Track and Turnout Gauge " xr:uid="{E1FD31C3-5E52-4F6B-8E7D-60CE79677CCA}"/>
    <hyperlink ref="B88" location="'3298'!A1" display="Hydraulic Jack 100mm lift 100 ton cap with out handle" xr:uid="{8EFDBED6-C5B3-474E-850C-19B98D0CF50F}"/>
    <hyperlink ref="B89" location="'3299'!A1" display="Torque Wrench with Sockets" xr:uid="{5CE61FA5-D031-41E0-8B8E-DDEA1831904D}"/>
    <hyperlink ref="B90" location="'3300'!A1" display="Gease Nipple " xr:uid="{65613141-1F3F-41DA-BB26-82AC41DF4B66}"/>
  </hyperlinks>
  <pageMargins left="0.70866141732283472" right="0.70866141732283472" top="0.74803149606299213" bottom="0.74803149606299213" header="0.31496062992125984" footer="0.31496062992125984"/>
  <pageSetup scale="88" orientation="portrait" r:id="rId1"/>
  <rowBreaks count="1" manualBreakCount="1"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="115" zoomScaleNormal="115"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61</v>
      </c>
      <c r="E3" s="66" t="s">
        <v>62</v>
      </c>
      <c r="F3" s="66"/>
      <c r="G3" s="66"/>
      <c r="H3" s="66"/>
      <c r="I3" s="12">
        <v>3101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0</v>
      </c>
      <c r="G6" s="1">
        <f t="shared" si="0"/>
        <v>72</v>
      </c>
      <c r="H6" s="1">
        <f>+E6-F6-G6</f>
        <v>28</v>
      </c>
      <c r="I6" s="18"/>
      <c r="J6" s="19"/>
    </row>
    <row r="7" spans="1:13" s="16" customFormat="1" ht="96" customHeight="1" x14ac:dyDescent="0.25">
      <c r="A7" s="20">
        <v>45601</v>
      </c>
      <c r="B7" s="21" t="s">
        <v>72</v>
      </c>
      <c r="C7" s="22" t="s">
        <v>73</v>
      </c>
      <c r="D7" s="22" t="s">
        <v>74</v>
      </c>
      <c r="E7" s="23">
        <v>100</v>
      </c>
      <c r="F7" s="24">
        <v>0</v>
      </c>
      <c r="G7" s="24">
        <v>0</v>
      </c>
      <c r="H7" s="25">
        <f>SUM(E7:G7)</f>
        <v>100</v>
      </c>
      <c r="I7" s="55"/>
      <c r="J7" s="56"/>
    </row>
    <row r="8" spans="1:13" s="16" customFormat="1" ht="93.75" customHeight="1" x14ac:dyDescent="0.25">
      <c r="A8" s="20" t="s">
        <v>75</v>
      </c>
      <c r="B8" s="21" t="s">
        <v>76</v>
      </c>
      <c r="C8" s="22" t="s">
        <v>77</v>
      </c>
      <c r="D8" s="22" t="s">
        <v>74</v>
      </c>
      <c r="E8" s="23">
        <v>0</v>
      </c>
      <c r="F8" s="24">
        <v>0</v>
      </c>
      <c r="G8" s="24">
        <v>50</v>
      </c>
      <c r="H8" s="25">
        <f>H7+E8-F8-G8</f>
        <v>50</v>
      </c>
      <c r="I8" s="55"/>
      <c r="J8" s="56"/>
    </row>
    <row r="9" spans="1:13" s="16" customFormat="1" ht="132" customHeight="1" x14ac:dyDescent="0.25">
      <c r="A9" s="28" t="s">
        <v>78</v>
      </c>
      <c r="B9" s="21" t="s">
        <v>79</v>
      </c>
      <c r="C9" s="22" t="s">
        <v>80</v>
      </c>
      <c r="D9" s="22" t="s">
        <v>74</v>
      </c>
      <c r="E9" s="24">
        <v>0</v>
      </c>
      <c r="F9" s="23">
        <v>0</v>
      </c>
      <c r="G9" s="24">
        <v>12</v>
      </c>
      <c r="H9" s="25">
        <f t="shared" ref="H9:H10" si="1">H8+E9-F9-G9</f>
        <v>38</v>
      </c>
      <c r="I9" s="55"/>
      <c r="J9" s="56"/>
    </row>
    <row r="10" spans="1:13" s="16" customFormat="1" ht="87.75" customHeight="1" x14ac:dyDescent="0.25">
      <c r="A10" s="28" t="s">
        <v>81</v>
      </c>
      <c r="B10" s="21" t="s">
        <v>82</v>
      </c>
      <c r="C10" s="22" t="s">
        <v>83</v>
      </c>
      <c r="D10" s="22" t="s">
        <v>84</v>
      </c>
      <c r="E10" s="23">
        <v>0</v>
      </c>
      <c r="F10" s="24">
        <v>0</v>
      </c>
      <c r="G10" s="24">
        <v>10</v>
      </c>
      <c r="H10" s="25">
        <f t="shared" si="1"/>
        <v>28</v>
      </c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>
        <v>0</v>
      </c>
      <c r="F11" s="24">
        <v>0</v>
      </c>
      <c r="G11" s="24">
        <v>0</v>
      </c>
      <c r="H11" s="24">
        <v>0</v>
      </c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>
        <v>0</v>
      </c>
      <c r="F12" s="24">
        <v>0</v>
      </c>
      <c r="G12" s="24">
        <v>0</v>
      </c>
      <c r="H12" s="24">
        <v>0</v>
      </c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>
        <v>0</v>
      </c>
      <c r="F13" s="24">
        <v>0</v>
      </c>
      <c r="G13" s="24">
        <v>0</v>
      </c>
      <c r="H13" s="24">
        <v>0</v>
      </c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>
        <v>0</v>
      </c>
      <c r="F14" s="24">
        <v>0</v>
      </c>
      <c r="G14" s="24">
        <v>0</v>
      </c>
      <c r="H14" s="24">
        <v>0</v>
      </c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>
        <v>0</v>
      </c>
      <c r="F15" s="24">
        <v>0</v>
      </c>
      <c r="G15" s="24">
        <v>0</v>
      </c>
      <c r="H15" s="24">
        <v>0</v>
      </c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>
        <v>0</v>
      </c>
      <c r="F16" s="24">
        <v>0</v>
      </c>
      <c r="G16" s="24">
        <v>0</v>
      </c>
      <c r="H16" s="24">
        <v>0</v>
      </c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>
        <v>0</v>
      </c>
      <c r="F17" s="24">
        <v>0</v>
      </c>
      <c r="G17" s="24">
        <v>0</v>
      </c>
      <c r="H17" s="24">
        <v>0</v>
      </c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>
        <v>0</v>
      </c>
      <c r="F18" s="24">
        <v>0</v>
      </c>
      <c r="G18" s="24">
        <v>0</v>
      </c>
      <c r="H18" s="24">
        <v>0</v>
      </c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>
        <v>0</v>
      </c>
      <c r="F19" s="24">
        <v>0</v>
      </c>
      <c r="G19" s="24">
        <v>0</v>
      </c>
      <c r="H19" s="24">
        <v>0</v>
      </c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>
        <v>0</v>
      </c>
      <c r="F20" s="24">
        <v>0</v>
      </c>
      <c r="G20" s="24">
        <v>0</v>
      </c>
      <c r="H20" s="24">
        <v>0</v>
      </c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>
        <v>0</v>
      </c>
      <c r="F21" s="24">
        <v>0</v>
      </c>
      <c r="G21" s="24">
        <v>0</v>
      </c>
      <c r="H21" s="24">
        <v>0</v>
      </c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>
        <v>0</v>
      </c>
      <c r="F22" s="24">
        <v>0</v>
      </c>
      <c r="G22" s="24">
        <v>0</v>
      </c>
      <c r="H22" s="24">
        <v>0</v>
      </c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>
        <v>0</v>
      </c>
      <c r="F23" s="24">
        <v>0</v>
      </c>
      <c r="G23" s="24">
        <v>0</v>
      </c>
      <c r="H23" s="24">
        <v>0</v>
      </c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H12 B13:G1048576 H13:H23" name="Range1"/>
  </protectedRanges>
  <mergeCells count="28">
    <mergeCell ref="B1:J1"/>
    <mergeCell ref="A2:C2"/>
    <mergeCell ref="E2:G2"/>
    <mergeCell ref="L2:M2"/>
    <mergeCell ref="I11:J11"/>
    <mergeCell ref="A3:C3"/>
    <mergeCell ref="E3:H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23:J23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</mergeCells>
  <conditionalFormatting sqref="B9:B23">
    <cfRule type="cellIs" priority="3" operator="between">
      <formula>1</formula>
      <formula>100000000</formula>
    </cfRule>
  </conditionalFormatting>
  <conditionalFormatting sqref="E7:E8 H7:H10 E10:E23">
    <cfRule type="cellIs" dxfId="155" priority="2" operator="between">
      <formula>1</formula>
      <formula>100</formula>
    </cfRule>
  </conditionalFormatting>
  <conditionalFormatting sqref="F9">
    <cfRule type="cellIs" dxfId="15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9F1E-1E71-437B-947E-33B3AFD14B14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2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61</v>
      </c>
      <c r="E3" s="66" t="s">
        <v>62</v>
      </c>
      <c r="F3" s="66"/>
      <c r="G3" s="66"/>
      <c r="H3" s="66"/>
      <c r="I3" s="12">
        <v>3104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50</v>
      </c>
      <c r="F6" s="1">
        <f t="shared" ref="F6:G6" si="0">SUM(F7:F1000)</f>
        <v>0</v>
      </c>
      <c r="G6" s="1">
        <f t="shared" si="0"/>
        <v>25</v>
      </c>
      <c r="H6" s="1">
        <f>+E6-F6-G6</f>
        <v>25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74</v>
      </c>
      <c r="E7" s="23">
        <v>50</v>
      </c>
      <c r="F7" s="24">
        <v>0</v>
      </c>
      <c r="G7" s="24">
        <v>0</v>
      </c>
      <c r="H7" s="25">
        <f>E7-F7-G7</f>
        <v>50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74</v>
      </c>
      <c r="E8" s="23">
        <v>0</v>
      </c>
      <c r="F8" s="24">
        <v>0</v>
      </c>
      <c r="G8" s="24">
        <v>25</v>
      </c>
      <c r="H8" s="25">
        <f>H7+E8-F8-G8</f>
        <v>25</v>
      </c>
      <c r="I8" s="55"/>
      <c r="J8" s="56"/>
    </row>
    <row r="9" spans="1:13" s="16" customFormat="1" ht="20.25" x14ac:dyDescent="0.25">
      <c r="A9" s="28"/>
      <c r="B9" s="21"/>
      <c r="C9" s="22"/>
      <c r="D9" s="22"/>
      <c r="E9" s="23">
        <v>0</v>
      </c>
      <c r="F9" s="24">
        <v>0</v>
      </c>
      <c r="G9" s="24">
        <v>0</v>
      </c>
      <c r="H9" s="25">
        <v>0</v>
      </c>
      <c r="I9" s="55"/>
      <c r="J9" s="56"/>
    </row>
    <row r="10" spans="1:13" s="16" customFormat="1" ht="20.25" x14ac:dyDescent="0.25">
      <c r="A10" s="28"/>
      <c r="B10" s="21"/>
      <c r="C10" s="22"/>
      <c r="D10" s="22"/>
      <c r="E10" s="23">
        <v>0</v>
      </c>
      <c r="F10" s="24">
        <v>0</v>
      </c>
      <c r="G10" s="24">
        <v>0</v>
      </c>
      <c r="H10" s="25">
        <f t="shared" ref="H10:H23" si="1">H9+E10-F10-G10</f>
        <v>0</v>
      </c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>
        <v>0</v>
      </c>
      <c r="F11" s="24">
        <v>0</v>
      </c>
      <c r="G11" s="24">
        <v>0</v>
      </c>
      <c r="H11" s="25">
        <f t="shared" si="1"/>
        <v>0</v>
      </c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>
        <v>0</v>
      </c>
      <c r="F12" s="24">
        <v>0</v>
      </c>
      <c r="G12" s="24">
        <v>0</v>
      </c>
      <c r="H12" s="25">
        <f t="shared" si="1"/>
        <v>0</v>
      </c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>
        <v>0</v>
      </c>
      <c r="F13" s="24">
        <v>0</v>
      </c>
      <c r="G13" s="24">
        <v>0</v>
      </c>
      <c r="H13" s="25">
        <f t="shared" si="1"/>
        <v>0</v>
      </c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>
        <v>0</v>
      </c>
      <c r="F14" s="24">
        <v>0</v>
      </c>
      <c r="G14" s="24">
        <v>0</v>
      </c>
      <c r="H14" s="25">
        <f t="shared" si="1"/>
        <v>0</v>
      </c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>
        <v>0</v>
      </c>
      <c r="F15" s="24">
        <v>0</v>
      </c>
      <c r="G15" s="24">
        <v>0</v>
      </c>
      <c r="H15" s="25">
        <f t="shared" si="1"/>
        <v>0</v>
      </c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>
        <v>0</v>
      </c>
      <c r="F16" s="24">
        <v>0</v>
      </c>
      <c r="G16" s="24">
        <v>0</v>
      </c>
      <c r="H16" s="25">
        <f t="shared" si="1"/>
        <v>0</v>
      </c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>
        <v>0</v>
      </c>
      <c r="F17" s="24">
        <v>0</v>
      </c>
      <c r="G17" s="24">
        <v>0</v>
      </c>
      <c r="H17" s="25">
        <f t="shared" si="1"/>
        <v>0</v>
      </c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>
        <v>0</v>
      </c>
      <c r="F18" s="24">
        <v>0</v>
      </c>
      <c r="G18" s="24">
        <v>0</v>
      </c>
      <c r="H18" s="25">
        <f t="shared" si="1"/>
        <v>0</v>
      </c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>
        <v>0</v>
      </c>
      <c r="F19" s="24">
        <v>0</v>
      </c>
      <c r="G19" s="24">
        <v>0</v>
      </c>
      <c r="H19" s="25">
        <f t="shared" si="1"/>
        <v>0</v>
      </c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>
        <v>0</v>
      </c>
      <c r="F20" s="24">
        <v>0</v>
      </c>
      <c r="G20" s="24">
        <v>0</v>
      </c>
      <c r="H20" s="25">
        <f t="shared" si="1"/>
        <v>0</v>
      </c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>
        <v>0</v>
      </c>
      <c r="F21" s="24">
        <v>0</v>
      </c>
      <c r="G21" s="24">
        <v>0</v>
      </c>
      <c r="H21" s="25">
        <f t="shared" si="1"/>
        <v>0</v>
      </c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>
        <v>0</v>
      </c>
      <c r="F22" s="24">
        <v>0</v>
      </c>
      <c r="G22" s="24">
        <v>0</v>
      </c>
      <c r="H22" s="25">
        <f t="shared" si="1"/>
        <v>0</v>
      </c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>
        <v>0</v>
      </c>
      <c r="H23" s="25">
        <f t="shared" si="1"/>
        <v>0</v>
      </c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8 A9:A1048576 B10:C10 B24:G1048576 B11:D22 B23:F23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153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B125-ED62-4CE2-B206-50D5CA17F1D0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3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51" t="s">
        <v>41</v>
      </c>
      <c r="E3" s="66" t="s">
        <v>62</v>
      </c>
      <c r="F3" s="66"/>
      <c r="G3" s="66"/>
      <c r="H3" s="66"/>
      <c r="I3" s="12">
        <v>3107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2</v>
      </c>
      <c r="H6" s="1">
        <f>+E6-F6-G6</f>
        <v>2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4</v>
      </c>
      <c r="F7" s="24">
        <v>0</v>
      </c>
      <c r="G7" s="24">
        <v>0</v>
      </c>
      <c r="H7" s="25">
        <f>SUM(E7:G7)</f>
        <v>4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85</v>
      </c>
      <c r="E8" s="23">
        <v>0</v>
      </c>
      <c r="F8" s="24">
        <v>0</v>
      </c>
      <c r="G8" s="24">
        <v>2</v>
      </c>
      <c r="H8" s="25">
        <f t="shared" ref="H8" si="1">SUM(E8:G8)</f>
        <v>2</v>
      </c>
      <c r="I8" s="55"/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52" priority="2" operator="between">
      <formula>1</formula>
      <formula>100</formula>
    </cfRule>
  </conditionalFormatting>
  <conditionalFormatting sqref="F9">
    <cfRule type="cellIs" dxfId="151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C530-CA3B-48FA-9A31-09C73F8CD6AB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86</v>
      </c>
      <c r="E3" s="66" t="s">
        <v>62</v>
      </c>
      <c r="F3" s="66"/>
      <c r="G3" s="66"/>
      <c r="H3" s="66"/>
      <c r="I3" s="12">
        <v>3109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2</v>
      </c>
      <c r="H6" s="1">
        <f>+E6-F6-G6</f>
        <v>2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4</v>
      </c>
      <c r="F7" s="24">
        <v>0</v>
      </c>
      <c r="G7" s="24">
        <v>0</v>
      </c>
      <c r="H7" s="25">
        <f>SUM(E7:G7)</f>
        <v>4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85</v>
      </c>
      <c r="E8" s="23">
        <v>0</v>
      </c>
      <c r="F8" s="24">
        <v>0</v>
      </c>
      <c r="G8" s="24">
        <v>2</v>
      </c>
      <c r="H8" s="25">
        <f t="shared" ref="H8" si="1">SUM(E8:G8)</f>
        <v>2</v>
      </c>
      <c r="I8" s="55" t="s">
        <v>87</v>
      </c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50" priority="2" operator="between">
      <formula>1</formula>
      <formula>100</formula>
    </cfRule>
  </conditionalFormatting>
  <conditionalFormatting sqref="F9">
    <cfRule type="cellIs" dxfId="14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0E1-9A4D-49E0-9236-956E65A0FDF5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6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51" t="s">
        <v>88</v>
      </c>
      <c r="E3" s="66" t="s">
        <v>62</v>
      </c>
      <c r="F3" s="66"/>
      <c r="G3" s="66"/>
      <c r="H3" s="66"/>
      <c r="I3" s="12">
        <v>3114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2</v>
      </c>
      <c r="H6" s="1">
        <f>+E6-F6-G6</f>
        <v>2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4</v>
      </c>
      <c r="F7" s="24">
        <v>0</v>
      </c>
      <c r="G7" s="24">
        <v>0</v>
      </c>
      <c r="H7" s="25">
        <f>SUM(E7:G7)</f>
        <v>4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85</v>
      </c>
      <c r="E8" s="23">
        <v>0</v>
      </c>
      <c r="F8" s="24">
        <v>0</v>
      </c>
      <c r="G8" s="24">
        <v>2</v>
      </c>
      <c r="H8" s="25">
        <f t="shared" ref="H8" si="1">SUM(E8:G8)</f>
        <v>2</v>
      </c>
      <c r="I8" s="55" t="s">
        <v>87</v>
      </c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48" priority="2" operator="between">
      <formula>1</formula>
      <formula>100</formula>
    </cfRule>
  </conditionalFormatting>
  <conditionalFormatting sqref="F9">
    <cfRule type="cellIs" dxfId="14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2B5A-9ED7-43F5-81E4-43734B5B1E26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7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89</v>
      </c>
      <c r="E3" s="66" t="s">
        <v>62</v>
      </c>
      <c r="F3" s="66"/>
      <c r="G3" s="66"/>
      <c r="H3" s="66"/>
      <c r="I3" s="12">
        <v>3116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1</v>
      </c>
      <c r="H6" s="1">
        <f>+E6-F6-G6</f>
        <v>1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2</v>
      </c>
      <c r="F7" s="24">
        <v>0</v>
      </c>
      <c r="G7" s="24">
        <v>0</v>
      </c>
      <c r="H7" s="25">
        <f>SUM(E7:G7)</f>
        <v>2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90</v>
      </c>
      <c r="E8" s="23">
        <v>0</v>
      </c>
      <c r="F8" s="24">
        <v>0</v>
      </c>
      <c r="G8" s="24">
        <v>1</v>
      </c>
      <c r="H8" s="25">
        <f t="shared" ref="H8" si="1">SUM(E8:G8)</f>
        <v>1</v>
      </c>
      <c r="I8" s="55" t="s">
        <v>87</v>
      </c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46" priority="2" operator="between">
      <formula>1</formula>
      <formula>100</formula>
    </cfRule>
  </conditionalFormatting>
  <conditionalFormatting sqref="F9">
    <cfRule type="cellIs" dxfId="145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76DE-7862-4DBB-BF80-AAD5C04604DC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8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51" t="s">
        <v>91</v>
      </c>
      <c r="E3" s="66" t="s">
        <v>62</v>
      </c>
      <c r="F3" s="66"/>
      <c r="G3" s="66"/>
      <c r="H3" s="66"/>
      <c r="I3" s="12">
        <v>3119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1</v>
      </c>
      <c r="H6" s="1">
        <f>+E6-F6-G6</f>
        <v>1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2</v>
      </c>
      <c r="F7" s="24">
        <v>0</v>
      </c>
      <c r="G7" s="24">
        <v>0</v>
      </c>
      <c r="H7" s="25">
        <f>SUM(E7:G7)</f>
        <v>2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92</v>
      </c>
      <c r="E8" s="23">
        <v>0</v>
      </c>
      <c r="F8" s="24">
        <v>0</v>
      </c>
      <c r="G8" s="24">
        <v>1</v>
      </c>
      <c r="H8" s="25">
        <f t="shared" ref="H8" si="1">SUM(E8:G8)</f>
        <v>1</v>
      </c>
      <c r="I8" s="55" t="s">
        <v>87</v>
      </c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44" priority="2" operator="between">
      <formula>1</formula>
      <formula>100</formula>
    </cfRule>
  </conditionalFormatting>
  <conditionalFormatting sqref="F9">
    <cfRule type="cellIs" dxfId="143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5EE9-65AB-4223-BCBF-3FB0D8E0DF68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9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37" t="s">
        <v>93</v>
      </c>
      <c r="E3" s="66" t="s">
        <v>62</v>
      </c>
      <c r="F3" s="66"/>
      <c r="G3" s="66"/>
      <c r="H3" s="66"/>
      <c r="I3" s="12">
        <v>3122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1</v>
      </c>
      <c r="H6" s="1">
        <f>+E6-F6-G6</f>
        <v>3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2</v>
      </c>
      <c r="F7" s="24">
        <v>0</v>
      </c>
      <c r="G7" s="24">
        <v>0</v>
      </c>
      <c r="H7" s="25">
        <f>SUM(E7:G7)</f>
        <v>2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92</v>
      </c>
      <c r="E8" s="23">
        <v>0</v>
      </c>
      <c r="F8" s="24">
        <v>0</v>
      </c>
      <c r="G8" s="24">
        <v>1</v>
      </c>
      <c r="H8" s="25">
        <f t="shared" ref="H8" si="1">SUM(E8:G8)</f>
        <v>1</v>
      </c>
      <c r="I8" s="55" t="s">
        <v>87</v>
      </c>
      <c r="J8" s="56"/>
    </row>
    <row r="9" spans="1:13" s="16" customFormat="1" ht="20.25" x14ac:dyDescent="0.25">
      <c r="A9" s="28" t="s">
        <v>94</v>
      </c>
      <c r="B9" s="21" t="s">
        <v>95</v>
      </c>
      <c r="C9" s="22" t="s">
        <v>96</v>
      </c>
      <c r="D9" s="22" t="s">
        <v>92</v>
      </c>
      <c r="E9" s="24">
        <v>2</v>
      </c>
      <c r="F9" s="23">
        <v>0</v>
      </c>
      <c r="G9" s="24">
        <v>0</v>
      </c>
      <c r="H9" s="25">
        <v>3</v>
      </c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42" priority="2" operator="between">
      <formula>1</formula>
      <formula>100</formula>
    </cfRule>
  </conditionalFormatting>
  <conditionalFormatting sqref="F9">
    <cfRule type="cellIs" dxfId="141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7805-0BBC-401B-AFBD-19A66954ACE5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10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35</v>
      </c>
      <c r="E3" s="66" t="s">
        <v>62</v>
      </c>
      <c r="F3" s="66"/>
      <c r="G3" s="66"/>
      <c r="H3" s="66"/>
      <c r="I3" s="12">
        <v>3125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3</v>
      </c>
      <c r="F6" s="1">
        <f t="shared" ref="F6:G6" si="0">SUM(F7:F1000)</f>
        <v>0</v>
      </c>
      <c r="G6" s="1">
        <f t="shared" si="0"/>
        <v>1</v>
      </c>
      <c r="H6" s="1">
        <f>+E6-F6-G6</f>
        <v>2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3</v>
      </c>
      <c r="F7" s="24">
        <v>0</v>
      </c>
      <c r="G7" s="24">
        <v>0</v>
      </c>
      <c r="H7" s="25">
        <f>SUM(E7:G7)</f>
        <v>3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92</v>
      </c>
      <c r="E8" s="23">
        <v>0</v>
      </c>
      <c r="F8" s="24">
        <v>0</v>
      </c>
      <c r="G8" s="24">
        <v>1</v>
      </c>
      <c r="H8" s="25">
        <v>2</v>
      </c>
      <c r="I8" s="55" t="s">
        <v>87</v>
      </c>
      <c r="J8" s="56"/>
    </row>
    <row r="9" spans="1:13" s="16" customFormat="1" ht="20.25" x14ac:dyDescent="0.25">
      <c r="A9" s="28"/>
      <c r="B9" s="21"/>
      <c r="C9" s="22"/>
      <c r="D9" s="22"/>
      <c r="E9" s="24"/>
      <c r="F9" s="23"/>
      <c r="G9" s="24"/>
      <c r="H9" s="23"/>
      <c r="I9" s="55"/>
      <c r="J9" s="56"/>
    </row>
    <row r="10" spans="1:13" s="16" customFormat="1" ht="20.25" x14ac:dyDescent="0.25">
      <c r="A10" s="28"/>
      <c r="B10" s="21"/>
      <c r="C10" s="22"/>
      <c r="D10" s="22"/>
      <c r="E10" s="23"/>
      <c r="F10" s="24"/>
      <c r="G10" s="24"/>
      <c r="H10" s="36"/>
      <c r="I10" s="55"/>
      <c r="J10" s="56"/>
    </row>
    <row r="11" spans="1:13" s="16" customFormat="1" ht="20.25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8 H7:H23 E10:E23">
    <cfRule type="cellIs" dxfId="140" priority="2" operator="between">
      <formula>1</formula>
      <formula>100</formula>
    </cfRule>
  </conditionalFormatting>
  <conditionalFormatting sqref="F9">
    <cfRule type="cellIs" dxfId="13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5CAA-F3A1-49B1-8BA0-B062BBE312D6}">
  <dimension ref="A1:M24"/>
  <sheetViews>
    <sheetView workbookViewId="0">
      <selection activeCell="J9" sqref="J9"/>
    </sheetView>
  </sheetViews>
  <sheetFormatPr defaultRowHeight="30" customHeight="1" x14ac:dyDescent="0.3"/>
  <cols>
    <col min="1" max="1" width="18.42578125" style="31" customWidth="1"/>
    <col min="2" max="2" width="23.42578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12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34</v>
      </c>
      <c r="E3" s="66" t="s">
        <v>62</v>
      </c>
      <c r="F3" s="66"/>
      <c r="G3" s="66"/>
      <c r="H3" s="66"/>
      <c r="I3" s="12">
        <v>3131</v>
      </c>
      <c r="J3" s="13"/>
    </row>
    <row r="4" spans="1:13" ht="37.5" customHeight="1" x14ac:dyDescent="0.3">
      <c r="A4" s="57" t="s">
        <v>63</v>
      </c>
      <c r="B4" s="59" t="s">
        <v>64</v>
      </c>
      <c r="C4" s="69" t="s">
        <v>97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10</v>
      </c>
      <c r="F7" s="24">
        <v>0</v>
      </c>
      <c r="G7" s="24">
        <v>0</v>
      </c>
      <c r="H7" s="25">
        <f>SUM(E7:G7)</f>
        <v>10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92</v>
      </c>
      <c r="E8" s="23">
        <v>0</v>
      </c>
      <c r="F8" s="24">
        <v>0</v>
      </c>
      <c r="G8" s="24">
        <v>5</v>
      </c>
      <c r="H8" s="25">
        <f t="shared" ref="H8" si="1">SUM(E8:G8)</f>
        <v>5</v>
      </c>
      <c r="I8" s="55" t="s">
        <v>87</v>
      </c>
      <c r="J8" s="56"/>
    </row>
    <row r="9" spans="1:13" s="16" customFormat="1" ht="56.25" x14ac:dyDescent="0.25">
      <c r="A9" s="20" t="s">
        <v>98</v>
      </c>
      <c r="B9" s="21" t="s">
        <v>76</v>
      </c>
      <c r="C9" s="22" t="s">
        <v>99</v>
      </c>
      <c r="D9" s="22" t="s">
        <v>100</v>
      </c>
      <c r="E9" s="23">
        <v>0</v>
      </c>
      <c r="F9" s="24">
        <v>0</v>
      </c>
      <c r="G9" s="24">
        <v>1</v>
      </c>
      <c r="H9" s="25">
        <v>4</v>
      </c>
      <c r="I9" s="26"/>
      <c r="J9" s="27"/>
    </row>
    <row r="10" spans="1:13" s="16" customFormat="1" ht="56.25" x14ac:dyDescent="0.25">
      <c r="A10" s="28">
        <v>45687</v>
      </c>
      <c r="B10" s="21" t="s">
        <v>405</v>
      </c>
      <c r="C10" s="22" t="s">
        <v>406</v>
      </c>
      <c r="D10" s="22" t="s">
        <v>92</v>
      </c>
      <c r="E10" s="24">
        <v>0</v>
      </c>
      <c r="F10" s="23">
        <v>0</v>
      </c>
      <c r="G10" s="24">
        <v>1</v>
      </c>
      <c r="H10" s="25">
        <v>3</v>
      </c>
      <c r="I10" s="55"/>
      <c r="J10" s="56"/>
    </row>
    <row r="11" spans="1:13" s="16" customFormat="1" ht="20.25" x14ac:dyDescent="0.25">
      <c r="A11" s="28"/>
      <c r="B11" s="21"/>
      <c r="C11" s="22"/>
      <c r="D11" s="22"/>
      <c r="E11" s="23"/>
      <c r="F11" s="24"/>
      <c r="G11" s="24"/>
      <c r="H11" s="36"/>
      <c r="I11" s="55"/>
      <c r="J11" s="56"/>
    </row>
    <row r="12" spans="1:13" s="16" customFormat="1" ht="20.25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21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  <row r="24" spans="1:10" s="16" customFormat="1" ht="30" customHeight="1" x14ac:dyDescent="0.25">
      <c r="A24" s="28"/>
      <c r="B24" s="30"/>
      <c r="C24" s="22"/>
      <c r="D24" s="29"/>
      <c r="E24" s="23"/>
      <c r="F24" s="24"/>
      <c r="G24" s="24"/>
      <c r="H24" s="23"/>
      <c r="I24" s="55"/>
      <c r="J24" s="56"/>
    </row>
  </sheetData>
  <protectedRanges>
    <protectedRange algorithmName="SHA-512" hashValue="w6vOy6gaWv7RKp7tkLrp7nrHA6RmzXKKrxhAURGVJNeJ+tWzcydALHZnJcvW3Xd6J2aTxgJ4vzpBns4Tppy+Tg==" saltValue="wFqfSvUJGsYlHEHwlJdPRg==" spinCount="100000" sqref="G10 A10:A1048576 B11:C11 E11:G11 B12:G1048576 A7:B9" name="Range1_1"/>
  </protectedRanges>
  <mergeCells count="2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19:J19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0:J20"/>
    <mergeCell ref="I21:J21"/>
    <mergeCell ref="I22:J22"/>
    <mergeCell ref="I23:J23"/>
    <mergeCell ref="I24:J24"/>
  </mergeCells>
  <conditionalFormatting sqref="B10:B24">
    <cfRule type="cellIs" priority="3" operator="between">
      <formula>1</formula>
      <formula>100000000</formula>
    </cfRule>
  </conditionalFormatting>
  <conditionalFormatting sqref="E7:E9 H7:H24 E11:E24">
    <cfRule type="cellIs" dxfId="138" priority="2" operator="between">
      <formula>1</formula>
      <formula>100</formula>
    </cfRule>
  </conditionalFormatting>
  <conditionalFormatting sqref="F10">
    <cfRule type="cellIs" dxfId="13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C3F3-5DFC-44A9-855B-4BAA0493AB74}">
  <dimension ref="A1:M24"/>
  <sheetViews>
    <sheetView workbookViewId="0">
      <selection activeCell="G13" sqref="G13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13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11" t="s">
        <v>101</v>
      </c>
      <c r="E3" s="66" t="s">
        <v>62</v>
      </c>
      <c r="F3" s="66"/>
      <c r="G3" s="66"/>
      <c r="H3" s="66"/>
      <c r="I3" s="12">
        <v>3134</v>
      </c>
      <c r="J3" s="13">
        <v>3030</v>
      </c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0</v>
      </c>
      <c r="G6" s="1">
        <f t="shared" si="0"/>
        <v>67</v>
      </c>
      <c r="H6" s="1">
        <f>+E6-F6-G6</f>
        <v>33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100</v>
      </c>
      <c r="F7" s="24">
        <v>0</v>
      </c>
      <c r="G7" s="24">
        <v>0</v>
      </c>
      <c r="H7" s="25">
        <f>SUM(E7:G7)</f>
        <v>100</v>
      </c>
      <c r="I7" s="55"/>
      <c r="J7" s="56"/>
    </row>
    <row r="8" spans="1:13" s="16" customFormat="1" ht="56.25" x14ac:dyDescent="0.25">
      <c r="A8" s="20" t="s">
        <v>75</v>
      </c>
      <c r="B8" s="21" t="s">
        <v>76</v>
      </c>
      <c r="C8" s="22" t="s">
        <v>77</v>
      </c>
      <c r="D8" s="22" t="s">
        <v>92</v>
      </c>
      <c r="E8" s="23">
        <v>0</v>
      </c>
      <c r="F8" s="24">
        <v>0</v>
      </c>
      <c r="G8" s="24">
        <v>50</v>
      </c>
      <c r="H8" s="25">
        <f>+H7+E8-F8-G8</f>
        <v>50</v>
      </c>
      <c r="I8" s="55" t="s">
        <v>87</v>
      </c>
      <c r="J8" s="56"/>
    </row>
    <row r="9" spans="1:13" s="16" customFormat="1" ht="56.25" x14ac:dyDescent="0.25">
      <c r="A9" s="28" t="s">
        <v>98</v>
      </c>
      <c r="B9" s="21" t="s">
        <v>76</v>
      </c>
      <c r="C9" s="22" t="s">
        <v>102</v>
      </c>
      <c r="D9" s="22" t="s">
        <v>103</v>
      </c>
      <c r="E9" s="23">
        <v>0</v>
      </c>
      <c r="F9" s="24">
        <v>0</v>
      </c>
      <c r="G9" s="24">
        <v>2</v>
      </c>
      <c r="H9" s="25">
        <f>+H8+E9-F9-G9</f>
        <v>48</v>
      </c>
      <c r="I9" s="55"/>
      <c r="J9" s="56"/>
    </row>
    <row r="10" spans="1:13" s="16" customFormat="1" ht="56.25" x14ac:dyDescent="0.25">
      <c r="A10" s="28" t="s">
        <v>104</v>
      </c>
      <c r="B10" s="21" t="s">
        <v>105</v>
      </c>
      <c r="C10" s="22" t="s">
        <v>106</v>
      </c>
      <c r="D10" s="22" t="s">
        <v>107</v>
      </c>
      <c r="E10" s="23">
        <v>0</v>
      </c>
      <c r="F10" s="24">
        <v>0</v>
      </c>
      <c r="G10" s="24">
        <v>2</v>
      </c>
      <c r="H10" s="25">
        <f t="shared" ref="H10:H12" si="1">+H9+E10-F10-G10</f>
        <v>46</v>
      </c>
      <c r="I10" s="55"/>
      <c r="J10" s="56"/>
    </row>
    <row r="11" spans="1:13" s="16" customFormat="1" ht="37.5" x14ac:dyDescent="0.25">
      <c r="A11" s="28" t="s">
        <v>108</v>
      </c>
      <c r="B11" s="21" t="s">
        <v>109</v>
      </c>
      <c r="C11" s="22" t="s">
        <v>110</v>
      </c>
      <c r="D11" s="29" t="s">
        <v>111</v>
      </c>
      <c r="E11" s="23">
        <v>0</v>
      </c>
      <c r="F11" s="24">
        <v>0</v>
      </c>
      <c r="G11" s="24">
        <v>10</v>
      </c>
      <c r="H11" s="25">
        <f t="shared" si="1"/>
        <v>36</v>
      </c>
      <c r="I11" s="55"/>
      <c r="J11" s="56"/>
    </row>
    <row r="12" spans="1:13" s="16" customFormat="1" ht="93.75" x14ac:dyDescent="0.25">
      <c r="A12" s="28" t="s">
        <v>81</v>
      </c>
      <c r="B12" s="21" t="s">
        <v>112</v>
      </c>
      <c r="C12" s="22" t="s">
        <v>102</v>
      </c>
      <c r="D12" s="29" t="s">
        <v>113</v>
      </c>
      <c r="E12" s="23">
        <v>0</v>
      </c>
      <c r="F12" s="24">
        <v>0</v>
      </c>
      <c r="G12" s="24">
        <v>3</v>
      </c>
      <c r="H12" s="25">
        <f t="shared" si="1"/>
        <v>33</v>
      </c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>
        <v>0</v>
      </c>
      <c r="H13" s="23"/>
      <c r="I13" s="55"/>
      <c r="J13" s="56"/>
    </row>
    <row r="14" spans="1:13" s="16" customFormat="1" ht="20.25" x14ac:dyDescent="0.25">
      <c r="A14" s="28"/>
      <c r="B14" s="30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ht="20.25" x14ac:dyDescent="0.3"/>
    <row r="23" spans="1:10" ht="20.25" x14ac:dyDescent="0.3"/>
    <row r="24" spans="1:10" ht="20.25" x14ac:dyDescent="0.3"/>
  </sheetData>
  <protectedRanges>
    <protectedRange algorithmName="SHA-512" hashValue="w6vOy6gaWv7RKp7tkLrp7nrHA6RmzXKKrxhAURGVJNeJ+tWzcydALHZnJcvW3Xd6J2aTxgJ4vzpBns4Tppy+Tg==" saltValue="wFqfSvUJGsYlHEHwlJdPRg==" spinCount="100000" sqref="A7:B8 E12:G12 B9 A13:G1048576 A12" name="Range1"/>
    <protectedRange algorithmName="SHA-512" hashValue="w6vOy6gaWv7RKp7tkLrp7nrHA6RmzXKKrxhAURGVJNeJ+tWzcydALHZnJcvW3Xd6J2aTxgJ4vzpBns4Tppy+Tg==" saltValue="wFqfSvUJGsYlHEHwlJdPRg==" spinCount="100000" sqref="A11:G11 B12 A10:B10 D10:G10 D12" name="Range1_1_1"/>
  </protectedRanges>
  <mergeCells count="26"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19:J19"/>
    <mergeCell ref="I20:J20"/>
    <mergeCell ref="I21:J21"/>
    <mergeCell ref="I9:J9"/>
    <mergeCell ref="I11:J11"/>
    <mergeCell ref="I12:J12"/>
    <mergeCell ref="I13:J13"/>
    <mergeCell ref="I14:J14"/>
    <mergeCell ref="I15:J15"/>
    <mergeCell ref="I7:J7"/>
    <mergeCell ref="I10:J10"/>
    <mergeCell ref="I16:J16"/>
    <mergeCell ref="I17:J17"/>
    <mergeCell ref="I18:J18"/>
    <mergeCell ref="I8:J8"/>
  </mergeCells>
  <conditionalFormatting sqref="B10:B21">
    <cfRule type="cellIs" priority="1" operator="between">
      <formula>1</formula>
      <formula>100000000</formula>
    </cfRule>
  </conditionalFormatting>
  <conditionalFormatting sqref="E7:E21 H7:H21">
    <cfRule type="cellIs" dxfId="136" priority="2" operator="between">
      <formula>1</formula>
      <formula>100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19B6-C599-4F8D-9F86-41191FB6C705}">
  <dimension ref="A1:M25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14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38" t="s">
        <v>32</v>
      </c>
      <c r="E3" s="66" t="s">
        <v>62</v>
      </c>
      <c r="F3" s="66"/>
      <c r="G3" s="66"/>
      <c r="H3" s="66"/>
      <c r="I3" s="12">
        <v>3138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0</v>
      </c>
      <c r="G6" s="1">
        <f t="shared" si="0"/>
        <v>60</v>
      </c>
      <c r="H6" s="1">
        <f>+E6-F6-G6</f>
        <v>40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50</v>
      </c>
      <c r="F7" s="24">
        <v>0</v>
      </c>
      <c r="G7" s="24">
        <v>0</v>
      </c>
      <c r="H7" s="25">
        <f>SUM(E7:G7)</f>
        <v>50</v>
      </c>
      <c r="I7" s="55"/>
      <c r="J7" s="56"/>
    </row>
    <row r="8" spans="1:13" s="16" customFormat="1" ht="37.5" x14ac:dyDescent="0.25">
      <c r="A8" s="20">
        <v>45450</v>
      </c>
      <c r="B8" s="21" t="s">
        <v>114</v>
      </c>
      <c r="C8" s="22" t="s">
        <v>73</v>
      </c>
      <c r="D8" s="22" t="s">
        <v>85</v>
      </c>
      <c r="E8" s="23">
        <v>50</v>
      </c>
      <c r="F8" s="24">
        <v>0</v>
      </c>
      <c r="G8" s="24">
        <v>0</v>
      </c>
      <c r="H8" s="25">
        <f>+H7+E8-F8-G8</f>
        <v>100</v>
      </c>
      <c r="I8" s="55" t="s">
        <v>87</v>
      </c>
      <c r="J8" s="56"/>
    </row>
    <row r="9" spans="1:13" s="16" customFormat="1" ht="56.25" x14ac:dyDescent="0.25">
      <c r="A9" s="20">
        <v>45573</v>
      </c>
      <c r="B9" s="21" t="s">
        <v>115</v>
      </c>
      <c r="C9" s="22" t="s">
        <v>116</v>
      </c>
      <c r="D9" s="22" t="s">
        <v>85</v>
      </c>
      <c r="E9" s="23">
        <v>0</v>
      </c>
      <c r="F9" s="24">
        <v>0</v>
      </c>
      <c r="G9" s="24">
        <v>50</v>
      </c>
      <c r="H9" s="25">
        <f t="shared" ref="H9:H10" si="1">+H8+E9-F9-G9</f>
        <v>50</v>
      </c>
      <c r="I9" s="26"/>
      <c r="J9" s="27"/>
    </row>
    <row r="10" spans="1:13" s="16" customFormat="1" ht="56.25" x14ac:dyDescent="0.25">
      <c r="A10" s="20" t="s">
        <v>117</v>
      </c>
      <c r="B10" s="21" t="s">
        <v>118</v>
      </c>
      <c r="C10" s="22" t="s">
        <v>119</v>
      </c>
      <c r="D10" s="22" t="s">
        <v>120</v>
      </c>
      <c r="E10" s="23">
        <v>0</v>
      </c>
      <c r="F10" s="24">
        <v>0</v>
      </c>
      <c r="G10" s="24">
        <v>10</v>
      </c>
      <c r="H10" s="25">
        <f t="shared" si="1"/>
        <v>40</v>
      </c>
      <c r="I10" s="26"/>
      <c r="J10" s="27"/>
    </row>
    <row r="11" spans="1:13" s="16" customFormat="1" ht="20.25" x14ac:dyDescent="0.25">
      <c r="A11" s="28"/>
      <c r="B11" s="21"/>
      <c r="C11" s="22"/>
      <c r="D11" s="22"/>
      <c r="E11" s="24"/>
      <c r="F11" s="23"/>
      <c r="G11" s="24"/>
      <c r="H11" s="23"/>
      <c r="I11" s="55"/>
      <c r="J11" s="56"/>
    </row>
    <row r="12" spans="1:13" s="16" customFormat="1" ht="20.25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21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21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  <row r="24" spans="1:10" s="16" customFormat="1" ht="30" customHeight="1" x14ac:dyDescent="0.25">
      <c r="A24" s="28"/>
      <c r="B24" s="30"/>
      <c r="C24" s="22"/>
      <c r="D24" s="29"/>
      <c r="E24" s="23"/>
      <c r="F24" s="24"/>
      <c r="G24" s="24"/>
      <c r="H24" s="23"/>
      <c r="I24" s="55"/>
      <c r="J24" s="56"/>
    </row>
    <row r="25" spans="1:10" s="16" customFormat="1" ht="30" customHeight="1" x14ac:dyDescent="0.25">
      <c r="A25" s="28"/>
      <c r="B25" s="30"/>
      <c r="C25" s="22"/>
      <c r="D25" s="29"/>
      <c r="E25" s="23"/>
      <c r="F25" s="24"/>
      <c r="G25" s="24"/>
      <c r="H25" s="23"/>
      <c r="I25" s="55"/>
      <c r="J25" s="56"/>
    </row>
  </sheetData>
  <protectedRanges>
    <protectedRange algorithmName="SHA-512" hashValue="w6vOy6gaWv7RKp7tkLrp7nrHA6RmzXKKrxhAURGVJNeJ+tWzcydALHZnJcvW3Xd6J2aTxgJ4vzpBns4Tppy+Tg==" saltValue="wFqfSvUJGsYlHEHwlJdPRg==" spinCount="100000" sqref="G11 A11:A1048576 B12 E12:G12 B13:G1048576 A7:B10" name="Range1_1"/>
  </protectedRanges>
  <mergeCells count="28"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18:J18"/>
    <mergeCell ref="I7:J7"/>
    <mergeCell ref="I8:J8"/>
    <mergeCell ref="I11:J11"/>
    <mergeCell ref="I12:J12"/>
    <mergeCell ref="I13:J13"/>
    <mergeCell ref="I14:J14"/>
    <mergeCell ref="I15:J15"/>
    <mergeCell ref="I16:J16"/>
    <mergeCell ref="I17:J17"/>
    <mergeCell ref="I25:J25"/>
    <mergeCell ref="I19:J19"/>
    <mergeCell ref="I20:J20"/>
    <mergeCell ref="I21:J21"/>
    <mergeCell ref="I22:J22"/>
    <mergeCell ref="I23:J23"/>
    <mergeCell ref="I24:J24"/>
  </mergeCells>
  <conditionalFormatting sqref="B11:B25">
    <cfRule type="cellIs" priority="3" operator="between">
      <formula>1</formula>
      <formula>100000000</formula>
    </cfRule>
  </conditionalFormatting>
  <conditionalFormatting sqref="E7:E10 H7:H25 E12:E25">
    <cfRule type="cellIs" dxfId="135" priority="2" operator="between">
      <formula>1</formula>
      <formula>100</formula>
    </cfRule>
  </conditionalFormatting>
  <conditionalFormatting sqref="F11">
    <cfRule type="cellIs" dxfId="13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D464-F41E-4539-A995-2ED9F4369129}">
  <dimension ref="A1:M25"/>
  <sheetViews>
    <sheetView workbookViewId="0">
      <selection activeCell="H11" sqref="H11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30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3.25" x14ac:dyDescent="0.3">
      <c r="A2" s="63" t="s">
        <v>57</v>
      </c>
      <c r="B2" s="63"/>
      <c r="C2" s="63"/>
      <c r="D2" s="7">
        <v>15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3.25" x14ac:dyDescent="0.3">
      <c r="A3" s="63" t="s">
        <v>60</v>
      </c>
      <c r="B3" s="63"/>
      <c r="C3" s="63"/>
      <c r="D3" s="39" t="s">
        <v>31</v>
      </c>
      <c r="E3" s="66" t="s">
        <v>62</v>
      </c>
      <c r="F3" s="66"/>
      <c r="G3" s="66"/>
      <c r="H3" s="66"/>
      <c r="I3" s="12">
        <v>3142</v>
      </c>
      <c r="J3" s="13"/>
    </row>
    <row r="4" spans="1:13" ht="37.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6.25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22.5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0</v>
      </c>
      <c r="G6" s="1">
        <f t="shared" si="0"/>
        <v>65</v>
      </c>
      <c r="H6" s="1">
        <f>+E6-F6-G6</f>
        <v>35</v>
      </c>
      <c r="I6" s="18"/>
      <c r="J6" s="19"/>
    </row>
    <row r="7" spans="1:13" s="16" customFormat="1" ht="37.5" x14ac:dyDescent="0.25">
      <c r="A7" s="20">
        <v>45601</v>
      </c>
      <c r="B7" s="21" t="s">
        <v>72</v>
      </c>
      <c r="C7" s="22" t="s">
        <v>73</v>
      </c>
      <c r="D7" s="22" t="s">
        <v>85</v>
      </c>
      <c r="E7" s="23">
        <v>100</v>
      </c>
      <c r="F7" s="24">
        <v>0</v>
      </c>
      <c r="G7" s="24">
        <v>0</v>
      </c>
      <c r="H7" s="25">
        <f>SUM(E7:G7)</f>
        <v>100</v>
      </c>
      <c r="I7" s="55"/>
      <c r="J7" s="56"/>
    </row>
    <row r="8" spans="1:13" s="16" customFormat="1" ht="75" x14ac:dyDescent="0.25">
      <c r="A8" s="20" t="s">
        <v>75</v>
      </c>
      <c r="B8" s="21" t="s">
        <v>121</v>
      </c>
      <c r="C8" s="22" t="s">
        <v>73</v>
      </c>
      <c r="D8" s="22" t="s">
        <v>122</v>
      </c>
      <c r="E8" s="23">
        <v>0</v>
      </c>
      <c r="F8" s="24">
        <v>0</v>
      </c>
      <c r="G8" s="24">
        <v>50</v>
      </c>
      <c r="H8" s="25">
        <f>H7+E8-F8-G8</f>
        <v>50</v>
      </c>
      <c r="I8" s="55" t="s">
        <v>87</v>
      </c>
      <c r="J8" s="56"/>
    </row>
    <row r="9" spans="1:13" s="16" customFormat="1" ht="56.25" x14ac:dyDescent="0.25">
      <c r="A9" s="20" t="s">
        <v>123</v>
      </c>
      <c r="B9" s="21" t="s">
        <v>124</v>
      </c>
      <c r="C9" s="22" t="s">
        <v>116</v>
      </c>
      <c r="D9" s="22" t="s">
        <v>125</v>
      </c>
      <c r="E9" s="23">
        <v>0</v>
      </c>
      <c r="F9" s="24">
        <v>0</v>
      </c>
      <c r="G9" s="24">
        <v>1</v>
      </c>
      <c r="H9" s="25">
        <f t="shared" ref="H9:H11" si="1">H8+E9-F9-G9</f>
        <v>49</v>
      </c>
      <c r="I9" s="26"/>
      <c r="J9" s="27"/>
    </row>
    <row r="10" spans="1:13" s="16" customFormat="1" ht="75" x14ac:dyDescent="0.25">
      <c r="A10" s="20" t="s">
        <v>117</v>
      </c>
      <c r="B10" s="21" t="s">
        <v>126</v>
      </c>
      <c r="C10" s="22" t="s">
        <v>119</v>
      </c>
      <c r="D10" s="22" t="s">
        <v>120</v>
      </c>
      <c r="E10" s="23">
        <v>0</v>
      </c>
      <c r="F10" s="24">
        <v>0</v>
      </c>
      <c r="G10" s="24">
        <v>10</v>
      </c>
      <c r="H10" s="25">
        <f t="shared" si="1"/>
        <v>39</v>
      </c>
      <c r="I10" s="26"/>
      <c r="J10" s="27"/>
    </row>
    <row r="11" spans="1:13" s="16" customFormat="1" ht="75" x14ac:dyDescent="0.25">
      <c r="A11" s="28" t="s">
        <v>81</v>
      </c>
      <c r="B11" s="21" t="s">
        <v>127</v>
      </c>
      <c r="C11" s="22" t="s">
        <v>128</v>
      </c>
      <c r="D11" s="22" t="s">
        <v>129</v>
      </c>
      <c r="E11" s="24">
        <v>0</v>
      </c>
      <c r="F11" s="23">
        <v>0</v>
      </c>
      <c r="G11" s="24">
        <v>4</v>
      </c>
      <c r="H11" s="25">
        <f t="shared" si="1"/>
        <v>35</v>
      </c>
      <c r="I11" s="55"/>
      <c r="J11" s="56"/>
    </row>
    <row r="12" spans="1:13" s="16" customFormat="1" ht="20.25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20.25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20.25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0.25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0.25" x14ac:dyDescent="0.25">
      <c r="A16" s="28"/>
      <c r="B16" s="21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0.25" x14ac:dyDescent="0.25">
      <c r="A17" s="28"/>
      <c r="B17" s="21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0.25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0.25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0.25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0.25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0.25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0.25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  <row r="24" spans="1:10" s="16" customFormat="1" ht="30" customHeight="1" x14ac:dyDescent="0.25">
      <c r="A24" s="28"/>
      <c r="B24" s="30"/>
      <c r="C24" s="22"/>
      <c r="D24" s="29"/>
      <c r="E24" s="23"/>
      <c r="F24" s="24"/>
      <c r="G24" s="24"/>
      <c r="H24" s="23"/>
      <c r="I24" s="55"/>
      <c r="J24" s="56"/>
    </row>
    <row r="25" spans="1:10" s="16" customFormat="1" ht="30" customHeight="1" x14ac:dyDescent="0.25">
      <c r="A25" s="28"/>
      <c r="B25" s="30"/>
      <c r="C25" s="22"/>
      <c r="D25" s="29"/>
      <c r="E25" s="23"/>
      <c r="F25" s="24"/>
      <c r="G25" s="24"/>
      <c r="H25" s="23"/>
      <c r="I25" s="55"/>
      <c r="J25" s="56"/>
    </row>
  </sheetData>
  <protectedRanges>
    <protectedRange algorithmName="SHA-512" hashValue="w6vOy6gaWv7RKp7tkLrp7nrHA6RmzXKKrxhAURGVJNeJ+tWzcydALHZnJcvW3Xd6J2aTxgJ4vzpBns4Tppy+Tg==" saltValue="wFqfSvUJGsYlHEHwlJdPRg==" spinCount="100000" sqref="G11 A11:A1048576 E12:G12 B13:G1048576 A7:B10 B11:B12" name="Range1"/>
  </protectedRanges>
  <mergeCells count="28">
    <mergeCell ref="B1:J1"/>
    <mergeCell ref="A2:C2"/>
    <mergeCell ref="E2:G2"/>
    <mergeCell ref="L2:M2"/>
    <mergeCell ref="A3:C3"/>
    <mergeCell ref="E3:H3"/>
    <mergeCell ref="I15:J15"/>
    <mergeCell ref="A4:A5"/>
    <mergeCell ref="B4:B5"/>
    <mergeCell ref="C4:C5"/>
    <mergeCell ref="D4:D5"/>
    <mergeCell ref="I4:J5"/>
    <mergeCell ref="I7:J7"/>
    <mergeCell ref="I8:J8"/>
    <mergeCell ref="I11:J11"/>
    <mergeCell ref="I12:J12"/>
    <mergeCell ref="I13:J13"/>
    <mergeCell ref="I14:J14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21:J21"/>
  </mergeCells>
  <conditionalFormatting sqref="B12:B25">
    <cfRule type="cellIs" priority="3" operator="between">
      <formula>1</formula>
      <formula>100000000</formula>
    </cfRule>
  </conditionalFormatting>
  <conditionalFormatting sqref="E7:E10 H7:H25 E12:E25">
    <cfRule type="cellIs" dxfId="133" priority="2" operator="between">
      <formula>1</formula>
      <formula>100</formula>
    </cfRule>
  </conditionalFormatting>
  <conditionalFormatting sqref="F11">
    <cfRule type="cellIs" dxfId="13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5F25-BC8A-4C26-8018-5D22C7DDBD84}">
  <dimension ref="A1:M23"/>
  <sheetViews>
    <sheetView workbookViewId="0">
      <selection activeCell="I6" sqref="I6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16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70" t="s">
        <v>130</v>
      </c>
      <c r="E3" s="66" t="s">
        <v>62</v>
      </c>
      <c r="F3" s="66"/>
      <c r="G3" s="66"/>
      <c r="H3" s="66"/>
      <c r="I3" s="12">
        <v>3145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</v>
      </c>
      <c r="F6" s="1">
        <f t="shared" ref="F6:G6" si="0">SUM(F7:F1000)</f>
        <v>0</v>
      </c>
      <c r="G6" s="1">
        <f t="shared" si="0"/>
        <v>5</v>
      </c>
      <c r="H6" s="1">
        <f>+E6-F6-G6</f>
        <v>0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3</v>
      </c>
      <c r="F7" s="24">
        <v>0</v>
      </c>
      <c r="G7" s="24">
        <v>0</v>
      </c>
      <c r="H7" s="23">
        <f>SUM(E7:G7)</f>
        <v>3</v>
      </c>
      <c r="I7" s="55"/>
      <c r="J7" s="56"/>
    </row>
    <row r="8" spans="1:13" s="16" customFormat="1" ht="93.75" customHeight="1" x14ac:dyDescent="0.25">
      <c r="A8" s="20">
        <v>45601</v>
      </c>
      <c r="B8" s="21" t="s">
        <v>134</v>
      </c>
      <c r="C8" s="22" t="s">
        <v>132</v>
      </c>
      <c r="D8" s="22" t="s">
        <v>133</v>
      </c>
      <c r="E8" s="23">
        <v>2</v>
      </c>
      <c r="F8" s="24">
        <v>0</v>
      </c>
      <c r="G8" s="24">
        <v>0</v>
      </c>
      <c r="H8" s="23">
        <v>5</v>
      </c>
      <c r="I8" s="55"/>
      <c r="J8" s="56"/>
    </row>
    <row r="9" spans="1:13" s="16" customFormat="1" ht="132" customHeight="1" x14ac:dyDescent="0.25">
      <c r="A9" s="28" t="s">
        <v>135</v>
      </c>
      <c r="B9" s="21" t="s">
        <v>136</v>
      </c>
      <c r="C9" s="22" t="s">
        <v>137</v>
      </c>
      <c r="D9" s="22" t="s">
        <v>138</v>
      </c>
      <c r="E9" s="23">
        <v>0</v>
      </c>
      <c r="F9" s="23">
        <v>0</v>
      </c>
      <c r="G9" s="24">
        <v>1</v>
      </c>
      <c r="H9" s="23">
        <v>4</v>
      </c>
      <c r="I9" s="55"/>
      <c r="J9" s="56"/>
    </row>
    <row r="10" spans="1:13" s="16" customFormat="1" ht="87.75" customHeight="1" x14ac:dyDescent="0.25">
      <c r="A10" s="28" t="s">
        <v>135</v>
      </c>
      <c r="B10" s="21" t="s">
        <v>136</v>
      </c>
      <c r="C10" s="22" t="s">
        <v>139</v>
      </c>
      <c r="D10" s="22" t="s">
        <v>138</v>
      </c>
      <c r="E10" s="23">
        <v>0</v>
      </c>
      <c r="F10" s="24">
        <v>0</v>
      </c>
      <c r="G10" s="24">
        <v>1</v>
      </c>
      <c r="H10" s="23">
        <v>3</v>
      </c>
      <c r="I10" s="55"/>
      <c r="J10" s="56"/>
    </row>
    <row r="11" spans="1:13" s="16" customFormat="1" ht="90" customHeight="1" x14ac:dyDescent="0.25">
      <c r="A11" s="28" t="s">
        <v>135</v>
      </c>
      <c r="B11" s="21" t="s">
        <v>136</v>
      </c>
      <c r="C11" s="22" t="s">
        <v>140</v>
      </c>
      <c r="D11" s="22" t="s">
        <v>138</v>
      </c>
      <c r="E11" s="23">
        <v>0</v>
      </c>
      <c r="F11" s="24">
        <v>0</v>
      </c>
      <c r="G11" s="24">
        <v>1</v>
      </c>
      <c r="H11" s="23">
        <v>2</v>
      </c>
      <c r="I11" s="55"/>
      <c r="J11" s="56"/>
    </row>
    <row r="12" spans="1:13" s="16" customFormat="1" ht="84" customHeight="1" x14ac:dyDescent="0.25">
      <c r="A12" s="28" t="s">
        <v>141</v>
      </c>
      <c r="B12" s="21" t="s">
        <v>136</v>
      </c>
      <c r="C12" s="22" t="s">
        <v>142</v>
      </c>
      <c r="D12" s="22" t="s">
        <v>138</v>
      </c>
      <c r="E12" s="23">
        <v>0</v>
      </c>
      <c r="F12" s="24">
        <v>0</v>
      </c>
      <c r="G12" s="24">
        <v>2</v>
      </c>
      <c r="H12" s="23">
        <v>0</v>
      </c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B13:G1048576 A9:A1048576 B9:C12 E10:G12 A7:B8" name="Range1_1"/>
  </protectedRanges>
  <mergeCells count="28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2:J22"/>
    <mergeCell ref="I23:J23"/>
    <mergeCell ref="I7:J7"/>
    <mergeCell ref="I9:J9"/>
    <mergeCell ref="I10:J10"/>
    <mergeCell ref="I16:J16"/>
    <mergeCell ref="I17:J17"/>
    <mergeCell ref="I18:J18"/>
    <mergeCell ref="I19:J19"/>
    <mergeCell ref="I20:J20"/>
    <mergeCell ref="I21:J21"/>
    <mergeCell ref="I11:J11"/>
    <mergeCell ref="I12:J12"/>
    <mergeCell ref="I13:J13"/>
    <mergeCell ref="I14:J14"/>
    <mergeCell ref="I15:J15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31" priority="2" operator="between">
      <formula>1</formula>
      <formula>100</formula>
    </cfRule>
  </conditionalFormatting>
  <conditionalFormatting sqref="F9">
    <cfRule type="cellIs" dxfId="13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8FDF-B655-4A8B-9E49-0B280E08F7DE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17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29</v>
      </c>
      <c r="E3" s="66" t="s">
        <v>62</v>
      </c>
      <c r="F3" s="66"/>
      <c r="G3" s="66"/>
      <c r="H3" s="66"/>
      <c r="I3" s="12">
        <v>3147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50</v>
      </c>
      <c r="F6" s="1">
        <f t="shared" ref="F6:G6" si="0">SUM(F7:F1000)</f>
        <v>0</v>
      </c>
      <c r="G6" s="1">
        <f t="shared" si="0"/>
        <v>25</v>
      </c>
      <c r="H6" s="1">
        <f>+E6-F6-G6</f>
        <v>25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50</v>
      </c>
      <c r="F7" s="24">
        <v>0</v>
      </c>
      <c r="G7" s="24">
        <v>0</v>
      </c>
      <c r="H7" s="23">
        <f>SUM(E7:G7)</f>
        <v>50</v>
      </c>
      <c r="I7" s="55"/>
      <c r="J7" s="56"/>
    </row>
    <row r="8" spans="1:13" s="16" customFormat="1" ht="93.75" customHeight="1" x14ac:dyDescent="0.25">
      <c r="A8" s="20">
        <v>45601</v>
      </c>
      <c r="B8" s="21" t="s">
        <v>143</v>
      </c>
      <c r="C8" s="22" t="s">
        <v>144</v>
      </c>
      <c r="D8" s="22" t="s">
        <v>145</v>
      </c>
      <c r="E8" s="23">
        <v>0</v>
      </c>
      <c r="F8" s="24">
        <v>0</v>
      </c>
      <c r="G8" s="24">
        <v>25</v>
      </c>
      <c r="H8" s="23">
        <v>25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7:J7"/>
    <mergeCell ref="I9:J9"/>
    <mergeCell ref="I10:J10"/>
    <mergeCell ref="I11:J11"/>
    <mergeCell ref="I12:J12"/>
    <mergeCell ref="I20:J20"/>
    <mergeCell ref="I21:J21"/>
    <mergeCell ref="I22:J22"/>
    <mergeCell ref="I23:J23"/>
    <mergeCell ref="I8:J8"/>
    <mergeCell ref="I14:J14"/>
    <mergeCell ref="I15:J15"/>
    <mergeCell ref="I16:J16"/>
    <mergeCell ref="I17:J17"/>
    <mergeCell ref="I18:J18"/>
    <mergeCell ref="I19:J19"/>
    <mergeCell ref="I13:J13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29" priority="2" operator="between">
      <formula>1</formula>
      <formula>100</formula>
    </cfRule>
  </conditionalFormatting>
  <conditionalFormatting sqref="F9">
    <cfRule type="cellIs" dxfId="12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5F71-EA47-446B-9CEC-E468864F4FBB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18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0" t="s">
        <v>28</v>
      </c>
      <c r="E3" s="66" t="s">
        <v>62</v>
      </c>
      <c r="F3" s="66"/>
      <c r="G3" s="66"/>
      <c r="H3" s="66"/>
      <c r="I3" s="12">
        <v>3150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20</v>
      </c>
      <c r="F6" s="1">
        <f t="shared" ref="F6:G6" si="0">SUM(F7:F1000)</f>
        <v>0</v>
      </c>
      <c r="G6" s="1">
        <f t="shared" si="0"/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93.75" customHeight="1" x14ac:dyDescent="0.25">
      <c r="A8" s="20" t="s">
        <v>146</v>
      </c>
      <c r="B8" s="21" t="s">
        <v>143</v>
      </c>
      <c r="C8" s="22" t="s">
        <v>144</v>
      </c>
      <c r="D8" s="22" t="s">
        <v>145</v>
      </c>
      <c r="E8" s="23">
        <v>0</v>
      </c>
      <c r="F8" s="24">
        <v>0</v>
      </c>
      <c r="G8" s="24">
        <v>10</v>
      </c>
      <c r="H8" s="23">
        <v>10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27" priority="2" operator="between">
      <formula>1</formula>
      <formula>100</formula>
    </cfRule>
  </conditionalFormatting>
  <conditionalFormatting sqref="F9">
    <cfRule type="cellIs" dxfId="12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03CB-1056-4CCC-B664-A011243101CD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19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39" t="s">
        <v>27</v>
      </c>
      <c r="E3" s="66" t="s">
        <v>62</v>
      </c>
      <c r="F3" s="66"/>
      <c r="G3" s="66"/>
      <c r="H3" s="66"/>
      <c r="I3" s="12">
        <v>3153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50</v>
      </c>
      <c r="F6" s="1">
        <f t="shared" ref="F6:G6" si="0">SUM(F7:F1000)</f>
        <v>0</v>
      </c>
      <c r="G6" s="1">
        <f t="shared" si="0"/>
        <v>25</v>
      </c>
      <c r="H6" s="1">
        <f>+E6-F6-G6</f>
        <v>25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50</v>
      </c>
      <c r="F7" s="24">
        <v>0</v>
      </c>
      <c r="G7" s="24">
        <v>0</v>
      </c>
      <c r="H7" s="23">
        <f>SUM(E7:G7)</f>
        <v>50</v>
      </c>
      <c r="I7" s="55"/>
      <c r="J7" s="56"/>
    </row>
    <row r="8" spans="1:13" s="16" customFormat="1" ht="93.75" customHeight="1" x14ac:dyDescent="0.25">
      <c r="A8" s="20" t="s">
        <v>146</v>
      </c>
      <c r="B8" s="21" t="s">
        <v>143</v>
      </c>
      <c r="C8" s="22" t="s">
        <v>144</v>
      </c>
      <c r="D8" s="22" t="s">
        <v>133</v>
      </c>
      <c r="E8" s="23">
        <v>0</v>
      </c>
      <c r="F8" s="24">
        <v>0</v>
      </c>
      <c r="G8" s="24">
        <v>25</v>
      </c>
      <c r="H8" s="23">
        <v>25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25" priority="2" operator="between">
      <formula>1</formula>
      <formula>100</formula>
    </cfRule>
  </conditionalFormatting>
  <conditionalFormatting sqref="F9">
    <cfRule type="cellIs" dxfId="12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72D4-4949-4A38-A4F9-873D143F4946}">
  <dimension ref="A1:M23"/>
  <sheetViews>
    <sheetView workbookViewId="0">
      <selection activeCell="H9" sqref="H9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20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26</v>
      </c>
      <c r="E3" s="66" t="s">
        <v>62</v>
      </c>
      <c r="F3" s="66"/>
      <c r="G3" s="66"/>
      <c r="H3" s="66"/>
      <c r="I3" s="12">
        <v>3156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0</v>
      </c>
      <c r="G6" s="1">
        <f t="shared" si="0"/>
        <v>60</v>
      </c>
      <c r="H6" s="1">
        <f>+E6-F6-G6</f>
        <v>40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100</v>
      </c>
      <c r="F7" s="24">
        <v>0</v>
      </c>
      <c r="G7" s="24">
        <v>0</v>
      </c>
      <c r="H7" s="23">
        <f>SUM(E7:G7)</f>
        <v>100</v>
      </c>
      <c r="I7" s="55"/>
      <c r="J7" s="56"/>
    </row>
    <row r="8" spans="1:13" s="16" customFormat="1" ht="93.75" customHeight="1" x14ac:dyDescent="0.25">
      <c r="A8" s="20" t="s">
        <v>146</v>
      </c>
      <c r="B8" s="21" t="s">
        <v>350</v>
      </c>
      <c r="C8" s="22" t="s">
        <v>147</v>
      </c>
      <c r="D8" s="22" t="s">
        <v>148</v>
      </c>
      <c r="E8" s="23">
        <v>0</v>
      </c>
      <c r="F8" s="24">
        <v>0</v>
      </c>
      <c r="G8" s="24">
        <v>50</v>
      </c>
      <c r="H8" s="23">
        <f>H7+E8-F8-G8</f>
        <v>50</v>
      </c>
      <c r="I8" s="55"/>
      <c r="J8" s="56"/>
    </row>
    <row r="9" spans="1:13" s="16" customFormat="1" ht="132" customHeight="1" x14ac:dyDescent="0.25">
      <c r="A9" s="28">
        <v>46044</v>
      </c>
      <c r="B9" s="21" t="s">
        <v>351</v>
      </c>
      <c r="C9" s="22" t="s">
        <v>270</v>
      </c>
      <c r="D9" s="22" t="s">
        <v>148</v>
      </c>
      <c r="E9" s="23">
        <v>0</v>
      </c>
      <c r="F9" s="23">
        <v>0</v>
      </c>
      <c r="G9" s="24">
        <v>10</v>
      </c>
      <c r="H9" s="23">
        <f t="shared" ref="H9" si="1">H8+E9-F9-G9</f>
        <v>40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>
        <v>0</v>
      </c>
      <c r="F10" s="23">
        <v>0</v>
      </c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>
        <v>0</v>
      </c>
      <c r="F11" s="23">
        <v>0</v>
      </c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>
        <v>0</v>
      </c>
      <c r="F12" s="23">
        <v>0</v>
      </c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8 A9:A1048576 B9:C12 B13:G1048576 G9:G12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23" priority="2" operator="between">
      <formula>1</formula>
      <formula>100</formula>
    </cfRule>
  </conditionalFormatting>
  <conditionalFormatting sqref="F9:F12">
    <cfRule type="cellIs" dxfId="12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9C42-C778-4AE3-BAA7-20B959E54C9C}">
  <dimension ref="A1:M23"/>
  <sheetViews>
    <sheetView workbookViewId="0">
      <selection activeCell="D9" sqref="D9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21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2" t="s">
        <v>149</v>
      </c>
      <c r="E3" s="66" t="s">
        <v>62</v>
      </c>
      <c r="F3" s="66"/>
      <c r="G3" s="66"/>
      <c r="H3" s="66"/>
      <c r="I3" s="12">
        <v>3159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14</v>
      </c>
      <c r="F6" s="1">
        <f t="shared" ref="F6:G6" si="0">SUM(F7:F1000)</f>
        <v>0</v>
      </c>
      <c r="G6" s="1">
        <f t="shared" si="0"/>
        <v>7</v>
      </c>
      <c r="H6" s="1">
        <f>+E6-F6-G6</f>
        <v>7</v>
      </c>
      <c r="I6" s="18"/>
      <c r="J6" s="19"/>
    </row>
    <row r="7" spans="1:13" s="16" customFormat="1" ht="67.5" customHeight="1" x14ac:dyDescent="0.25">
      <c r="A7" s="20">
        <v>45601</v>
      </c>
      <c r="B7" s="21" t="s">
        <v>131</v>
      </c>
      <c r="C7" s="22" t="s">
        <v>132</v>
      </c>
      <c r="D7" s="22" t="s">
        <v>133</v>
      </c>
      <c r="E7" s="23">
        <v>14</v>
      </c>
      <c r="F7" s="24">
        <v>0</v>
      </c>
      <c r="G7" s="24">
        <v>0</v>
      </c>
      <c r="H7" s="23">
        <f>SUM(E7:G7)</f>
        <v>14</v>
      </c>
      <c r="I7" s="55"/>
      <c r="J7" s="56"/>
    </row>
    <row r="8" spans="1:13" s="16" customFormat="1" ht="93.75" customHeight="1" x14ac:dyDescent="0.25">
      <c r="A8" s="20" t="s">
        <v>146</v>
      </c>
      <c r="B8" s="21" t="s">
        <v>143</v>
      </c>
      <c r="C8" s="22" t="s">
        <v>147</v>
      </c>
      <c r="D8" s="43" t="s">
        <v>150</v>
      </c>
      <c r="E8" s="23">
        <v>0</v>
      </c>
      <c r="F8" s="24">
        <v>0</v>
      </c>
      <c r="G8" s="24">
        <v>7</v>
      </c>
      <c r="H8" s="23">
        <v>7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21" priority="2" operator="between">
      <formula>1</formula>
      <formula>100</formula>
    </cfRule>
  </conditionalFormatting>
  <conditionalFormatting sqref="F9">
    <cfRule type="cellIs" dxfId="12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2D8D-5663-43F2-94D5-CE62AABC56B4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22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3" t="s">
        <v>151</v>
      </c>
      <c r="E3" s="66" t="s">
        <v>62</v>
      </c>
      <c r="F3" s="66"/>
      <c r="G3" s="66"/>
      <c r="H3" s="66"/>
      <c r="I3" s="12">
        <v>3160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  <c r="L5" s="54" t="s">
        <v>352</v>
      </c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</v>
      </c>
      <c r="F6" s="1">
        <f t="shared" ref="F6:G6" si="0">SUM(F7:F1000)</f>
        <v>0</v>
      </c>
      <c r="G6" s="1">
        <f t="shared" si="0"/>
        <v>1</v>
      </c>
      <c r="H6" s="1">
        <f>+E6-F6-G6</f>
        <v>0</v>
      </c>
      <c r="I6" s="18"/>
      <c r="J6" s="19"/>
    </row>
    <row r="7" spans="1:13" s="16" customFormat="1" ht="93.75" customHeight="1" x14ac:dyDescent="0.25">
      <c r="A7" s="20" t="s">
        <v>152</v>
      </c>
      <c r="B7" s="21" t="s">
        <v>153</v>
      </c>
      <c r="C7" s="22" t="s">
        <v>154</v>
      </c>
      <c r="D7" s="22" t="s">
        <v>133</v>
      </c>
      <c r="E7" s="23">
        <v>1</v>
      </c>
      <c r="F7" s="24">
        <v>0</v>
      </c>
      <c r="G7" s="24">
        <v>0</v>
      </c>
      <c r="H7" s="23">
        <f>SUM(E7:G7)</f>
        <v>1</v>
      </c>
      <c r="I7" s="55"/>
      <c r="J7" s="56"/>
    </row>
    <row r="8" spans="1:13" s="16" customFormat="1" ht="108" customHeight="1" x14ac:dyDescent="0.25">
      <c r="A8" s="20" t="s">
        <v>155</v>
      </c>
      <c r="B8" s="21" t="s">
        <v>143</v>
      </c>
      <c r="C8" s="22" t="s">
        <v>156</v>
      </c>
      <c r="D8" s="22" t="s">
        <v>133</v>
      </c>
      <c r="E8" s="23">
        <v>0</v>
      </c>
      <c r="F8" s="24">
        <v>0</v>
      </c>
      <c r="G8" s="24">
        <v>1</v>
      </c>
      <c r="H8" s="23">
        <v>0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19" priority="2" operator="between">
      <formula>1</formula>
      <formula>100</formula>
    </cfRule>
  </conditionalFormatting>
  <conditionalFormatting sqref="F9">
    <cfRule type="cellIs" dxfId="11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16D7-277D-49A5-8EAF-D9107BF1B70F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23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157</v>
      </c>
      <c r="E3" s="66" t="s">
        <v>62</v>
      </c>
      <c r="F3" s="66"/>
      <c r="G3" s="66"/>
      <c r="H3" s="66"/>
      <c r="I3" s="12">
        <v>3161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40</v>
      </c>
      <c r="F6" s="1">
        <f t="shared" ref="F6:G6" si="0">SUM(F7:F1000)</f>
        <v>0</v>
      </c>
      <c r="G6" s="1">
        <f t="shared" si="0"/>
        <v>20</v>
      </c>
      <c r="H6" s="1">
        <f>+E6-F6-G6</f>
        <v>20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40</v>
      </c>
      <c r="F7" s="24">
        <v>0</v>
      </c>
      <c r="G7" s="24">
        <v>0</v>
      </c>
      <c r="H7" s="23">
        <f>SUM(E7:G7)</f>
        <v>40</v>
      </c>
      <c r="I7" s="55"/>
      <c r="J7" s="56"/>
    </row>
    <row r="8" spans="1:13" s="16" customFormat="1" ht="108" customHeight="1" x14ac:dyDescent="0.25">
      <c r="A8" s="20">
        <v>45573</v>
      </c>
      <c r="B8" s="21" t="s">
        <v>160</v>
      </c>
      <c r="C8" s="22" t="s">
        <v>161</v>
      </c>
      <c r="D8" s="22" t="s">
        <v>133</v>
      </c>
      <c r="E8" s="23">
        <v>0</v>
      </c>
      <c r="F8" s="24">
        <v>0</v>
      </c>
      <c r="G8" s="24">
        <v>20</v>
      </c>
      <c r="H8" s="23">
        <v>20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17" priority="2" operator="between">
      <formula>1</formula>
      <formula>100</formula>
    </cfRule>
  </conditionalFormatting>
  <conditionalFormatting sqref="F9">
    <cfRule type="cellIs" dxfId="11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5676-28BB-4D9F-8894-A69521E38FBF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162</v>
      </c>
      <c r="E3" s="66" t="s">
        <v>62</v>
      </c>
      <c r="F3" s="66"/>
      <c r="G3" s="66"/>
      <c r="H3" s="66"/>
      <c r="I3" s="12">
        <v>3162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</v>
      </c>
      <c r="F6" s="1">
        <f t="shared" ref="F6:G6" si="0">SUM(F7:F1000)</f>
        <v>0</v>
      </c>
      <c r="G6" s="1">
        <f t="shared" si="0"/>
        <v>2</v>
      </c>
      <c r="H6" s="1">
        <f>+E6-F6-G6</f>
        <v>3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08" customHeight="1" x14ac:dyDescent="0.25">
      <c r="A8" s="20">
        <v>45573</v>
      </c>
      <c r="B8" s="21" t="s">
        <v>160</v>
      </c>
      <c r="C8" s="22" t="s">
        <v>161</v>
      </c>
      <c r="D8" s="22" t="s">
        <v>133</v>
      </c>
      <c r="E8" s="23">
        <v>0</v>
      </c>
      <c r="F8" s="24">
        <v>0</v>
      </c>
      <c r="G8" s="24">
        <v>2</v>
      </c>
      <c r="H8" s="23">
        <v>3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15" priority="2" operator="between">
      <formula>1</formula>
      <formula>100</formula>
    </cfRule>
  </conditionalFormatting>
  <conditionalFormatting sqref="F9">
    <cfRule type="cellIs" dxfId="11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F316-8700-4399-A24A-C00156B91737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25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21</v>
      </c>
      <c r="E3" s="66" t="s">
        <v>62</v>
      </c>
      <c r="F3" s="66"/>
      <c r="G3" s="66"/>
      <c r="H3" s="66"/>
      <c r="I3" s="12">
        <v>3163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4</v>
      </c>
      <c r="H6" s="1">
        <f>+E6-F6-G6</f>
        <v>6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10</v>
      </c>
      <c r="F7" s="24">
        <v>0</v>
      </c>
      <c r="G7" s="24">
        <v>0</v>
      </c>
      <c r="H7" s="23">
        <f>SUM(E7:G7)</f>
        <v>10</v>
      </c>
      <c r="I7" s="55"/>
      <c r="J7" s="56"/>
    </row>
    <row r="8" spans="1:13" s="16" customFormat="1" ht="108" customHeight="1" x14ac:dyDescent="0.25">
      <c r="A8" s="20">
        <v>45573</v>
      </c>
      <c r="B8" s="21" t="s">
        <v>160</v>
      </c>
      <c r="C8" s="22" t="s">
        <v>161</v>
      </c>
      <c r="D8" s="22" t="s">
        <v>133</v>
      </c>
      <c r="E8" s="23">
        <v>0</v>
      </c>
      <c r="F8" s="24">
        <v>0</v>
      </c>
      <c r="G8" s="24">
        <v>4</v>
      </c>
      <c r="H8" s="23">
        <v>6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13" priority="2" operator="between">
      <formula>1</formula>
      <formula>100</formula>
    </cfRule>
  </conditionalFormatting>
  <conditionalFormatting sqref="F9">
    <cfRule type="cellIs" dxfId="11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8B51-0682-4D36-BD8F-2D0599DF5DAC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26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20</v>
      </c>
      <c r="E3" s="66" t="s">
        <v>62</v>
      </c>
      <c r="F3" s="66"/>
      <c r="G3" s="66"/>
      <c r="H3" s="66"/>
      <c r="I3" s="12">
        <v>3164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20</v>
      </c>
      <c r="F6" s="1">
        <f t="shared" ref="F6:G6" si="0">SUM(F7:F1000)</f>
        <v>0</v>
      </c>
      <c r="G6" s="1">
        <f t="shared" si="0"/>
        <v>10</v>
      </c>
      <c r="H6" s="1">
        <f>+E6-F6-G6</f>
        <v>10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108" customHeight="1" x14ac:dyDescent="0.25">
      <c r="A8" s="20">
        <v>45573</v>
      </c>
      <c r="B8" s="21" t="s">
        <v>160</v>
      </c>
      <c r="C8" s="22" t="s">
        <v>161</v>
      </c>
      <c r="D8" s="22" t="s">
        <v>133</v>
      </c>
      <c r="E8" s="23">
        <v>0</v>
      </c>
      <c r="F8" s="24">
        <v>0</v>
      </c>
      <c r="G8" s="24">
        <v>10</v>
      </c>
      <c r="H8" s="23">
        <v>10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11" priority="2" operator="between">
      <formula>1</formula>
      <formula>100</formula>
    </cfRule>
  </conditionalFormatting>
  <conditionalFormatting sqref="F9">
    <cfRule type="cellIs" dxfId="11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D317-5B8D-4EBC-8700-D893C76FC021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27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38" t="s">
        <v>163</v>
      </c>
      <c r="E3" s="66" t="s">
        <v>62</v>
      </c>
      <c r="F3" s="66"/>
      <c r="G3" s="66"/>
      <c r="H3" s="66"/>
      <c r="I3" s="12">
        <v>3165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4</v>
      </c>
      <c r="H6" s="1">
        <f>+E6-F6-G6</f>
        <v>6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10</v>
      </c>
      <c r="F7" s="24">
        <v>0</v>
      </c>
      <c r="G7" s="24">
        <v>0</v>
      </c>
      <c r="H7" s="23">
        <f>SUM(E7:G7)</f>
        <v>10</v>
      </c>
      <c r="I7" s="55"/>
      <c r="J7" s="56"/>
    </row>
    <row r="8" spans="1:13" s="16" customFormat="1" ht="108" customHeight="1" x14ac:dyDescent="0.25">
      <c r="A8" s="20">
        <v>45573</v>
      </c>
      <c r="B8" s="21" t="s">
        <v>160</v>
      </c>
      <c r="C8" s="22" t="s">
        <v>161</v>
      </c>
      <c r="D8" s="22" t="s">
        <v>133</v>
      </c>
      <c r="E8" s="23">
        <v>0</v>
      </c>
      <c r="F8" s="24">
        <v>0</v>
      </c>
      <c r="G8" s="24">
        <v>4</v>
      </c>
      <c r="H8" s="23">
        <v>6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09" priority="2" operator="between">
      <formula>1</formula>
      <formula>100</formula>
    </cfRule>
  </conditionalFormatting>
  <conditionalFormatting sqref="F9">
    <cfRule type="cellIs" dxfId="10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C16D-5DF6-4698-8325-4EA312C4BCB9}">
  <dimension ref="A1:M23"/>
  <sheetViews>
    <sheetView workbookViewId="0">
      <selection activeCell="G8" sqref="G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29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38" t="s">
        <v>18</v>
      </c>
      <c r="E3" s="66" t="s">
        <v>62</v>
      </c>
      <c r="F3" s="66"/>
      <c r="G3" s="66"/>
      <c r="H3" s="66"/>
      <c r="I3" s="12">
        <v>3168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1</v>
      </c>
      <c r="H6" s="1">
        <f>+E6-F6-G6</f>
        <v>1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08" customHeight="1" x14ac:dyDescent="0.25">
      <c r="A8" s="20">
        <v>46053</v>
      </c>
      <c r="B8" s="21" t="s">
        <v>353</v>
      </c>
      <c r="C8" s="22" t="s">
        <v>354</v>
      </c>
      <c r="D8" s="22" t="s">
        <v>133</v>
      </c>
      <c r="E8" s="23">
        <v>0</v>
      </c>
      <c r="F8" s="24">
        <v>0</v>
      </c>
      <c r="G8" s="24">
        <v>1</v>
      </c>
      <c r="H8" s="23">
        <f>H7+E8-F8-G8</f>
        <v>1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07" priority="2" operator="between">
      <formula>1</formula>
      <formula>100</formula>
    </cfRule>
  </conditionalFormatting>
  <conditionalFormatting sqref="F9">
    <cfRule type="cellIs" dxfId="10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52CD-E80E-40C1-9605-F66FA90B1327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30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17</v>
      </c>
      <c r="E3" s="66" t="s">
        <v>62</v>
      </c>
      <c r="F3" s="66"/>
      <c r="G3" s="66"/>
      <c r="H3" s="66"/>
      <c r="I3" s="12">
        <v>3169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4</v>
      </c>
      <c r="H6" s="1">
        <f>+E6-F6-G6</f>
        <v>6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08" customHeight="1" x14ac:dyDescent="0.25">
      <c r="A8" s="20">
        <v>45511</v>
      </c>
      <c r="B8" s="21" t="s">
        <v>164</v>
      </c>
      <c r="C8" s="22" t="s">
        <v>159</v>
      </c>
      <c r="D8" s="22" t="s">
        <v>133</v>
      </c>
      <c r="E8" s="23">
        <v>8</v>
      </c>
      <c r="F8" s="24">
        <v>0</v>
      </c>
      <c r="G8" s="24">
        <v>0</v>
      </c>
      <c r="H8" s="23">
        <v>10</v>
      </c>
      <c r="I8" s="55"/>
      <c r="J8" s="56"/>
    </row>
    <row r="9" spans="1:13" s="16" customFormat="1" ht="132" customHeight="1" x14ac:dyDescent="0.25">
      <c r="A9" s="28">
        <v>45573</v>
      </c>
      <c r="B9" s="21" t="s">
        <v>165</v>
      </c>
      <c r="C9" s="22" t="s">
        <v>161</v>
      </c>
      <c r="D9" s="22" t="s">
        <v>133</v>
      </c>
      <c r="E9" s="23">
        <v>0</v>
      </c>
      <c r="F9" s="23">
        <v>0</v>
      </c>
      <c r="G9" s="24">
        <v>4</v>
      </c>
      <c r="H9" s="23">
        <v>6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9:A1048576 E10:G12 B13:G1048576 B10:C12 A7:B8 B9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05" priority="2" operator="between">
      <formula>1</formula>
      <formula>100</formula>
    </cfRule>
  </conditionalFormatting>
  <conditionalFormatting sqref="F9">
    <cfRule type="cellIs" dxfId="10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21D7-BDF2-4F9A-97F6-D76F89BE96B1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31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166</v>
      </c>
      <c r="E3" s="66" t="s">
        <v>62</v>
      </c>
      <c r="F3" s="66"/>
      <c r="G3" s="66"/>
      <c r="H3" s="66"/>
      <c r="I3" s="12">
        <v>3170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50</v>
      </c>
      <c r="F6" s="1">
        <f t="shared" ref="F6:G6" si="0">SUM(F7:F1000)</f>
        <v>0</v>
      </c>
      <c r="G6" s="1">
        <f t="shared" si="0"/>
        <v>29</v>
      </c>
      <c r="H6" s="1">
        <f>+E6-F6-G6</f>
        <v>21</v>
      </c>
      <c r="I6" s="18"/>
      <c r="J6" s="44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50</v>
      </c>
      <c r="F7" s="24">
        <v>0</v>
      </c>
      <c r="G7" s="24">
        <v>0</v>
      </c>
      <c r="H7" s="23">
        <f>SUM(E7:G7)</f>
        <v>50</v>
      </c>
      <c r="I7" s="55"/>
      <c r="J7" s="56"/>
    </row>
    <row r="8" spans="1:13" s="16" customFormat="1" ht="108" customHeight="1" x14ac:dyDescent="0.25">
      <c r="A8" s="20">
        <v>45511</v>
      </c>
      <c r="B8" s="21" t="s">
        <v>165</v>
      </c>
      <c r="C8" s="22" t="s">
        <v>161</v>
      </c>
      <c r="D8" s="22" t="s">
        <v>133</v>
      </c>
      <c r="E8" s="23">
        <v>0</v>
      </c>
      <c r="F8" s="24">
        <v>0</v>
      </c>
      <c r="G8" s="24">
        <v>25</v>
      </c>
      <c r="H8" s="23">
        <v>25</v>
      </c>
      <c r="I8" s="55"/>
      <c r="J8" s="56"/>
    </row>
    <row r="9" spans="1:13" s="16" customFormat="1" ht="132" customHeight="1" x14ac:dyDescent="0.25">
      <c r="A9" s="28" t="s">
        <v>167</v>
      </c>
      <c r="B9" s="21" t="s">
        <v>168</v>
      </c>
      <c r="C9" s="22" t="s">
        <v>169</v>
      </c>
      <c r="D9" s="22" t="s">
        <v>170</v>
      </c>
      <c r="E9" s="23">
        <v>0</v>
      </c>
      <c r="F9" s="23">
        <v>0</v>
      </c>
      <c r="G9" s="24">
        <v>4</v>
      </c>
      <c r="H9" s="23">
        <v>21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9:A1048576 E10:G12 B13:G1048576 B10:C12 B9 A7:B8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03" priority="2" operator="between">
      <formula>1</formula>
      <formula>100</formula>
    </cfRule>
  </conditionalFormatting>
  <conditionalFormatting sqref="F9">
    <cfRule type="cellIs" dxfId="10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C270-E68B-46B2-A8E0-A837C8A69551}">
  <dimension ref="A1:M23"/>
  <sheetViews>
    <sheetView workbookViewId="0">
      <selection activeCell="I8" sqref="I8:J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32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15</v>
      </c>
      <c r="E3" s="66" t="s">
        <v>62</v>
      </c>
      <c r="F3" s="66"/>
      <c r="G3" s="66"/>
      <c r="H3" s="66"/>
      <c r="I3" s="12">
        <v>3172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50</v>
      </c>
      <c r="F6" s="1">
        <f t="shared" ref="F6:G6" si="0">SUM(F7:F1000)</f>
        <v>0</v>
      </c>
      <c r="G6" s="1">
        <f t="shared" si="0"/>
        <v>25</v>
      </c>
      <c r="H6" s="1">
        <f>+E6-F6-G6</f>
        <v>25</v>
      </c>
      <c r="I6" s="18"/>
      <c r="J6" s="44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50</v>
      </c>
      <c r="F7" s="24">
        <v>0</v>
      </c>
      <c r="G7" s="24">
        <v>0</v>
      </c>
      <c r="H7" s="23">
        <f>SUM(E7:G7)</f>
        <v>50</v>
      </c>
      <c r="I7" s="55"/>
      <c r="J7" s="56"/>
    </row>
    <row r="8" spans="1:13" s="16" customFormat="1" ht="108" customHeight="1" x14ac:dyDescent="0.25">
      <c r="A8" s="20">
        <v>45573</v>
      </c>
      <c r="B8" s="21" t="s">
        <v>165</v>
      </c>
      <c r="C8" s="22" t="s">
        <v>161</v>
      </c>
      <c r="D8" s="22" t="s">
        <v>133</v>
      </c>
      <c r="E8" s="23">
        <v>0</v>
      </c>
      <c r="F8" s="24">
        <v>0</v>
      </c>
      <c r="G8" s="24">
        <v>25</v>
      </c>
      <c r="H8" s="23">
        <v>25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2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101" priority="2" operator="between">
      <formula>1</formula>
      <formula>100</formula>
    </cfRule>
  </conditionalFormatting>
  <conditionalFormatting sqref="F9">
    <cfRule type="cellIs" dxfId="10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6DFD-8AA6-47DB-98A9-5C082F2EBC99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33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14</v>
      </c>
      <c r="E3" s="66" t="s">
        <v>62</v>
      </c>
      <c r="F3" s="66"/>
      <c r="G3" s="66"/>
      <c r="H3" s="66"/>
      <c r="I3" s="12">
        <v>3174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</v>
      </c>
      <c r="F6" s="1">
        <f t="shared" ref="F6:G6" si="0">SUM(F7:F1000)</f>
        <v>0</v>
      </c>
      <c r="G6" s="1">
        <f t="shared" si="0"/>
        <v>2</v>
      </c>
      <c r="H6" s="1">
        <f>+E6-F6-G6</f>
        <v>3</v>
      </c>
      <c r="I6" s="18"/>
      <c r="J6" s="19"/>
    </row>
    <row r="7" spans="1:13" s="16" customFormat="1" ht="93.75" customHeight="1" x14ac:dyDescent="0.25">
      <c r="A7" s="20">
        <v>45450</v>
      </c>
      <c r="B7" s="21" t="s">
        <v>158</v>
      </c>
      <c r="C7" s="22" t="s">
        <v>159</v>
      </c>
      <c r="D7" s="22" t="s">
        <v>133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08" customHeight="1" x14ac:dyDescent="0.25">
      <c r="A8" s="20">
        <v>45573</v>
      </c>
      <c r="B8" s="21" t="s">
        <v>165</v>
      </c>
      <c r="C8" s="22" t="s">
        <v>161</v>
      </c>
      <c r="D8" s="22" t="s">
        <v>133</v>
      </c>
      <c r="E8" s="23">
        <v>0</v>
      </c>
      <c r="F8" s="24">
        <v>0</v>
      </c>
      <c r="G8" s="24">
        <v>2</v>
      </c>
      <c r="H8" s="23">
        <v>3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9" priority="2" operator="between">
      <formula>1</formula>
      <formula>100</formula>
    </cfRule>
  </conditionalFormatting>
  <conditionalFormatting sqref="F9">
    <cfRule type="cellIs" dxfId="9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7727-9BE1-4385-A33D-14228B68EBCE}">
  <dimension ref="A1:M23"/>
  <sheetViews>
    <sheetView workbookViewId="0">
      <selection activeCell="G10" sqref="G10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171</v>
      </c>
      <c r="E3" s="66" t="s">
        <v>62</v>
      </c>
      <c r="F3" s="66"/>
      <c r="G3" s="66"/>
      <c r="H3" s="66"/>
      <c r="I3" s="12">
        <v>3175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93.75" customHeight="1" x14ac:dyDescent="0.25">
      <c r="A6" s="17"/>
      <c r="B6" s="17"/>
      <c r="C6" s="17"/>
      <c r="D6" s="17"/>
      <c r="E6" s="1">
        <f>SUM(E7:E1000)</f>
        <v>5</v>
      </c>
      <c r="F6" s="1">
        <f t="shared" ref="F6:G6" si="0">SUM(F7:F1000)</f>
        <v>0</v>
      </c>
      <c r="G6" s="1">
        <f t="shared" si="0"/>
        <v>3</v>
      </c>
      <c r="H6" s="1">
        <f>+E6-F6-G6</f>
        <v>2</v>
      </c>
      <c r="I6" s="18"/>
      <c r="J6" s="44"/>
    </row>
    <row r="7" spans="1:13" s="16" customFormat="1" ht="108" customHeight="1" x14ac:dyDescent="0.25">
      <c r="A7" s="20">
        <v>45450</v>
      </c>
      <c r="B7" s="21" t="s">
        <v>172</v>
      </c>
      <c r="C7" s="22" t="s">
        <v>159</v>
      </c>
      <c r="D7" s="22" t="s">
        <v>133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32" customHeight="1" x14ac:dyDescent="0.25">
      <c r="A8" s="20">
        <v>45573</v>
      </c>
      <c r="B8" s="21" t="s">
        <v>165</v>
      </c>
      <c r="C8" s="22" t="s">
        <v>161</v>
      </c>
      <c r="D8" s="22" t="s">
        <v>133</v>
      </c>
      <c r="E8" s="23">
        <v>0</v>
      </c>
      <c r="F8" s="24">
        <v>0</v>
      </c>
      <c r="G8" s="24">
        <v>2</v>
      </c>
      <c r="H8" s="23">
        <f>H7+E8-F8-G8</f>
        <v>3</v>
      </c>
      <c r="I8" s="55"/>
      <c r="J8" s="56"/>
    </row>
    <row r="9" spans="1:13" s="16" customFormat="1" ht="87.75" customHeight="1" x14ac:dyDescent="0.25">
      <c r="A9" s="28">
        <v>46043</v>
      </c>
      <c r="B9" s="21" t="s">
        <v>407</v>
      </c>
      <c r="C9" s="22" t="s">
        <v>270</v>
      </c>
      <c r="D9" s="22" t="s">
        <v>133</v>
      </c>
      <c r="E9" s="23">
        <v>0</v>
      </c>
      <c r="F9" s="24">
        <v>0</v>
      </c>
      <c r="G9" s="24">
        <v>1</v>
      </c>
      <c r="H9" s="23">
        <f>H8+E9-F9-G9</f>
        <v>2</v>
      </c>
      <c r="I9" s="55"/>
      <c r="J9" s="56"/>
    </row>
    <row r="10" spans="1:13" s="16" customFormat="1" ht="90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8.5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1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1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1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1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1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1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1" ht="30" customHeight="1" x14ac:dyDescent="0.3">
      <c r="A23" s="28"/>
      <c r="B23" s="30"/>
      <c r="C23" s="22"/>
      <c r="D23" s="29"/>
      <c r="E23" s="23"/>
      <c r="F23" s="24"/>
      <c r="G23" s="24"/>
      <c r="H23" s="23"/>
      <c r="I23" s="55"/>
      <c r="J23" s="56"/>
      <c r="K23" s="16"/>
    </row>
  </sheetData>
  <protectedRanges>
    <protectedRange algorithmName="SHA-512" hashValue="w6vOy6gaWv7RKp7tkLrp7nrHA6RmzXKKrxhAURGVJNeJ+tWzcydALHZnJcvW3Xd6J2aTxgJ4vzpBns4Tppy+Tg==" saltValue="wFqfSvUJGsYlHEHwlJdPRg==" spinCount="100000" sqref="A7:B8 A9:A1048576 E10:G12 B13:G1048576 B9:C12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phoneticPr fontId="34" type="noConversion"/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7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75F0-B9C1-4B32-9EEE-A4B578A88284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35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38" t="s">
        <v>12</v>
      </c>
      <c r="E3" s="66" t="s">
        <v>62</v>
      </c>
      <c r="F3" s="66"/>
      <c r="G3" s="66"/>
      <c r="H3" s="66"/>
      <c r="I3" s="12">
        <v>3177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0</v>
      </c>
      <c r="H6" s="1">
        <f>+E6-F6-G6</f>
        <v>2</v>
      </c>
      <c r="I6" s="18"/>
      <c r="J6" s="19"/>
    </row>
    <row r="7" spans="1:13" s="16" customFormat="1" ht="93.75" customHeight="1" x14ac:dyDescent="0.25">
      <c r="A7" s="20">
        <v>45450</v>
      </c>
      <c r="B7" s="21" t="s">
        <v>173</v>
      </c>
      <c r="C7" s="22" t="s">
        <v>159</v>
      </c>
      <c r="D7" s="22" t="s">
        <v>133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08" customHeight="1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5" priority="2" operator="between">
      <formula>1</formula>
      <formula>100</formula>
    </cfRule>
  </conditionalFormatting>
  <conditionalFormatting sqref="F9">
    <cfRule type="cellIs" dxfId="9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F1A2-0910-43EA-8FB5-9802607AEDCE}">
  <dimension ref="A1:M23"/>
  <sheetViews>
    <sheetView workbookViewId="0">
      <selection activeCell="H8" sqref="H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36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174</v>
      </c>
      <c r="E3" s="66" t="s">
        <v>62</v>
      </c>
      <c r="F3" s="66"/>
      <c r="G3" s="66"/>
      <c r="H3" s="66"/>
      <c r="I3" s="12">
        <v>3179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1</v>
      </c>
      <c r="H6" s="1">
        <f>+E6-F6-G6</f>
        <v>1</v>
      </c>
      <c r="I6" s="18"/>
      <c r="J6" s="44"/>
    </row>
    <row r="7" spans="1:13" s="16" customFormat="1" ht="93.75" customHeight="1" x14ac:dyDescent="0.25">
      <c r="A7" s="20">
        <v>45450</v>
      </c>
      <c r="B7" s="21" t="s">
        <v>175</v>
      </c>
      <c r="C7" s="22" t="s">
        <v>159</v>
      </c>
      <c r="D7" s="22" t="s">
        <v>176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08" customHeight="1" x14ac:dyDescent="0.25">
      <c r="A8" s="20">
        <v>45512</v>
      </c>
      <c r="B8" s="21" t="s">
        <v>177</v>
      </c>
      <c r="C8" s="22" t="s">
        <v>161</v>
      </c>
      <c r="D8" s="22" t="s">
        <v>176</v>
      </c>
      <c r="E8" s="23">
        <v>0</v>
      </c>
      <c r="F8" s="24">
        <v>0</v>
      </c>
      <c r="G8" s="24">
        <v>1</v>
      </c>
      <c r="H8" s="23">
        <v>1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3" priority="2" operator="between">
      <formula>1</formula>
      <formula>100</formula>
    </cfRule>
  </conditionalFormatting>
  <conditionalFormatting sqref="F9">
    <cfRule type="cellIs" dxfId="9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A337-8DF8-4B43-AFB7-4B138419C9B9}">
  <dimension ref="A1:M23"/>
  <sheetViews>
    <sheetView workbookViewId="0">
      <selection activeCell="C7" sqref="C7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37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178</v>
      </c>
      <c r="E3" s="66" t="s">
        <v>62</v>
      </c>
      <c r="F3" s="66"/>
      <c r="G3" s="66"/>
      <c r="H3" s="66"/>
      <c r="I3" s="12">
        <v>3180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0</v>
      </c>
      <c r="H6" s="1">
        <f>+E6-F6-G6</f>
        <v>2</v>
      </c>
      <c r="I6" s="18"/>
      <c r="J6" s="44"/>
    </row>
    <row r="7" spans="1:13" s="16" customFormat="1" ht="108.75" customHeight="1" x14ac:dyDescent="0.25">
      <c r="A7" s="20">
        <v>45299</v>
      </c>
      <c r="B7" s="21" t="s">
        <v>179</v>
      </c>
      <c r="C7" s="22" t="s">
        <v>180</v>
      </c>
      <c r="D7" s="22" t="s">
        <v>181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08" customHeight="1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1" priority="2" operator="between">
      <formula>1</formula>
      <formula>100</formula>
    </cfRule>
  </conditionalFormatting>
  <conditionalFormatting sqref="F9">
    <cfRule type="cellIs" dxfId="9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0EFE-1CEB-4351-BAEC-DB04FE1FE24E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38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182</v>
      </c>
      <c r="E3" s="66" t="s">
        <v>62</v>
      </c>
      <c r="F3" s="66"/>
      <c r="G3" s="66"/>
      <c r="H3" s="66"/>
      <c r="I3" s="12">
        <v>3181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f>+E7+F7+G7</f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184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f>+H7+E8-F8-G8</f>
        <v>5</v>
      </c>
      <c r="I8" s="55"/>
      <c r="J8" s="56"/>
    </row>
    <row r="9" spans="1:13" s="16" customFormat="1" ht="132" customHeight="1" x14ac:dyDescent="0.25">
      <c r="A9" s="28">
        <v>45452</v>
      </c>
      <c r="B9" s="21" t="s">
        <v>185</v>
      </c>
      <c r="C9" s="22" t="s">
        <v>186</v>
      </c>
      <c r="D9" s="22" t="s">
        <v>176</v>
      </c>
      <c r="E9" s="23">
        <v>0</v>
      </c>
      <c r="F9" s="23">
        <v>0</v>
      </c>
      <c r="G9" s="24">
        <v>2</v>
      </c>
      <c r="H9" s="23">
        <f>+H8+E9-F9-G9</f>
        <v>3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E10:G12 B13:G1048576 B9:C12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89" priority="2" operator="between">
      <formula>1</formula>
      <formula>100</formula>
    </cfRule>
  </conditionalFormatting>
  <conditionalFormatting sqref="F9">
    <cfRule type="cellIs" dxfId="8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76B0-AE0B-49CC-889A-634B3E3001BB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39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187</v>
      </c>
      <c r="E3" s="66" t="s">
        <v>62</v>
      </c>
      <c r="F3" s="66"/>
      <c r="G3" s="66"/>
      <c r="H3" s="66"/>
      <c r="I3" s="12">
        <v>3183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f>+E7+F7+G7</f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184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f>+H7+E8-F8-G8</f>
        <v>5</v>
      </c>
      <c r="I8" s="55"/>
      <c r="J8" s="56"/>
    </row>
    <row r="9" spans="1:13" s="16" customFormat="1" ht="132" customHeight="1" x14ac:dyDescent="0.25">
      <c r="A9" s="28">
        <v>45452</v>
      </c>
      <c r="B9" s="21" t="s">
        <v>185</v>
      </c>
      <c r="C9" s="22" t="s">
        <v>186</v>
      </c>
      <c r="D9" s="22" t="s">
        <v>176</v>
      </c>
      <c r="E9" s="23">
        <v>0</v>
      </c>
      <c r="F9" s="23">
        <v>0</v>
      </c>
      <c r="G9" s="24">
        <v>2</v>
      </c>
      <c r="H9" s="23">
        <v>3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E10:G12 B13:G1048576 B9:C12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87" priority="2" operator="between">
      <formula>1</formula>
      <formula>100</formula>
    </cfRule>
  </conditionalFormatting>
  <conditionalFormatting sqref="F9">
    <cfRule type="cellIs" dxfId="8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7356-0BFF-4369-9E25-F4E289F01F09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40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188</v>
      </c>
      <c r="E3" s="66" t="s">
        <v>62</v>
      </c>
      <c r="F3" s="66"/>
      <c r="G3" s="66"/>
      <c r="H3" s="66"/>
      <c r="I3" s="12">
        <v>3185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5</v>
      </c>
      <c r="F6" s="1">
        <f t="shared" ref="F6:G6" si="0">SUM(F7:F1000)</f>
        <v>0</v>
      </c>
      <c r="G6" s="1">
        <f t="shared" si="0"/>
        <v>3</v>
      </c>
      <c r="H6" s="1">
        <f>+E6-F6-G6</f>
        <v>2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5</v>
      </c>
      <c r="F7" s="24">
        <v>0</v>
      </c>
      <c r="G7" s="24">
        <v>0</v>
      </c>
      <c r="H7" s="23">
        <v>5</v>
      </c>
      <c r="I7" s="55"/>
      <c r="J7" s="56"/>
    </row>
    <row r="8" spans="1:13" s="16" customFormat="1" ht="108" customHeight="1" x14ac:dyDescent="0.25">
      <c r="A8" s="20">
        <v>45512</v>
      </c>
      <c r="B8" s="21" t="s">
        <v>184</v>
      </c>
      <c r="C8" s="22" t="s">
        <v>161</v>
      </c>
      <c r="D8" s="22" t="s">
        <v>176</v>
      </c>
      <c r="E8" s="23">
        <v>0</v>
      </c>
      <c r="F8" s="24">
        <v>0</v>
      </c>
      <c r="G8" s="24">
        <v>2</v>
      </c>
      <c r="H8" s="23">
        <v>3</v>
      </c>
      <c r="I8" s="55"/>
      <c r="J8" s="56"/>
    </row>
    <row r="9" spans="1:13" s="16" customFormat="1" ht="132" customHeight="1" x14ac:dyDescent="0.25">
      <c r="A9" s="28">
        <v>45452</v>
      </c>
      <c r="B9" s="21" t="s">
        <v>189</v>
      </c>
      <c r="C9" s="22" t="s">
        <v>186</v>
      </c>
      <c r="D9" s="22" t="s">
        <v>176</v>
      </c>
      <c r="E9" s="23">
        <v>0</v>
      </c>
      <c r="F9" s="23">
        <v>0</v>
      </c>
      <c r="G9" s="24">
        <v>1</v>
      </c>
      <c r="H9" s="23">
        <v>2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E10:G12 B13:G1048576 B9:C12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85" priority="2" operator="between">
      <formula>1</formula>
      <formula>100</formula>
    </cfRule>
  </conditionalFormatting>
  <conditionalFormatting sqref="F9">
    <cfRule type="cellIs" dxfId="8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4531-6CA6-42C2-84EA-44209D6C1410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41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190</v>
      </c>
      <c r="E3" s="66" t="s">
        <v>62</v>
      </c>
      <c r="F3" s="66"/>
      <c r="G3" s="66"/>
      <c r="H3" s="66"/>
      <c r="I3" s="12">
        <v>3186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184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v>5</v>
      </c>
      <c r="I8" s="55"/>
      <c r="J8" s="56"/>
    </row>
    <row r="9" spans="1:13" s="16" customFormat="1" ht="132" customHeight="1" x14ac:dyDescent="0.25">
      <c r="A9" s="28">
        <v>45452</v>
      </c>
      <c r="B9" s="21" t="s">
        <v>185</v>
      </c>
      <c r="C9" s="22" t="s">
        <v>186</v>
      </c>
      <c r="D9" s="22" t="s">
        <v>176</v>
      </c>
      <c r="E9" s="23">
        <v>0</v>
      </c>
      <c r="F9" s="23">
        <v>0</v>
      </c>
      <c r="G9" s="24">
        <v>2</v>
      </c>
      <c r="H9" s="23">
        <v>3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E10:G12 B13:G1048576 B9:C12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83" priority="2" operator="between">
      <formula>1</formula>
      <formula>100</formula>
    </cfRule>
  </conditionalFormatting>
  <conditionalFormatting sqref="F9">
    <cfRule type="cellIs" dxfId="8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B41-FE8B-4282-941A-2C47EF07CE03}">
  <dimension ref="A1:M23"/>
  <sheetViews>
    <sheetView workbookViewId="0">
      <selection activeCell="C10" sqref="C10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42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191</v>
      </c>
      <c r="E3" s="66" t="s">
        <v>62</v>
      </c>
      <c r="F3" s="66"/>
      <c r="G3" s="66"/>
      <c r="H3" s="66"/>
      <c r="I3" s="12">
        <v>3187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25</v>
      </c>
      <c r="F6" s="1">
        <f t="shared" ref="F6:G6" si="0">SUM(F7:F1000)</f>
        <v>0</v>
      </c>
      <c r="G6" s="1">
        <f t="shared" si="0"/>
        <v>14</v>
      </c>
      <c r="H6" s="1">
        <f>+E6-F6-G6</f>
        <v>11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184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f>+H7+E8-F8-G8</f>
        <v>5</v>
      </c>
      <c r="I8" s="55"/>
      <c r="J8" s="56"/>
    </row>
    <row r="9" spans="1:13" s="16" customFormat="1" ht="132" customHeight="1" x14ac:dyDescent="0.25">
      <c r="A9" s="28">
        <v>45421</v>
      </c>
      <c r="B9" s="21" t="s">
        <v>192</v>
      </c>
      <c r="C9" s="22" t="s">
        <v>193</v>
      </c>
      <c r="D9" s="22" t="s">
        <v>176</v>
      </c>
      <c r="E9" s="23">
        <v>15</v>
      </c>
      <c r="F9" s="23">
        <v>0</v>
      </c>
      <c r="G9" s="24">
        <v>0</v>
      </c>
      <c r="H9" s="23">
        <f t="shared" ref="H9:H11" si="1">+H8+E9-F9-G9</f>
        <v>20</v>
      </c>
      <c r="I9" s="55"/>
      <c r="J9" s="56"/>
    </row>
    <row r="10" spans="1:13" s="16" customFormat="1" ht="87.75" customHeight="1" x14ac:dyDescent="0.25">
      <c r="A10" s="28">
        <v>45452</v>
      </c>
      <c r="B10" s="21" t="s">
        <v>185</v>
      </c>
      <c r="C10" s="22" t="s">
        <v>186</v>
      </c>
      <c r="D10" s="22" t="s">
        <v>176</v>
      </c>
      <c r="E10" s="23">
        <v>0</v>
      </c>
      <c r="F10" s="24">
        <v>0</v>
      </c>
      <c r="G10" s="24">
        <v>2</v>
      </c>
      <c r="H10" s="23">
        <f t="shared" si="1"/>
        <v>18</v>
      </c>
      <c r="I10" s="55"/>
      <c r="J10" s="56"/>
    </row>
    <row r="11" spans="1:13" s="16" customFormat="1" ht="90" customHeight="1" x14ac:dyDescent="0.25">
      <c r="A11" s="28" t="s">
        <v>194</v>
      </c>
      <c r="B11" s="21" t="s">
        <v>185</v>
      </c>
      <c r="C11" s="22" t="s">
        <v>195</v>
      </c>
      <c r="D11" s="22" t="s">
        <v>176</v>
      </c>
      <c r="E11" s="23">
        <v>0</v>
      </c>
      <c r="F11" s="24">
        <v>0</v>
      </c>
      <c r="G11" s="24">
        <v>7</v>
      </c>
      <c r="H11" s="23">
        <f t="shared" si="1"/>
        <v>11</v>
      </c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E10:G12 B13:G1048576 B9:C12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81" priority="2" operator="between">
      <formula>1</formula>
      <formula>100</formula>
    </cfRule>
  </conditionalFormatting>
  <conditionalFormatting sqref="F9">
    <cfRule type="cellIs" dxfId="8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552C-00E9-407A-8EE6-74DFA3BC507A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43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196</v>
      </c>
      <c r="E3" s="66" t="s">
        <v>62</v>
      </c>
      <c r="F3" s="66"/>
      <c r="G3" s="66"/>
      <c r="H3" s="66"/>
      <c r="I3" s="12">
        <v>3188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177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f>+H7+E8-F8-G8</f>
        <v>5</v>
      </c>
      <c r="I8" s="55"/>
      <c r="J8" s="56"/>
    </row>
    <row r="9" spans="1:13" s="16" customFormat="1" ht="87.75" customHeight="1" x14ac:dyDescent="0.25">
      <c r="A9" s="28">
        <v>45452</v>
      </c>
      <c r="B9" s="21" t="s">
        <v>185</v>
      </c>
      <c r="C9" s="22" t="s">
        <v>186</v>
      </c>
      <c r="D9" s="22" t="s">
        <v>176</v>
      </c>
      <c r="E9" s="23">
        <v>0</v>
      </c>
      <c r="F9" s="24">
        <v>0</v>
      </c>
      <c r="G9" s="24">
        <v>2</v>
      </c>
      <c r="H9" s="23">
        <f>+H8+E9-F9-G9</f>
        <v>3</v>
      </c>
      <c r="I9" s="55"/>
      <c r="J9" s="56"/>
    </row>
    <row r="10" spans="1:13" s="16" customFormat="1" ht="90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8.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B9:C11 A7:B8 A9:A1048576 E9:G11 B12:G1048576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7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4A13-1BAC-46FC-9CBE-2B8C5C80F7BB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197</v>
      </c>
      <c r="E3" s="66" t="s">
        <v>62</v>
      </c>
      <c r="F3" s="66"/>
      <c r="G3" s="66"/>
      <c r="H3" s="66"/>
      <c r="I3" s="12">
        <v>3189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</v>
      </c>
      <c r="F6" s="1">
        <f t="shared" ref="F6:G6" si="0">SUM(F7:F1000)</f>
        <v>0</v>
      </c>
      <c r="G6" s="1">
        <f t="shared" si="0"/>
        <v>7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45451</v>
      </c>
      <c r="B7" s="21" t="s">
        <v>183</v>
      </c>
      <c r="C7" s="22" t="s">
        <v>159</v>
      </c>
      <c r="D7" s="22" t="s">
        <v>176</v>
      </c>
      <c r="E7" s="23">
        <v>10</v>
      </c>
      <c r="F7" s="24">
        <v>0</v>
      </c>
      <c r="G7" s="24">
        <v>0</v>
      </c>
      <c r="H7" s="23">
        <v>10</v>
      </c>
      <c r="I7" s="55"/>
      <c r="J7" s="56"/>
    </row>
    <row r="8" spans="1:13" s="16" customFormat="1" ht="108" customHeight="1" x14ac:dyDescent="0.25">
      <c r="A8" s="20">
        <v>45512</v>
      </c>
      <c r="B8" s="21" t="s">
        <v>177</v>
      </c>
      <c r="C8" s="22" t="s">
        <v>161</v>
      </c>
      <c r="D8" s="22" t="s">
        <v>176</v>
      </c>
      <c r="E8" s="23">
        <v>0</v>
      </c>
      <c r="F8" s="24">
        <v>0</v>
      </c>
      <c r="G8" s="24">
        <v>5</v>
      </c>
      <c r="H8" s="23">
        <f>+H7-F8-G8+E8</f>
        <v>5</v>
      </c>
      <c r="I8" s="55"/>
      <c r="J8" s="56"/>
    </row>
    <row r="9" spans="1:13" s="16" customFormat="1" ht="87.75" customHeight="1" x14ac:dyDescent="0.25">
      <c r="A9" s="28">
        <v>45452</v>
      </c>
      <c r="B9" s="21" t="s">
        <v>185</v>
      </c>
      <c r="C9" s="22" t="s">
        <v>186</v>
      </c>
      <c r="D9" s="22" t="s">
        <v>176</v>
      </c>
      <c r="E9" s="23">
        <v>0</v>
      </c>
      <c r="F9" s="24">
        <v>0</v>
      </c>
      <c r="G9" s="24">
        <v>2</v>
      </c>
      <c r="H9" s="23">
        <f>+H8-F9-G9+E9</f>
        <v>3</v>
      </c>
      <c r="I9" s="55"/>
      <c r="J9" s="56"/>
    </row>
    <row r="10" spans="1:13" s="16" customFormat="1" ht="90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8.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B9:C11 A7:B8 A9:A1048576 E9:G11 B12:G1048576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7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E88B-05D9-4394-B3F9-951E4254B45D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44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1" t="s">
        <v>198</v>
      </c>
      <c r="E3" s="66" t="s">
        <v>62</v>
      </c>
      <c r="F3" s="66"/>
      <c r="G3" s="66"/>
      <c r="H3" s="66"/>
      <c r="I3" s="12">
        <v>3189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18"/>
      <c r="J6" s="44"/>
    </row>
    <row r="7" spans="1:13" s="16" customFormat="1" ht="93.75" customHeight="1" x14ac:dyDescent="0.25">
      <c r="A7" s="20">
        <v>45980</v>
      </c>
      <c r="B7" s="21" t="s">
        <v>199</v>
      </c>
      <c r="C7" s="22" t="s">
        <v>200</v>
      </c>
      <c r="D7" s="22" t="s">
        <v>176</v>
      </c>
      <c r="E7" s="23">
        <v>1</v>
      </c>
      <c r="F7" s="24">
        <v>0</v>
      </c>
      <c r="G7" s="24">
        <v>0</v>
      </c>
      <c r="H7" s="23">
        <v>1</v>
      </c>
      <c r="I7" s="55"/>
      <c r="J7" s="56"/>
    </row>
    <row r="8" spans="1:13" s="16" customFormat="1" ht="108" customHeight="1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90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8.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B9:C11 A7:B8 A9:A1048576 E9:G11 B12:G1048576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7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7AFB-CCD6-489D-BE1B-C570A1090655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45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</v>
      </c>
      <c r="E3" s="66" t="s">
        <v>62</v>
      </c>
      <c r="F3" s="66"/>
      <c r="G3" s="66"/>
      <c r="H3" s="66"/>
      <c r="I3" s="12">
        <v>3191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0</v>
      </c>
      <c r="H6" s="1">
        <f>+E6-F6-G6</f>
        <v>4</v>
      </c>
      <c r="I6" s="18"/>
      <c r="J6" s="44"/>
    </row>
    <row r="7" spans="1:13" s="16" customFormat="1" ht="108.75" customHeight="1" x14ac:dyDescent="0.25">
      <c r="A7" s="20">
        <v>45481</v>
      </c>
      <c r="B7" s="21"/>
      <c r="C7" s="22" t="s">
        <v>201</v>
      </c>
      <c r="D7" s="22" t="s">
        <v>202</v>
      </c>
      <c r="E7" s="23">
        <v>4</v>
      </c>
      <c r="F7" s="24">
        <v>0</v>
      </c>
      <c r="G7" s="24">
        <v>0</v>
      </c>
      <c r="H7" s="23">
        <f>SUM(E7:G7)</f>
        <v>4</v>
      </c>
      <c r="I7" s="55"/>
      <c r="J7" s="56"/>
    </row>
    <row r="8" spans="1:13" s="16" customFormat="1" ht="108" customHeight="1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2"/>
      <c r="E12" s="23"/>
      <c r="F12" s="24"/>
      <c r="G12" s="24"/>
      <c r="H12" s="23"/>
      <c r="I12" s="55"/>
      <c r="J12" s="56"/>
    </row>
    <row r="13" spans="1:13" s="16" customFormat="1" ht="88.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76" priority="2" operator="between">
      <formula>1</formula>
      <formula>100</formula>
    </cfRule>
  </conditionalFormatting>
  <conditionalFormatting sqref="F9">
    <cfRule type="cellIs" dxfId="75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161F-FA6E-41F5-BAD1-07EE95C59DA6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48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2" t="s">
        <v>1</v>
      </c>
      <c r="E3" s="66" t="s">
        <v>62</v>
      </c>
      <c r="F3" s="66"/>
      <c r="G3" s="66"/>
      <c r="H3" s="66"/>
      <c r="I3" s="12">
        <v>3194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62</v>
      </c>
      <c r="F6" s="1">
        <f t="shared" ref="F6:G6" si="0">SUM(F7:F1000)</f>
        <v>17</v>
      </c>
      <c r="G6" s="1">
        <f t="shared" si="0"/>
        <v>28</v>
      </c>
      <c r="H6" s="1">
        <f>+E6-F6-G6</f>
        <v>17</v>
      </c>
      <c r="I6" s="18"/>
      <c r="J6" s="44"/>
    </row>
    <row r="7" spans="1:13" s="16" customFormat="1" ht="93.75" customHeight="1" x14ac:dyDescent="0.25">
      <c r="A7" s="20">
        <v>45421</v>
      </c>
      <c r="B7" s="21" t="s">
        <v>203</v>
      </c>
      <c r="C7" s="22" t="s">
        <v>204</v>
      </c>
      <c r="D7" s="22" t="s">
        <v>176</v>
      </c>
      <c r="E7" s="23">
        <v>45</v>
      </c>
      <c r="F7" s="24">
        <v>0</v>
      </c>
      <c r="G7" s="24">
        <v>0</v>
      </c>
      <c r="H7" s="23">
        <v>45</v>
      </c>
      <c r="I7" s="55"/>
      <c r="J7" s="56"/>
    </row>
    <row r="8" spans="1:13" s="16" customFormat="1" ht="108" customHeight="1" x14ac:dyDescent="0.25">
      <c r="A8" s="20" t="s">
        <v>194</v>
      </c>
      <c r="B8" s="21" t="s">
        <v>205</v>
      </c>
      <c r="C8" s="22" t="s">
        <v>206</v>
      </c>
      <c r="D8" s="22" t="s">
        <v>176</v>
      </c>
      <c r="E8" s="23">
        <v>0</v>
      </c>
      <c r="F8" s="24">
        <v>0</v>
      </c>
      <c r="G8" s="24">
        <v>22</v>
      </c>
      <c r="H8" s="23">
        <f>+H7+E8-F8-G8</f>
        <v>23</v>
      </c>
      <c r="I8" s="55"/>
      <c r="J8" s="56"/>
    </row>
    <row r="9" spans="1:13" s="16" customFormat="1" ht="87.75" customHeight="1" x14ac:dyDescent="0.25">
      <c r="A9" s="28">
        <v>46281</v>
      </c>
      <c r="B9" s="21" t="s">
        <v>399</v>
      </c>
      <c r="C9" s="22" t="s">
        <v>400</v>
      </c>
      <c r="D9" s="22" t="s">
        <v>176</v>
      </c>
      <c r="E9" s="23">
        <v>0</v>
      </c>
      <c r="F9" s="24">
        <v>0</v>
      </c>
      <c r="G9" s="24">
        <v>6</v>
      </c>
      <c r="H9" s="23">
        <f>+H8+E9-F9-G9</f>
        <v>17</v>
      </c>
      <c r="I9" s="55"/>
      <c r="J9" s="56"/>
    </row>
    <row r="10" spans="1:13" s="16" customFormat="1" ht="90" customHeight="1" x14ac:dyDescent="0.25">
      <c r="A10" s="28">
        <v>46123</v>
      </c>
      <c r="B10" s="21" t="s">
        <v>401</v>
      </c>
      <c r="C10" s="22" t="s">
        <v>276</v>
      </c>
      <c r="D10" s="22" t="s">
        <v>176</v>
      </c>
      <c r="E10" s="23">
        <v>0</v>
      </c>
      <c r="F10" s="24">
        <v>17</v>
      </c>
      <c r="G10" s="24">
        <v>0</v>
      </c>
      <c r="H10" s="23">
        <f>+H9+E10-F10-G10</f>
        <v>0</v>
      </c>
      <c r="I10" s="55"/>
      <c r="J10" s="56"/>
    </row>
    <row r="11" spans="1:13" s="16" customFormat="1" ht="84" customHeight="1" x14ac:dyDescent="0.25">
      <c r="A11" s="28">
        <v>46239</v>
      </c>
      <c r="B11" s="21" t="s">
        <v>402</v>
      </c>
      <c r="C11" s="22" t="s">
        <v>276</v>
      </c>
      <c r="D11" s="22" t="s">
        <v>176</v>
      </c>
      <c r="E11" s="23">
        <v>17</v>
      </c>
      <c r="F11" s="24">
        <v>0</v>
      </c>
      <c r="G11" s="24">
        <v>0</v>
      </c>
      <c r="H11" s="23">
        <f>+H10+E11-F11-G11</f>
        <v>17</v>
      </c>
      <c r="I11" s="55"/>
      <c r="J11" s="56"/>
    </row>
    <row r="12" spans="1:13" s="16" customFormat="1" ht="88.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8 A9:A1048576 B12:G1048576 B9:C11 E9:G11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7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149C-E92F-4231-815C-0B45976E4FD6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51</v>
      </c>
      <c r="E2" s="64" t="s">
        <v>58</v>
      </c>
      <c r="F2" s="64"/>
      <c r="G2" s="64"/>
      <c r="H2" s="9">
        <v>1</v>
      </c>
      <c r="I2" s="8" t="s">
        <v>59</v>
      </c>
      <c r="J2" s="9">
        <v>3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38" t="s">
        <v>207</v>
      </c>
      <c r="E3" s="66" t="s">
        <v>62</v>
      </c>
      <c r="F3" s="66"/>
      <c r="G3" s="66"/>
      <c r="H3" s="66"/>
      <c r="I3" s="12">
        <v>3198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4</v>
      </c>
      <c r="F6" s="1">
        <f t="shared" ref="F6:G6" si="0">SUM(F7:F1000)</f>
        <v>0</v>
      </c>
      <c r="G6" s="1">
        <f t="shared" si="0"/>
        <v>1</v>
      </c>
      <c r="H6" s="1">
        <f>+E6-F6-G6</f>
        <v>3</v>
      </c>
      <c r="I6" s="18"/>
      <c r="J6" s="44"/>
    </row>
    <row r="7" spans="1:13" s="16" customFormat="1" ht="93.75" customHeight="1" x14ac:dyDescent="0.25">
      <c r="A7" s="20">
        <v>45545</v>
      </c>
      <c r="B7" s="21" t="s">
        <v>208</v>
      </c>
      <c r="C7" s="22" t="s">
        <v>209</v>
      </c>
      <c r="D7" s="22" t="s">
        <v>210</v>
      </c>
      <c r="E7" s="23">
        <v>4</v>
      </c>
      <c r="F7" s="24">
        <v>0</v>
      </c>
      <c r="G7" s="24">
        <v>0</v>
      </c>
      <c r="H7" s="23">
        <f>SUM(E7:G7)</f>
        <v>4</v>
      </c>
      <c r="I7" s="55"/>
      <c r="J7" s="56"/>
    </row>
    <row r="8" spans="1:13" s="16" customFormat="1" ht="72" customHeight="1" x14ac:dyDescent="0.25">
      <c r="A8" s="28" t="s">
        <v>211</v>
      </c>
      <c r="B8" s="21" t="s">
        <v>212</v>
      </c>
      <c r="C8" s="22" t="s">
        <v>213</v>
      </c>
      <c r="D8" s="22" t="s">
        <v>210</v>
      </c>
      <c r="E8" s="23">
        <v>0</v>
      </c>
      <c r="F8" s="24">
        <v>0</v>
      </c>
      <c r="G8" s="24">
        <v>1</v>
      </c>
      <c r="H8" s="23">
        <v>3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90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2"/>
      <c r="E11" s="23"/>
      <c r="F11" s="24"/>
      <c r="G11" s="24"/>
      <c r="H11" s="23"/>
      <c r="I11" s="55"/>
      <c r="J11" s="56"/>
    </row>
    <row r="12" spans="1:13" s="16" customFormat="1" ht="88.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G8 B12:G1048576 A8:A1048576 B8:C11 E9:G11 A7:B7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73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209E-578F-488D-B8D7-16C4706012DA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214</v>
      </c>
      <c r="E3" s="66" t="s">
        <v>62</v>
      </c>
      <c r="F3" s="66"/>
      <c r="G3" s="66"/>
      <c r="H3" s="66"/>
      <c r="I3" s="12">
        <v>3201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1" t="s">
        <v>215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4</v>
      </c>
      <c r="F6" s="1">
        <f>SUM(F7:F998)</f>
        <v>0</v>
      </c>
      <c r="G6" s="1">
        <f>SUM(G7:G998)</f>
        <v>2</v>
      </c>
      <c r="H6" s="1">
        <f>+E6-F6-G6</f>
        <v>2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4</v>
      </c>
      <c r="F7" s="24">
        <v>0</v>
      </c>
      <c r="G7" s="24">
        <v>0</v>
      </c>
      <c r="H7" s="23">
        <f>SUM(E7:G7)</f>
        <v>4</v>
      </c>
      <c r="I7" s="55"/>
      <c r="J7" s="56"/>
    </row>
    <row r="8" spans="1:13" s="16" customFormat="1" ht="81" customHeight="1" x14ac:dyDescent="0.25">
      <c r="A8" s="28" t="s">
        <v>219</v>
      </c>
      <c r="B8" s="21" t="s">
        <v>220</v>
      </c>
      <c r="C8" s="22" t="s">
        <v>132</v>
      </c>
      <c r="D8" s="22" t="s">
        <v>222</v>
      </c>
      <c r="E8" s="23">
        <v>0</v>
      </c>
      <c r="F8" s="24">
        <v>0</v>
      </c>
      <c r="G8" s="24">
        <v>2</v>
      </c>
      <c r="H8" s="23">
        <f>H7-G8-F8+E8</f>
        <v>2</v>
      </c>
      <c r="I8" s="55"/>
      <c r="J8" s="56"/>
    </row>
    <row r="9" spans="1:13" s="16" customFormat="1" ht="5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7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2C6-332E-452D-A5D9-7B4A044B34FC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223</v>
      </c>
      <c r="E3" s="66" t="s">
        <v>62</v>
      </c>
      <c r="F3" s="66"/>
      <c r="G3" s="66"/>
      <c r="H3" s="66"/>
      <c r="I3" s="12">
        <v>3204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1" t="s">
        <v>215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14</v>
      </c>
      <c r="H6" s="1">
        <f>+E6-F6-G6</f>
        <v>6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10</v>
      </c>
      <c r="H8" s="23">
        <f>H7-G8-F8+E8</f>
        <v>10</v>
      </c>
      <c r="I8" s="55"/>
      <c r="J8" s="56"/>
    </row>
    <row r="9" spans="1:13" s="16" customFormat="1" ht="81" customHeight="1" x14ac:dyDescent="0.25">
      <c r="A9" s="28" t="s">
        <v>224</v>
      </c>
      <c r="B9" s="21" t="s">
        <v>225</v>
      </c>
      <c r="C9" s="22" t="s">
        <v>226</v>
      </c>
      <c r="D9" s="22" t="s">
        <v>227</v>
      </c>
      <c r="E9" s="23">
        <v>0</v>
      </c>
      <c r="F9" s="24">
        <v>0</v>
      </c>
      <c r="G9" s="24">
        <v>4</v>
      </c>
      <c r="H9" s="23">
        <v>6</v>
      </c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71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F036-391E-4741-BD2F-9C734B4D82F7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228</v>
      </c>
      <c r="E3" s="66" t="s">
        <v>62</v>
      </c>
      <c r="F3" s="66"/>
      <c r="G3" s="66"/>
      <c r="H3" s="66"/>
      <c r="I3" s="12">
        <v>3207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1" t="s">
        <v>215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4</v>
      </c>
      <c r="F6" s="1">
        <f>SUM(F7:F998)</f>
        <v>0</v>
      </c>
      <c r="G6" s="1">
        <f>SUM(G7:G998)</f>
        <v>2</v>
      </c>
      <c r="H6" s="1">
        <f>+E6-F6-G6</f>
        <v>2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4</v>
      </c>
      <c r="F7" s="24">
        <v>0</v>
      </c>
      <c r="G7" s="24">
        <v>0</v>
      </c>
      <c r="H7" s="23">
        <f>SUM(E7:G7)</f>
        <v>4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2</v>
      </c>
      <c r="H8" s="23">
        <f>H7-G8-F8+E8</f>
        <v>2</v>
      </c>
      <c r="I8" s="55"/>
      <c r="J8" s="56"/>
    </row>
    <row r="9" spans="1:13" s="16" customFormat="1" ht="81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7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EC70-F416-4067-818C-2E2AD7C52557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9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1" t="s">
        <v>229</v>
      </c>
      <c r="E3" s="66" t="s">
        <v>62</v>
      </c>
      <c r="F3" s="66"/>
      <c r="G3" s="66"/>
      <c r="H3" s="66"/>
      <c r="I3" s="12">
        <v>3219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19</v>
      </c>
      <c r="F7" s="24">
        <v>0</v>
      </c>
      <c r="G7" s="24">
        <v>0</v>
      </c>
      <c r="H7" s="23">
        <f>SUM(E7:G7)</f>
        <v>19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10</v>
      </c>
      <c r="H8" s="23">
        <f>H7-G8-F8+E8</f>
        <v>9</v>
      </c>
      <c r="I8" s="55"/>
      <c r="J8" s="56"/>
    </row>
    <row r="9" spans="1:13" s="16" customFormat="1" ht="132" customHeight="1" x14ac:dyDescent="0.25">
      <c r="A9" s="28" t="s">
        <v>231</v>
      </c>
      <c r="B9" s="21" t="s">
        <v>232</v>
      </c>
      <c r="C9" s="22" t="s">
        <v>132</v>
      </c>
      <c r="D9" s="22" t="s">
        <v>233</v>
      </c>
      <c r="E9" s="23">
        <v>1</v>
      </c>
      <c r="F9" s="24">
        <v>0</v>
      </c>
      <c r="G9" s="24">
        <v>0</v>
      </c>
      <c r="H9" s="23">
        <f>H8-G9-F9+E9</f>
        <v>10</v>
      </c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10:G1048576 A9 C9:G9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BE6E-2C0E-4260-B358-C59BA7034369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10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234</v>
      </c>
      <c r="E3" s="66" t="s">
        <v>62</v>
      </c>
      <c r="F3" s="66"/>
      <c r="G3" s="66"/>
      <c r="H3" s="66"/>
      <c r="I3" s="12">
        <v>3220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19</v>
      </c>
      <c r="F7" s="24">
        <v>0</v>
      </c>
      <c r="G7" s="24">
        <v>0</v>
      </c>
      <c r="H7" s="23">
        <f>SUM(E7:G7)</f>
        <v>19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10</v>
      </c>
      <c r="H8" s="23">
        <f>H7-G8-F8+E8</f>
        <v>9</v>
      </c>
      <c r="I8" s="55"/>
      <c r="J8" s="56"/>
    </row>
    <row r="9" spans="1:13" s="16" customFormat="1" ht="132" customHeight="1" x14ac:dyDescent="0.25">
      <c r="A9" s="28" t="s">
        <v>231</v>
      </c>
      <c r="B9" s="21" t="s">
        <v>232</v>
      </c>
      <c r="C9" s="22" t="s">
        <v>132</v>
      </c>
      <c r="D9" s="22" t="s">
        <v>233</v>
      </c>
      <c r="E9" s="23">
        <v>1</v>
      </c>
      <c r="F9" s="24">
        <v>0</v>
      </c>
      <c r="G9" s="24">
        <v>0</v>
      </c>
      <c r="H9" s="23">
        <f>H8-G9-F9+E9</f>
        <v>10</v>
      </c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10:G1048576 A9 C9:G9" name="Range1_2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3E78-FF9C-4FD7-A71B-7D61DAECE44E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235</v>
      </c>
      <c r="E3" s="66" t="s">
        <v>62</v>
      </c>
      <c r="F3" s="66"/>
      <c r="G3" s="66"/>
      <c r="H3" s="66"/>
      <c r="I3" s="12">
        <v>3221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10</v>
      </c>
      <c r="F6" s="1">
        <f>SUM(F7:F998)</f>
        <v>0</v>
      </c>
      <c r="G6" s="1">
        <f>SUM(G7:G998)</f>
        <v>5</v>
      </c>
      <c r="H6" s="1">
        <f>+E6-F6-G6</f>
        <v>5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5</v>
      </c>
      <c r="H8" s="23">
        <f>H7-G8-F8+E8</f>
        <v>0</v>
      </c>
      <c r="I8" s="55"/>
      <c r="J8" s="56"/>
    </row>
    <row r="9" spans="1:13" s="16" customFormat="1" ht="132" customHeight="1" x14ac:dyDescent="0.25">
      <c r="A9" s="28" t="s">
        <v>236</v>
      </c>
      <c r="B9" s="21" t="s">
        <v>232</v>
      </c>
      <c r="C9" s="22" t="s">
        <v>132</v>
      </c>
      <c r="D9" s="22" t="s">
        <v>233</v>
      </c>
      <c r="E9" s="23">
        <v>5</v>
      </c>
      <c r="F9" s="24">
        <v>0</v>
      </c>
      <c r="G9" s="24">
        <v>0</v>
      </c>
      <c r="H9" s="23">
        <f>H8-G9-F9+E9</f>
        <v>5</v>
      </c>
      <c r="I9" s="55"/>
      <c r="J9" s="56"/>
    </row>
    <row r="10" spans="1:13" s="16" customFormat="1" ht="51.7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10:G1048576 A9 C9:G9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5822-600D-4D2D-A5BC-64ACAB50E1E6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237</v>
      </c>
      <c r="E3" s="66" t="s">
        <v>62</v>
      </c>
      <c r="F3" s="66"/>
      <c r="G3" s="66"/>
      <c r="H3" s="66"/>
      <c r="I3" s="12">
        <v>3222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7</v>
      </c>
      <c r="F6" s="1">
        <f>SUM(F7:F998)</f>
        <v>0</v>
      </c>
      <c r="G6" s="1">
        <f>SUM(G7:G998)</f>
        <v>3</v>
      </c>
      <c r="H6" s="1">
        <f>+E6-F6-G6</f>
        <v>4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2</v>
      </c>
      <c r="H8" s="23">
        <f>H7-G8-F8+E8</f>
        <v>3</v>
      </c>
      <c r="I8" s="55"/>
      <c r="J8" s="56"/>
    </row>
    <row r="9" spans="1:13" s="16" customFormat="1" ht="132" customHeight="1" x14ac:dyDescent="0.25">
      <c r="A9" s="28" t="s">
        <v>236</v>
      </c>
      <c r="B9" s="21" t="s">
        <v>238</v>
      </c>
      <c r="C9" s="22" t="s">
        <v>132</v>
      </c>
      <c r="D9" s="22" t="s">
        <v>233</v>
      </c>
      <c r="E9" s="23">
        <v>2</v>
      </c>
      <c r="F9" s="24">
        <v>0</v>
      </c>
      <c r="G9" s="24">
        <v>0</v>
      </c>
      <c r="H9" s="23">
        <f>H8-G9-F9+E9</f>
        <v>5</v>
      </c>
      <c r="I9" s="55"/>
      <c r="J9" s="56"/>
    </row>
    <row r="10" spans="1:13" s="16" customFormat="1" ht="87.75" customHeight="1" x14ac:dyDescent="0.25">
      <c r="A10" s="28">
        <v>45573</v>
      </c>
      <c r="B10" s="21" t="s">
        <v>239</v>
      </c>
      <c r="C10" s="22" t="s">
        <v>240</v>
      </c>
      <c r="D10" s="22" t="s">
        <v>233</v>
      </c>
      <c r="E10" s="23">
        <v>0</v>
      </c>
      <c r="F10" s="24">
        <v>0</v>
      </c>
      <c r="G10" s="24">
        <v>1</v>
      </c>
      <c r="H10" s="23">
        <f>H9-G10-F10+E10</f>
        <v>4</v>
      </c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G9 A10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F873-1855-4EBE-913F-665F5DCF2E9F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12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241</v>
      </c>
      <c r="E3" s="66" t="s">
        <v>62</v>
      </c>
      <c r="F3" s="66"/>
      <c r="G3" s="66"/>
      <c r="H3" s="66"/>
      <c r="I3" s="12">
        <v>3224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10</v>
      </c>
      <c r="H8" s="23">
        <f>H7-G8-F8+E8</f>
        <v>10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G9 A10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5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A64A-B062-4B21-A134-0BC52899F115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13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242</v>
      </c>
      <c r="E3" s="66" t="s">
        <v>62</v>
      </c>
      <c r="F3" s="66"/>
      <c r="G3" s="66"/>
      <c r="H3" s="66"/>
      <c r="I3" s="12">
        <v>3226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10</v>
      </c>
      <c r="F6" s="1">
        <f>SUM(F7:F998)</f>
        <v>0</v>
      </c>
      <c r="G6" s="1">
        <f>SUM(G7:G998)</f>
        <v>5</v>
      </c>
      <c r="H6" s="1">
        <f>+E6-F6-G6</f>
        <v>5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218</v>
      </c>
      <c r="E7" s="23">
        <v>10</v>
      </c>
      <c r="F7" s="24">
        <v>0</v>
      </c>
      <c r="G7" s="24">
        <v>0</v>
      </c>
      <c r="H7" s="23">
        <f>SUM(E7:G7)</f>
        <v>10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5</v>
      </c>
      <c r="H8" s="23">
        <f>H7-G8-F8+E8</f>
        <v>5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G9 A10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BCA0-AF25-4537-B45F-AC9C0E205FCC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14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243</v>
      </c>
      <c r="E3" s="66" t="s">
        <v>62</v>
      </c>
      <c r="F3" s="66"/>
      <c r="G3" s="66"/>
      <c r="H3" s="66"/>
      <c r="I3" s="12">
        <v>3228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7</v>
      </c>
      <c r="F6" s="1">
        <f>SUM(F7:F998)</f>
        <v>0</v>
      </c>
      <c r="G6" s="1">
        <f>SUM(G7:G998)</f>
        <v>3</v>
      </c>
      <c r="H6" s="1">
        <f>+E6-F6-G6</f>
        <v>4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244</v>
      </c>
      <c r="E7" s="23">
        <v>6</v>
      </c>
      <c r="F7" s="24">
        <v>0</v>
      </c>
      <c r="G7" s="24">
        <v>0</v>
      </c>
      <c r="H7" s="23">
        <f>SUM(E7:G7)</f>
        <v>6</v>
      </c>
      <c r="I7" s="55"/>
      <c r="J7" s="56"/>
    </row>
    <row r="8" spans="1:13" s="16" customFormat="1" ht="93.75" customHeight="1" x14ac:dyDescent="0.25">
      <c r="A8" s="28" t="s">
        <v>245</v>
      </c>
      <c r="B8" s="21" t="s">
        <v>246</v>
      </c>
      <c r="C8" s="22" t="s">
        <v>247</v>
      </c>
      <c r="D8" s="22" t="s">
        <v>248</v>
      </c>
      <c r="E8" s="23">
        <v>1</v>
      </c>
      <c r="F8" s="24">
        <v>0</v>
      </c>
      <c r="G8" s="24">
        <v>0</v>
      </c>
      <c r="H8" s="23">
        <v>7</v>
      </c>
      <c r="I8" s="55"/>
      <c r="J8" s="56"/>
    </row>
    <row r="9" spans="1:13" s="16" customFormat="1" ht="132" customHeight="1" x14ac:dyDescent="0.25">
      <c r="A9" s="28" t="s">
        <v>245</v>
      </c>
      <c r="B9" s="21" t="s">
        <v>246</v>
      </c>
      <c r="C9" s="22" t="s">
        <v>249</v>
      </c>
      <c r="D9" s="22" t="s">
        <v>248</v>
      </c>
      <c r="E9" s="24">
        <v>0</v>
      </c>
      <c r="F9" s="24">
        <v>0</v>
      </c>
      <c r="G9" s="24">
        <v>1</v>
      </c>
      <c r="H9" s="23">
        <v>6</v>
      </c>
      <c r="I9" s="55"/>
      <c r="J9" s="56"/>
    </row>
    <row r="10" spans="1:13" s="16" customFormat="1" ht="87.75" customHeight="1" x14ac:dyDescent="0.25">
      <c r="A10" s="28" t="s">
        <v>216</v>
      </c>
      <c r="B10" s="21" t="s">
        <v>250</v>
      </c>
      <c r="C10" s="22" t="s">
        <v>251</v>
      </c>
      <c r="D10" s="22" t="s">
        <v>248</v>
      </c>
      <c r="E10" s="24">
        <v>0</v>
      </c>
      <c r="F10" s="24">
        <v>0</v>
      </c>
      <c r="G10" s="24">
        <v>1</v>
      </c>
      <c r="H10" s="23">
        <v>5</v>
      </c>
      <c r="I10" s="55"/>
      <c r="J10" s="56"/>
    </row>
    <row r="11" spans="1:13" s="16" customFormat="1" ht="62.25" customHeight="1" x14ac:dyDescent="0.25">
      <c r="A11" s="28" t="s">
        <v>216</v>
      </c>
      <c r="B11" s="21" t="s">
        <v>252</v>
      </c>
      <c r="C11" s="22" t="s">
        <v>253</v>
      </c>
      <c r="D11" s="22" t="s">
        <v>248</v>
      </c>
      <c r="E11" s="24">
        <v>0</v>
      </c>
      <c r="F11" s="24">
        <v>0</v>
      </c>
      <c r="G11" s="24">
        <v>1</v>
      </c>
      <c r="H11" s="23">
        <v>4</v>
      </c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A12:G1048576 A10:B11 G9:G11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8 H7:H23 E12:E23">
    <cfRule type="cellIs" dxfId="63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649B-1906-4C6F-8459-C82CE7E230D8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15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1" t="s">
        <v>254</v>
      </c>
      <c r="E3" s="66" t="s">
        <v>62</v>
      </c>
      <c r="F3" s="66"/>
      <c r="G3" s="66"/>
      <c r="H3" s="66"/>
      <c r="I3" s="12">
        <v>3231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 t="s">
        <v>230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</v>
      </c>
      <c r="F6" s="1">
        <f>SUM(F7:F998)</f>
        <v>0</v>
      </c>
      <c r="G6" s="1">
        <f>SUM(G7:G998)</f>
        <v>2</v>
      </c>
      <c r="H6" s="1">
        <f>+E6-F6-G6</f>
        <v>3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255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2</v>
      </c>
      <c r="H8" s="23">
        <f>H7-G8-F8+E8</f>
        <v>3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G9 A10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6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8731-A153-45EA-A5B6-B684CDFEA42A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16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1" t="s">
        <v>256</v>
      </c>
      <c r="E3" s="66" t="s">
        <v>62</v>
      </c>
      <c r="F3" s="66"/>
      <c r="G3" s="66"/>
      <c r="H3" s="66"/>
      <c r="I3" s="12">
        <v>3233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12</v>
      </c>
      <c r="H6" s="1">
        <f>+E6-F6-G6</f>
        <v>8</v>
      </c>
      <c r="I6" s="18"/>
      <c r="J6" s="19"/>
    </row>
    <row r="7" spans="1:13" s="16" customFormat="1" ht="67.5" customHeight="1" x14ac:dyDescent="0.25">
      <c r="A7" s="20"/>
      <c r="B7" s="21" t="s">
        <v>217</v>
      </c>
      <c r="C7" s="22" t="s">
        <v>132</v>
      </c>
      <c r="D7" s="22" t="s">
        <v>255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10</v>
      </c>
      <c r="H8" s="23">
        <f t="shared" ref="H8" si="0">SUM(E8:G8)</f>
        <v>10</v>
      </c>
      <c r="I8" s="55"/>
      <c r="J8" s="56"/>
    </row>
    <row r="9" spans="1:13" s="16" customFormat="1" ht="132" customHeight="1" x14ac:dyDescent="0.25">
      <c r="A9" s="28" t="s">
        <v>81</v>
      </c>
      <c r="B9" s="21" t="s">
        <v>257</v>
      </c>
      <c r="C9" s="22" t="s">
        <v>258</v>
      </c>
      <c r="D9" s="22" t="s">
        <v>259</v>
      </c>
      <c r="E9" s="23">
        <v>0</v>
      </c>
      <c r="F9" s="23">
        <v>0</v>
      </c>
      <c r="G9" s="24">
        <v>2</v>
      </c>
      <c r="H9" s="23">
        <v>8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D9 A10:G1048576 G9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3" operator="between">
      <formula>1</formula>
      <formula>100000000</formula>
    </cfRule>
  </conditionalFormatting>
  <conditionalFormatting sqref="E7:E23 H7:H23">
    <cfRule type="cellIs" dxfId="61" priority="2" operator="between">
      <formula>1</formula>
      <formula>100</formula>
    </cfRule>
  </conditionalFormatting>
  <conditionalFormatting sqref="F9">
    <cfRule type="cellIs" dxfId="6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C8C4-87E9-405A-B49A-537E9CD446C1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17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260</v>
      </c>
      <c r="E3" s="66" t="s">
        <v>62</v>
      </c>
      <c r="F3" s="66"/>
      <c r="G3" s="66"/>
      <c r="H3" s="66"/>
      <c r="I3" s="12">
        <v>3235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122</v>
      </c>
      <c r="F6" s="1">
        <f>SUM(F7:F998)</f>
        <v>0</v>
      </c>
      <c r="G6" s="1">
        <f>SUM(G7:G998)</f>
        <v>75</v>
      </c>
      <c r="H6" s="1">
        <f>+E6-F6-G6</f>
        <v>47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261</v>
      </c>
      <c r="E7" s="23">
        <v>35</v>
      </c>
      <c r="F7" s="24">
        <v>0</v>
      </c>
      <c r="G7" s="24">
        <v>0</v>
      </c>
      <c r="H7" s="23">
        <f>SUM(E7:G7)</f>
        <v>35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25</v>
      </c>
      <c r="H8" s="23">
        <v>10</v>
      </c>
      <c r="I8" s="55"/>
      <c r="J8" s="56"/>
    </row>
    <row r="9" spans="1:13" s="16" customFormat="1" ht="132" customHeight="1" x14ac:dyDescent="0.25">
      <c r="A9" s="28" t="s">
        <v>262</v>
      </c>
      <c r="B9" s="21" t="s">
        <v>263</v>
      </c>
      <c r="C9" s="22" t="s">
        <v>264</v>
      </c>
      <c r="D9" s="22" t="s">
        <v>150</v>
      </c>
      <c r="E9" s="23">
        <v>25</v>
      </c>
      <c r="F9" s="23">
        <v>0</v>
      </c>
      <c r="G9" s="24">
        <v>0</v>
      </c>
      <c r="H9" s="23">
        <v>35</v>
      </c>
      <c r="I9" s="55"/>
      <c r="J9" s="56"/>
    </row>
    <row r="10" spans="1:13" s="16" customFormat="1" ht="87.75" customHeight="1" x14ac:dyDescent="0.25">
      <c r="A10" s="28" t="s">
        <v>265</v>
      </c>
      <c r="B10" s="21" t="s">
        <v>266</v>
      </c>
      <c r="C10" s="22" t="s">
        <v>132</v>
      </c>
      <c r="D10" s="22" t="s">
        <v>267</v>
      </c>
      <c r="E10" s="23">
        <v>15</v>
      </c>
      <c r="F10" s="24">
        <v>0</v>
      </c>
      <c r="G10" s="24">
        <v>0</v>
      </c>
      <c r="H10" s="23">
        <v>50</v>
      </c>
      <c r="I10" s="55"/>
      <c r="J10" s="56"/>
    </row>
    <row r="11" spans="1:13" s="16" customFormat="1" ht="62.25" customHeight="1" x14ac:dyDescent="0.25">
      <c r="A11" s="28" t="s">
        <v>265</v>
      </c>
      <c r="B11" s="21" t="s">
        <v>268</v>
      </c>
      <c r="C11" s="22" t="s">
        <v>269</v>
      </c>
      <c r="D11" s="29" t="s">
        <v>267</v>
      </c>
      <c r="E11" s="23">
        <v>0</v>
      </c>
      <c r="F11" s="24">
        <v>0</v>
      </c>
      <c r="G11" s="24">
        <v>3</v>
      </c>
      <c r="H11" s="23">
        <v>47</v>
      </c>
      <c r="I11" s="55"/>
      <c r="J11" s="56"/>
    </row>
    <row r="12" spans="1:13" s="16" customFormat="1" ht="84" customHeight="1" x14ac:dyDescent="0.25">
      <c r="A12" s="28">
        <v>46330</v>
      </c>
      <c r="B12" s="21" t="s">
        <v>403</v>
      </c>
      <c r="C12" s="22" t="s">
        <v>270</v>
      </c>
      <c r="D12" s="29" t="s">
        <v>267</v>
      </c>
      <c r="E12" s="23">
        <v>0</v>
      </c>
      <c r="F12" s="24">
        <v>0</v>
      </c>
      <c r="G12" s="24">
        <v>47</v>
      </c>
      <c r="H12" s="23">
        <v>0</v>
      </c>
      <c r="I12" s="55"/>
      <c r="J12" s="56"/>
    </row>
    <row r="13" spans="1:13" s="16" customFormat="1" ht="56.25" x14ac:dyDescent="0.25">
      <c r="A13" s="28">
        <v>46239</v>
      </c>
      <c r="B13" s="21" t="s">
        <v>404</v>
      </c>
      <c r="C13" s="22" t="s">
        <v>270</v>
      </c>
      <c r="D13" s="29" t="s">
        <v>267</v>
      </c>
      <c r="E13" s="23">
        <v>47</v>
      </c>
      <c r="F13" s="24">
        <v>0</v>
      </c>
      <c r="G13" s="24">
        <v>0</v>
      </c>
      <c r="H13" s="23">
        <v>47</v>
      </c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D9 G9 A10:G1048576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3" operator="between">
      <formula>1</formula>
      <formula>100000000</formula>
    </cfRule>
  </conditionalFormatting>
  <conditionalFormatting sqref="E7:E23 H7:H23">
    <cfRule type="cellIs" dxfId="59" priority="2" operator="between">
      <formula>1</formula>
      <formula>100</formula>
    </cfRule>
  </conditionalFormatting>
  <conditionalFormatting sqref="F9">
    <cfRule type="cellIs" dxfId="5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FF06-4618-4541-9337-82CCC7D6D668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18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271</v>
      </c>
      <c r="E3" s="66" t="s">
        <v>62</v>
      </c>
      <c r="F3" s="66"/>
      <c r="G3" s="66"/>
      <c r="H3" s="66"/>
      <c r="I3" s="12">
        <v>3237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82</v>
      </c>
      <c r="F6" s="1">
        <f>SUM(F7:F998)</f>
        <v>0</v>
      </c>
      <c r="G6" s="1">
        <f>SUM(G7:G998)</f>
        <v>50</v>
      </c>
      <c r="H6" s="1">
        <f>+E6-F6-G6</f>
        <v>32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255</v>
      </c>
      <c r="E7" s="23">
        <v>25</v>
      </c>
      <c r="F7" s="24">
        <v>0</v>
      </c>
      <c r="G7" s="24">
        <v>0</v>
      </c>
      <c r="H7" s="23">
        <f>SUM(E7:G7)</f>
        <v>25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255</v>
      </c>
      <c r="E8" s="23">
        <v>0</v>
      </c>
      <c r="F8" s="24">
        <v>0</v>
      </c>
      <c r="G8" s="24">
        <v>12</v>
      </c>
      <c r="H8" s="23">
        <v>13</v>
      </c>
      <c r="I8" s="55"/>
      <c r="J8" s="56"/>
    </row>
    <row r="9" spans="1:13" s="16" customFormat="1" ht="132" customHeight="1" x14ac:dyDescent="0.25">
      <c r="A9" s="28" t="s">
        <v>262</v>
      </c>
      <c r="B9" s="21" t="s">
        <v>272</v>
      </c>
      <c r="C9" s="22" t="s">
        <v>273</v>
      </c>
      <c r="D9" s="22" t="s">
        <v>274</v>
      </c>
      <c r="E9" s="23">
        <v>25</v>
      </c>
      <c r="F9" s="23">
        <v>0</v>
      </c>
      <c r="G9" s="24">
        <v>0</v>
      </c>
      <c r="H9" s="23">
        <v>38</v>
      </c>
      <c r="I9" s="55"/>
      <c r="J9" s="56"/>
    </row>
    <row r="10" spans="1:13" s="16" customFormat="1" ht="87.75" customHeight="1" x14ac:dyDescent="0.25">
      <c r="A10" s="28" t="s">
        <v>265</v>
      </c>
      <c r="B10" s="21" t="s">
        <v>268</v>
      </c>
      <c r="C10" s="22" t="s">
        <v>269</v>
      </c>
      <c r="D10" s="22" t="s">
        <v>274</v>
      </c>
      <c r="E10" s="23">
        <v>0</v>
      </c>
      <c r="F10" s="24">
        <v>0</v>
      </c>
      <c r="G10" s="24">
        <v>6</v>
      </c>
      <c r="H10" s="23">
        <v>32</v>
      </c>
      <c r="I10" s="55"/>
      <c r="J10" s="56"/>
    </row>
    <row r="11" spans="1:13" s="16" customFormat="1" ht="62.25" customHeight="1" x14ac:dyDescent="0.25">
      <c r="A11" s="28">
        <v>46330</v>
      </c>
      <c r="B11" s="21" t="s">
        <v>275</v>
      </c>
      <c r="C11" s="22" t="s">
        <v>276</v>
      </c>
      <c r="D11" s="29" t="s">
        <v>274</v>
      </c>
      <c r="E11" s="23">
        <v>0</v>
      </c>
      <c r="F11" s="24">
        <v>0</v>
      </c>
      <c r="G11" s="24">
        <v>32</v>
      </c>
      <c r="H11" s="23">
        <v>0</v>
      </c>
      <c r="I11" s="55"/>
      <c r="J11" s="56"/>
    </row>
    <row r="12" spans="1:13" s="16" customFormat="1" ht="84" customHeight="1" x14ac:dyDescent="0.25">
      <c r="A12" s="28">
        <v>46239</v>
      </c>
      <c r="B12" s="21" t="s">
        <v>404</v>
      </c>
      <c r="C12" s="22" t="s">
        <v>276</v>
      </c>
      <c r="D12" s="29" t="s">
        <v>274</v>
      </c>
      <c r="E12" s="23">
        <v>32</v>
      </c>
      <c r="F12" s="24">
        <v>0</v>
      </c>
      <c r="G12" s="24">
        <v>0</v>
      </c>
      <c r="H12" s="23">
        <v>32</v>
      </c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D9 A10:G11 G9 A13:G1048576 A12 C12:G12" name="Range1"/>
    <protectedRange algorithmName="SHA-512" hashValue="w6vOy6gaWv7RKp7tkLrp7nrHA6RmzXKKrxhAURGVJNeJ+tWzcydALHZnJcvW3Xd6J2aTxgJ4vzpBns4Tppy+Tg==" saltValue="wFqfSvUJGsYlHEHwlJdPRg==" spinCount="100000" sqref="B12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1" operator="between">
      <formula>1</formula>
      <formula>100000000</formula>
    </cfRule>
  </conditionalFormatting>
  <conditionalFormatting sqref="E7:E23 H7:H23">
    <cfRule type="cellIs" dxfId="57" priority="3" operator="between">
      <formula>1</formula>
      <formula>100</formula>
    </cfRule>
  </conditionalFormatting>
  <conditionalFormatting sqref="F9">
    <cfRule type="cellIs" dxfId="56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261A-9791-4877-AADE-ABFE52016CD7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19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277</v>
      </c>
      <c r="E3" s="66" t="s">
        <v>62</v>
      </c>
      <c r="F3" s="66"/>
      <c r="G3" s="66"/>
      <c r="H3" s="66"/>
      <c r="I3" s="12">
        <v>3239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1</v>
      </c>
      <c r="H6" s="1">
        <f>+E6-F6-G6</f>
        <v>1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278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93.75" customHeight="1" x14ac:dyDescent="0.25">
      <c r="A8" s="28" t="s">
        <v>219</v>
      </c>
      <c r="B8" s="21" t="s">
        <v>220</v>
      </c>
      <c r="C8" s="22" t="s">
        <v>221</v>
      </c>
      <c r="D8" s="22" t="s">
        <v>222</v>
      </c>
      <c r="E8" s="23">
        <v>0</v>
      </c>
      <c r="F8" s="24">
        <v>0</v>
      </c>
      <c r="G8" s="24">
        <v>1</v>
      </c>
      <c r="H8" s="23">
        <v>1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C9:D9 A10:G1048576 G9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3" operator="between">
      <formula>1</formula>
      <formula>100000000</formula>
    </cfRule>
  </conditionalFormatting>
  <conditionalFormatting sqref="E7:E23 H7:H23">
    <cfRule type="cellIs" dxfId="55" priority="2" operator="between">
      <formula>1</formula>
      <formula>100</formula>
    </cfRule>
  </conditionalFormatting>
  <conditionalFormatting sqref="F9">
    <cfRule type="cellIs" dxfId="5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F4CC-07B6-43A2-A79A-9D96E83F42C3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279</v>
      </c>
      <c r="E3" s="66" t="s">
        <v>62</v>
      </c>
      <c r="F3" s="66"/>
      <c r="G3" s="66"/>
      <c r="H3" s="66"/>
      <c r="I3" s="12">
        <v>3243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140</v>
      </c>
      <c r="F6" s="1">
        <f>SUM(F7:F998)</f>
        <v>0</v>
      </c>
      <c r="G6" s="1">
        <f>SUM(G7:G998)</f>
        <v>105</v>
      </c>
      <c r="H6" s="1">
        <f>+E6-F6-G6</f>
        <v>35</v>
      </c>
      <c r="I6" s="18"/>
      <c r="J6" s="19"/>
    </row>
    <row r="7" spans="1:13" s="16" customFormat="1" ht="67.5" customHeight="1" x14ac:dyDescent="0.25">
      <c r="A7" s="20" t="s">
        <v>280</v>
      </c>
      <c r="B7" s="21" t="s">
        <v>281</v>
      </c>
      <c r="C7" s="22" t="s">
        <v>132</v>
      </c>
      <c r="D7" s="22" t="s">
        <v>282</v>
      </c>
      <c r="E7" s="23">
        <v>70</v>
      </c>
      <c r="F7" s="24">
        <v>0</v>
      </c>
      <c r="G7" s="24">
        <v>0</v>
      </c>
      <c r="H7" s="23">
        <f>SUM(E7:G7)</f>
        <v>70</v>
      </c>
      <c r="I7" s="55"/>
      <c r="J7" s="56"/>
    </row>
    <row r="8" spans="1:13" s="16" customFormat="1" ht="93.75" customHeight="1" x14ac:dyDescent="0.25">
      <c r="A8" s="28" t="s">
        <v>216</v>
      </c>
      <c r="B8" s="21" t="s">
        <v>217</v>
      </c>
      <c r="C8" s="22" t="s">
        <v>132</v>
      </c>
      <c r="D8" s="22" t="s">
        <v>282</v>
      </c>
      <c r="E8" s="23">
        <v>70</v>
      </c>
      <c r="F8" s="24">
        <v>0</v>
      </c>
      <c r="G8" s="24">
        <v>0</v>
      </c>
      <c r="H8" s="23">
        <v>140</v>
      </c>
      <c r="I8" s="55"/>
      <c r="J8" s="56"/>
    </row>
    <row r="9" spans="1:13" s="16" customFormat="1" ht="132" customHeight="1" x14ac:dyDescent="0.25">
      <c r="A9" s="28" t="s">
        <v>280</v>
      </c>
      <c r="B9" s="21" t="s">
        <v>283</v>
      </c>
      <c r="C9" s="22" t="s">
        <v>284</v>
      </c>
      <c r="D9" s="22" t="s">
        <v>282</v>
      </c>
      <c r="E9" s="23">
        <v>0</v>
      </c>
      <c r="F9" s="23">
        <v>0</v>
      </c>
      <c r="G9" s="24">
        <v>70</v>
      </c>
      <c r="H9" s="23">
        <v>70</v>
      </c>
      <c r="I9" s="55"/>
      <c r="J9" s="56"/>
    </row>
    <row r="10" spans="1:13" s="16" customFormat="1" ht="87.75" customHeight="1" x14ac:dyDescent="0.25">
      <c r="A10" s="28" t="s">
        <v>285</v>
      </c>
      <c r="B10" s="21" t="s">
        <v>286</v>
      </c>
      <c r="C10" s="22" t="s">
        <v>221</v>
      </c>
      <c r="D10" s="22" t="s">
        <v>287</v>
      </c>
      <c r="E10" s="23">
        <v>0</v>
      </c>
      <c r="F10" s="24">
        <v>0</v>
      </c>
      <c r="G10" s="24">
        <v>35</v>
      </c>
      <c r="H10" s="23">
        <v>35</v>
      </c>
      <c r="I10" s="55"/>
      <c r="J10" s="56"/>
    </row>
    <row r="11" spans="1:13" s="16" customFormat="1" ht="62.25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A7:B7 A9 A11:G1048576 G9 B8 A10:B10 D10:G10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53" priority="2" operator="between">
      <formula>1</formula>
      <formula>100</formula>
    </cfRule>
  </conditionalFormatting>
  <conditionalFormatting sqref="F9">
    <cfRule type="cellIs" dxfId="5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15EA-D3BF-4784-9E1D-4D31C676F53C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24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288</v>
      </c>
      <c r="E3" s="66" t="s">
        <v>62</v>
      </c>
      <c r="F3" s="66"/>
      <c r="G3" s="66"/>
      <c r="H3" s="66"/>
      <c r="I3" s="12">
        <v>3251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100</v>
      </c>
      <c r="F6" s="1">
        <f>SUM(F7:F998)</f>
        <v>0</v>
      </c>
      <c r="G6" s="1">
        <f>SUM(G7:G998)</f>
        <v>50</v>
      </c>
      <c r="H6" s="1">
        <f>+E6-F6-G6</f>
        <v>50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289</v>
      </c>
      <c r="E7" s="23">
        <v>100</v>
      </c>
      <c r="F7" s="24">
        <v>0</v>
      </c>
      <c r="G7" s="24">
        <v>0</v>
      </c>
      <c r="H7" s="23">
        <f>SUM(E7:G7)</f>
        <v>100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50</v>
      </c>
      <c r="H8" s="23">
        <f>SUM(E8:G8)</f>
        <v>50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51" priority="2" operator="between">
      <formula>1</formula>
      <formula>100</formula>
    </cfRule>
  </conditionalFormatting>
  <conditionalFormatting sqref="F8">
    <cfRule type="cellIs" dxfId="5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CDB1-065B-4082-842B-5E0F059C8B07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26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291</v>
      </c>
      <c r="E3" s="66" t="s">
        <v>62</v>
      </c>
      <c r="F3" s="66"/>
      <c r="G3" s="66"/>
      <c r="H3" s="66"/>
      <c r="I3" s="12">
        <v>3255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10</v>
      </c>
      <c r="F6" s="1">
        <f>SUM(F7:F998)</f>
        <v>0</v>
      </c>
      <c r="G6" s="1">
        <f>SUM(G7:G998)</f>
        <v>5</v>
      </c>
      <c r="H6" s="1">
        <f>+E6-F6-G6</f>
        <v>5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292</v>
      </c>
      <c r="E7" s="23">
        <v>10</v>
      </c>
      <c r="F7" s="24">
        <v>0</v>
      </c>
      <c r="G7" s="24">
        <v>0</v>
      </c>
      <c r="H7" s="23">
        <f>SUM(E7:G7)</f>
        <v>10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5</v>
      </c>
      <c r="H8" s="23">
        <v>5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49" priority="2" operator="between">
      <formula>1</formula>
      <formula>100</formula>
    </cfRule>
  </conditionalFormatting>
  <conditionalFormatting sqref="F8">
    <cfRule type="cellIs" dxfId="4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A2A1-1D8C-44F6-B844-0598993135F8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27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293</v>
      </c>
      <c r="E3" s="66" t="s">
        <v>62</v>
      </c>
      <c r="F3" s="66"/>
      <c r="G3" s="66"/>
      <c r="H3" s="66"/>
      <c r="I3" s="12">
        <v>3256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292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10</v>
      </c>
      <c r="H8" s="23">
        <v>10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47" priority="2" operator="between">
      <formula>1</formula>
      <formula>100</formula>
    </cfRule>
  </conditionalFormatting>
  <conditionalFormatting sqref="F8">
    <cfRule type="cellIs" dxfId="4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7C4C-A178-4D32-874F-8098878D1973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28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36" customHeight="1" x14ac:dyDescent="0.3">
      <c r="A3" s="63" t="s">
        <v>60</v>
      </c>
      <c r="B3" s="63"/>
      <c r="C3" s="63"/>
      <c r="D3" s="45" t="s">
        <v>294</v>
      </c>
      <c r="E3" s="66" t="s">
        <v>62</v>
      </c>
      <c r="F3" s="66"/>
      <c r="G3" s="66"/>
      <c r="H3" s="66"/>
      <c r="I3" s="12">
        <v>3257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1</v>
      </c>
      <c r="H6" s="1">
        <f>+E6-F6-G6</f>
        <v>1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295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1</v>
      </c>
      <c r="H8" s="23">
        <v>1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45" priority="2" operator="between">
      <formula>1</formula>
      <formula>100</formula>
    </cfRule>
  </conditionalFormatting>
  <conditionalFormatting sqref="F8">
    <cfRule type="cellIs" dxfId="4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E819-1B0F-4173-91D2-F6D3265076F7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29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46" t="s">
        <v>296</v>
      </c>
      <c r="E3" s="66" t="s">
        <v>62</v>
      </c>
      <c r="F3" s="66"/>
      <c r="G3" s="66"/>
      <c r="H3" s="66"/>
      <c r="I3" s="12">
        <v>3258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20</v>
      </c>
      <c r="F6" s="1">
        <f>SUM(F7:F998)</f>
        <v>0</v>
      </c>
      <c r="G6" s="1">
        <f>SUM(G7:G998)</f>
        <v>10</v>
      </c>
      <c r="H6" s="1">
        <f>+E6-F6-G6</f>
        <v>10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295</v>
      </c>
      <c r="E7" s="23">
        <v>20</v>
      </c>
      <c r="F7" s="24">
        <v>0</v>
      </c>
      <c r="G7" s="24">
        <v>0</v>
      </c>
      <c r="H7" s="23">
        <f>SUM(E7:G7)</f>
        <v>20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10</v>
      </c>
      <c r="H8" s="23">
        <v>10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43" priority="2" operator="between">
      <formula>1</formula>
      <formula>100</formula>
    </cfRule>
  </conditionalFormatting>
  <conditionalFormatting sqref="F8">
    <cfRule type="cellIs" dxfId="4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686E-987E-495E-8F27-D6A2D52AA847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30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297</v>
      </c>
      <c r="E3" s="66" t="s">
        <v>62</v>
      </c>
      <c r="F3" s="66"/>
      <c r="G3" s="66"/>
      <c r="H3" s="66"/>
      <c r="I3" s="12">
        <v>3259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50</v>
      </c>
      <c r="F6" s="1">
        <f>SUM(F7:F998)</f>
        <v>0</v>
      </c>
      <c r="G6" s="1">
        <f>SUM(G7:G998)</f>
        <v>48</v>
      </c>
      <c r="H6" s="1">
        <f>+E6-F6-G6</f>
        <v>2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295</v>
      </c>
      <c r="E7" s="23">
        <v>50</v>
      </c>
      <c r="F7" s="24">
        <v>0</v>
      </c>
      <c r="G7" s="24">
        <v>0</v>
      </c>
      <c r="H7" s="23">
        <f>SUM(E7:G7)</f>
        <v>50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25</v>
      </c>
      <c r="H8" s="23">
        <v>25</v>
      </c>
      <c r="I8" s="55"/>
      <c r="J8" s="56"/>
    </row>
    <row r="9" spans="1:13" s="16" customFormat="1" ht="87.75" customHeight="1" x14ac:dyDescent="0.25">
      <c r="A9" s="28">
        <v>45846</v>
      </c>
      <c r="B9" s="21" t="s">
        <v>298</v>
      </c>
      <c r="C9" s="22" t="s">
        <v>299</v>
      </c>
      <c r="D9" s="22" t="s">
        <v>300</v>
      </c>
      <c r="E9" s="23">
        <v>0</v>
      </c>
      <c r="F9" s="24">
        <v>0</v>
      </c>
      <c r="G9" s="24">
        <v>15</v>
      </c>
      <c r="H9" s="23">
        <v>10</v>
      </c>
      <c r="I9" s="55"/>
      <c r="J9" s="56"/>
    </row>
    <row r="10" spans="1:13" s="16" customFormat="1" ht="62.25" customHeight="1" x14ac:dyDescent="0.25">
      <c r="A10" s="28" t="s">
        <v>301</v>
      </c>
      <c r="B10" s="21" t="s">
        <v>298</v>
      </c>
      <c r="C10" s="22" t="s">
        <v>302</v>
      </c>
      <c r="D10" s="22" t="s">
        <v>300</v>
      </c>
      <c r="E10" s="23">
        <v>0</v>
      </c>
      <c r="F10" s="24">
        <v>0</v>
      </c>
      <c r="G10" s="24">
        <v>8</v>
      </c>
      <c r="H10" s="23">
        <v>2</v>
      </c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G8 A9:G1048576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41" priority="2" operator="between">
      <formula>1</formula>
      <formula>100</formula>
    </cfRule>
  </conditionalFormatting>
  <conditionalFormatting sqref="F8">
    <cfRule type="cellIs" dxfId="4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ECD-FF3D-4CAC-B099-8643CA6D62DF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1" t="s">
        <v>303</v>
      </c>
      <c r="E3" s="66" t="s">
        <v>62</v>
      </c>
      <c r="F3" s="66"/>
      <c r="G3" s="66"/>
      <c r="H3" s="66"/>
      <c r="I3" s="12">
        <v>3261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</v>
      </c>
      <c r="F6" s="1">
        <f>SUM(F7:F998)</f>
        <v>0</v>
      </c>
      <c r="G6" s="1">
        <f>SUM(G7:G998)</f>
        <v>2</v>
      </c>
      <c r="H6" s="1">
        <f>+E6-F6-G6</f>
        <v>3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304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305</v>
      </c>
      <c r="D8" s="22" t="s">
        <v>287</v>
      </c>
      <c r="E8" s="23">
        <v>0</v>
      </c>
      <c r="F8" s="23">
        <v>0</v>
      </c>
      <c r="G8" s="24">
        <v>2</v>
      </c>
      <c r="H8" s="23">
        <v>3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39" priority="2" operator="between">
      <formula>1</formula>
      <formula>100</formula>
    </cfRule>
  </conditionalFormatting>
  <conditionalFormatting sqref="F8">
    <cfRule type="cellIs" dxfId="3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43FE-CB8E-42E7-B6AE-40C4C65102F1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32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306</v>
      </c>
      <c r="E3" s="66" t="s">
        <v>62</v>
      </c>
      <c r="F3" s="66"/>
      <c r="G3" s="66"/>
      <c r="H3" s="66"/>
      <c r="I3" s="12">
        <v>3263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</v>
      </c>
      <c r="F6" s="1">
        <f>SUM(F7:F998)</f>
        <v>0</v>
      </c>
      <c r="G6" s="1">
        <f>SUM(G7:G998)</f>
        <v>2</v>
      </c>
      <c r="H6" s="1">
        <f>+E6-F6-G6</f>
        <v>3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307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2</v>
      </c>
      <c r="H8" s="23">
        <v>3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37" priority="2" operator="between">
      <formula>1</formula>
      <formula>100</formula>
    </cfRule>
  </conditionalFormatting>
  <conditionalFormatting sqref="F8">
    <cfRule type="cellIs" dxfId="3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E643-4903-45B2-9BB0-D2313129C602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33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308</v>
      </c>
      <c r="E3" s="66" t="s">
        <v>62</v>
      </c>
      <c r="F3" s="66"/>
      <c r="G3" s="66"/>
      <c r="H3" s="66"/>
      <c r="I3" s="12">
        <v>3265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1</v>
      </c>
      <c r="H6" s="1">
        <f>+E6-F6-G6</f>
        <v>1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309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1</v>
      </c>
      <c r="H8" s="23">
        <v>1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35" priority="2" operator="between">
      <formula>1</formula>
      <formula>100</formula>
    </cfRule>
  </conditionalFormatting>
  <conditionalFormatting sqref="F8">
    <cfRule type="cellIs" dxfId="3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3F35-E5F4-493D-AC22-417EF9A8C632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34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310</v>
      </c>
      <c r="E3" s="66" t="s">
        <v>62</v>
      </c>
      <c r="F3" s="66"/>
      <c r="G3" s="66"/>
      <c r="H3" s="66"/>
      <c r="I3" s="12">
        <v>3266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</v>
      </c>
      <c r="F6" s="1">
        <f>SUM(F7:F998)</f>
        <v>0</v>
      </c>
      <c r="G6" s="1">
        <f>SUM(G7:G998)</f>
        <v>0</v>
      </c>
      <c r="H6" s="1">
        <f>+E6-F6-G6</f>
        <v>1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85</v>
      </c>
      <c r="E7" s="23">
        <v>1</v>
      </c>
      <c r="F7" s="24">
        <v>0</v>
      </c>
      <c r="G7" s="24">
        <v>0</v>
      </c>
      <c r="H7" s="23">
        <f>SUM(E7:G7)</f>
        <v>1</v>
      </c>
      <c r="I7" s="55"/>
      <c r="J7" s="56"/>
    </row>
    <row r="8" spans="1:13" s="16" customFormat="1" ht="132" customHeight="1" x14ac:dyDescent="0.25">
      <c r="A8" s="28"/>
      <c r="B8" s="21"/>
      <c r="C8" s="22"/>
      <c r="D8" s="22"/>
      <c r="E8" s="23"/>
      <c r="F8" s="23"/>
      <c r="G8" s="24"/>
      <c r="H8" s="23"/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33" priority="2" operator="between">
      <formula>1</formula>
      <formula>100</formula>
    </cfRule>
  </conditionalFormatting>
  <conditionalFormatting sqref="F8">
    <cfRule type="cellIs" dxfId="3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F70E-1088-4669-9658-C9DDE6860D7A}">
  <dimension ref="A1:M22"/>
  <sheetViews>
    <sheetView workbookViewId="0">
      <selection activeCell="N8" sqref="N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35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311</v>
      </c>
      <c r="E3" s="66" t="s">
        <v>62</v>
      </c>
      <c r="F3" s="66"/>
      <c r="G3" s="66"/>
      <c r="H3" s="66"/>
      <c r="I3" s="12">
        <v>3267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</v>
      </c>
      <c r="F6" s="1">
        <f>SUM(F7:F998)</f>
        <v>0</v>
      </c>
      <c r="G6" s="1">
        <f>SUM(G7:G998)</f>
        <v>2</v>
      </c>
      <c r="H6" s="1">
        <f>+E6-F6-G6</f>
        <v>3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312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32" customHeight="1" x14ac:dyDescent="0.25">
      <c r="A8" s="28" t="s">
        <v>216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2</v>
      </c>
      <c r="H8" s="23">
        <v>3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31" priority="2" operator="between">
      <formula>1</formula>
      <formula>100</formula>
    </cfRule>
  </conditionalFormatting>
  <conditionalFormatting sqref="F8">
    <cfRule type="cellIs" dxfId="3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B022-F49F-4A60-9B3F-C131B111280E}">
  <dimension ref="A1:M22"/>
  <sheetViews>
    <sheetView workbookViewId="0">
      <selection activeCell="M6" sqref="M6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36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313</v>
      </c>
      <c r="E3" s="66" t="s">
        <v>62</v>
      </c>
      <c r="F3" s="66"/>
      <c r="G3" s="66"/>
      <c r="H3" s="66"/>
      <c r="I3" s="12">
        <v>3267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5</v>
      </c>
      <c r="F6" s="1">
        <f>SUM(F7:F998)</f>
        <v>0</v>
      </c>
      <c r="G6" s="1">
        <f>SUM(G7:G998)</f>
        <v>2</v>
      </c>
      <c r="H6" s="1">
        <f>+E6-F6-G6</f>
        <v>3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312</v>
      </c>
      <c r="E7" s="23">
        <v>5</v>
      </c>
      <c r="F7" s="24">
        <v>0</v>
      </c>
      <c r="G7" s="24">
        <v>0</v>
      </c>
      <c r="H7" s="23">
        <f>SUM(E7:G7)</f>
        <v>5</v>
      </c>
      <c r="I7" s="55"/>
      <c r="J7" s="56"/>
    </row>
    <row r="8" spans="1:13" s="16" customFormat="1" ht="132" customHeight="1" x14ac:dyDescent="0.25">
      <c r="A8" s="28" t="s">
        <v>314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2</v>
      </c>
      <c r="H8" s="23">
        <v>3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29" priority="2" operator="between">
      <formula>1</formula>
      <formula>100</formula>
    </cfRule>
  </conditionalFormatting>
  <conditionalFormatting sqref="F8">
    <cfRule type="cellIs" dxfId="2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6189-6169-40B5-A0D8-AC04C3914FF7}">
  <dimension ref="A1:M22"/>
  <sheetViews>
    <sheetView workbookViewId="0">
      <selection activeCell="I8" sqref="I8:J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38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315</v>
      </c>
      <c r="E3" s="66" t="s">
        <v>62</v>
      </c>
      <c r="F3" s="66"/>
      <c r="G3" s="66"/>
      <c r="H3" s="66"/>
      <c r="I3" s="12">
        <v>3271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0</v>
      </c>
      <c r="H6" s="1">
        <f>+E6-F6-G6</f>
        <v>2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312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32" customHeight="1" x14ac:dyDescent="0.25">
      <c r="A8" s="28"/>
      <c r="B8" s="21"/>
      <c r="C8" s="22"/>
      <c r="D8" s="22"/>
      <c r="E8" s="23"/>
      <c r="F8" s="23"/>
      <c r="G8" s="24"/>
      <c r="H8" s="23"/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27" priority="2" operator="between">
      <formula>1</formula>
      <formula>100</formula>
    </cfRule>
  </conditionalFormatting>
  <conditionalFormatting sqref="F8">
    <cfRule type="cellIs" dxfId="2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8847-A8FD-4177-AE6E-F893219C59F5}">
  <dimension ref="A1:M22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39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316</v>
      </c>
      <c r="E3" s="66" t="s">
        <v>62</v>
      </c>
      <c r="F3" s="66"/>
      <c r="G3" s="66"/>
      <c r="H3" s="66"/>
      <c r="I3" s="12">
        <v>3272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1</v>
      </c>
      <c r="H6" s="1">
        <f>+E6-F6-G6</f>
        <v>1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43" t="s">
        <v>312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32" customHeight="1" x14ac:dyDescent="0.25">
      <c r="A8" s="28" t="s">
        <v>219</v>
      </c>
      <c r="B8" s="21" t="s">
        <v>220</v>
      </c>
      <c r="C8" s="22" t="s">
        <v>290</v>
      </c>
      <c r="D8" s="22" t="s">
        <v>287</v>
      </c>
      <c r="E8" s="23">
        <v>0</v>
      </c>
      <c r="F8" s="23">
        <v>0</v>
      </c>
      <c r="G8" s="24">
        <v>1</v>
      </c>
      <c r="H8" s="23">
        <v>1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D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25" priority="2" operator="between">
      <formula>1</formula>
      <formula>100</formula>
    </cfRule>
  </conditionalFormatting>
  <conditionalFormatting sqref="F8">
    <cfRule type="cellIs" dxfId="2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1EBB-6668-4882-A2DD-536823271AD1}">
  <dimension ref="A1:M22"/>
  <sheetViews>
    <sheetView workbookViewId="0">
      <selection activeCell="K7" sqref="K7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40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9.25" customHeight="1" x14ac:dyDescent="0.3">
      <c r="A3" s="63" t="s">
        <v>60</v>
      </c>
      <c r="B3" s="63"/>
      <c r="C3" s="63"/>
      <c r="D3" s="47" t="s">
        <v>317</v>
      </c>
      <c r="E3" s="66" t="s">
        <v>62</v>
      </c>
      <c r="F3" s="66"/>
      <c r="G3" s="66"/>
      <c r="H3" s="66"/>
      <c r="I3" s="12">
        <v>3274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120</v>
      </c>
      <c r="F6" s="1">
        <f>SUM(F7:F998)</f>
        <v>0</v>
      </c>
      <c r="G6" s="1">
        <f>SUM(G7:G998)</f>
        <v>120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216</v>
      </c>
      <c r="B7" s="21" t="s">
        <v>217</v>
      </c>
      <c r="C7" s="22" t="s">
        <v>132</v>
      </c>
      <c r="D7" s="22" t="s">
        <v>318</v>
      </c>
      <c r="E7" s="23">
        <v>120</v>
      </c>
      <c r="F7" s="24">
        <v>0</v>
      </c>
      <c r="G7" s="24">
        <v>0</v>
      </c>
      <c r="H7" s="23">
        <f>SUM(E7:G7)</f>
        <v>120</v>
      </c>
      <c r="I7" s="55"/>
      <c r="J7" s="56"/>
    </row>
    <row r="8" spans="1:13" s="16" customFormat="1" ht="132" customHeight="1" x14ac:dyDescent="0.25">
      <c r="A8" s="28" t="s">
        <v>314</v>
      </c>
      <c r="B8" s="21" t="s">
        <v>220</v>
      </c>
      <c r="C8" s="22" t="s">
        <v>319</v>
      </c>
      <c r="D8" s="22" t="s">
        <v>318</v>
      </c>
      <c r="E8" s="23">
        <v>0</v>
      </c>
      <c r="F8" s="23">
        <v>0</v>
      </c>
      <c r="G8" s="24">
        <v>120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23" priority="2" operator="between">
      <formula>1</formula>
      <formula>100</formula>
    </cfRule>
  </conditionalFormatting>
  <conditionalFormatting sqref="F8">
    <cfRule type="cellIs" dxfId="2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74D6-20D4-43B7-8E62-96EF6AF6F7C4}">
  <dimension ref="A1:M22"/>
  <sheetViews>
    <sheetView workbookViewId="0">
      <selection activeCell="L7" sqref="L7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40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9.25" customHeight="1" x14ac:dyDescent="0.3">
      <c r="A3" s="63" t="s">
        <v>60</v>
      </c>
      <c r="B3" s="63"/>
      <c r="C3" s="63"/>
      <c r="D3" s="47" t="s">
        <v>320</v>
      </c>
      <c r="E3" s="66" t="s">
        <v>62</v>
      </c>
      <c r="F3" s="66"/>
      <c r="G3" s="66"/>
      <c r="H3" s="66"/>
      <c r="I3" s="12">
        <v>3274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</v>
      </c>
      <c r="F6" s="1">
        <f>SUM(F7:F998)</f>
        <v>0</v>
      </c>
      <c r="G6" s="1">
        <f>SUM(G7:G998)</f>
        <v>0</v>
      </c>
      <c r="H6" s="1">
        <f>+E6-F6-G6</f>
        <v>2</v>
      </c>
      <c r="I6" s="18"/>
      <c r="J6" s="19"/>
    </row>
    <row r="7" spans="1:13" s="16" customFormat="1" ht="67.5" customHeight="1" x14ac:dyDescent="0.25">
      <c r="A7" s="20">
        <v>45869</v>
      </c>
      <c r="B7" s="21" t="s">
        <v>321</v>
      </c>
      <c r="C7" s="22" t="s">
        <v>270</v>
      </c>
      <c r="D7" s="22" t="s">
        <v>322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132" customHeight="1" x14ac:dyDescent="0.25">
      <c r="A8" s="28"/>
      <c r="B8" s="21"/>
      <c r="C8" s="22"/>
      <c r="D8" s="22"/>
      <c r="E8" s="23"/>
      <c r="F8" s="23"/>
      <c r="G8" s="24"/>
      <c r="H8" s="23"/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21" priority="2" operator="between">
      <formula>1</formula>
      <formula>100</formula>
    </cfRule>
  </conditionalFormatting>
  <conditionalFormatting sqref="F8">
    <cfRule type="cellIs" dxfId="2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6EF3-E006-4361-A0A1-99C95E723F26}">
  <dimension ref="A1:M22"/>
  <sheetViews>
    <sheetView workbookViewId="0">
      <selection activeCell="L8" sqref="L8"/>
    </sheetView>
  </sheetViews>
  <sheetFormatPr defaultRowHeight="30" customHeight="1" x14ac:dyDescent="0.3"/>
  <cols>
    <col min="1" max="1" width="18.42578125" style="31" customWidth="1"/>
    <col min="2" max="2" width="22.710937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42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323</v>
      </c>
      <c r="E3" s="66" t="s">
        <v>62</v>
      </c>
      <c r="F3" s="66"/>
      <c r="G3" s="66"/>
      <c r="H3" s="66"/>
      <c r="I3" s="12">
        <v>3278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12</v>
      </c>
      <c r="F6" s="1">
        <f>SUM(F7:F998)</f>
        <v>0</v>
      </c>
      <c r="G6" s="1">
        <f>SUM(G7:G998)</f>
        <v>12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324</v>
      </c>
      <c r="B7" s="21" t="s">
        <v>281</v>
      </c>
      <c r="C7" s="22" t="s">
        <v>132</v>
      </c>
      <c r="D7" s="22" t="s">
        <v>325</v>
      </c>
      <c r="E7" s="23">
        <v>12</v>
      </c>
      <c r="F7" s="24">
        <v>0</v>
      </c>
      <c r="G7" s="24">
        <v>0</v>
      </c>
      <c r="H7" s="23">
        <f>SUM(E7:G7)</f>
        <v>12</v>
      </c>
      <c r="I7" s="55"/>
      <c r="J7" s="56"/>
    </row>
    <row r="8" spans="1:13" s="16" customFormat="1" ht="132" customHeight="1" x14ac:dyDescent="0.25">
      <c r="A8" s="28" t="s">
        <v>280</v>
      </c>
      <c r="B8" s="21" t="s">
        <v>326</v>
      </c>
      <c r="C8" s="22" t="s">
        <v>319</v>
      </c>
      <c r="D8" s="22" t="s">
        <v>325</v>
      </c>
      <c r="E8" s="23">
        <v>0</v>
      </c>
      <c r="F8" s="23">
        <v>0</v>
      </c>
      <c r="G8" s="24">
        <v>12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19" priority="2" operator="between">
      <formula>1</formula>
      <formula>100</formula>
    </cfRule>
  </conditionalFormatting>
  <conditionalFormatting sqref="F8">
    <cfRule type="cellIs" dxfId="1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F742-439C-4264-BCDF-722205339C6B}">
  <dimension ref="A1:M22"/>
  <sheetViews>
    <sheetView workbookViewId="0">
      <selection activeCell="N7" sqref="N7"/>
    </sheetView>
  </sheetViews>
  <sheetFormatPr defaultRowHeight="30" customHeight="1" x14ac:dyDescent="0.3"/>
  <cols>
    <col min="1" max="1" width="18.42578125" style="31" customWidth="1"/>
    <col min="2" max="2" width="22.710937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 t="s">
        <v>327</v>
      </c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43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328</v>
      </c>
      <c r="E3" s="66" t="s">
        <v>62</v>
      </c>
      <c r="F3" s="66"/>
      <c r="G3" s="66"/>
      <c r="H3" s="66"/>
      <c r="I3" s="12">
        <v>3280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24</v>
      </c>
      <c r="F6" s="1">
        <f>SUM(F7:F998)</f>
        <v>0</v>
      </c>
      <c r="G6" s="1">
        <f>SUM(G7:G998)</f>
        <v>24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324</v>
      </c>
      <c r="B7" s="21" t="s">
        <v>281</v>
      </c>
      <c r="C7" s="22" t="s">
        <v>132</v>
      </c>
      <c r="D7" s="22" t="s">
        <v>325</v>
      </c>
      <c r="E7" s="23">
        <v>24</v>
      </c>
      <c r="F7" s="24">
        <v>0</v>
      </c>
      <c r="G7" s="24">
        <v>0</v>
      </c>
      <c r="H7" s="23">
        <f>SUM(E7:G7)</f>
        <v>24</v>
      </c>
      <c r="I7" s="55"/>
      <c r="J7" s="56"/>
    </row>
    <row r="8" spans="1:13" s="16" customFormat="1" ht="132" customHeight="1" x14ac:dyDescent="0.25">
      <c r="A8" s="28" t="s">
        <v>280</v>
      </c>
      <c r="B8" s="21" t="s">
        <v>326</v>
      </c>
      <c r="C8" s="22" t="s">
        <v>319</v>
      </c>
      <c r="D8" s="22" t="s">
        <v>325</v>
      </c>
      <c r="E8" s="23">
        <v>0</v>
      </c>
      <c r="F8" s="23">
        <v>0</v>
      </c>
      <c r="G8" s="24">
        <v>24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17" priority="2" operator="between">
      <formula>1</formula>
      <formula>100</formula>
    </cfRule>
  </conditionalFormatting>
  <conditionalFormatting sqref="F8">
    <cfRule type="cellIs" dxfId="1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A975-BA3D-4417-8BCD-B36A540A1C01}">
  <dimension ref="A1:M22"/>
  <sheetViews>
    <sheetView workbookViewId="0">
      <selection activeCell="G9" sqref="G9"/>
    </sheetView>
  </sheetViews>
  <sheetFormatPr defaultRowHeight="30" customHeight="1" x14ac:dyDescent="0.3"/>
  <cols>
    <col min="1" max="1" width="18.42578125" style="31" customWidth="1"/>
    <col min="2" max="2" width="22.710937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45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329</v>
      </c>
      <c r="E3" s="66" t="s">
        <v>62</v>
      </c>
      <c r="F3" s="66"/>
      <c r="G3" s="66"/>
      <c r="H3" s="66"/>
      <c r="I3" s="12">
        <v>3283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12</v>
      </c>
      <c r="F6" s="1">
        <f>SUM(F7:F998)</f>
        <v>0</v>
      </c>
      <c r="G6" s="1">
        <f>SUM(G7:G998)</f>
        <v>12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324</v>
      </c>
      <c r="B7" s="21" t="s">
        <v>281</v>
      </c>
      <c r="C7" s="22" t="s">
        <v>132</v>
      </c>
      <c r="D7" s="22" t="s">
        <v>325</v>
      </c>
      <c r="E7" s="23">
        <v>12</v>
      </c>
      <c r="F7" s="24">
        <v>0</v>
      </c>
      <c r="G7" s="24">
        <v>0</v>
      </c>
      <c r="H7" s="23">
        <f>SUM(E7:G7)</f>
        <v>12</v>
      </c>
      <c r="I7" s="55"/>
      <c r="J7" s="56"/>
    </row>
    <row r="8" spans="1:13" s="16" customFormat="1" ht="132" customHeight="1" x14ac:dyDescent="0.25">
      <c r="A8" s="28" t="s">
        <v>280</v>
      </c>
      <c r="B8" s="21" t="s">
        <v>326</v>
      </c>
      <c r="C8" s="22" t="s">
        <v>319</v>
      </c>
      <c r="D8" s="22" t="s">
        <v>325</v>
      </c>
      <c r="E8" s="23">
        <v>0</v>
      </c>
      <c r="F8" s="23">
        <v>0</v>
      </c>
      <c r="G8" s="24">
        <v>12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15" priority="2" operator="between">
      <formula>1</formula>
      <formula>100</formula>
    </cfRule>
  </conditionalFormatting>
  <conditionalFormatting sqref="F8">
    <cfRule type="cellIs" dxfId="1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F2EF-A0BE-4922-A4FA-8D227C1CF023}">
  <dimension ref="A1:M22"/>
  <sheetViews>
    <sheetView workbookViewId="0">
      <selection activeCell="M7" sqref="M7"/>
    </sheetView>
  </sheetViews>
  <sheetFormatPr defaultRowHeight="30" customHeight="1" x14ac:dyDescent="0.3"/>
  <cols>
    <col min="1" max="1" width="18.42578125" style="31" customWidth="1"/>
    <col min="2" max="2" width="22.710937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45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330</v>
      </c>
      <c r="E3" s="66" t="s">
        <v>62</v>
      </c>
      <c r="F3" s="66"/>
      <c r="G3" s="66"/>
      <c r="H3" s="66"/>
      <c r="I3" s="12">
        <v>3283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6</v>
      </c>
      <c r="F6" s="1">
        <f>SUM(F7:F998)</f>
        <v>0</v>
      </c>
      <c r="G6" s="1">
        <f>SUM(G7:G998)</f>
        <v>6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324</v>
      </c>
      <c r="B7" s="21" t="s">
        <v>281</v>
      </c>
      <c r="C7" s="22" t="s">
        <v>132</v>
      </c>
      <c r="D7" s="22" t="s">
        <v>325</v>
      </c>
      <c r="E7" s="23">
        <v>6</v>
      </c>
      <c r="F7" s="24">
        <v>0</v>
      </c>
      <c r="G7" s="24">
        <v>0</v>
      </c>
      <c r="H7" s="23">
        <f>SUM(E7:G7)</f>
        <v>6</v>
      </c>
      <c r="I7" s="55"/>
      <c r="J7" s="56"/>
    </row>
    <row r="8" spans="1:13" s="16" customFormat="1" ht="132" customHeight="1" x14ac:dyDescent="0.25">
      <c r="A8" s="28" t="s">
        <v>280</v>
      </c>
      <c r="B8" s="21" t="s">
        <v>326</v>
      </c>
      <c r="C8" s="22" t="s">
        <v>319</v>
      </c>
      <c r="D8" s="22" t="s">
        <v>325</v>
      </c>
      <c r="E8" s="23">
        <v>0</v>
      </c>
      <c r="F8" s="23">
        <v>0</v>
      </c>
      <c r="G8" s="24">
        <v>6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13" priority="2" operator="between">
      <formula>1</formula>
      <formula>100</formula>
    </cfRule>
  </conditionalFormatting>
  <conditionalFormatting sqref="F8">
    <cfRule type="cellIs" dxfId="1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1A19-167C-4E46-97A3-AF7BC96ED1EF}">
  <dimension ref="A1:M22"/>
  <sheetViews>
    <sheetView workbookViewId="0">
      <selection activeCell="M7" sqref="M7"/>
    </sheetView>
  </sheetViews>
  <sheetFormatPr defaultRowHeight="30" customHeight="1" x14ac:dyDescent="0.3"/>
  <cols>
    <col min="1" max="1" width="18.42578125" style="31" customWidth="1"/>
    <col min="2" max="2" width="22.710937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46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11" t="s">
        <v>331</v>
      </c>
      <c r="E3" s="66" t="s">
        <v>62</v>
      </c>
      <c r="F3" s="66"/>
      <c r="G3" s="66"/>
      <c r="H3" s="66"/>
      <c r="I3" s="12">
        <v>3284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SUM(E7:E998)</f>
        <v>100</v>
      </c>
      <c r="F6" s="1">
        <f>SUM(F7:F998)</f>
        <v>0</v>
      </c>
      <c r="G6" s="1">
        <f>SUM(G7:G998)</f>
        <v>100</v>
      </c>
      <c r="H6" s="1">
        <f>+E6-F6-G6</f>
        <v>0</v>
      </c>
      <c r="I6" s="18"/>
      <c r="J6" s="19"/>
    </row>
    <row r="7" spans="1:13" s="16" customFormat="1" ht="67.5" customHeight="1" x14ac:dyDescent="0.25">
      <c r="A7" s="20" t="s">
        <v>324</v>
      </c>
      <c r="B7" s="21" t="s">
        <v>281</v>
      </c>
      <c r="C7" s="22" t="s">
        <v>132</v>
      </c>
      <c r="D7" s="22" t="s">
        <v>332</v>
      </c>
      <c r="E7" s="23">
        <v>100</v>
      </c>
      <c r="F7" s="24">
        <v>0</v>
      </c>
      <c r="G7" s="24">
        <v>0</v>
      </c>
      <c r="H7" s="23">
        <f>SUM(E7:G7)</f>
        <v>100</v>
      </c>
      <c r="I7" s="55"/>
      <c r="J7" s="56"/>
    </row>
    <row r="8" spans="1:13" s="16" customFormat="1" ht="132" customHeight="1" x14ac:dyDescent="0.25">
      <c r="A8" s="28" t="s">
        <v>280</v>
      </c>
      <c r="B8" s="21" t="s">
        <v>326</v>
      </c>
      <c r="C8" s="22" t="s">
        <v>319</v>
      </c>
      <c r="D8" s="22" t="s">
        <v>332</v>
      </c>
      <c r="E8" s="23">
        <v>0</v>
      </c>
      <c r="F8" s="23">
        <v>0</v>
      </c>
      <c r="G8" s="24">
        <v>100</v>
      </c>
      <c r="H8" s="23">
        <v>0</v>
      </c>
      <c r="I8" s="55"/>
      <c r="J8" s="56"/>
    </row>
    <row r="9" spans="1:13" s="16" customFormat="1" ht="87.75" customHeight="1" x14ac:dyDescent="0.25">
      <c r="A9" s="28"/>
      <c r="B9" s="21"/>
      <c r="C9" s="22"/>
      <c r="D9" s="22"/>
      <c r="E9" s="23"/>
      <c r="F9" s="24"/>
      <c r="G9" s="24"/>
      <c r="H9" s="23"/>
      <c r="I9" s="55"/>
      <c r="J9" s="56"/>
    </row>
    <row r="10" spans="1:13" s="16" customFormat="1" ht="62.25" customHeight="1" x14ac:dyDescent="0.25">
      <c r="A10" s="28"/>
      <c r="B10" s="21"/>
      <c r="C10" s="22"/>
      <c r="D10" s="29"/>
      <c r="E10" s="23"/>
      <c r="F10" s="24"/>
      <c r="G10" s="24"/>
      <c r="H10" s="23"/>
      <c r="I10" s="55"/>
      <c r="J10" s="56"/>
    </row>
    <row r="11" spans="1:13" s="16" customFormat="1" ht="84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45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62.2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3.7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28.5" customHeight="1" x14ac:dyDescent="0.25">
      <c r="A15" s="28"/>
      <c r="B15" s="30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</sheetData>
  <protectedRanges>
    <protectedRange algorithmName="SHA-512" hashValue="w6vOy6gaWv7RKp7tkLrp7nrHA6RmzXKKrxhAURGVJNeJ+tWzcydALHZnJcvW3Xd6J2aTxgJ4vzpBns4Tppy+Tg==" saltValue="wFqfSvUJGsYlHEHwlJdPRg==" spinCount="100000" sqref="A7:B7 A8 A9:G1048576 G8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8:B22">
    <cfRule type="cellIs" priority="3" operator="between">
      <formula>1</formula>
      <formula>100000000</formula>
    </cfRule>
  </conditionalFormatting>
  <conditionalFormatting sqref="E7:E22 H7:H22">
    <cfRule type="cellIs" dxfId="11" priority="2" operator="between">
      <formula>1</formula>
      <formula>100</formula>
    </cfRule>
  </conditionalFormatting>
  <conditionalFormatting sqref="F8">
    <cfRule type="cellIs" dxfId="1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A00C-2DFB-4F69-A1F3-6EBC3F863D03}">
  <dimension ref="A1:M23"/>
  <sheetViews>
    <sheetView workbookViewId="0"/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50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22.5" customHeight="1" x14ac:dyDescent="0.3">
      <c r="A3" s="63" t="s">
        <v>60</v>
      </c>
      <c r="B3" s="63"/>
      <c r="C3" s="63"/>
      <c r="D3" s="51" t="s">
        <v>333</v>
      </c>
      <c r="E3" s="66" t="s">
        <v>62</v>
      </c>
      <c r="F3" s="66"/>
      <c r="G3" s="66"/>
      <c r="H3" s="66"/>
      <c r="I3" s="12">
        <v>3294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100</v>
      </c>
      <c r="F6" s="1">
        <f t="shared" ref="F6:G6" si="0">SUM(F7:F1000)</f>
        <v>50</v>
      </c>
      <c r="G6" s="1">
        <f t="shared" si="0"/>
        <v>50</v>
      </c>
      <c r="H6" s="1">
        <f>+E6-F6-G6</f>
        <v>0</v>
      </c>
      <c r="I6" s="18"/>
      <c r="J6" s="19"/>
    </row>
    <row r="7" spans="1:13" s="16" customFormat="1" ht="67.5" customHeight="1" x14ac:dyDescent="0.25">
      <c r="A7" s="20">
        <v>45572</v>
      </c>
      <c r="B7" s="21" t="s">
        <v>334</v>
      </c>
      <c r="C7" s="22" t="s">
        <v>335</v>
      </c>
      <c r="D7" s="22" t="s">
        <v>133</v>
      </c>
      <c r="E7" s="23">
        <v>100</v>
      </c>
      <c r="F7" s="24">
        <v>0</v>
      </c>
      <c r="G7" s="24">
        <v>0</v>
      </c>
      <c r="H7" s="23">
        <f>SUM(E7:G7)</f>
        <v>100</v>
      </c>
      <c r="I7" s="55"/>
      <c r="J7" s="56"/>
    </row>
    <row r="8" spans="1:13" s="16" customFormat="1" ht="93.75" customHeight="1" x14ac:dyDescent="0.25">
      <c r="A8" s="20" t="s">
        <v>108</v>
      </c>
      <c r="B8" s="21" t="s">
        <v>336</v>
      </c>
      <c r="C8" s="22" t="s">
        <v>337</v>
      </c>
      <c r="D8" s="22" t="s">
        <v>133</v>
      </c>
      <c r="E8" s="23">
        <v>0</v>
      </c>
      <c r="F8" s="24">
        <v>0</v>
      </c>
      <c r="G8" s="24">
        <v>50</v>
      </c>
      <c r="H8" s="23">
        <v>50</v>
      </c>
      <c r="I8" s="55"/>
      <c r="J8" s="56"/>
    </row>
    <row r="9" spans="1:13" s="16" customFormat="1" ht="132" customHeight="1" x14ac:dyDescent="0.25">
      <c r="A9" s="28">
        <v>46330</v>
      </c>
      <c r="B9" s="21" t="s">
        <v>338</v>
      </c>
      <c r="C9" s="22" t="s">
        <v>270</v>
      </c>
      <c r="D9" s="22" t="s">
        <v>133</v>
      </c>
      <c r="E9" s="23">
        <v>0</v>
      </c>
      <c r="F9" s="23">
        <v>50</v>
      </c>
      <c r="G9" s="24">
        <v>0</v>
      </c>
      <c r="H9" s="23">
        <v>0</v>
      </c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 B9" name="Range1_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0:B23">
    <cfRule type="cellIs" priority="3" operator="between">
      <formula>1</formula>
      <formula>100000000</formula>
    </cfRule>
  </conditionalFormatting>
  <conditionalFormatting sqref="E7:E23 H7:H23">
    <cfRule type="cellIs" dxfId="9" priority="2" operator="between">
      <formula>1</formula>
      <formula>100</formula>
    </cfRule>
  </conditionalFormatting>
  <conditionalFormatting sqref="F9">
    <cfRule type="cellIs" dxfId="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C023-3FB5-4E05-ADF7-5D2DCD7FAE76}">
  <dimension ref="A1:M23"/>
  <sheetViews>
    <sheetView workbookViewId="0">
      <selection activeCell="M8" sqref="M8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30.75" customHeight="1" x14ac:dyDescent="0.3">
      <c r="A3" s="63" t="s">
        <v>60</v>
      </c>
      <c r="B3" s="63"/>
      <c r="C3" s="63"/>
      <c r="D3" s="47" t="s">
        <v>339</v>
      </c>
      <c r="E3" s="66" t="s">
        <v>62</v>
      </c>
      <c r="F3" s="66"/>
      <c r="G3" s="66"/>
      <c r="H3" s="66"/>
      <c r="I3" s="12">
        <v>3296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2</v>
      </c>
      <c r="F6" s="1">
        <f t="shared" ref="F6:G6" si="0">SUM(F7:F1000)</f>
        <v>0</v>
      </c>
      <c r="G6" s="1">
        <f t="shared" si="0"/>
        <v>1</v>
      </c>
      <c r="H6" s="1">
        <f>+E6-F6-G6</f>
        <v>1</v>
      </c>
      <c r="I6" s="18"/>
      <c r="J6" s="19"/>
    </row>
    <row r="7" spans="1:13" s="16" customFormat="1" ht="56.25" x14ac:dyDescent="0.25">
      <c r="A7" s="20">
        <v>45454</v>
      </c>
      <c r="B7" s="21" t="s">
        <v>340</v>
      </c>
      <c r="C7" s="22" t="s">
        <v>341</v>
      </c>
      <c r="D7" s="22" t="s">
        <v>342</v>
      </c>
      <c r="E7" s="23">
        <v>2</v>
      </c>
      <c r="F7" s="24">
        <v>0</v>
      </c>
      <c r="G7" s="24">
        <v>0</v>
      </c>
      <c r="H7" s="23">
        <f>SUM(E7:G7)</f>
        <v>2</v>
      </c>
      <c r="I7" s="55"/>
      <c r="J7" s="56"/>
    </row>
    <row r="8" spans="1:13" s="16" customFormat="1" ht="75" x14ac:dyDescent="0.25">
      <c r="A8" s="20" t="s">
        <v>78</v>
      </c>
      <c r="B8" s="21" t="s">
        <v>343</v>
      </c>
      <c r="C8" s="22" t="s">
        <v>344</v>
      </c>
      <c r="D8" s="22" t="s">
        <v>342</v>
      </c>
      <c r="E8" s="23">
        <v>0</v>
      </c>
      <c r="F8" s="24">
        <v>0</v>
      </c>
      <c r="G8" s="24">
        <v>1</v>
      </c>
      <c r="H8" s="23">
        <v>1</v>
      </c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7" priority="2" operator="between">
      <formula>1</formula>
      <formula>100</formula>
    </cfRule>
  </conditionalFormatting>
  <conditionalFormatting sqref="F9">
    <cfRule type="cellIs" dxfId="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AD4A-DABC-4C36-9F0E-BA1469427BDB}">
  <dimension ref="A1:M23"/>
  <sheetViews>
    <sheetView workbookViewId="0">
      <selection activeCell="I9" sqref="I9:J9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30.75" customHeight="1" x14ac:dyDescent="0.3">
      <c r="A3" s="63" t="s">
        <v>60</v>
      </c>
      <c r="B3" s="63"/>
      <c r="C3" s="63"/>
      <c r="D3" s="47" t="s">
        <v>345</v>
      </c>
      <c r="E3" s="66" t="s">
        <v>62</v>
      </c>
      <c r="F3" s="66"/>
      <c r="G3" s="66"/>
      <c r="H3" s="66"/>
      <c r="I3" s="12">
        <v>3298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18"/>
      <c r="J6" s="19"/>
    </row>
    <row r="7" spans="1:13" s="16" customFormat="1" ht="56.25" x14ac:dyDescent="0.25">
      <c r="A7" s="20">
        <v>45913</v>
      </c>
      <c r="B7" s="21" t="s">
        <v>346</v>
      </c>
      <c r="C7" s="22" t="s">
        <v>347</v>
      </c>
      <c r="D7" s="22" t="s">
        <v>342</v>
      </c>
      <c r="E7" s="23">
        <v>1</v>
      </c>
      <c r="F7" s="24">
        <v>0</v>
      </c>
      <c r="G7" s="24">
        <v>0</v>
      </c>
      <c r="H7" s="23">
        <f>SUM(E7:G7)</f>
        <v>1</v>
      </c>
      <c r="I7" s="55"/>
      <c r="J7" s="56"/>
    </row>
    <row r="8" spans="1:13" s="16" customFormat="1" ht="20.25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5" priority="2" operator="between">
      <formula>1</formula>
      <formula>100</formula>
    </cfRule>
  </conditionalFormatting>
  <conditionalFormatting sqref="F9">
    <cfRule type="cellIs" dxfId="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21AB-D65E-4D27-920C-C54F64DBFA31}">
  <dimension ref="A1:M23"/>
  <sheetViews>
    <sheetView workbookViewId="0">
      <selection activeCell="J2" sqref="J2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30.75" customHeight="1" x14ac:dyDescent="0.3">
      <c r="A3" s="63" t="s">
        <v>60</v>
      </c>
      <c r="B3" s="63"/>
      <c r="C3" s="63"/>
      <c r="D3" s="47" t="s">
        <v>348</v>
      </c>
      <c r="E3" s="66" t="s">
        <v>62</v>
      </c>
      <c r="F3" s="66"/>
      <c r="G3" s="66"/>
      <c r="H3" s="66"/>
      <c r="I3" s="12">
        <v>3299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18"/>
      <c r="J6" s="19"/>
    </row>
    <row r="7" spans="1:13" s="16" customFormat="1" ht="56.25" x14ac:dyDescent="0.25">
      <c r="A7" s="20">
        <v>45913</v>
      </c>
      <c r="B7" s="21" t="s">
        <v>346</v>
      </c>
      <c r="C7" s="22" t="s">
        <v>347</v>
      </c>
      <c r="D7" s="22" t="s">
        <v>342</v>
      </c>
      <c r="E7" s="23">
        <v>1</v>
      </c>
      <c r="F7" s="24">
        <v>0</v>
      </c>
      <c r="G7" s="24">
        <v>0</v>
      </c>
      <c r="H7" s="23">
        <f>SUM(E7:G7)</f>
        <v>1</v>
      </c>
      <c r="I7" s="55"/>
      <c r="J7" s="56"/>
    </row>
    <row r="8" spans="1:13" s="16" customFormat="1" ht="20.25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3" priority="2" operator="between">
      <formula>1</formula>
      <formula>100</formula>
    </cfRule>
  </conditionalFormatting>
  <conditionalFormatting sqref="F9">
    <cfRule type="cellIs" dxfId="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89C2-BAE7-4FE9-9036-5283936E4EE8}">
  <dimension ref="A1:M23"/>
  <sheetViews>
    <sheetView workbookViewId="0">
      <selection activeCell="E9" sqref="E9"/>
    </sheetView>
  </sheetViews>
  <sheetFormatPr defaultRowHeight="30" customHeight="1" x14ac:dyDescent="0.3"/>
  <cols>
    <col min="1" max="1" width="18.42578125" style="31" customWidth="1"/>
    <col min="2" max="2" width="19.5703125" style="32" customWidth="1"/>
    <col min="3" max="3" width="34.5703125" style="33" customWidth="1"/>
    <col min="4" max="4" width="24.5703125" style="31" customWidth="1"/>
    <col min="5" max="5" width="17.7109375" style="34" customWidth="1"/>
    <col min="6" max="6" width="17.7109375" style="31" customWidth="1"/>
    <col min="7" max="7" width="15.28515625" style="31" customWidth="1"/>
    <col min="8" max="8" width="21.28515625" style="35" customWidth="1"/>
    <col min="9" max="9" width="19.42578125" style="31" customWidth="1"/>
    <col min="10" max="10" width="14.7109375" style="31" customWidth="1"/>
    <col min="11" max="16384" width="9.140625" style="6"/>
  </cols>
  <sheetData>
    <row r="1" spans="1:13" ht="57.75" customHeight="1" x14ac:dyDescent="0.3">
      <c r="A1" s="5"/>
      <c r="B1" s="62" t="s">
        <v>56</v>
      </c>
      <c r="C1" s="62"/>
      <c r="D1" s="62"/>
      <c r="E1" s="62"/>
      <c r="F1" s="62"/>
      <c r="G1" s="62"/>
      <c r="H1" s="62"/>
      <c r="I1" s="62"/>
      <c r="J1" s="62"/>
    </row>
    <row r="2" spans="1:13" ht="24.75" customHeight="1" x14ac:dyDescent="0.3">
      <c r="A2" s="63" t="s">
        <v>57</v>
      </c>
      <c r="B2" s="63"/>
      <c r="C2" s="63"/>
      <c r="D2" s="7">
        <v>51</v>
      </c>
      <c r="E2" s="64" t="s">
        <v>58</v>
      </c>
      <c r="F2" s="64"/>
      <c r="G2" s="64"/>
      <c r="H2" s="9">
        <v>1</v>
      </c>
      <c r="I2" s="8" t="s">
        <v>59</v>
      </c>
      <c r="J2" s="9">
        <v>1</v>
      </c>
      <c r="K2" s="10"/>
      <c r="L2" s="65"/>
      <c r="M2" s="65"/>
    </row>
    <row r="3" spans="1:13" ht="30.75" customHeight="1" x14ac:dyDescent="0.3">
      <c r="A3" s="63" t="s">
        <v>60</v>
      </c>
      <c r="B3" s="63"/>
      <c r="C3" s="63"/>
      <c r="D3" s="47" t="s">
        <v>349</v>
      </c>
      <c r="E3" s="66" t="s">
        <v>62</v>
      </c>
      <c r="F3" s="66"/>
      <c r="G3" s="66"/>
      <c r="H3" s="66"/>
      <c r="I3" s="12">
        <v>3300</v>
      </c>
      <c r="J3" s="13"/>
    </row>
    <row r="4" spans="1:13" ht="45" customHeight="1" x14ac:dyDescent="0.3">
      <c r="A4" s="57" t="s">
        <v>63</v>
      </c>
      <c r="B4" s="59" t="s">
        <v>64</v>
      </c>
      <c r="C4" s="57" t="s">
        <v>65</v>
      </c>
      <c r="D4" s="57" t="s">
        <v>66</v>
      </c>
      <c r="E4" s="14" t="s">
        <v>67</v>
      </c>
      <c r="F4" s="14" t="s">
        <v>68</v>
      </c>
      <c r="G4" s="14" t="s">
        <v>69</v>
      </c>
      <c r="H4" s="14" t="s">
        <v>70</v>
      </c>
      <c r="I4" s="60">
        <v>3</v>
      </c>
      <c r="J4" s="61"/>
    </row>
    <row r="5" spans="1:13" s="16" customFormat="1" ht="55.5" customHeight="1" x14ac:dyDescent="0.25">
      <c r="A5" s="58"/>
      <c r="B5" s="58"/>
      <c r="C5" s="58"/>
      <c r="D5" s="58"/>
      <c r="E5" s="15" t="s">
        <v>71</v>
      </c>
      <c r="F5" s="15" t="s">
        <v>71</v>
      </c>
      <c r="G5" s="15" t="s">
        <v>71</v>
      </c>
      <c r="H5" s="15" t="s">
        <v>71</v>
      </c>
      <c r="I5" s="61"/>
      <c r="J5" s="61"/>
    </row>
    <row r="6" spans="1:13" s="16" customFormat="1" ht="55.5" customHeight="1" x14ac:dyDescent="0.25">
      <c r="A6" s="17"/>
      <c r="B6" s="17"/>
      <c r="C6" s="17"/>
      <c r="D6" s="17"/>
      <c r="E6" s="1">
        <f>SUM(E7:E1000)</f>
        <v>3000</v>
      </c>
      <c r="F6" s="1">
        <f t="shared" ref="F6:G6" si="0">SUM(F7:F1000)</f>
        <v>0</v>
      </c>
      <c r="G6" s="1">
        <f t="shared" si="0"/>
        <v>0</v>
      </c>
      <c r="H6" s="1">
        <f>+E6-F6-G6</f>
        <v>3000</v>
      </c>
      <c r="I6" s="18"/>
      <c r="J6" s="19"/>
    </row>
    <row r="7" spans="1:13" s="16" customFormat="1" ht="56.25" x14ac:dyDescent="0.25">
      <c r="A7" s="20">
        <v>45913</v>
      </c>
      <c r="B7" s="21" t="s">
        <v>346</v>
      </c>
      <c r="C7" s="22" t="s">
        <v>347</v>
      </c>
      <c r="D7" s="22" t="s">
        <v>342</v>
      </c>
      <c r="E7" s="23">
        <v>3000</v>
      </c>
      <c r="F7" s="24">
        <v>0</v>
      </c>
      <c r="G7" s="24">
        <v>0</v>
      </c>
      <c r="H7" s="23">
        <f>SUM(E7:G7)</f>
        <v>3000</v>
      </c>
      <c r="I7" s="55"/>
      <c r="J7" s="56"/>
    </row>
    <row r="8" spans="1:13" s="16" customFormat="1" ht="20.25" x14ac:dyDescent="0.25">
      <c r="A8" s="20"/>
      <c r="B8" s="21"/>
      <c r="C8" s="22"/>
      <c r="D8" s="22"/>
      <c r="E8" s="23"/>
      <c r="F8" s="24"/>
      <c r="G8" s="24"/>
      <c r="H8" s="23"/>
      <c r="I8" s="55"/>
      <c r="J8" s="56"/>
    </row>
    <row r="9" spans="1:13" s="16" customFormat="1" ht="132" customHeight="1" x14ac:dyDescent="0.25">
      <c r="A9" s="28"/>
      <c r="B9" s="21"/>
      <c r="C9" s="22"/>
      <c r="D9" s="22"/>
      <c r="E9" s="23"/>
      <c r="F9" s="23"/>
      <c r="G9" s="24"/>
      <c r="H9" s="23"/>
      <c r="I9" s="55"/>
      <c r="J9" s="56"/>
    </row>
    <row r="10" spans="1:13" s="16" customFormat="1" ht="87.75" customHeight="1" x14ac:dyDescent="0.25">
      <c r="A10" s="28"/>
      <c r="B10" s="21"/>
      <c r="C10" s="22"/>
      <c r="D10" s="22"/>
      <c r="E10" s="23"/>
      <c r="F10" s="24"/>
      <c r="G10" s="24"/>
      <c r="H10" s="23"/>
      <c r="I10" s="55"/>
      <c r="J10" s="56"/>
    </row>
    <row r="11" spans="1:13" s="16" customFormat="1" ht="90" customHeight="1" x14ac:dyDescent="0.25">
      <c r="A11" s="28"/>
      <c r="B11" s="21"/>
      <c r="C11" s="22"/>
      <c r="D11" s="29"/>
      <c r="E11" s="23"/>
      <c r="F11" s="24"/>
      <c r="G11" s="24"/>
      <c r="H11" s="23"/>
      <c r="I11" s="55"/>
      <c r="J11" s="56"/>
    </row>
    <row r="12" spans="1:13" s="16" customFormat="1" ht="84" customHeight="1" x14ac:dyDescent="0.25">
      <c r="A12" s="28"/>
      <c r="B12" s="21"/>
      <c r="C12" s="22"/>
      <c r="D12" s="29"/>
      <c r="E12" s="23"/>
      <c r="F12" s="24"/>
      <c r="G12" s="24"/>
      <c r="H12" s="23"/>
      <c r="I12" s="55"/>
      <c r="J12" s="56"/>
    </row>
    <row r="13" spans="1:13" s="16" customFormat="1" ht="45" customHeight="1" x14ac:dyDescent="0.25">
      <c r="A13" s="28"/>
      <c r="B13" s="21"/>
      <c r="C13" s="22"/>
      <c r="D13" s="29"/>
      <c r="E13" s="23"/>
      <c r="F13" s="24"/>
      <c r="G13" s="24"/>
      <c r="H13" s="23"/>
      <c r="I13" s="55"/>
      <c r="J13" s="56"/>
    </row>
    <row r="14" spans="1:13" s="16" customFormat="1" ht="62.25" customHeight="1" x14ac:dyDescent="0.25">
      <c r="A14" s="28"/>
      <c r="B14" s="21"/>
      <c r="C14" s="22"/>
      <c r="D14" s="29"/>
      <c r="E14" s="23"/>
      <c r="F14" s="24"/>
      <c r="G14" s="24"/>
      <c r="H14" s="23"/>
      <c r="I14" s="55"/>
      <c r="J14" s="56"/>
    </row>
    <row r="15" spans="1:13" s="16" customFormat="1" ht="63.75" customHeight="1" x14ac:dyDescent="0.25">
      <c r="A15" s="28"/>
      <c r="B15" s="21"/>
      <c r="C15" s="22"/>
      <c r="D15" s="29"/>
      <c r="E15" s="23"/>
      <c r="F15" s="24"/>
      <c r="G15" s="24"/>
      <c r="H15" s="23"/>
      <c r="I15" s="55"/>
      <c r="J15" s="56"/>
    </row>
    <row r="16" spans="1:13" s="16" customFormat="1" ht="28.5" customHeight="1" x14ac:dyDescent="0.25">
      <c r="A16" s="28"/>
      <c r="B16" s="30"/>
      <c r="C16" s="22"/>
      <c r="D16" s="29"/>
      <c r="E16" s="23"/>
      <c r="F16" s="24"/>
      <c r="G16" s="24"/>
      <c r="H16" s="23"/>
      <c r="I16" s="55"/>
      <c r="J16" s="56"/>
    </row>
    <row r="17" spans="1:10" s="16" customFormat="1" ht="28.5" customHeight="1" x14ac:dyDescent="0.25">
      <c r="A17" s="28"/>
      <c r="B17" s="30"/>
      <c r="C17" s="22"/>
      <c r="D17" s="29"/>
      <c r="E17" s="23"/>
      <c r="F17" s="24"/>
      <c r="G17" s="24"/>
      <c r="H17" s="23"/>
      <c r="I17" s="55"/>
      <c r="J17" s="56"/>
    </row>
    <row r="18" spans="1:10" s="16" customFormat="1" ht="28.5" customHeight="1" x14ac:dyDescent="0.25">
      <c r="A18" s="28"/>
      <c r="B18" s="30"/>
      <c r="C18" s="22"/>
      <c r="D18" s="29"/>
      <c r="E18" s="23"/>
      <c r="F18" s="24"/>
      <c r="G18" s="24"/>
      <c r="H18" s="23"/>
      <c r="I18" s="55"/>
      <c r="J18" s="56"/>
    </row>
    <row r="19" spans="1:10" s="16" customFormat="1" ht="28.5" customHeight="1" x14ac:dyDescent="0.25">
      <c r="A19" s="28"/>
      <c r="B19" s="30"/>
      <c r="C19" s="22"/>
      <c r="D19" s="29"/>
      <c r="E19" s="23"/>
      <c r="F19" s="24"/>
      <c r="G19" s="24"/>
      <c r="H19" s="23"/>
      <c r="I19" s="55"/>
      <c r="J19" s="56"/>
    </row>
    <row r="20" spans="1:10" s="16" customFormat="1" ht="28.5" customHeight="1" x14ac:dyDescent="0.25">
      <c r="A20" s="28"/>
      <c r="B20" s="30"/>
      <c r="C20" s="22"/>
      <c r="D20" s="29"/>
      <c r="E20" s="23"/>
      <c r="F20" s="24"/>
      <c r="G20" s="24"/>
      <c r="H20" s="23"/>
      <c r="I20" s="55"/>
      <c r="J20" s="56"/>
    </row>
    <row r="21" spans="1:10" s="16" customFormat="1" ht="28.5" customHeight="1" x14ac:dyDescent="0.25">
      <c r="A21" s="28"/>
      <c r="B21" s="30"/>
      <c r="C21" s="22"/>
      <c r="D21" s="29"/>
      <c r="E21" s="23"/>
      <c r="F21" s="24"/>
      <c r="G21" s="24"/>
      <c r="H21" s="23"/>
      <c r="I21" s="55"/>
      <c r="J21" s="56"/>
    </row>
    <row r="22" spans="1:10" s="16" customFormat="1" ht="28.5" customHeight="1" x14ac:dyDescent="0.25">
      <c r="A22" s="28"/>
      <c r="B22" s="30"/>
      <c r="C22" s="22"/>
      <c r="D22" s="29"/>
      <c r="E22" s="23"/>
      <c r="F22" s="24"/>
      <c r="G22" s="24"/>
      <c r="H22" s="23"/>
      <c r="I22" s="55"/>
      <c r="J22" s="56"/>
    </row>
    <row r="23" spans="1:10" s="16" customFormat="1" ht="28.5" customHeight="1" x14ac:dyDescent="0.25">
      <c r="A23" s="28"/>
      <c r="B23" s="30"/>
      <c r="C23" s="22"/>
      <c r="D23" s="29"/>
      <c r="E23" s="23"/>
      <c r="F23" s="24"/>
      <c r="G23" s="24"/>
      <c r="H23" s="23"/>
      <c r="I23" s="55"/>
      <c r="J23" s="56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1" priority="2" operator="between">
      <formula>1</formula>
      <formula>100</formula>
    </cfRule>
  </conditionalFormatting>
  <conditionalFormatting sqref="F9">
    <cfRule type="cellIs" dxfId="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1</vt:i4>
      </vt:variant>
    </vt:vector>
  </HeadingPairs>
  <TitlesOfParts>
    <vt:vector size="89" baseType="lpstr">
      <vt:lpstr>Index </vt:lpstr>
      <vt:lpstr>3101</vt:lpstr>
      <vt:lpstr>3104</vt:lpstr>
      <vt:lpstr>3107</vt:lpstr>
      <vt:lpstr>3109</vt:lpstr>
      <vt:lpstr>3114</vt:lpstr>
      <vt:lpstr>3116</vt:lpstr>
      <vt:lpstr>3119</vt:lpstr>
      <vt:lpstr>3122</vt:lpstr>
      <vt:lpstr>3125</vt:lpstr>
      <vt:lpstr>3131</vt:lpstr>
      <vt:lpstr>3134</vt:lpstr>
      <vt:lpstr>3138</vt:lpstr>
      <vt:lpstr>3142</vt:lpstr>
      <vt:lpstr>3145</vt:lpstr>
      <vt:lpstr>3147</vt:lpstr>
      <vt:lpstr>3150</vt:lpstr>
      <vt:lpstr>3153</vt:lpstr>
      <vt:lpstr>3156</vt:lpstr>
      <vt:lpstr>3159</vt:lpstr>
      <vt:lpstr>3160</vt:lpstr>
      <vt:lpstr>3161</vt:lpstr>
      <vt:lpstr>3162</vt:lpstr>
      <vt:lpstr>3163</vt:lpstr>
      <vt:lpstr>3164</vt:lpstr>
      <vt:lpstr>3165</vt:lpstr>
      <vt:lpstr>3168</vt:lpstr>
      <vt:lpstr>3169</vt:lpstr>
      <vt:lpstr>3170</vt:lpstr>
      <vt:lpstr>3172</vt:lpstr>
      <vt:lpstr>3174</vt:lpstr>
      <vt:lpstr>3175</vt:lpstr>
      <vt:lpstr>3177</vt:lpstr>
      <vt:lpstr>3179</vt:lpstr>
      <vt:lpstr>3180</vt:lpstr>
      <vt:lpstr>3181</vt:lpstr>
      <vt:lpstr>3183</vt:lpstr>
      <vt:lpstr>3185</vt:lpstr>
      <vt:lpstr>3186</vt:lpstr>
      <vt:lpstr>3187</vt:lpstr>
      <vt:lpstr>3188</vt:lpstr>
      <vt:lpstr>3189</vt:lpstr>
      <vt:lpstr>3190</vt:lpstr>
      <vt:lpstr>3191</vt:lpstr>
      <vt:lpstr>3194</vt:lpstr>
      <vt:lpstr>3198</vt:lpstr>
      <vt:lpstr>3201</vt:lpstr>
      <vt:lpstr>3204</vt:lpstr>
      <vt:lpstr>3207</vt:lpstr>
      <vt:lpstr>3219</vt:lpstr>
      <vt:lpstr>3220</vt:lpstr>
      <vt:lpstr>3221</vt:lpstr>
      <vt:lpstr>3222</vt:lpstr>
      <vt:lpstr>3224</vt:lpstr>
      <vt:lpstr>3226</vt:lpstr>
      <vt:lpstr>3228</vt:lpstr>
      <vt:lpstr>3231</vt:lpstr>
      <vt:lpstr>3233</vt:lpstr>
      <vt:lpstr>3235</vt:lpstr>
      <vt:lpstr>3237</vt:lpstr>
      <vt:lpstr>3239</vt:lpstr>
      <vt:lpstr>3243</vt:lpstr>
      <vt:lpstr>3251</vt:lpstr>
      <vt:lpstr>3255</vt:lpstr>
      <vt:lpstr>3256</vt:lpstr>
      <vt:lpstr>3257</vt:lpstr>
      <vt:lpstr>3258</vt:lpstr>
      <vt:lpstr>3259</vt:lpstr>
      <vt:lpstr>3261</vt:lpstr>
      <vt:lpstr>3263</vt:lpstr>
      <vt:lpstr>3265</vt:lpstr>
      <vt:lpstr>3266</vt:lpstr>
      <vt:lpstr>3267</vt:lpstr>
      <vt:lpstr>3268</vt:lpstr>
      <vt:lpstr>3271</vt:lpstr>
      <vt:lpstr>3272</vt:lpstr>
      <vt:lpstr>3274</vt:lpstr>
      <vt:lpstr>3276</vt:lpstr>
      <vt:lpstr>3278</vt:lpstr>
      <vt:lpstr>3280</vt:lpstr>
      <vt:lpstr>3282</vt:lpstr>
      <vt:lpstr>3283</vt:lpstr>
      <vt:lpstr>3284</vt:lpstr>
      <vt:lpstr>3294</vt:lpstr>
      <vt:lpstr>3296</vt:lpstr>
      <vt:lpstr>3298</vt:lpstr>
      <vt:lpstr>3299</vt:lpstr>
      <vt:lpstr>3300</vt:lpstr>
      <vt:lpstr>'Index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AZAD</cp:lastModifiedBy>
  <cp:lastPrinted>2026-08-25T07:57:37Z</cp:lastPrinted>
  <dcterms:created xsi:type="dcterms:W3CDTF">2015-06-05T18:17:20Z</dcterms:created>
  <dcterms:modified xsi:type="dcterms:W3CDTF">2026-08-25T07:57:56Z</dcterms:modified>
</cp:coreProperties>
</file>