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7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8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tore and Staff\"/>
    </mc:Choice>
  </mc:AlternateContent>
  <xr:revisionPtr revIDLastSave="0" documentId="13_ncr:1_{98125EEB-86DD-4179-841E-F6114995E5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" sheetId="1" r:id="rId1"/>
    <sheet name="3001" sheetId="2" r:id="rId2"/>
    <sheet name="3005" sheetId="3" r:id="rId3"/>
    <sheet name="3008" sheetId="4" r:id="rId4"/>
    <sheet name="3011" sheetId="5" r:id="rId5"/>
    <sheet name="3015" sheetId="6" r:id="rId6"/>
    <sheet name="3017" sheetId="7" r:id="rId7"/>
    <sheet name="3020" sheetId="8" r:id="rId8"/>
    <sheet name="3023" sheetId="9" r:id="rId9"/>
    <sheet name="3026" sheetId="10" r:id="rId10"/>
    <sheet name="3028" sheetId="11" r:id="rId11"/>
    <sheet name="3030" sheetId="12" r:id="rId12"/>
    <sheet name="3033" sheetId="13" r:id="rId13"/>
    <sheet name="3036" sheetId="14" r:id="rId14"/>
    <sheet name="3038" sheetId="15" r:id="rId15"/>
    <sheet name="3047" sheetId="16" r:id="rId16"/>
    <sheet name="3049" sheetId="17" r:id="rId17"/>
    <sheet name="3051" sheetId="18" r:id="rId18"/>
    <sheet name="3052" sheetId="19" r:id="rId19"/>
    <sheet name="3056" sheetId="20" r:id="rId20"/>
    <sheet name="3057" sheetId="21" r:id="rId21"/>
    <sheet name="3059" sheetId="22" r:id="rId22"/>
    <sheet name="3061" sheetId="23" r:id="rId23"/>
    <sheet name="3064" sheetId="24" r:id="rId24"/>
    <sheet name="3067" sheetId="25" r:id="rId25"/>
    <sheet name="3070" sheetId="26" r:id="rId26"/>
    <sheet name="3073" sheetId="27" r:id="rId27"/>
  </sheets>
  <externalReferences>
    <externalReference r:id="rId28"/>
  </externalReferences>
  <definedNames>
    <definedName name="_xlnm.Print_Area" localSheetId="0">Index!$A$1:$H$43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5" l="1"/>
  <c r="H10" i="25" s="1"/>
  <c r="H11" i="25" s="1"/>
  <c r="H12" i="25" s="1"/>
  <c r="H13" i="25" s="1"/>
  <c r="H8" i="25"/>
  <c r="H9" i="23"/>
  <c r="H10" i="23"/>
  <c r="H11" i="23" s="1"/>
  <c r="H12" i="23" s="1"/>
  <c r="H8" i="23"/>
  <c r="H17" i="19"/>
  <c r="H9" i="18"/>
  <c r="H12" i="17"/>
  <c r="H11" i="17"/>
  <c r="H18" i="16"/>
  <c r="H19" i="16"/>
  <c r="H20" i="16"/>
  <c r="H21" i="16"/>
  <c r="H22" i="16" s="1"/>
  <c r="H17" i="16"/>
  <c r="H16" i="16"/>
  <c r="H8" i="15"/>
  <c r="H9" i="15" s="1"/>
  <c r="H10" i="15" s="1"/>
  <c r="H11" i="15" s="1"/>
  <c r="H12" i="15" s="1"/>
  <c r="H13" i="15" s="1"/>
  <c r="H13" i="11"/>
  <c r="H14" i="11"/>
  <c r="H9" i="4"/>
  <c r="H10" i="4"/>
  <c r="H11" i="4"/>
  <c r="H8" i="4"/>
  <c r="H9" i="3"/>
  <c r="H10" i="3" s="1"/>
  <c r="H11" i="3" s="1"/>
  <c r="H12" i="3" s="1"/>
  <c r="H13" i="3" s="1"/>
  <c r="H14" i="3" s="1"/>
  <c r="H15" i="3" s="1"/>
  <c r="H16" i="3" s="1"/>
  <c r="H17" i="3" s="1"/>
  <c r="H8" i="3"/>
  <c r="H9" i="7"/>
  <c r="H10" i="7"/>
  <c r="H11" i="7"/>
  <c r="H12" i="7"/>
  <c r="H13" i="7" s="1"/>
  <c r="H14" i="7" s="1"/>
  <c r="H15" i="7" s="1"/>
  <c r="H16" i="7" s="1"/>
  <c r="E14" i="1"/>
  <c r="F14" i="1"/>
  <c r="G14" i="1"/>
  <c r="D14" i="1"/>
  <c r="H9" i="12"/>
  <c r="H10" i="12"/>
  <c r="H11" i="12"/>
  <c r="H12" i="12"/>
  <c r="H13" i="12" s="1"/>
  <c r="H14" i="12" s="1"/>
  <c r="H8" i="12"/>
  <c r="H9" i="16"/>
  <c r="H10" i="16"/>
  <c r="H11" i="16" s="1"/>
  <c r="H12" i="16" s="1"/>
  <c r="H13" i="16" s="1"/>
  <c r="H14" i="16" s="1"/>
  <c r="H15" i="16" s="1"/>
  <c r="H8" i="16"/>
  <c r="E20" i="1"/>
  <c r="D20" i="1"/>
  <c r="H9" i="19"/>
  <c r="H10" i="19"/>
  <c r="H11" i="19"/>
  <c r="H12" i="19"/>
  <c r="H13" i="19"/>
  <c r="H14" i="19"/>
  <c r="H15" i="19"/>
  <c r="H16" i="19"/>
  <c r="H8" i="19"/>
  <c r="E22" i="1"/>
  <c r="F22" i="1"/>
  <c r="G22" i="1"/>
  <c r="E23" i="1"/>
  <c r="F23" i="1"/>
  <c r="G23" i="1"/>
  <c r="D22" i="1"/>
  <c r="D23" i="1"/>
  <c r="H9" i="21"/>
  <c r="H10" i="21"/>
  <c r="H8" i="21"/>
  <c r="E24" i="1"/>
  <c r="F24" i="1"/>
  <c r="G24" i="1"/>
  <c r="D24" i="1"/>
  <c r="E26" i="1"/>
  <c r="F26" i="1"/>
  <c r="G26" i="1"/>
  <c r="D26" i="1"/>
  <c r="E28" i="1"/>
  <c r="F28" i="1"/>
  <c r="G28" i="1"/>
  <c r="D28" i="1"/>
  <c r="E29" i="1"/>
  <c r="F29" i="1"/>
  <c r="G29" i="1"/>
  <c r="D29" i="1"/>
  <c r="H9" i="27"/>
  <c r="H10" i="27" s="1"/>
  <c r="H11" i="27" s="1"/>
  <c r="H12" i="27" s="1"/>
  <c r="H13" i="27" s="1"/>
  <c r="H14" i="27" s="1"/>
  <c r="H8" i="27"/>
  <c r="H7" i="27"/>
  <c r="G6" i="27"/>
  <c r="F6" i="27"/>
  <c r="E6" i="27"/>
  <c r="H11" i="26"/>
  <c r="H10" i="26"/>
  <c r="H8" i="26"/>
  <c r="G7" i="26"/>
  <c r="F7" i="26"/>
  <c r="E7" i="26"/>
  <c r="H7" i="26" s="1"/>
  <c r="H7" i="25"/>
  <c r="G6" i="25"/>
  <c r="F27" i="1" s="1"/>
  <c r="F6" i="25"/>
  <c r="E27" i="1" s="1"/>
  <c r="E6" i="25"/>
  <c r="H7" i="24"/>
  <c r="H8" i="24" s="1"/>
  <c r="H9" i="24" s="1"/>
  <c r="H10" i="24" s="1"/>
  <c r="H11" i="24" s="1"/>
  <c r="H12" i="24" s="1"/>
  <c r="G6" i="24"/>
  <c r="F6" i="24"/>
  <c r="E6" i="24"/>
  <c r="H6" i="24" s="1"/>
  <c r="H7" i="23"/>
  <c r="G6" i="23"/>
  <c r="F25" i="1" s="1"/>
  <c r="F6" i="23"/>
  <c r="E25" i="1" s="1"/>
  <c r="E6" i="23"/>
  <c r="H7" i="22"/>
  <c r="G6" i="22"/>
  <c r="F6" i="22"/>
  <c r="E6" i="22"/>
  <c r="H6" i="22" s="1"/>
  <c r="D30" i="1"/>
  <c r="E30" i="1"/>
  <c r="F30" i="1"/>
  <c r="G30" i="1"/>
  <c r="D31" i="1"/>
  <c r="E31" i="1"/>
  <c r="F31" i="1"/>
  <c r="G31" i="1"/>
  <c r="D32" i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H7" i="21"/>
  <c r="G6" i="21"/>
  <c r="F6" i="21"/>
  <c r="E6" i="21"/>
  <c r="H6" i="21" s="1"/>
  <c r="H7" i="20"/>
  <c r="H8" i="20" s="1"/>
  <c r="H9" i="20" s="1"/>
  <c r="G6" i="20"/>
  <c r="F6" i="20"/>
  <c r="E6" i="20"/>
  <c r="H6" i="20" s="1"/>
  <c r="H7" i="19"/>
  <c r="G6" i="19"/>
  <c r="F21" i="1" s="1"/>
  <c r="F6" i="19"/>
  <c r="E21" i="1" s="1"/>
  <c r="E6" i="19"/>
  <c r="D21" i="1" s="1"/>
  <c r="H7" i="18"/>
  <c r="H8" i="18" s="1"/>
  <c r="G6" i="18"/>
  <c r="F20" i="1" s="1"/>
  <c r="F6" i="18"/>
  <c r="E6" i="18"/>
  <c r="E16" i="1"/>
  <c r="F16" i="1"/>
  <c r="G16" i="1"/>
  <c r="D16" i="1"/>
  <c r="E15" i="1"/>
  <c r="F15" i="1"/>
  <c r="G15" i="1"/>
  <c r="D15" i="1"/>
  <c r="E12" i="1"/>
  <c r="E11" i="1"/>
  <c r="F11" i="1"/>
  <c r="G11" i="1"/>
  <c r="D11" i="1"/>
  <c r="E10" i="1"/>
  <c r="F10" i="1"/>
  <c r="G10" i="1"/>
  <c r="D10" i="1"/>
  <c r="E8" i="1"/>
  <c r="F8" i="1"/>
  <c r="G8" i="1"/>
  <c r="D8" i="1"/>
  <c r="D7" i="1"/>
  <c r="E7" i="1"/>
  <c r="F7" i="1"/>
  <c r="G7" i="1"/>
  <c r="E4" i="1"/>
  <c r="I6" i="1" s="1"/>
  <c r="F4" i="1"/>
  <c r="G4" i="1"/>
  <c r="D4" i="1"/>
  <c r="H7" i="17"/>
  <c r="H8" i="17" s="1"/>
  <c r="H9" i="17" s="1"/>
  <c r="H10" i="17" s="1"/>
  <c r="G6" i="17"/>
  <c r="F19" i="1" s="1"/>
  <c r="F6" i="17"/>
  <c r="E19" i="1" s="1"/>
  <c r="E6" i="17"/>
  <c r="D19" i="1" s="1"/>
  <c r="H7" i="16"/>
  <c r="G6" i="16"/>
  <c r="F18" i="1" s="1"/>
  <c r="F6" i="16"/>
  <c r="E18" i="1" s="1"/>
  <c r="E6" i="16"/>
  <c r="D18" i="1" s="1"/>
  <c r="G6" i="15"/>
  <c r="F17" i="1" s="1"/>
  <c r="F6" i="15"/>
  <c r="E17" i="1" s="1"/>
  <c r="E6" i="15"/>
  <c r="H7" i="14"/>
  <c r="H8" i="14" s="1"/>
  <c r="G6" i="14"/>
  <c r="F6" i="14"/>
  <c r="E6" i="14"/>
  <c r="H6" i="14" s="1"/>
  <c r="H8" i="13"/>
  <c r="H9" i="13" s="1"/>
  <c r="H10" i="13" s="1"/>
  <c r="H7" i="13"/>
  <c r="G6" i="13"/>
  <c r="F6" i="13"/>
  <c r="E6" i="13"/>
  <c r="H6" i="13" s="1"/>
  <c r="H7" i="12"/>
  <c r="G6" i="12"/>
  <c r="F6" i="12"/>
  <c r="E6" i="12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G6" i="10"/>
  <c r="F12" i="1" s="1"/>
  <c r="F6" i="10"/>
  <c r="E6" i="10"/>
  <c r="D12" i="1" s="1"/>
  <c r="H7" i="11"/>
  <c r="H8" i="11" s="1"/>
  <c r="H9" i="11" s="1"/>
  <c r="H10" i="11" s="1"/>
  <c r="H11" i="11" s="1"/>
  <c r="H12" i="11" s="1"/>
  <c r="G6" i="11"/>
  <c r="F13" i="1" s="1"/>
  <c r="F6" i="11"/>
  <c r="E13" i="1" s="1"/>
  <c r="E6" i="11"/>
  <c r="H7" i="9"/>
  <c r="H8" i="9" s="1"/>
  <c r="H9" i="9" s="1"/>
  <c r="H10" i="9" s="1"/>
  <c r="G6" i="9"/>
  <c r="F6" i="9"/>
  <c r="E6" i="9"/>
  <c r="H6" i="9" s="1"/>
  <c r="H7" i="8"/>
  <c r="H8" i="8" s="1"/>
  <c r="H9" i="8" s="1"/>
  <c r="H10" i="8" s="1"/>
  <c r="G6" i="8"/>
  <c r="F6" i="8"/>
  <c r="E6" i="8"/>
  <c r="H6" i="8" s="1"/>
  <c r="H464" i="7"/>
  <c r="H465" i="7" s="1"/>
  <c r="H466" i="7" s="1"/>
  <c r="H467" i="7" s="1"/>
  <c r="H468" i="7" s="1"/>
  <c r="H469" i="7" s="1"/>
  <c r="H470" i="7" s="1"/>
  <c r="H471" i="7" s="1"/>
  <c r="H472" i="7" s="1"/>
  <c r="H473" i="7" s="1"/>
  <c r="H474" i="7" s="1"/>
  <c r="H475" i="7" s="1"/>
  <c r="H476" i="7" s="1"/>
  <c r="H477" i="7" s="1"/>
  <c r="H478" i="7" s="1"/>
  <c r="H479" i="7" s="1"/>
  <c r="H480" i="7" s="1"/>
  <c r="H481" i="7" s="1"/>
  <c r="H482" i="7" s="1"/>
  <c r="H483" i="7" s="1"/>
  <c r="H484" i="7" s="1"/>
  <c r="H485" i="7" s="1"/>
  <c r="H486" i="7" s="1"/>
  <c r="H487" i="7" s="1"/>
  <c r="H488" i="7" s="1"/>
  <c r="H489" i="7" s="1"/>
  <c r="H490" i="7" s="1"/>
  <c r="H491" i="7" s="1"/>
  <c r="H492" i="7" s="1"/>
  <c r="H493" i="7" s="1"/>
  <c r="H494" i="7" s="1"/>
  <c r="H495" i="7" s="1"/>
  <c r="H496" i="7" s="1"/>
  <c r="H497" i="7" s="1"/>
  <c r="H498" i="7" s="1"/>
  <c r="H499" i="7" s="1"/>
  <c r="H500" i="7" s="1"/>
  <c r="H501" i="7" s="1"/>
  <c r="H502" i="7" s="1"/>
  <c r="H503" i="7" s="1"/>
  <c r="H504" i="7" s="1"/>
  <c r="H505" i="7" s="1"/>
  <c r="H506" i="7" s="1"/>
  <c r="H507" i="7" s="1"/>
  <c r="H508" i="7" s="1"/>
  <c r="H509" i="7" s="1"/>
  <c r="H510" i="7" s="1"/>
  <c r="H511" i="7" s="1"/>
  <c r="H512" i="7" s="1"/>
  <c r="H513" i="7" s="1"/>
  <c r="H514" i="7" s="1"/>
  <c r="H515" i="7" s="1"/>
  <c r="H516" i="7" s="1"/>
  <c r="H517" i="7" s="1"/>
  <c r="H518" i="7" s="1"/>
  <c r="H519" i="7" s="1"/>
  <c r="H520" i="7" s="1"/>
  <c r="H521" i="7" s="1"/>
  <c r="H522" i="7" s="1"/>
  <c r="H523" i="7" s="1"/>
  <c r="H524" i="7" s="1"/>
  <c r="H525" i="7" s="1"/>
  <c r="H526" i="7" s="1"/>
  <c r="H527" i="7" s="1"/>
  <c r="H528" i="7" s="1"/>
  <c r="H529" i="7" s="1"/>
  <c r="H530" i="7" s="1"/>
  <c r="H531" i="7" s="1"/>
  <c r="H532" i="7" s="1"/>
  <c r="H533" i="7" s="1"/>
  <c r="H534" i="7" s="1"/>
  <c r="H535" i="7" s="1"/>
  <c r="H536" i="7" s="1"/>
  <c r="H537" i="7" s="1"/>
  <c r="H538" i="7" s="1"/>
  <c r="H539" i="7" s="1"/>
  <c r="H540" i="7" s="1"/>
  <c r="H541" i="7" s="1"/>
  <c r="H542" i="7" s="1"/>
  <c r="H543" i="7" s="1"/>
  <c r="H544" i="7" s="1"/>
  <c r="H545" i="7" s="1"/>
  <c r="H546" i="7" s="1"/>
  <c r="H547" i="7" s="1"/>
  <c r="H548" i="7" s="1"/>
  <c r="H549" i="7" s="1"/>
  <c r="H550" i="7" s="1"/>
  <c r="H551" i="7" s="1"/>
  <c r="H552" i="7" s="1"/>
  <c r="H553" i="7" s="1"/>
  <c r="H554" i="7" s="1"/>
  <c r="H555" i="7" s="1"/>
  <c r="H556" i="7" s="1"/>
  <c r="H557" i="7" s="1"/>
  <c r="H558" i="7" s="1"/>
  <c r="H559" i="7" s="1"/>
  <c r="H560" i="7" s="1"/>
  <c r="H561" i="7" s="1"/>
  <c r="H562" i="7" s="1"/>
  <c r="H563" i="7" s="1"/>
  <c r="H564" i="7" s="1"/>
  <c r="H565" i="7" s="1"/>
  <c r="H566" i="7" s="1"/>
  <c r="H567" i="7" s="1"/>
  <c r="H568" i="7" s="1"/>
  <c r="H569" i="7" s="1"/>
  <c r="H570" i="7" s="1"/>
  <c r="H571" i="7" s="1"/>
  <c r="H572" i="7" s="1"/>
  <c r="H573" i="7" s="1"/>
  <c r="H574" i="7" s="1"/>
  <c r="H575" i="7" s="1"/>
  <c r="H576" i="7" s="1"/>
  <c r="H577" i="7" s="1"/>
  <c r="H578" i="7" s="1"/>
  <c r="H579" i="7" s="1"/>
  <c r="H580" i="7" s="1"/>
  <c r="H581" i="7" s="1"/>
  <c r="H582" i="7" s="1"/>
  <c r="H583" i="7" s="1"/>
  <c r="H584" i="7" s="1"/>
  <c r="H585" i="7" s="1"/>
  <c r="H586" i="7" s="1"/>
  <c r="H587" i="7" s="1"/>
  <c r="H588" i="7" s="1"/>
  <c r="H589" i="7" s="1"/>
  <c r="H590" i="7" s="1"/>
  <c r="H591" i="7" s="1"/>
  <c r="H592" i="7" s="1"/>
  <c r="H593" i="7" s="1"/>
  <c r="H594" i="7" s="1"/>
  <c r="H595" i="7" s="1"/>
  <c r="H596" i="7" s="1"/>
  <c r="H597" i="7" s="1"/>
  <c r="H598" i="7" s="1"/>
  <c r="H599" i="7" s="1"/>
  <c r="H600" i="7" s="1"/>
  <c r="H601" i="7" s="1"/>
  <c r="H602" i="7" s="1"/>
  <c r="H603" i="7" s="1"/>
  <c r="H604" i="7" s="1"/>
  <c r="H605" i="7" s="1"/>
  <c r="H606" i="7" s="1"/>
  <c r="H607" i="7" s="1"/>
  <c r="H608" i="7" s="1"/>
  <c r="H609" i="7" s="1"/>
  <c r="H610" i="7" s="1"/>
  <c r="H611" i="7" s="1"/>
  <c r="H612" i="7" s="1"/>
  <c r="H613" i="7" s="1"/>
  <c r="H614" i="7" s="1"/>
  <c r="H615" i="7" s="1"/>
  <c r="H616" i="7" s="1"/>
  <c r="H617" i="7" s="1"/>
  <c r="H618" i="7" s="1"/>
  <c r="H619" i="7" s="1"/>
  <c r="H620" i="7" s="1"/>
  <c r="H621" i="7" s="1"/>
  <c r="H622" i="7" s="1"/>
  <c r="H623" i="7" s="1"/>
  <c r="H624" i="7" s="1"/>
  <c r="H625" i="7" s="1"/>
  <c r="H626" i="7" s="1"/>
  <c r="H627" i="7" s="1"/>
  <c r="H628" i="7" s="1"/>
  <c r="H629" i="7" s="1"/>
  <c r="H630" i="7" s="1"/>
  <c r="H631" i="7" s="1"/>
  <c r="H632" i="7" s="1"/>
  <c r="H633" i="7" s="1"/>
  <c r="H634" i="7" s="1"/>
  <c r="H635" i="7" s="1"/>
  <c r="H636" i="7" s="1"/>
  <c r="H637" i="7" s="1"/>
  <c r="H638" i="7" s="1"/>
  <c r="H639" i="7" s="1"/>
  <c r="H640" i="7" s="1"/>
  <c r="H641" i="7" s="1"/>
  <c r="H642" i="7" s="1"/>
  <c r="H643" i="7" s="1"/>
  <c r="H644" i="7" s="1"/>
  <c r="H645" i="7" s="1"/>
  <c r="H646" i="7" s="1"/>
  <c r="H647" i="7" s="1"/>
  <c r="H648" i="7" s="1"/>
  <c r="H8" i="7"/>
  <c r="G6" i="7"/>
  <c r="F9" i="1" s="1"/>
  <c r="F6" i="7"/>
  <c r="E9" i="1" s="1"/>
  <c r="E6" i="7"/>
  <c r="H464" i="6"/>
  <c r="H465" i="6" s="1"/>
  <c r="H466" i="6" s="1"/>
  <c r="H467" i="6" s="1"/>
  <c r="H468" i="6" s="1"/>
  <c r="H469" i="6" s="1"/>
  <c r="H470" i="6" s="1"/>
  <c r="H471" i="6" s="1"/>
  <c r="H472" i="6" s="1"/>
  <c r="H473" i="6" s="1"/>
  <c r="H474" i="6" s="1"/>
  <c r="H475" i="6" s="1"/>
  <c r="H476" i="6" s="1"/>
  <c r="H477" i="6" s="1"/>
  <c r="H478" i="6" s="1"/>
  <c r="H479" i="6" s="1"/>
  <c r="H480" i="6" s="1"/>
  <c r="H481" i="6" s="1"/>
  <c r="H482" i="6" s="1"/>
  <c r="H483" i="6" s="1"/>
  <c r="H484" i="6" s="1"/>
  <c r="H485" i="6" s="1"/>
  <c r="H486" i="6" s="1"/>
  <c r="H487" i="6" s="1"/>
  <c r="H488" i="6" s="1"/>
  <c r="H489" i="6" s="1"/>
  <c r="H490" i="6" s="1"/>
  <c r="H491" i="6" s="1"/>
  <c r="H492" i="6" s="1"/>
  <c r="H493" i="6" s="1"/>
  <c r="H494" i="6" s="1"/>
  <c r="H495" i="6" s="1"/>
  <c r="H496" i="6" s="1"/>
  <c r="H497" i="6" s="1"/>
  <c r="H498" i="6" s="1"/>
  <c r="H499" i="6" s="1"/>
  <c r="H500" i="6" s="1"/>
  <c r="H501" i="6" s="1"/>
  <c r="H502" i="6" s="1"/>
  <c r="H503" i="6" s="1"/>
  <c r="H504" i="6" s="1"/>
  <c r="H505" i="6" s="1"/>
  <c r="H506" i="6" s="1"/>
  <c r="H507" i="6" s="1"/>
  <c r="H508" i="6" s="1"/>
  <c r="H509" i="6" s="1"/>
  <c r="H510" i="6" s="1"/>
  <c r="H511" i="6" s="1"/>
  <c r="H512" i="6" s="1"/>
  <c r="H513" i="6" s="1"/>
  <c r="H514" i="6" s="1"/>
  <c r="H515" i="6" s="1"/>
  <c r="H516" i="6" s="1"/>
  <c r="H517" i="6" s="1"/>
  <c r="H518" i="6" s="1"/>
  <c r="H519" i="6" s="1"/>
  <c r="H520" i="6" s="1"/>
  <c r="H521" i="6" s="1"/>
  <c r="H522" i="6" s="1"/>
  <c r="H523" i="6" s="1"/>
  <c r="H524" i="6" s="1"/>
  <c r="H525" i="6" s="1"/>
  <c r="H526" i="6" s="1"/>
  <c r="H527" i="6" s="1"/>
  <c r="H528" i="6" s="1"/>
  <c r="H529" i="6" s="1"/>
  <c r="H530" i="6" s="1"/>
  <c r="H531" i="6" s="1"/>
  <c r="H532" i="6" s="1"/>
  <c r="H533" i="6" s="1"/>
  <c r="H534" i="6" s="1"/>
  <c r="H535" i="6" s="1"/>
  <c r="H536" i="6" s="1"/>
  <c r="H537" i="6" s="1"/>
  <c r="H538" i="6" s="1"/>
  <c r="H539" i="6" s="1"/>
  <c r="H540" i="6" s="1"/>
  <c r="H541" i="6" s="1"/>
  <c r="H542" i="6" s="1"/>
  <c r="H543" i="6" s="1"/>
  <c r="H544" i="6" s="1"/>
  <c r="H545" i="6" s="1"/>
  <c r="H546" i="6" s="1"/>
  <c r="H547" i="6" s="1"/>
  <c r="H548" i="6" s="1"/>
  <c r="H549" i="6" s="1"/>
  <c r="H550" i="6" s="1"/>
  <c r="H551" i="6" s="1"/>
  <c r="H552" i="6" s="1"/>
  <c r="H553" i="6" s="1"/>
  <c r="H554" i="6" s="1"/>
  <c r="H555" i="6" s="1"/>
  <c r="H556" i="6" s="1"/>
  <c r="H557" i="6" s="1"/>
  <c r="H558" i="6" s="1"/>
  <c r="H559" i="6" s="1"/>
  <c r="H560" i="6" s="1"/>
  <c r="H561" i="6" s="1"/>
  <c r="H562" i="6" s="1"/>
  <c r="H563" i="6" s="1"/>
  <c r="H564" i="6" s="1"/>
  <c r="H565" i="6" s="1"/>
  <c r="H566" i="6" s="1"/>
  <c r="H567" i="6" s="1"/>
  <c r="H568" i="6" s="1"/>
  <c r="H569" i="6" s="1"/>
  <c r="H570" i="6" s="1"/>
  <c r="H571" i="6" s="1"/>
  <c r="H572" i="6" s="1"/>
  <c r="H573" i="6" s="1"/>
  <c r="H574" i="6" s="1"/>
  <c r="H575" i="6" s="1"/>
  <c r="H576" i="6" s="1"/>
  <c r="H577" i="6" s="1"/>
  <c r="H578" i="6" s="1"/>
  <c r="H579" i="6" s="1"/>
  <c r="H580" i="6" s="1"/>
  <c r="H581" i="6" s="1"/>
  <c r="H582" i="6" s="1"/>
  <c r="H583" i="6" s="1"/>
  <c r="H584" i="6" s="1"/>
  <c r="H585" i="6" s="1"/>
  <c r="H586" i="6" s="1"/>
  <c r="H587" i="6" s="1"/>
  <c r="H588" i="6" s="1"/>
  <c r="H589" i="6" s="1"/>
  <c r="H590" i="6" s="1"/>
  <c r="H591" i="6" s="1"/>
  <c r="H592" i="6" s="1"/>
  <c r="H593" i="6" s="1"/>
  <c r="H594" i="6" s="1"/>
  <c r="H595" i="6" s="1"/>
  <c r="H596" i="6" s="1"/>
  <c r="H597" i="6" s="1"/>
  <c r="H598" i="6" s="1"/>
  <c r="H599" i="6" s="1"/>
  <c r="H600" i="6" s="1"/>
  <c r="H601" i="6" s="1"/>
  <c r="H602" i="6" s="1"/>
  <c r="H603" i="6" s="1"/>
  <c r="H604" i="6" s="1"/>
  <c r="H605" i="6" s="1"/>
  <c r="H606" i="6" s="1"/>
  <c r="H607" i="6" s="1"/>
  <c r="H608" i="6" s="1"/>
  <c r="H609" i="6" s="1"/>
  <c r="H610" i="6" s="1"/>
  <c r="H611" i="6" s="1"/>
  <c r="H612" i="6" s="1"/>
  <c r="H613" i="6" s="1"/>
  <c r="H614" i="6" s="1"/>
  <c r="H615" i="6" s="1"/>
  <c r="H616" i="6" s="1"/>
  <c r="H617" i="6" s="1"/>
  <c r="H618" i="6" s="1"/>
  <c r="H619" i="6" s="1"/>
  <c r="H620" i="6" s="1"/>
  <c r="H621" i="6" s="1"/>
  <c r="H622" i="6" s="1"/>
  <c r="H623" i="6" s="1"/>
  <c r="H624" i="6" s="1"/>
  <c r="H625" i="6" s="1"/>
  <c r="H626" i="6" s="1"/>
  <c r="H627" i="6" s="1"/>
  <c r="H628" i="6" s="1"/>
  <c r="H629" i="6" s="1"/>
  <c r="H630" i="6" s="1"/>
  <c r="H631" i="6" s="1"/>
  <c r="H632" i="6" s="1"/>
  <c r="H633" i="6" s="1"/>
  <c r="H634" i="6" s="1"/>
  <c r="H635" i="6" s="1"/>
  <c r="H636" i="6" s="1"/>
  <c r="H637" i="6" s="1"/>
  <c r="H638" i="6" s="1"/>
  <c r="H639" i="6" s="1"/>
  <c r="H640" i="6" s="1"/>
  <c r="H641" i="6" s="1"/>
  <c r="H642" i="6" s="1"/>
  <c r="H643" i="6" s="1"/>
  <c r="H644" i="6" s="1"/>
  <c r="H645" i="6" s="1"/>
  <c r="H646" i="6" s="1"/>
  <c r="H647" i="6" s="1"/>
  <c r="H648" i="6" s="1"/>
  <c r="H8" i="6"/>
  <c r="G6" i="6"/>
  <c r="F6" i="6"/>
  <c r="E6" i="6"/>
  <c r="H6" i="6" s="1"/>
  <c r="H56" i="5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H510" i="5" s="1"/>
  <c r="H511" i="5" s="1"/>
  <c r="H512" i="5" s="1"/>
  <c r="H513" i="5" s="1"/>
  <c r="H514" i="5" s="1"/>
  <c r="H515" i="5" s="1"/>
  <c r="H516" i="5" s="1"/>
  <c r="H517" i="5" s="1"/>
  <c r="H518" i="5" s="1"/>
  <c r="H519" i="5" s="1"/>
  <c r="H520" i="5" s="1"/>
  <c r="H521" i="5" s="1"/>
  <c r="H522" i="5" s="1"/>
  <c r="H523" i="5" s="1"/>
  <c r="H524" i="5" s="1"/>
  <c r="H525" i="5" s="1"/>
  <c r="H526" i="5" s="1"/>
  <c r="H527" i="5" s="1"/>
  <c r="H528" i="5" s="1"/>
  <c r="H529" i="5" s="1"/>
  <c r="H530" i="5" s="1"/>
  <c r="H531" i="5" s="1"/>
  <c r="H532" i="5" s="1"/>
  <c r="H533" i="5" s="1"/>
  <c r="H534" i="5" s="1"/>
  <c r="H535" i="5" s="1"/>
  <c r="H536" i="5" s="1"/>
  <c r="H537" i="5" s="1"/>
  <c r="H538" i="5" s="1"/>
  <c r="H539" i="5" s="1"/>
  <c r="H540" i="5" s="1"/>
  <c r="H541" i="5" s="1"/>
  <c r="H542" i="5" s="1"/>
  <c r="H543" i="5" s="1"/>
  <c r="H544" i="5" s="1"/>
  <c r="H545" i="5" s="1"/>
  <c r="H546" i="5" s="1"/>
  <c r="H547" i="5" s="1"/>
  <c r="H548" i="5" s="1"/>
  <c r="H549" i="5" s="1"/>
  <c r="H550" i="5" s="1"/>
  <c r="H551" i="5" s="1"/>
  <c r="H552" i="5" s="1"/>
  <c r="H553" i="5" s="1"/>
  <c r="H554" i="5" s="1"/>
  <c r="H555" i="5" s="1"/>
  <c r="H556" i="5" s="1"/>
  <c r="H557" i="5" s="1"/>
  <c r="H558" i="5" s="1"/>
  <c r="H559" i="5" s="1"/>
  <c r="H560" i="5" s="1"/>
  <c r="H561" i="5" s="1"/>
  <c r="H562" i="5" s="1"/>
  <c r="H563" i="5" s="1"/>
  <c r="H564" i="5" s="1"/>
  <c r="H565" i="5" s="1"/>
  <c r="H566" i="5" s="1"/>
  <c r="H567" i="5" s="1"/>
  <c r="H568" i="5" s="1"/>
  <c r="H569" i="5" s="1"/>
  <c r="H570" i="5" s="1"/>
  <c r="H571" i="5" s="1"/>
  <c r="H572" i="5" s="1"/>
  <c r="H573" i="5" s="1"/>
  <c r="H574" i="5" s="1"/>
  <c r="H575" i="5" s="1"/>
  <c r="H576" i="5" s="1"/>
  <c r="H577" i="5" s="1"/>
  <c r="H578" i="5" s="1"/>
  <c r="H579" i="5" s="1"/>
  <c r="H580" i="5" s="1"/>
  <c r="H581" i="5" s="1"/>
  <c r="H582" i="5" s="1"/>
  <c r="H583" i="5" s="1"/>
  <c r="H584" i="5" s="1"/>
  <c r="H585" i="5" s="1"/>
  <c r="H586" i="5" s="1"/>
  <c r="H587" i="5" s="1"/>
  <c r="H588" i="5" s="1"/>
  <c r="H589" i="5" s="1"/>
  <c r="H590" i="5" s="1"/>
  <c r="H591" i="5" s="1"/>
  <c r="H592" i="5" s="1"/>
  <c r="H593" i="5" s="1"/>
  <c r="H594" i="5" s="1"/>
  <c r="H595" i="5" s="1"/>
  <c r="H596" i="5" s="1"/>
  <c r="H597" i="5" s="1"/>
  <c r="H598" i="5" s="1"/>
  <c r="H599" i="5" s="1"/>
  <c r="H600" i="5" s="1"/>
  <c r="H601" i="5" s="1"/>
  <c r="H602" i="5" s="1"/>
  <c r="H603" i="5" s="1"/>
  <c r="H604" i="5" s="1"/>
  <c r="H605" i="5" s="1"/>
  <c r="H606" i="5" s="1"/>
  <c r="H607" i="5" s="1"/>
  <c r="H608" i="5" s="1"/>
  <c r="H609" i="5" s="1"/>
  <c r="H610" i="5" s="1"/>
  <c r="H611" i="5" s="1"/>
  <c r="H612" i="5" s="1"/>
  <c r="H613" i="5" s="1"/>
  <c r="H614" i="5" s="1"/>
  <c r="H615" i="5" s="1"/>
  <c r="H616" i="5" s="1"/>
  <c r="H617" i="5" s="1"/>
  <c r="H618" i="5" s="1"/>
  <c r="H619" i="5" s="1"/>
  <c r="H620" i="5" s="1"/>
  <c r="H621" i="5" s="1"/>
  <c r="H622" i="5" s="1"/>
  <c r="H623" i="5" s="1"/>
  <c r="H624" i="5" s="1"/>
  <c r="H625" i="5" s="1"/>
  <c r="H626" i="5" s="1"/>
  <c r="H627" i="5" s="1"/>
  <c r="H628" i="5" s="1"/>
  <c r="H629" i="5" s="1"/>
  <c r="H630" i="5" s="1"/>
  <c r="H631" i="5" s="1"/>
  <c r="H632" i="5" s="1"/>
  <c r="H633" i="5" s="1"/>
  <c r="H634" i="5" s="1"/>
  <c r="H635" i="5" s="1"/>
  <c r="H636" i="5" s="1"/>
  <c r="H637" i="5" s="1"/>
  <c r="H638" i="5" s="1"/>
  <c r="H639" i="5" s="1"/>
  <c r="H640" i="5" s="1"/>
  <c r="H641" i="5" s="1"/>
  <c r="H642" i="5" s="1"/>
  <c r="H643" i="5" s="1"/>
  <c r="H644" i="5" s="1"/>
  <c r="H645" i="5" s="1"/>
  <c r="H646" i="5" s="1"/>
  <c r="H647" i="5" s="1"/>
  <c r="H648" i="5" s="1"/>
  <c r="H7" i="5"/>
  <c r="H8" i="5" s="1"/>
  <c r="H9" i="5" s="1"/>
  <c r="H10" i="5" s="1"/>
  <c r="G6" i="5"/>
  <c r="F6" i="5"/>
  <c r="E6" i="5"/>
  <c r="H6" i="5" s="1"/>
  <c r="H525" i="4"/>
  <c r="H526" i="4" s="1"/>
  <c r="H527" i="4" s="1"/>
  <c r="H528" i="4" s="1"/>
  <c r="H529" i="4" s="1"/>
  <c r="H530" i="4" s="1"/>
  <c r="H531" i="4" s="1"/>
  <c r="H532" i="4" s="1"/>
  <c r="H533" i="4" s="1"/>
  <c r="H534" i="4" s="1"/>
  <c r="H535" i="4" s="1"/>
  <c r="H536" i="4" s="1"/>
  <c r="H537" i="4" s="1"/>
  <c r="H538" i="4" s="1"/>
  <c r="H539" i="4" s="1"/>
  <c r="H540" i="4" s="1"/>
  <c r="H541" i="4" s="1"/>
  <c r="H542" i="4" s="1"/>
  <c r="H543" i="4" s="1"/>
  <c r="H544" i="4" s="1"/>
  <c r="H545" i="4" s="1"/>
  <c r="H546" i="4" s="1"/>
  <c r="H547" i="4" s="1"/>
  <c r="H548" i="4" s="1"/>
  <c r="H549" i="4" s="1"/>
  <c r="H550" i="4" s="1"/>
  <c r="H551" i="4" s="1"/>
  <c r="H552" i="4" s="1"/>
  <c r="H553" i="4" s="1"/>
  <c r="H554" i="4" s="1"/>
  <c r="H555" i="4" s="1"/>
  <c r="H556" i="4" s="1"/>
  <c r="H557" i="4" s="1"/>
  <c r="H558" i="4" s="1"/>
  <c r="H559" i="4" s="1"/>
  <c r="H560" i="4" s="1"/>
  <c r="H561" i="4" s="1"/>
  <c r="H562" i="4" s="1"/>
  <c r="H563" i="4" s="1"/>
  <c r="H564" i="4" s="1"/>
  <c r="H565" i="4" s="1"/>
  <c r="H566" i="4" s="1"/>
  <c r="H567" i="4" s="1"/>
  <c r="H568" i="4" s="1"/>
  <c r="H569" i="4" s="1"/>
  <c r="H570" i="4" s="1"/>
  <c r="H571" i="4" s="1"/>
  <c r="H572" i="4" s="1"/>
  <c r="H573" i="4" s="1"/>
  <c r="H574" i="4" s="1"/>
  <c r="H575" i="4" s="1"/>
  <c r="H576" i="4" s="1"/>
  <c r="H577" i="4" s="1"/>
  <c r="H578" i="4" s="1"/>
  <c r="H579" i="4" s="1"/>
  <c r="H580" i="4" s="1"/>
  <c r="H581" i="4" s="1"/>
  <c r="H582" i="4" s="1"/>
  <c r="H583" i="4" s="1"/>
  <c r="H584" i="4" s="1"/>
  <c r="H585" i="4" s="1"/>
  <c r="H586" i="4" s="1"/>
  <c r="H587" i="4" s="1"/>
  <c r="H588" i="4" s="1"/>
  <c r="H589" i="4" s="1"/>
  <c r="H590" i="4" s="1"/>
  <c r="H591" i="4" s="1"/>
  <c r="H592" i="4" s="1"/>
  <c r="H593" i="4" s="1"/>
  <c r="H594" i="4" s="1"/>
  <c r="H595" i="4" s="1"/>
  <c r="H596" i="4" s="1"/>
  <c r="H597" i="4" s="1"/>
  <c r="H598" i="4" s="1"/>
  <c r="H599" i="4" s="1"/>
  <c r="H600" i="4" s="1"/>
  <c r="H601" i="4" s="1"/>
  <c r="H602" i="4" s="1"/>
  <c r="H603" i="4" s="1"/>
  <c r="H604" i="4" s="1"/>
  <c r="H605" i="4" s="1"/>
  <c r="H606" i="4" s="1"/>
  <c r="H607" i="4" s="1"/>
  <c r="H608" i="4" s="1"/>
  <c r="H609" i="4" s="1"/>
  <c r="H610" i="4" s="1"/>
  <c r="H611" i="4" s="1"/>
  <c r="H612" i="4" s="1"/>
  <c r="H613" i="4" s="1"/>
  <c r="H614" i="4" s="1"/>
  <c r="H615" i="4" s="1"/>
  <c r="H616" i="4" s="1"/>
  <c r="H617" i="4" s="1"/>
  <c r="H618" i="4" s="1"/>
  <c r="H619" i="4" s="1"/>
  <c r="H620" i="4" s="1"/>
  <c r="H621" i="4" s="1"/>
  <c r="H622" i="4" s="1"/>
  <c r="H623" i="4" s="1"/>
  <c r="H624" i="4" s="1"/>
  <c r="H625" i="4" s="1"/>
  <c r="H626" i="4" s="1"/>
  <c r="H627" i="4" s="1"/>
  <c r="H628" i="4" s="1"/>
  <c r="H629" i="4" s="1"/>
  <c r="H630" i="4" s="1"/>
  <c r="H631" i="4" s="1"/>
  <c r="H632" i="4" s="1"/>
  <c r="H633" i="4" s="1"/>
  <c r="H634" i="4" s="1"/>
  <c r="H635" i="4" s="1"/>
  <c r="H636" i="4" s="1"/>
  <c r="H637" i="4" s="1"/>
  <c r="H638" i="4" s="1"/>
  <c r="H639" i="4" s="1"/>
  <c r="H640" i="4" s="1"/>
  <c r="H641" i="4" s="1"/>
  <c r="H642" i="4" s="1"/>
  <c r="H643" i="4" s="1"/>
  <c r="H644" i="4" s="1"/>
  <c r="H645" i="4" s="1"/>
  <c r="H646" i="4" s="1"/>
  <c r="H647" i="4" s="1"/>
  <c r="H648" i="4" s="1"/>
  <c r="H649" i="4" s="1"/>
  <c r="H650" i="4" s="1"/>
  <c r="H651" i="4" s="1"/>
  <c r="H652" i="4" s="1"/>
  <c r="H653" i="4" s="1"/>
  <c r="H654" i="4" s="1"/>
  <c r="H655" i="4" s="1"/>
  <c r="H656" i="4" s="1"/>
  <c r="H657" i="4" s="1"/>
  <c r="H658" i="4" s="1"/>
  <c r="H659" i="4" s="1"/>
  <c r="H660" i="4" s="1"/>
  <c r="H661" i="4" s="1"/>
  <c r="H662" i="4" s="1"/>
  <c r="H663" i="4" s="1"/>
  <c r="H664" i="4" s="1"/>
  <c r="H665" i="4" s="1"/>
  <c r="H666" i="4" s="1"/>
  <c r="H667" i="4" s="1"/>
  <c r="H668" i="4" s="1"/>
  <c r="H669" i="4" s="1"/>
  <c r="H670" i="4" s="1"/>
  <c r="H671" i="4" s="1"/>
  <c r="H672" i="4" s="1"/>
  <c r="H673" i="4" s="1"/>
  <c r="H674" i="4" s="1"/>
  <c r="H675" i="4" s="1"/>
  <c r="H676" i="4" s="1"/>
  <c r="H677" i="4" s="1"/>
  <c r="H7" i="4"/>
  <c r="G6" i="4"/>
  <c r="F6" i="1" s="1"/>
  <c r="F6" i="4"/>
  <c r="E6" i="1" s="1"/>
  <c r="E6" i="4"/>
  <c r="H85" i="3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2" i="3" s="1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H472" i="3" s="1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H483" i="3" s="1"/>
  <c r="H484" i="3" s="1"/>
  <c r="H485" i="3" s="1"/>
  <c r="H486" i="3" s="1"/>
  <c r="H487" i="3" s="1"/>
  <c r="H488" i="3" s="1"/>
  <c r="H489" i="3" s="1"/>
  <c r="H490" i="3" s="1"/>
  <c r="H491" i="3" s="1"/>
  <c r="H492" i="3" s="1"/>
  <c r="H493" i="3" s="1"/>
  <c r="H494" i="3" s="1"/>
  <c r="H495" i="3" s="1"/>
  <c r="H496" i="3" s="1"/>
  <c r="H497" i="3" s="1"/>
  <c r="H498" i="3" s="1"/>
  <c r="H499" i="3" s="1"/>
  <c r="H500" i="3" s="1"/>
  <c r="H501" i="3" s="1"/>
  <c r="H502" i="3" s="1"/>
  <c r="H503" i="3" s="1"/>
  <c r="H504" i="3" s="1"/>
  <c r="H505" i="3" s="1"/>
  <c r="H506" i="3" s="1"/>
  <c r="H507" i="3" s="1"/>
  <c r="H508" i="3" s="1"/>
  <c r="H509" i="3" s="1"/>
  <c r="H510" i="3" s="1"/>
  <c r="H511" i="3" s="1"/>
  <c r="H512" i="3" s="1"/>
  <c r="H513" i="3" s="1"/>
  <c r="H514" i="3" s="1"/>
  <c r="H515" i="3" s="1"/>
  <c r="H516" i="3" s="1"/>
  <c r="H517" i="3" s="1"/>
  <c r="H518" i="3" s="1"/>
  <c r="H519" i="3" s="1"/>
  <c r="H520" i="3" s="1"/>
  <c r="H521" i="3" s="1"/>
  <c r="H522" i="3" s="1"/>
  <c r="H523" i="3" s="1"/>
  <c r="H524" i="3" s="1"/>
  <c r="H525" i="3" s="1"/>
  <c r="H526" i="3" s="1"/>
  <c r="H527" i="3" s="1"/>
  <c r="H528" i="3" s="1"/>
  <c r="H529" i="3" s="1"/>
  <c r="H530" i="3" s="1"/>
  <c r="H531" i="3" s="1"/>
  <c r="H532" i="3" s="1"/>
  <c r="H533" i="3" s="1"/>
  <c r="H534" i="3" s="1"/>
  <c r="H535" i="3" s="1"/>
  <c r="H536" i="3" s="1"/>
  <c r="H537" i="3" s="1"/>
  <c r="H538" i="3" s="1"/>
  <c r="H539" i="3" s="1"/>
  <c r="H540" i="3" s="1"/>
  <c r="H541" i="3" s="1"/>
  <c r="H542" i="3" s="1"/>
  <c r="H543" i="3" s="1"/>
  <c r="H544" i="3" s="1"/>
  <c r="H545" i="3" s="1"/>
  <c r="H546" i="3" s="1"/>
  <c r="H547" i="3" s="1"/>
  <c r="H548" i="3" s="1"/>
  <c r="H549" i="3" s="1"/>
  <c r="H550" i="3" s="1"/>
  <c r="H551" i="3" s="1"/>
  <c r="H552" i="3" s="1"/>
  <c r="H553" i="3" s="1"/>
  <c r="H554" i="3" s="1"/>
  <c r="H555" i="3" s="1"/>
  <c r="H556" i="3" s="1"/>
  <c r="H557" i="3" s="1"/>
  <c r="H558" i="3" s="1"/>
  <c r="H559" i="3" s="1"/>
  <c r="H560" i="3" s="1"/>
  <c r="H561" i="3" s="1"/>
  <c r="H562" i="3" s="1"/>
  <c r="H563" i="3" s="1"/>
  <c r="H564" i="3" s="1"/>
  <c r="H565" i="3" s="1"/>
  <c r="H566" i="3" s="1"/>
  <c r="H567" i="3" s="1"/>
  <c r="H568" i="3" s="1"/>
  <c r="H569" i="3" s="1"/>
  <c r="H570" i="3" s="1"/>
  <c r="H571" i="3" s="1"/>
  <c r="H572" i="3" s="1"/>
  <c r="H573" i="3" s="1"/>
  <c r="H574" i="3" s="1"/>
  <c r="H575" i="3" s="1"/>
  <c r="H576" i="3" s="1"/>
  <c r="H577" i="3" s="1"/>
  <c r="H578" i="3" s="1"/>
  <c r="H579" i="3" s="1"/>
  <c r="H580" i="3" s="1"/>
  <c r="H581" i="3" s="1"/>
  <c r="H582" i="3" s="1"/>
  <c r="H583" i="3" s="1"/>
  <c r="H584" i="3" s="1"/>
  <c r="H585" i="3" s="1"/>
  <c r="H586" i="3" s="1"/>
  <c r="H587" i="3" s="1"/>
  <c r="H588" i="3" s="1"/>
  <c r="H589" i="3" s="1"/>
  <c r="H590" i="3" s="1"/>
  <c r="H591" i="3" s="1"/>
  <c r="H592" i="3" s="1"/>
  <c r="H593" i="3" s="1"/>
  <c r="H594" i="3" s="1"/>
  <c r="H595" i="3" s="1"/>
  <c r="H596" i="3" s="1"/>
  <c r="H597" i="3" s="1"/>
  <c r="H598" i="3" s="1"/>
  <c r="H599" i="3" s="1"/>
  <c r="H600" i="3" s="1"/>
  <c r="H601" i="3" s="1"/>
  <c r="H602" i="3" s="1"/>
  <c r="H603" i="3" s="1"/>
  <c r="H604" i="3" s="1"/>
  <c r="H605" i="3" s="1"/>
  <c r="H606" i="3" s="1"/>
  <c r="H607" i="3" s="1"/>
  <c r="H608" i="3" s="1"/>
  <c r="H609" i="3" s="1"/>
  <c r="H610" i="3" s="1"/>
  <c r="H611" i="3" s="1"/>
  <c r="H612" i="3" s="1"/>
  <c r="H613" i="3" s="1"/>
  <c r="H614" i="3" s="1"/>
  <c r="H615" i="3" s="1"/>
  <c r="H616" i="3" s="1"/>
  <c r="H617" i="3" s="1"/>
  <c r="H618" i="3" s="1"/>
  <c r="H619" i="3" s="1"/>
  <c r="H620" i="3" s="1"/>
  <c r="H621" i="3" s="1"/>
  <c r="H622" i="3" s="1"/>
  <c r="H623" i="3" s="1"/>
  <c r="H624" i="3" s="1"/>
  <c r="H625" i="3" s="1"/>
  <c r="H626" i="3" s="1"/>
  <c r="H627" i="3" s="1"/>
  <c r="H628" i="3" s="1"/>
  <c r="H629" i="3" s="1"/>
  <c r="H630" i="3" s="1"/>
  <c r="H631" i="3" s="1"/>
  <c r="H632" i="3" s="1"/>
  <c r="H633" i="3" s="1"/>
  <c r="H634" i="3" s="1"/>
  <c r="H635" i="3" s="1"/>
  <c r="H636" i="3" s="1"/>
  <c r="H637" i="3" s="1"/>
  <c r="H638" i="3" s="1"/>
  <c r="H639" i="3" s="1"/>
  <c r="H640" i="3" s="1"/>
  <c r="H641" i="3" s="1"/>
  <c r="H642" i="3" s="1"/>
  <c r="H643" i="3" s="1"/>
  <c r="H644" i="3" s="1"/>
  <c r="H645" i="3" s="1"/>
  <c r="H646" i="3" s="1"/>
  <c r="H647" i="3" s="1"/>
  <c r="H648" i="3" s="1"/>
  <c r="H649" i="3" s="1"/>
  <c r="H650" i="3" s="1"/>
  <c r="H651" i="3" s="1"/>
  <c r="H652" i="3" s="1"/>
  <c r="H653" i="3" s="1"/>
  <c r="H654" i="3" s="1"/>
  <c r="H655" i="3" s="1"/>
  <c r="H656" i="3" s="1"/>
  <c r="H657" i="3" s="1"/>
  <c r="H658" i="3" s="1"/>
  <c r="H659" i="3" s="1"/>
  <c r="H660" i="3" s="1"/>
  <c r="H661" i="3" s="1"/>
  <c r="H662" i="3" s="1"/>
  <c r="H663" i="3" s="1"/>
  <c r="H664" i="3" s="1"/>
  <c r="H665" i="3" s="1"/>
  <c r="H666" i="3" s="1"/>
  <c r="H667" i="3" s="1"/>
  <c r="H668" i="3" s="1"/>
  <c r="H669" i="3" s="1"/>
  <c r="H670" i="3" s="1"/>
  <c r="H671" i="3" s="1"/>
  <c r="H672" i="3" s="1"/>
  <c r="H673" i="3" s="1"/>
  <c r="H674" i="3" s="1"/>
  <c r="G6" i="3"/>
  <c r="F5" i="1" s="1"/>
  <c r="F6" i="3"/>
  <c r="E5" i="1" s="1"/>
  <c r="E6" i="3"/>
  <c r="D5" i="1" s="1"/>
  <c r="H7" i="2"/>
  <c r="H8" i="2" s="1"/>
  <c r="H9" i="2" s="1"/>
  <c r="H10" i="2" s="1"/>
  <c r="H11" i="2" s="1"/>
  <c r="H12" i="2" s="1"/>
  <c r="H13" i="2" s="1"/>
  <c r="H14" i="2" s="1"/>
  <c r="H15" i="2" s="1"/>
  <c r="G6" i="2"/>
  <c r="F6" i="2"/>
  <c r="E6" i="2"/>
  <c r="H6" i="2" s="1"/>
  <c r="I24" i="1"/>
  <c r="I18" i="1"/>
  <c r="I17" i="1"/>
  <c r="C13" i="1"/>
  <c r="I13" i="1"/>
  <c r="I12" i="1"/>
  <c r="I5" i="1"/>
  <c r="I4" i="1"/>
  <c r="H6" i="25" l="1"/>
  <c r="G27" i="1" s="1"/>
  <c r="D27" i="1"/>
  <c r="H6" i="23"/>
  <c r="G25" i="1" s="1"/>
  <c r="D25" i="1"/>
  <c r="H6" i="18"/>
  <c r="G20" i="1" s="1"/>
  <c r="D17" i="1"/>
  <c r="H6" i="15"/>
  <c r="G17" i="1" s="1"/>
  <c r="I19" i="1" s="1"/>
  <c r="H6" i="11"/>
  <c r="G13" i="1" s="1"/>
  <c r="D13" i="1"/>
  <c r="H6" i="10"/>
  <c r="G12" i="1" s="1"/>
  <c r="I14" i="1" s="1"/>
  <c r="H6" i="4"/>
  <c r="G6" i="1" s="1"/>
  <c r="D6" i="1"/>
  <c r="H6" i="3"/>
  <c r="G5" i="1" s="1"/>
  <c r="I7" i="1" s="1"/>
  <c r="H6" i="7"/>
  <c r="G9" i="1" s="1"/>
  <c r="D9" i="1"/>
  <c r="I11" i="1" s="1"/>
  <c r="H6" i="12"/>
  <c r="H6" i="16"/>
  <c r="G18" i="1" s="1"/>
  <c r="I20" i="1" s="1"/>
  <c r="H6" i="17"/>
  <c r="G19" i="1" s="1"/>
  <c r="I21" i="1" s="1"/>
  <c r="H6" i="19"/>
  <c r="G21" i="1" s="1"/>
  <c r="I23" i="1" s="1"/>
  <c r="H6" i="27"/>
  <c r="I16" i="1"/>
  <c r="I10" i="1"/>
  <c r="I9" i="1"/>
  <c r="I22" i="1"/>
  <c r="I8" i="1"/>
  <c r="I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8" authorId="0" shapeId="0" xr:uid="{38980647-0E14-441E-A6FA-CE23392F40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Balance Quantity = 13 Nos. Carryaer to L.No. 2 C&amp;P of IMSD SMUN dated: 30.06.2024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tc={5D0C4D3A-E778-46DA-B077-CB7620CDA121}</author>
  </authors>
  <commentList>
    <comment ref="I10" authorId="0" shapeId="0" xr:uid="{5D0C4D3A-E778-46DA-B077-CB7620CDA121}">
      <text>
        <t>[Threaded comment]
Your version of Excel allows you to read this threaded comment; however, any edits to it will get removed if the file is opened in a newer version of Excel. Learn more: https://go.microsoft.com/fwlink/?linkid=870924
Comment:
     Balance qty - 05 Nos carried to L. No. - 02, C&amp;P - Page No. -3047 dated 24.02.2025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tc={DE835B07-A23E-4843-8E9E-6C20A86FFCE7}</author>
  </authors>
  <commentList>
    <comment ref="I10" authorId="0" shapeId="0" xr:uid="{DE835B07-A23E-4843-8E9E-6C20A86FFCE7}">
      <text>
        <t>[Threaded comment]
Your version of Excel allows you to read this threaded comment; however, any edits to it will get removed if the file is opened in a newer version of Excel. Learn more: https://go.microsoft.com/fwlink/?linkid=870924
Comment:
     Balance qty - 05 Nos carried to L. No. - 02, C&amp;P - Page No. -3047 dated 24.02.2025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tc={A6FFE759-E526-4562-9B8C-2C80F4137896}</author>
  </authors>
  <commentList>
    <comment ref="I10" authorId="0" shapeId="0" xr:uid="{A6FFE759-E526-4562-9B8C-2C80F4137896}">
      <text>
        <t>[Threaded comment]
Your version of Excel allows you to read this threaded comment; however, any edits to it will get removed if the file is opened in a newer version of Excel. Learn more: https://go.microsoft.com/fwlink/?linkid=870924
Comment:
     Balance qty - 05 Nos carried to L. No. - 02, C&amp;P - Page No. -3047 dated 24.02.2025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<sst xmlns="http://schemas.openxmlformats.org/spreadsheetml/2006/main" count="1281" uniqueCount="502">
  <si>
    <t>f</t>
  </si>
  <si>
    <t>Dedicated Freight Corridor Corporation of  India</t>
  </si>
  <si>
    <t>C &amp; P Items</t>
  </si>
  <si>
    <t>Index</t>
  </si>
  <si>
    <t>Furniture Items</t>
  </si>
  <si>
    <t>Sr.No.</t>
  </si>
  <si>
    <t>Particular</t>
  </si>
  <si>
    <t>Page No.</t>
  </si>
  <si>
    <r>
      <rPr>
        <b/>
        <sz val="16"/>
        <color theme="1"/>
        <rFont val="Kruti Dev 010"/>
      </rPr>
      <t xml:space="preserve">izkfIr 
</t>
    </r>
    <r>
      <rPr>
        <b/>
        <sz val="16"/>
        <color theme="1"/>
        <rFont val="Times New Roman"/>
        <family val="1"/>
      </rPr>
      <t>Receipt</t>
    </r>
  </si>
  <si>
    <r>
      <rPr>
        <b/>
        <sz val="16"/>
        <color theme="1"/>
        <rFont val="Kruti Dev 010"/>
      </rPr>
      <t xml:space="preserve">LFkkukarj.k 
</t>
    </r>
    <r>
      <rPr>
        <b/>
        <sz val="16"/>
        <color theme="1"/>
        <rFont val="Times New Roman"/>
        <family val="1"/>
      </rPr>
      <t>Transfer</t>
    </r>
  </si>
  <si>
    <r>
      <rPr>
        <b/>
        <sz val="16"/>
        <color theme="1"/>
        <rFont val="Kruti Dev 010"/>
      </rPr>
      <t xml:space="preserve">fuxZe
</t>
    </r>
    <r>
      <rPr>
        <b/>
        <sz val="16"/>
        <color theme="1"/>
        <rFont val="Times New Roman"/>
        <family val="1"/>
      </rPr>
      <t>Issues</t>
    </r>
  </si>
  <si>
    <r>
      <rPr>
        <b/>
        <sz val="16"/>
        <color theme="1"/>
        <rFont val="Kruti Dev 010"/>
      </rPr>
      <t xml:space="preserve"> 'ks"k</t>
    </r>
    <r>
      <rPr>
        <b/>
        <sz val="16"/>
        <color theme="1"/>
        <rFont val="Times New Roman"/>
        <family val="1"/>
      </rPr>
      <t xml:space="preserve"> 
Balance</t>
    </r>
  </si>
  <si>
    <t>Remarks</t>
  </si>
  <si>
    <t>QR</t>
  </si>
  <si>
    <t>Cash Imprest Items</t>
  </si>
  <si>
    <t>NOS.</t>
  </si>
  <si>
    <t xml:space="preserve">RAIL GRINDING STONE </t>
  </si>
  <si>
    <t>Herbicide (HERBICIDE)</t>
  </si>
  <si>
    <t xml:space="preserve">Wooden Block </t>
  </si>
  <si>
    <t>Rail Grinding Stone ( weld Grin</t>
  </si>
  <si>
    <t xml:space="preserve">Igniter </t>
  </si>
  <si>
    <t>Luting Sand</t>
  </si>
  <si>
    <t>Single shot Crucible</t>
  </si>
  <si>
    <t>Prelerbricated Dry Mould -Three</t>
  </si>
  <si>
    <t>Detonators</t>
  </si>
  <si>
    <t>Block Oil (used)</t>
  </si>
  <si>
    <t xml:space="preserve">Water Bottle </t>
  </si>
  <si>
    <t xml:space="preserve">Safety Jacket </t>
  </si>
  <si>
    <r>
      <t xml:space="preserve">foHkkxh; [kkrk feyku iqLrd
</t>
    </r>
    <r>
      <rPr>
        <b/>
        <sz val="24"/>
        <color theme="1"/>
        <rFont val="Times New Roman"/>
        <family val="1"/>
      </rPr>
      <t>DEPARTMENTAL LEDGER AND TALLY BOOK</t>
    </r>
  </si>
  <si>
    <r>
      <t xml:space="preserve">ewY; lwph@dwV la[;k </t>
    </r>
    <r>
      <rPr>
        <b/>
        <sz val="18"/>
        <color theme="1"/>
        <rFont val="Times New Roman"/>
        <family val="1"/>
      </rPr>
      <t>Price List / Code No.</t>
    </r>
  </si>
  <si>
    <r>
      <t xml:space="preserve">feyku i= la[;k </t>
    </r>
    <r>
      <rPr>
        <sz val="16"/>
        <color theme="1"/>
        <rFont val="Times New Roman"/>
        <family val="1"/>
      </rPr>
      <t>Tally Code No.</t>
    </r>
  </si>
  <si>
    <r>
      <t xml:space="preserve">;wfuV </t>
    </r>
    <r>
      <rPr>
        <sz val="16"/>
        <color theme="1"/>
        <rFont val="Times New Roman"/>
        <family val="1"/>
      </rPr>
      <t>Unit</t>
    </r>
  </si>
  <si>
    <r>
      <t xml:space="preserve">oLrq dk fooj.k </t>
    </r>
    <r>
      <rPr>
        <b/>
        <sz val="18"/>
        <color theme="1"/>
        <rFont val="Times New Roman"/>
        <family val="1"/>
      </rPr>
      <t>Description of the Article</t>
    </r>
  </si>
  <si>
    <r>
      <t xml:space="preserve">ys[kk dk;kZy; i`"B la[;k </t>
    </r>
    <r>
      <rPr>
        <sz val="16"/>
        <color theme="1"/>
        <rFont val="Times New Roman"/>
        <family val="1"/>
      </rPr>
      <t>Accounts Office File No.</t>
    </r>
  </si>
  <si>
    <r>
      <rPr>
        <b/>
        <sz val="14"/>
        <color theme="1"/>
        <rFont val="Kruti Dev 010"/>
      </rPr>
      <t xml:space="preserve">ekg vkSj rkjh[k
</t>
    </r>
    <r>
      <rPr>
        <b/>
        <sz val="14"/>
        <color theme="1"/>
        <rFont val="Times New Roman"/>
        <family val="1"/>
      </rPr>
      <t>Month  and Date</t>
    </r>
  </si>
  <si>
    <r>
      <t xml:space="preserve">izkfIr ;k fuxZe okmpj la[;k vkSj rkjh[k
</t>
    </r>
    <r>
      <rPr>
        <b/>
        <sz val="14"/>
        <color theme="1"/>
        <rFont val="Times New Roman"/>
        <family val="1"/>
      </rPr>
      <t>No. and Date of Receiot or issue Voucher</t>
    </r>
  </si>
  <si>
    <r>
      <rPr>
        <b/>
        <sz val="14"/>
        <color theme="1"/>
        <rFont val="Kruti Dev 010"/>
      </rPr>
      <t xml:space="preserve">fdlls izkIr gqvk ;k fdls tkjh fd;k
</t>
    </r>
    <r>
      <rPr>
        <b/>
        <sz val="14"/>
        <color theme="1"/>
        <rFont val="Times New Roman"/>
        <family val="1"/>
      </rPr>
      <t>From Whom received or to whom issued</t>
    </r>
  </si>
  <si>
    <r>
      <rPr>
        <b/>
        <sz val="14"/>
        <color theme="1"/>
        <rFont val="Kruti Dev 010"/>
      </rPr>
      <t xml:space="preserve">izkfIr ;k fuxZe dk mn~ns';
</t>
    </r>
    <r>
      <rPr>
        <b/>
        <sz val="14"/>
        <color theme="1"/>
        <rFont val="Times New Roman"/>
        <family val="1"/>
      </rPr>
      <t>Purpose for which received or issue</t>
    </r>
  </si>
  <si>
    <r>
      <rPr>
        <b/>
        <sz val="14"/>
        <color theme="1"/>
        <rFont val="Kruti Dev 010"/>
      </rPr>
      <t xml:space="preserve">izkfIr 
</t>
    </r>
    <r>
      <rPr>
        <b/>
        <sz val="14"/>
        <color theme="1"/>
        <rFont val="Times New Roman"/>
        <family val="1"/>
      </rPr>
      <t>Receipt</t>
    </r>
  </si>
  <si>
    <r>
      <rPr>
        <b/>
        <sz val="14"/>
        <color theme="1"/>
        <rFont val="Kruti Dev 010"/>
      </rPr>
      <t xml:space="preserve">LFkkukarj.k 
</t>
    </r>
    <r>
      <rPr>
        <b/>
        <sz val="14"/>
        <color theme="1"/>
        <rFont val="Times New Roman"/>
        <family val="1"/>
      </rPr>
      <t>Transfer</t>
    </r>
  </si>
  <si>
    <r>
      <rPr>
        <b/>
        <sz val="14"/>
        <color theme="1"/>
        <rFont val="Kruti Dev 010"/>
      </rPr>
      <t xml:space="preserve">fuxZe
</t>
    </r>
    <r>
      <rPr>
        <b/>
        <sz val="14"/>
        <color theme="1"/>
        <rFont val="Times New Roman"/>
        <family val="1"/>
      </rPr>
      <t>Issues</t>
    </r>
  </si>
  <si>
    <r>
      <rPr>
        <b/>
        <sz val="14"/>
        <color theme="1"/>
        <rFont val="Kruti Dev 010"/>
      </rPr>
      <t xml:space="preserve"> 'ks"k</t>
    </r>
    <r>
      <rPr>
        <b/>
        <sz val="14"/>
        <color theme="1"/>
        <rFont val="Times New Roman"/>
        <family val="1"/>
      </rPr>
      <t xml:space="preserve"> 
Balance</t>
    </r>
  </si>
  <si>
    <r>
      <rPr>
        <b/>
        <sz val="14"/>
        <color theme="1"/>
        <rFont val="Kruti Dev 010"/>
      </rPr>
      <t xml:space="preserve">vk|{kj
</t>
    </r>
    <r>
      <rPr>
        <b/>
        <sz val="14"/>
        <color theme="1"/>
        <rFont val="Times New Roman"/>
        <family val="1"/>
      </rPr>
      <t>Signature</t>
    </r>
  </si>
  <si>
    <r>
      <t xml:space="preserve">ux </t>
    </r>
    <r>
      <rPr>
        <b/>
        <sz val="14"/>
        <color theme="1"/>
        <rFont val="Times New Roman"/>
        <family val="1"/>
      </rPr>
      <t xml:space="preserve">No. 
</t>
    </r>
    <r>
      <rPr>
        <b/>
        <sz val="14"/>
        <color theme="1"/>
        <rFont val="Kruti Dev 010"/>
      </rPr>
      <t xml:space="preserve">Vu </t>
    </r>
    <r>
      <rPr>
        <b/>
        <sz val="14"/>
        <color theme="1"/>
        <rFont val="Times New Roman"/>
        <family val="1"/>
      </rPr>
      <t xml:space="preserve">Tonnes
</t>
    </r>
    <r>
      <rPr>
        <b/>
        <sz val="14"/>
        <color theme="1"/>
        <rFont val="Kruti Dev 010"/>
      </rPr>
      <t xml:space="preserve"> fd-xzk-</t>
    </r>
    <r>
      <rPr>
        <b/>
        <sz val="14"/>
        <color theme="1"/>
        <rFont val="Times New Roman"/>
        <family val="1"/>
      </rPr>
      <t>Kgs.</t>
    </r>
  </si>
  <si>
    <t>A</t>
  </si>
  <si>
    <t>B</t>
  </si>
  <si>
    <t>C</t>
  </si>
  <si>
    <t>D</t>
  </si>
  <si>
    <t>25/04/2024</t>
  </si>
  <si>
    <t>E-waybill- 20240014 dated 20.04.2024</t>
  </si>
  <si>
    <t>Multination india ltd. 
(Ordnance factory Dehuroad)</t>
  </si>
  <si>
    <t>Track Maintenance</t>
  </si>
  <si>
    <t>Munilions India Pvt. Ltd, Delhi Road</t>
  </si>
  <si>
    <t>JPM/OP&amp;BD / JUDN UDHAM SOLANKI</t>
  </si>
  <si>
    <t xml:space="preserve">Sation Safity Equipment </t>
  </si>
  <si>
    <t>28/05/2024</t>
  </si>
  <si>
    <t xml:space="preserve">ExrlCIVILl -1 / JUDN Sh. Abhishek Sharma </t>
  </si>
  <si>
    <t>Issued to IMSD/ JUDN</t>
  </si>
  <si>
    <t>30/05/2024</t>
  </si>
  <si>
    <t>Sr. Exe/CIVILl/ SMUN Sh. Surendera Kumar</t>
  </si>
  <si>
    <t>Hot weather Patrolman</t>
  </si>
  <si>
    <t xml:space="preserve">Sr. Exe/CIVILl/ SMUN Sh.Harpal singh </t>
  </si>
  <si>
    <t>DY CDM/ Elee /UMB</t>
  </si>
  <si>
    <t>Safity Item</t>
  </si>
  <si>
    <t>DY DM/ Elee /JUDN</t>
  </si>
  <si>
    <t>GP/DFC/ Ambala 1180dl - 26.11.2024</t>
  </si>
  <si>
    <t>Surendera Kumar  Sr. Exe/Civil/KNNN</t>
  </si>
  <si>
    <t>For L/C Gate</t>
  </si>
  <si>
    <t>GP/DFC/ Ambala 1183dl - 12.12.2024</t>
  </si>
  <si>
    <t>Sub Shyam lal , Retd AWPO Ambala</t>
  </si>
  <si>
    <t>For Patrolmen</t>
  </si>
  <si>
    <t>GREASE ( IS : 408-2020)</t>
  </si>
  <si>
    <r>
      <rPr>
        <b/>
        <sz val="16"/>
        <color theme="1"/>
        <rFont val="Kruti Dev 010"/>
      </rPr>
      <t xml:space="preserve">ekg vkSj rkjh[k
</t>
    </r>
    <r>
      <rPr>
        <b/>
        <sz val="16"/>
        <color theme="1"/>
        <rFont val="Times New Roman"/>
        <family val="1"/>
      </rPr>
      <t>Month  and Date</t>
    </r>
  </si>
  <si>
    <r>
      <rPr>
        <b/>
        <sz val="16"/>
        <color theme="1"/>
        <rFont val="Kruti Dev 010"/>
      </rPr>
      <t xml:space="preserve">fdlls izkIr gqvk ;k fdls tkjh fd;k
</t>
    </r>
    <r>
      <rPr>
        <b/>
        <sz val="16"/>
        <color theme="1"/>
        <rFont val="Times New Roman"/>
        <family val="1"/>
      </rPr>
      <t>From Whom received or to whom issued</t>
    </r>
  </si>
  <si>
    <r>
      <rPr>
        <b/>
        <sz val="16"/>
        <color theme="1"/>
        <rFont val="Kruti Dev 010"/>
      </rPr>
      <t xml:space="preserve">izkfIr ;k fuxZe dk mn~ns';
</t>
    </r>
    <r>
      <rPr>
        <b/>
        <sz val="16"/>
        <color theme="1"/>
        <rFont val="Times New Roman"/>
        <family val="1"/>
      </rPr>
      <t>Purpose for which received or issue</t>
    </r>
  </si>
  <si>
    <r>
      <rPr>
        <b/>
        <sz val="16"/>
        <color theme="1"/>
        <rFont val="Kruti Dev 010"/>
      </rPr>
      <t xml:space="preserve">vk|{kj
</t>
    </r>
    <r>
      <rPr>
        <b/>
        <sz val="16"/>
        <color theme="1"/>
        <rFont val="Times New Roman"/>
        <family val="1"/>
      </rPr>
      <t>Signature</t>
    </r>
  </si>
  <si>
    <r>
      <t xml:space="preserve">ux </t>
    </r>
    <r>
      <rPr>
        <b/>
        <sz val="16"/>
        <color theme="1"/>
        <rFont val="Times New Roman"/>
        <family val="1"/>
      </rPr>
      <t xml:space="preserve">No. 
</t>
    </r>
    <r>
      <rPr>
        <b/>
        <sz val="16"/>
        <color theme="1"/>
        <rFont val="Kruti Dev 010"/>
      </rPr>
      <t xml:space="preserve">Vu </t>
    </r>
    <r>
      <rPr>
        <b/>
        <sz val="16"/>
        <color theme="1"/>
        <rFont val="Times New Roman"/>
        <family val="1"/>
      </rPr>
      <t xml:space="preserve">Tonnes
</t>
    </r>
    <r>
      <rPr>
        <b/>
        <sz val="16"/>
        <color theme="1"/>
        <rFont val="Kruti Dev 010"/>
      </rPr>
      <t xml:space="preserve"> fd-xzk-</t>
    </r>
    <r>
      <rPr>
        <b/>
        <sz val="16"/>
        <color theme="1"/>
        <rFont val="Times New Roman"/>
        <family val="1"/>
      </rPr>
      <t>Kgs.
Ltr.</t>
    </r>
  </si>
  <si>
    <r>
      <t xml:space="preserve">ux </t>
    </r>
    <r>
      <rPr>
        <b/>
        <sz val="16"/>
        <color theme="1"/>
        <rFont val="Times New Roman"/>
        <family val="1"/>
      </rPr>
      <t xml:space="preserve">No. 
</t>
    </r>
    <r>
      <rPr>
        <b/>
        <sz val="16"/>
        <color theme="1"/>
        <rFont val="Kruti Dev 010"/>
      </rPr>
      <t xml:space="preserve">Vu </t>
    </r>
    <r>
      <rPr>
        <b/>
        <sz val="16"/>
        <color theme="1"/>
        <rFont val="Times New Roman"/>
        <family val="1"/>
      </rPr>
      <t xml:space="preserve">Tonnes
</t>
    </r>
    <r>
      <rPr>
        <b/>
        <sz val="16"/>
        <color theme="1"/>
        <rFont val="Kruti Dev 010"/>
      </rPr>
      <t xml:space="preserve"> fd-xzk-</t>
    </r>
    <r>
      <rPr>
        <b/>
        <sz val="16"/>
        <color theme="1"/>
        <rFont val="Times New Roman"/>
        <family val="1"/>
      </rPr>
      <t>Kgs.</t>
    </r>
  </si>
  <si>
    <t>Invoice No.11 dtol  08/04/2024</t>
  </si>
  <si>
    <t>Bombay Industries Ludhiana, Punjab</t>
  </si>
  <si>
    <t>For lubriling ERCS &amp; T10</t>
  </si>
  <si>
    <t>1202/GD/DFC/ Ambala Date 09/07/2024</t>
  </si>
  <si>
    <t>Executive /CIVILl / JUDN</t>
  </si>
  <si>
    <t>P-way work</t>
  </si>
  <si>
    <t>102/09/10/2024</t>
  </si>
  <si>
    <t>Sai Associates Sector 50 Noida</t>
  </si>
  <si>
    <t>14/10/2024</t>
  </si>
  <si>
    <t>Gp/DFC/ Ambala Sr. 1223 Date 14/10/2024</t>
  </si>
  <si>
    <t>13/8/2025</t>
  </si>
  <si>
    <t>Gp/DFC/
Ambala Sr. 1152 
Date 13/8/2025</t>
  </si>
  <si>
    <t>CHAN YARD</t>
  </si>
  <si>
    <t>31/1/2026</t>
  </si>
  <si>
    <t xml:space="preserve">Gp/DFC/
Ambala Sr. 1171
</t>
  </si>
  <si>
    <t xml:space="preserve">Use in Yard for 
Greasing of Point 
at IMSD Section </t>
  </si>
  <si>
    <t xml:space="preserve">Gp/DFC/
Ambala Sr. 1173
</t>
  </si>
  <si>
    <t xml:space="preserve">Gp/DFC/
Ambala Sr. 1175
</t>
  </si>
  <si>
    <t>Use in Sleeper 
Scerew greas</t>
  </si>
  <si>
    <t>20/3/2026</t>
  </si>
  <si>
    <t xml:space="preserve">Gp/DFC/
Ambala Sr. 2203
</t>
  </si>
  <si>
    <t>22/04/2026</t>
  </si>
  <si>
    <t>Gp/DFC/
Ambala Sr. 2206</t>
  </si>
  <si>
    <r>
      <t xml:space="preserve">ux </t>
    </r>
    <r>
      <rPr>
        <b/>
        <sz val="14"/>
        <color theme="1"/>
        <rFont val="Times New Roman"/>
        <family val="1"/>
      </rPr>
      <t xml:space="preserve">No. 
</t>
    </r>
    <r>
      <rPr>
        <b/>
        <sz val="14"/>
        <color theme="1"/>
        <rFont val="Kruti Dev 010"/>
      </rPr>
      <t xml:space="preserve">Vu </t>
    </r>
    <r>
      <rPr>
        <b/>
        <sz val="14"/>
        <color theme="1"/>
        <rFont val="Times New Roman"/>
        <family val="1"/>
      </rPr>
      <t xml:space="preserve">Tonnes
 </t>
    </r>
    <r>
      <rPr>
        <b/>
        <sz val="14"/>
        <color theme="1"/>
        <rFont val="Kruti Dev 010"/>
      </rPr>
      <t>fd-xzk-</t>
    </r>
    <r>
      <rPr>
        <b/>
        <sz val="14"/>
        <color theme="1"/>
        <rFont val="Times New Roman"/>
        <family val="1"/>
      </rPr>
      <t>Kgs.
Ltr.</t>
    </r>
  </si>
  <si>
    <t>Invoice no. 11 08/04/2024</t>
  </si>
  <si>
    <t>Bombay Industries Ludhiana , Punjab</t>
  </si>
  <si>
    <t>For lubricabing ERCS &amp;t10</t>
  </si>
  <si>
    <t xml:space="preserve">GP/DFC/Ambala 
Sr. No. 1152
</t>
  </si>
  <si>
    <t xml:space="preserve">Km - 1236 / 15-16 
CHAN Yard </t>
  </si>
  <si>
    <t xml:space="preserve">P-way </t>
  </si>
  <si>
    <t xml:space="preserve">GP/DFC/Ambala 
Sr. No. 1173
</t>
  </si>
  <si>
    <t xml:space="preserve">Use in Point and 
IMSD SMUN Section </t>
  </si>
  <si>
    <t xml:space="preserve">Use Sleeper sce 
Greasing </t>
  </si>
  <si>
    <t>ML</t>
  </si>
  <si>
    <t>Water Bottle</t>
  </si>
  <si>
    <t>27/05/2024</t>
  </si>
  <si>
    <t>24-25/DC/03 Dated : 27/05/2024</t>
  </si>
  <si>
    <t>Papu Assoriata Ambala</t>
  </si>
  <si>
    <t>H.W PAPOLING</t>
  </si>
  <si>
    <t xml:space="preserve">28/05/2024 </t>
  </si>
  <si>
    <t>24-25/ DC/ 03 Dated: 28.5.2024</t>
  </si>
  <si>
    <t xml:space="preserve">Sh. Abhishek Sharma  Exr / CIVILl/ JUDN </t>
  </si>
  <si>
    <t>Issued to IMSD / JUDN</t>
  </si>
  <si>
    <t>24-25 / DC/ 03 Dated : 28/05/2024</t>
  </si>
  <si>
    <t xml:space="preserve">Sr. Exe/ CIVILl / SMUN Harpal singh </t>
  </si>
  <si>
    <t>Hot weather Patrol men</t>
  </si>
  <si>
    <t>24-25/DC/03 Dated : 28/05/2024</t>
  </si>
  <si>
    <t xml:space="preserve">Sr. Exe/ CIVILl /KNNN Surendera kumar </t>
  </si>
  <si>
    <t>31/3/2026</t>
  </si>
  <si>
    <t>GP / DFC/  Ambala 
Sr. No 2204</t>
  </si>
  <si>
    <t>For use in Keyman
Patrolman And staff</t>
  </si>
  <si>
    <t>Mobile Dustbin</t>
  </si>
  <si>
    <t>31/05/2024</t>
  </si>
  <si>
    <t>Invoice no. 1853 Dated 31/5/2024</t>
  </si>
  <si>
    <t>Prabhu steels</t>
  </si>
  <si>
    <t xml:space="preserve">For IMSD SMUN &amp; IMSD JUDN </t>
  </si>
  <si>
    <t>Invoice no. 1853 Dated 31/5/2024 Prabhu steels</t>
  </si>
  <si>
    <t xml:space="preserve">Sh. Abhishek Sharma Exc./ CIVILl/ JUDN </t>
  </si>
  <si>
    <t>For  IMJD JUDN</t>
  </si>
  <si>
    <t>29/10/2025</t>
  </si>
  <si>
    <t>Mobile Container 
Dustbin solid waste</t>
  </si>
  <si>
    <t>IMD CHAN</t>
  </si>
  <si>
    <t xml:space="preserve">For waste use </t>
  </si>
  <si>
    <t>Prelerbricated Dry  Mould - Three Pc. (60 kg Rail)</t>
  </si>
  <si>
    <t>30/6/2024</t>
  </si>
  <si>
    <t>0101/24-25</t>
  </si>
  <si>
    <t>M/S Chakradhar Industries</t>
  </si>
  <si>
    <t>Track Related works</t>
  </si>
  <si>
    <t xml:space="preserve">GP/ DFC Ambala 1203 Dated: 07/07/2024 </t>
  </si>
  <si>
    <t>Sr. Exe /CIVILl/ SMUN</t>
  </si>
  <si>
    <t xml:space="preserve">P- way work </t>
  </si>
  <si>
    <t>15/07/2025</t>
  </si>
  <si>
    <t>GP / DFC/ Ambala Sr. No. 1208</t>
  </si>
  <si>
    <t>IMSD / JUDN</t>
  </si>
  <si>
    <t>25/03/2025</t>
  </si>
  <si>
    <t>GP/DFC/Ambala Sr.No. 1198 Dated 25.03.2025</t>
  </si>
  <si>
    <t xml:space="preserve">IMSD/ JUDN </t>
  </si>
  <si>
    <t>GP/DFC/Ambala Sr.No. 1151</t>
  </si>
  <si>
    <t xml:space="preserve">Km -1236/15-16 
CHAN Yard </t>
  </si>
  <si>
    <t>18/11/2025</t>
  </si>
  <si>
    <t>GP/DFC/Ambala Sr.No. 1159</t>
  </si>
  <si>
    <t xml:space="preserve">Km -1212 / 2-3 
GVGN Yard </t>
  </si>
  <si>
    <t>GP/DFC/Ambala Sr.No. 1162</t>
  </si>
  <si>
    <t xml:space="preserve">Km - 1176 /9-25 RPJ 
Link Line Br.115 </t>
  </si>
  <si>
    <t>29/01/2026</t>
  </si>
  <si>
    <t>GP/DFC/Ambala Sr.No. 1168</t>
  </si>
  <si>
    <t xml:space="preserve">Km 1208/15-16 
NSIR- GVGN Block  Section </t>
  </si>
  <si>
    <t>25/02/2026</t>
  </si>
  <si>
    <t>IMSD/SKFM/MTO 
350/35</t>
  </si>
  <si>
    <t>IMSD  / SKM</t>
  </si>
  <si>
    <t>GP/DFC/Ambala Sr.No. 1174</t>
  </si>
  <si>
    <t>KM 1212 / 02 and 
1208/ 15</t>
  </si>
  <si>
    <t xml:space="preserve">Single shot  Cruible </t>
  </si>
  <si>
    <t xml:space="preserve">30/06/2024 </t>
  </si>
  <si>
    <t xml:space="preserve">M/S  Chakradhar Industries LLP </t>
  </si>
  <si>
    <t>Track Related work</t>
  </si>
  <si>
    <t>1203/GP?DFC/ Ambal Date: 07/07/2024</t>
  </si>
  <si>
    <t>Sr. exe/ SMUN/CIVIL/</t>
  </si>
  <si>
    <t>P- way works</t>
  </si>
  <si>
    <t>15-07-2024</t>
  </si>
  <si>
    <t>GP/DFC/ Ambala Sr. 1208</t>
  </si>
  <si>
    <t>IMSD/ JUDN</t>
  </si>
  <si>
    <t>13/08/2025</t>
  </si>
  <si>
    <t>GP/DFC/ Ambala 
Sr.No. 1151</t>
  </si>
  <si>
    <t xml:space="preserve">Km 1236/15-16 
CHAN Yard </t>
  </si>
  <si>
    <t>18/8/2025</t>
  </si>
  <si>
    <t>GP/DFC/ Ambala 
Sr.No. 1159</t>
  </si>
  <si>
    <t xml:space="preserve">Km 1212/2-3 
GVGN Yard </t>
  </si>
  <si>
    <t>GP/DFC/ Ambala 
Sr.No. 1162</t>
  </si>
  <si>
    <t>Km 1176/925 RPJ 
Link Line  Br. 115</t>
  </si>
  <si>
    <t>GP/DFC/ Ambala 
Sr.No. 1168</t>
  </si>
  <si>
    <t xml:space="preserve">Km 1208/ 15-16 
NSIR GVGN Bolck section </t>
  </si>
  <si>
    <t xml:space="preserve">IMSD / SKFM / MTO 
350/35 
</t>
  </si>
  <si>
    <t>IMSD / SKFM</t>
  </si>
  <si>
    <t>GP/DFC/ Ambala 
Sr.No. 1124</t>
  </si>
  <si>
    <t>Km 1212/02 and 
1225/15</t>
  </si>
  <si>
    <t>Ig niter</t>
  </si>
  <si>
    <t>30/06/2024</t>
  </si>
  <si>
    <t xml:space="preserve">M/S Chakradhar Industries LLp </t>
  </si>
  <si>
    <t xml:space="preserve">Track Related work </t>
  </si>
  <si>
    <t>1203/GP/DFC/ Ambala dated: 07/07/2024</t>
  </si>
  <si>
    <t>Sr.Exe/CIVIL/SMUN</t>
  </si>
  <si>
    <t>P-way works</t>
  </si>
  <si>
    <t>15/07/2024</t>
  </si>
  <si>
    <t>IMSD/JUDN</t>
  </si>
  <si>
    <t>GP/DFC Ambala 1198 Dated: 25/03/2025</t>
  </si>
  <si>
    <t>GP/DFC Ambala 
Sr No. 1151</t>
  </si>
  <si>
    <t xml:space="preserve">Km 1236/15-16 
CHAN  Yard </t>
  </si>
  <si>
    <t>25/2/2026</t>
  </si>
  <si>
    <t xml:space="preserve">IMSD/SKFM </t>
  </si>
  <si>
    <t>Km 1208/15 and 1212/02</t>
  </si>
  <si>
    <t xml:space="preserve">Luting Sand </t>
  </si>
  <si>
    <t>M/S Chakradhar Industories LLP</t>
  </si>
  <si>
    <t xml:space="preserve">1203/GP/DFC /Ambala Sr </t>
  </si>
  <si>
    <t>Sr. exe/CIVILl / SMUN</t>
  </si>
  <si>
    <t>GP/DFC/ Ambal;a Sr.No. 1208</t>
  </si>
  <si>
    <t>GP/DFC/ Ambala  Sr.No. 1198 Dated: 25/03/2025</t>
  </si>
  <si>
    <t>GP/DFC/ Ambala 
 Sr.No. 1151</t>
  </si>
  <si>
    <t xml:space="preserve">Km 1236 / 15-16
CHAN Yard </t>
  </si>
  <si>
    <t>GP/DFC/ Ambala 
 Sr.No. 1159</t>
  </si>
  <si>
    <t>GP/DFC/ Ambala 
 Sr.No. 1162</t>
  </si>
  <si>
    <t xml:space="preserve">Km 1176/925 
RPJ Link Line 
Br. 115 APM </t>
  </si>
  <si>
    <t>GP/DFC/ Ambala 
 Sr.No. 1168</t>
  </si>
  <si>
    <t xml:space="preserve">Km 1208/15-16 
NSIR -GVGN Block </t>
  </si>
  <si>
    <t>IMSD/SKFM</t>
  </si>
  <si>
    <t>GP/DFC/ Ambala 
 Sr.No. 1174</t>
  </si>
  <si>
    <t xml:space="preserve">1208/15 and 1202/02 km </t>
  </si>
  <si>
    <t>183 Dated 10.5.2024</t>
  </si>
  <si>
    <t xml:space="preserve">M.S Trades &amp; Eng </t>
  </si>
  <si>
    <t xml:space="preserve">Track Related works </t>
  </si>
  <si>
    <t>16/05/2024</t>
  </si>
  <si>
    <t xml:space="preserve">183 Dated 10.5.2024 M.S Trades &amp; engg </t>
  </si>
  <si>
    <t>Abhishek Sharma   Executive/CIVILl/ JUDN</t>
  </si>
  <si>
    <t xml:space="preserve">P-Way works </t>
  </si>
  <si>
    <t xml:space="preserve"> </t>
  </si>
  <si>
    <t>Wooden Block</t>
  </si>
  <si>
    <t>20/07/2024</t>
  </si>
  <si>
    <t>11 Dated 20/07/2024</t>
  </si>
  <si>
    <t>M/S Traders &amp; engineers.</t>
  </si>
  <si>
    <t>26/07/2024</t>
  </si>
  <si>
    <t>GP/DFC/ Ambala Sr.No. 1213</t>
  </si>
  <si>
    <t xml:space="preserve"> Abhishek Sharma  /Exe / CIVILi/ JUDN/ IMSD /JUDN</t>
  </si>
  <si>
    <t>30/01/2025</t>
  </si>
  <si>
    <t>GP/DFC/ Ambala 1192 dated: 30/01/2025</t>
  </si>
  <si>
    <t>Surendera Kumar Sr. Exec/ CIVILl/ KNNN</t>
  </si>
  <si>
    <t>p-way maint works</t>
  </si>
  <si>
    <t>GP/DFC/ Ambala 
Sr. No. 1168</t>
  </si>
  <si>
    <t xml:space="preserve">km 1208/15-16
for welding work and 
Br.170 and 165 </t>
  </si>
  <si>
    <t>Gaurd Rail use to MSD</t>
  </si>
  <si>
    <t xml:space="preserve">Use in om 
weding work </t>
  </si>
  <si>
    <t>Synthetic Lubricating Grease (Lithm)</t>
  </si>
  <si>
    <t>101/09.10.2024</t>
  </si>
  <si>
    <t>Sai Associates Sector -50 Noida</t>
  </si>
  <si>
    <t>IMSD JUDN Executive / CIVILl/ JUDN</t>
  </si>
  <si>
    <t>20/9/2024</t>
  </si>
  <si>
    <t>1301 Dated 16.09.2024 (imprest)</t>
  </si>
  <si>
    <t xml:space="preserve">AMTTAL PESTCIDES Near Amar hossssspital ghnour </t>
  </si>
  <si>
    <t xml:space="preserve">P-way Related work </t>
  </si>
  <si>
    <t>24/10/2024</t>
  </si>
  <si>
    <t>1303 Dated 3.10.2024 (imprest)</t>
  </si>
  <si>
    <t>409 Date 13.10.2024 (imprest)</t>
  </si>
  <si>
    <t xml:space="preserve">M/S DAWRA SEEDS RAIPURA </t>
  </si>
  <si>
    <t xml:space="preserve">410 Date 13.10.2024 (imprest) </t>
  </si>
  <si>
    <t>411 Date 13.10.2024 (imprest)</t>
  </si>
  <si>
    <t>Gp/DFC/ Ambala Sr. No. 1176 24.10.2024</t>
  </si>
  <si>
    <t xml:space="preserve">Harpal singh Sr. exe/CIVILl/ SMUN </t>
  </si>
  <si>
    <t>28/01/2024</t>
  </si>
  <si>
    <t xml:space="preserve">Invoice No. Inr- 2024-25-80 date 24.01.2025 </t>
  </si>
  <si>
    <t xml:space="preserve">Alfa Express services </t>
  </si>
  <si>
    <t>2.12.2025</t>
  </si>
  <si>
    <t xml:space="preserve">Use in gate LC </t>
  </si>
  <si>
    <t>13.12.2025</t>
  </si>
  <si>
    <t xml:space="preserve">Use in section </t>
  </si>
  <si>
    <t>22/1/2026</t>
  </si>
  <si>
    <t xml:space="preserve">IMSD/JUDN </t>
  </si>
  <si>
    <t xml:space="preserve">Use in section at km 1190 to 1201 and 1175 to 1180 </t>
  </si>
  <si>
    <t>17/03/2024</t>
  </si>
  <si>
    <t>167 Dated 16.03.2024</t>
  </si>
  <si>
    <t>M.S Traders &amp; Enginers</t>
  </si>
  <si>
    <t xml:space="preserve">Track mainteance Related work </t>
  </si>
  <si>
    <t>28/05//2024</t>
  </si>
  <si>
    <t xml:space="preserve">167 DATED 16.03.2024 M.S. Tradness &amp; engg </t>
  </si>
  <si>
    <t>Exce/ CIVILl-1/ JUDN Abhishek Sharma</t>
  </si>
  <si>
    <t>issued to IMSD JUDN</t>
  </si>
  <si>
    <t>GP/DFC/ Ambala /1182 dated 03.12.2024</t>
  </si>
  <si>
    <t>Sub shyam lal,Retd AWPO Ambala</t>
  </si>
  <si>
    <t>for patrolmen</t>
  </si>
  <si>
    <t>16/12/2024</t>
  </si>
  <si>
    <t>GP/DFC/ Ambala /1184 dated 16.12.2024</t>
  </si>
  <si>
    <t xml:space="preserve">Vibhanshu Prasher Exce/ CIVILl/ JUDN </t>
  </si>
  <si>
    <t xml:space="preserve">P-way maint work </t>
  </si>
  <si>
    <t>15/11/2024</t>
  </si>
  <si>
    <t>Invoice No. 2425069 date 11/11/2024</t>
  </si>
  <si>
    <t>G.S Technology</t>
  </si>
  <si>
    <t xml:space="preserve"> for P-way releted works Safety </t>
  </si>
  <si>
    <t>29/01/2024</t>
  </si>
  <si>
    <t>GP/DFC/ Ambala /1190 dtae 29.01.2025</t>
  </si>
  <si>
    <t>Harpal singh Sr. Exe/CIVILl/SMUN</t>
  </si>
  <si>
    <t>key man use</t>
  </si>
  <si>
    <t xml:space="preserve">Empty Bag </t>
  </si>
  <si>
    <t>Graphite  Grease (IS: 408-202)</t>
  </si>
  <si>
    <t>Black OIL (used)</t>
  </si>
  <si>
    <t>Alumino-Thermic portion 60kg(Rail)</t>
  </si>
  <si>
    <t>Sythtic Lubricating Grease (Lithum)</t>
  </si>
  <si>
    <t xml:space="preserve">Herbicide </t>
  </si>
  <si>
    <t>Empty goney bags (Earth bag)</t>
  </si>
  <si>
    <t>Wooden Block For Check Rail</t>
  </si>
  <si>
    <t xml:space="preserve">Patrolman/Handheld rechageable Torch </t>
  </si>
  <si>
    <t>PATROLMAN TORCH</t>
  </si>
  <si>
    <t xml:space="preserve">For track Maintence &amp; Related works </t>
  </si>
  <si>
    <t>167 Date 16.03.2024 M.S Treades &amp; engg</t>
  </si>
  <si>
    <t>Issued to IMSD  JUDN</t>
  </si>
  <si>
    <t>Dy. CPM/ENGG/-11/UMB J.P GOYAL</t>
  </si>
  <si>
    <t xml:space="preserve">For officiol Purpose </t>
  </si>
  <si>
    <t>17/08/2024</t>
  </si>
  <si>
    <t>DPM/ENGG-111/UMB Amarnath</t>
  </si>
  <si>
    <t>27/11/2024</t>
  </si>
  <si>
    <t xml:space="preserve">GP/DFC/ Ambala  / 1181 Dated: 27.11.2024 </t>
  </si>
  <si>
    <t>Gurnaam singh operation officer, AWPO</t>
  </si>
  <si>
    <t xml:space="preserve">For Petrolmen </t>
  </si>
  <si>
    <t xml:space="preserve">GP/DFC/ Ambala  / 1182 Dated: 03.12.2024 </t>
  </si>
  <si>
    <t>Sub,Shyamlal, Retd Aunpo, Ambala</t>
  </si>
  <si>
    <t xml:space="preserve">GP/DFC/ Ambala  / 1182 Dated: 16.12.2024 </t>
  </si>
  <si>
    <t>Vibhanshu Prasher, Exe/ar/ JUDN</t>
  </si>
  <si>
    <t>P-way maint work</t>
  </si>
  <si>
    <t>20/12/2024</t>
  </si>
  <si>
    <t xml:space="preserve">Invoice No. 026/ 24-25 dated 17.12.2024 </t>
  </si>
  <si>
    <t xml:space="preserve">Shri Bala ji seth enterprises </t>
  </si>
  <si>
    <t>26/12/2024</t>
  </si>
  <si>
    <t>GP/DFC/Ambala SR. NO. 1185  DATE 26.12.2024</t>
  </si>
  <si>
    <t>Arvind yadav  Executive/CIVILl/ JUDN</t>
  </si>
  <si>
    <t xml:space="preserve">Dragon Torch </t>
  </si>
  <si>
    <t>DRAGON TORCH</t>
  </si>
  <si>
    <t>s</t>
  </si>
  <si>
    <t>167 Date 16.03.2024 M.S Treades &amp; engg Issue note-40 &amp; Date 28.05.2024</t>
  </si>
  <si>
    <t>Dy. CPM/Engg-11/UNB J.P Goyal</t>
  </si>
  <si>
    <t>for official purpose</t>
  </si>
  <si>
    <t>UMBERELLA</t>
  </si>
  <si>
    <t>22/01/2026</t>
  </si>
  <si>
    <t>GP/DFC/AMBALA/Sr. No. 1166</t>
  </si>
  <si>
    <t>IMD/CHAN</t>
  </si>
  <si>
    <t>Umrella</t>
  </si>
  <si>
    <t>Banner Flage</t>
  </si>
  <si>
    <t xml:space="preserve">BANNER FLAG </t>
  </si>
  <si>
    <t xml:space="preserve">For Track Related works </t>
  </si>
  <si>
    <t xml:space="preserve">JPM/ENGG/JUDN Sh. Pankaj Joshi </t>
  </si>
  <si>
    <t>Exce/ engg l-1/ JUDN Abhishek Sharma</t>
  </si>
  <si>
    <t>16/08/2024</t>
  </si>
  <si>
    <t>GP/DFC/ Ambala Sr. No. 1217</t>
  </si>
  <si>
    <t>Satish kumar Bhardwaj  Sr.exe/mech/SMUN</t>
  </si>
  <si>
    <t xml:space="preserve">Machine department </t>
  </si>
  <si>
    <t>KEY MEN BAG</t>
  </si>
  <si>
    <t xml:space="preserve">For Mantince Related works </t>
  </si>
  <si>
    <t>Exce/ CIVILL-1/ JUDN Abhishek Sharma</t>
  </si>
  <si>
    <t>13/09/2025</t>
  </si>
  <si>
    <t>ISSUE FOR KEYMAN AT IMSD SMUN</t>
  </si>
  <si>
    <t>FOR KEYMAN USE</t>
  </si>
  <si>
    <t>P-WAY WORK</t>
  </si>
  <si>
    <t>ISSUE FOR Patrolman AT IMSD SMUN</t>
  </si>
  <si>
    <t>Keyman Bag</t>
  </si>
  <si>
    <t xml:space="preserve">Tri color Troch </t>
  </si>
  <si>
    <t>=</t>
  </si>
  <si>
    <t xml:space="preserve">TRI COLOR TORCH </t>
  </si>
  <si>
    <t>28/02/2024</t>
  </si>
  <si>
    <t>166 Dated 27.02.2024</t>
  </si>
  <si>
    <t>Track mintenace &amp; opreation works</t>
  </si>
  <si>
    <t>ISSUE NOTE-73 DATED 28.02.204</t>
  </si>
  <si>
    <t>JPM/ENGG/JUDN UDHAM SOLANAKI</t>
  </si>
  <si>
    <t>APIPL/ 24-25/033 DATE 06/11/2024 (PLACED AT Sr. No. 278)</t>
  </si>
  <si>
    <t xml:space="preserve">Aabu Pakaging India Private Limited </t>
  </si>
  <si>
    <t xml:space="preserve">      </t>
  </si>
  <si>
    <t>20/11/2025</t>
  </si>
  <si>
    <t>GP/DFC/ Ambala 1179 date: 20.11.2024</t>
  </si>
  <si>
    <t>Vishbhanu Prasher, Exe/Civ/ JUDN</t>
  </si>
  <si>
    <t>27.11.2024</t>
  </si>
  <si>
    <t>GP/DFC/ Ambala 1181 date: 27.11.2024</t>
  </si>
  <si>
    <t>Gurnam sinbgh Operational offr, AWPO</t>
  </si>
  <si>
    <t>Patrol Man (AWPO)</t>
  </si>
  <si>
    <t>03.12.2024</t>
  </si>
  <si>
    <t>GP/DFC/ Ambala 1182 date: 03.12.2024</t>
  </si>
  <si>
    <t xml:space="preserve">Sub Shyaml;al, Retd. AWPO, Ambala </t>
  </si>
  <si>
    <t>For Patrol Men</t>
  </si>
  <si>
    <t xml:space="preserve">HS Flag Red </t>
  </si>
  <si>
    <t xml:space="preserve">HS FLAG RED </t>
  </si>
  <si>
    <t>INV NO. 42 DATED  11.11.2024</t>
  </si>
  <si>
    <t xml:space="preserve">INTACT ENTERPRISES </t>
  </si>
  <si>
    <t>P- way work</t>
  </si>
  <si>
    <t xml:space="preserve">For Patrol Men </t>
  </si>
  <si>
    <t>30.12.2024</t>
  </si>
  <si>
    <t>GP/DFC/ Ambala 1191 date: 30.01.2024</t>
  </si>
  <si>
    <t>SURENDRA KUMAR Sr. Exec/civ/ KNNN</t>
  </si>
  <si>
    <t xml:space="preserve">For P- way maint work </t>
  </si>
  <si>
    <t>HS Flag Green</t>
  </si>
  <si>
    <t>HS FLAG GREEN</t>
  </si>
  <si>
    <t>Invoice no. 2425068 dated 09/11/2024</t>
  </si>
  <si>
    <t xml:space="preserve">M/S GS Technology </t>
  </si>
  <si>
    <t xml:space="preserve">P-way works </t>
  </si>
  <si>
    <t xml:space="preserve">For Patrol Man </t>
  </si>
  <si>
    <t>30/12/2024</t>
  </si>
  <si>
    <t>GP/DFC/ Ambala 1192 date: 30.01.2024</t>
  </si>
  <si>
    <t xml:space="preserve">Surendera kumar Sr. Exec/CIVIL/ KNNN </t>
  </si>
  <si>
    <t xml:space="preserve">For P-way maint work </t>
  </si>
  <si>
    <t xml:space="preserve">Rail Disc Cutter Wheel Stone </t>
  </si>
  <si>
    <t xml:space="preserve">RAIL DISC CUTTER </t>
  </si>
  <si>
    <t>km 1236/15-16</t>
  </si>
  <si>
    <t>GP/ DFC/ Ambala  Sr.No. 1159 dt. 18.11.2025</t>
  </si>
  <si>
    <t>GP/ DFC/ Ambala  Sr.No. 1153 dt. 13.08.2025</t>
  </si>
  <si>
    <t>km 1212/2-3</t>
  </si>
  <si>
    <t>GP/ DFC/ Ambala  Sr.No. 1163 dt. 02.12.2025</t>
  </si>
  <si>
    <t>km1176.925 RPJ line</t>
  </si>
  <si>
    <t>GP/ DFC/ Ambala  Sr.No. 1169 dt. 29.01.2026</t>
  </si>
  <si>
    <t>km 1208/15-16</t>
  </si>
  <si>
    <t>GP/ DFC/ Ambala  Sr.No. 2204 dt. 31.03.2026</t>
  </si>
  <si>
    <t>SMUN yard and 1208, 1212</t>
  </si>
  <si>
    <t>GP/ DFC/ Ambala  Sr.No. 2206 dt. 22.04.2026</t>
  </si>
  <si>
    <t>welding site 1227</t>
  </si>
  <si>
    <t>issue for patrolman</t>
  </si>
  <si>
    <t>Mansoon and Cold weather patrolman</t>
  </si>
  <si>
    <t>Wooden block fo Guaard Rail</t>
  </si>
  <si>
    <t>Invoice no.125 Dated 13.09.2025</t>
  </si>
  <si>
    <t xml:space="preserve">Sai Associates </t>
  </si>
  <si>
    <t>for guard Rail</t>
  </si>
  <si>
    <t>GP/DFC/Ambala/sr.no. 1551 dt. 01.07.2025</t>
  </si>
  <si>
    <t>GP/DFC/Ambala/sr.no. 1555dt. 29.07.2026</t>
  </si>
  <si>
    <t>GP/DFC/Ambala/sr.no. 1557 dt. 31.07.2025</t>
  </si>
  <si>
    <t>GP/DFC/Ambala/sr.no. 1556 dt. 30.07.2025</t>
  </si>
  <si>
    <t xml:space="preserve">for Keyman use </t>
  </si>
  <si>
    <t xml:space="preserve">Note Dated 12/04/2025 IMSD/incharge </t>
  </si>
  <si>
    <t xml:space="preserve">for Mansoon patrolling </t>
  </si>
  <si>
    <t>for cold weather patrolman</t>
  </si>
  <si>
    <t>GP/DFC/Ambala sr. no 1204 dt. 07.07.2024</t>
  </si>
  <si>
    <t>0101/24-25 dt. 30.06.2024</t>
  </si>
  <si>
    <t xml:space="preserve">M/S chakradher industries </t>
  </si>
  <si>
    <t>Sr.Exex./SMUN/c</t>
  </si>
  <si>
    <t>15.07.2024</t>
  </si>
  <si>
    <t>GP/DFC/Ambala sr. no 1208 dt. 15.07.2024</t>
  </si>
  <si>
    <t>km 1208</t>
  </si>
  <si>
    <t>GP/DFC/Ambala sr. no 1169 dt. 29.01.2026</t>
  </si>
  <si>
    <t>GP/DFC/Ambala sr. no 2204dt. 31.03.2026</t>
  </si>
  <si>
    <t>welding site</t>
  </si>
  <si>
    <t>GP/DFC/Ambala sr. no 2206 dt. 22.04.2026</t>
  </si>
  <si>
    <t>IMSD / SKFN / MTO 
350/35</t>
  </si>
  <si>
    <t>Portion 60 kg</t>
  </si>
  <si>
    <t>Invoice no. 0101 Dated 30.06.2024</t>
  </si>
  <si>
    <t>M/S chakradhar industries llp</t>
  </si>
  <si>
    <t>Track related work</t>
  </si>
  <si>
    <t>GP/DFC/AMBALA sr.no. 1203 dt. 07.07.2024</t>
  </si>
  <si>
    <t>sr.exe./c/smun</t>
  </si>
  <si>
    <t>GP/DFC/AMBALA sr.no. 1208 dt. 15.07.2024</t>
  </si>
  <si>
    <t>GP/DFC/AMBALA sr.no. 1198 dt. 25.03.2025</t>
  </si>
  <si>
    <t>GP/DFC/AMBALA sr.no. 1151 dt. 13.08.2025</t>
  </si>
  <si>
    <t>GP/DFC/AMBALA sr.no. 1159 dt. 18.11.2025</t>
  </si>
  <si>
    <t>1212/2-3</t>
  </si>
  <si>
    <t>GP/DFC/AMBALA sr.no. 1162 dt. 02.12.2025</t>
  </si>
  <si>
    <t>GP/DFC/AMBALA sr.no. 1168 dt.29.01.2026</t>
  </si>
  <si>
    <t>1208/15-16</t>
  </si>
  <si>
    <t>MTO/350/35 DT. 21.02.2026</t>
  </si>
  <si>
    <t>IMSD/SKFN</t>
  </si>
  <si>
    <t>GP/DFC/AMBALA sr.no. 1174 dt. 25.02.2026</t>
  </si>
  <si>
    <t>1212/02 AND 1208/15</t>
  </si>
  <si>
    <t>GD/DFC/ Ambala Sr. No. 1211</t>
  </si>
  <si>
    <t>GD/DFC/Ambala Sr. 1210</t>
  </si>
  <si>
    <t>GP/DFC/Ambala sr.no. 2210 dt. 20/05/2026</t>
  </si>
  <si>
    <t xml:space="preserve">point greasing </t>
  </si>
  <si>
    <t xml:space="preserve">GP/DFC/Ambala 
Sr. No. 1173  20.05.2026
</t>
  </si>
  <si>
    <t>GP/DFC/ Ambala sr.No. 1198</t>
  </si>
  <si>
    <t>GP/DFC Ambala 
Sr No.1159</t>
  </si>
  <si>
    <t>IMSD SKFN/MTO/350/35 dt 21.02.2026</t>
  </si>
  <si>
    <t>GP/DFC Ambala 
Sr No. 1174</t>
  </si>
  <si>
    <t>GP/DFC/Ambala Sr.No. 1208</t>
  </si>
  <si>
    <t>1223/GP/DFC/ Ambala dated: 14/10/2024</t>
  </si>
  <si>
    <t>GP/DFC/ Ambala 
Sr. No. 1163</t>
  </si>
  <si>
    <t>GP/DFC/ Ambala 
Sr. No. 1164</t>
  </si>
  <si>
    <t>GP/DFC/ Ambala 
Sr. No. 1165</t>
  </si>
  <si>
    <t>GP/DFC/ Ambala 
Sr. No. 1171</t>
  </si>
  <si>
    <t>GP/DFC/ Ambala 
Sr. No. 2210</t>
  </si>
  <si>
    <t>use in section  at SBJN Yard</t>
  </si>
  <si>
    <t>GP/DFC/ Ambala 
Sr. No. 2026</t>
  </si>
  <si>
    <t>Elect dept</t>
  </si>
  <si>
    <t>GP/26/000115 dt. 13.08.2026</t>
  </si>
  <si>
    <t xml:space="preserve">Security Patrolling after bomb blast </t>
  </si>
  <si>
    <t xml:space="preserve">Track Patrolling </t>
  </si>
  <si>
    <t>Keyman</t>
  </si>
  <si>
    <t>GP/26/000116 dt. 13.08.2026</t>
  </si>
  <si>
    <t>GP/26/000117 dt. 13.08.2026</t>
  </si>
  <si>
    <t>Bridge Watchman</t>
  </si>
  <si>
    <t>Black Smith and helper</t>
  </si>
  <si>
    <t>GP/26/000118 dt. 13.08.2026</t>
  </si>
  <si>
    <t>GP/26/000119dt. 13.08.2026</t>
  </si>
  <si>
    <t>Rpf Staff</t>
  </si>
  <si>
    <t>GP/26/000120dt. 13.08.2026</t>
  </si>
  <si>
    <t>Gang Staff</t>
  </si>
  <si>
    <t>GP/26/000121dt. 13.08.2027</t>
  </si>
  <si>
    <t>MTS Staff</t>
  </si>
  <si>
    <t>GP/DFC/Ambala/sr.no.2139 dt. 16.06.2026</t>
  </si>
  <si>
    <t xml:space="preserve">Use in Rain Cut </t>
  </si>
  <si>
    <t>GP/DFC/Ambala/sr.no.1575 dt. 20.07.2026</t>
  </si>
  <si>
    <t>Gate Pass No. GP/25/000111 Date 22.09.2026</t>
  </si>
  <si>
    <t>GP/DFC/ Ambala sr.No. 2216 dt. 07.08.2026</t>
  </si>
  <si>
    <t>Abhay kr. Maury Exe C/CHAN</t>
  </si>
  <si>
    <t xml:space="preserve">Security Patrolling </t>
  </si>
  <si>
    <t>Keyman USE</t>
  </si>
  <si>
    <t>GP/26/000115 dt 13.08.2026</t>
  </si>
  <si>
    <t>Security Patrolling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</si>
</sst>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"/>
    <numFmt numFmtId="166" formatCode="0.0000"/>
    <numFmt numFmtId="167" formatCode="0.0"/>
  </numFmts>
  <fonts count="3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FF0000"/>
      <name val="Times New Roman"/>
      <family val="1"/>
    </font>
    <font>
      <sz val="24"/>
      <color theme="1"/>
      <name val="Times New Roman"/>
      <family val="1"/>
    </font>
    <font>
      <b/>
      <sz val="20"/>
      <color theme="1"/>
      <name val="Stencil"/>
      <family val="5"/>
    </font>
    <font>
      <b/>
      <sz val="18"/>
      <color theme="1"/>
      <name val="Times New Roman"/>
      <family val="1"/>
    </font>
    <font>
      <b/>
      <sz val="16"/>
      <color theme="1"/>
      <name val="Kruti Dev 010"/>
    </font>
    <font>
      <b/>
      <sz val="16"/>
      <color theme="1"/>
      <name val="Times New Roman"/>
      <family val="1"/>
    </font>
    <font>
      <b/>
      <sz val="18"/>
      <color theme="1"/>
      <name val="Calibri"/>
      <family val="2"/>
    </font>
    <font>
      <b/>
      <sz val="11"/>
      <color rgb="FF0070C0"/>
      <name val="Times New Roman"/>
      <family val="1"/>
    </font>
    <font>
      <sz val="11"/>
      <color theme="1"/>
      <name val="Segoe UI"/>
      <family val="2"/>
    </font>
    <font>
      <sz val="14"/>
      <color theme="1"/>
      <name val="Calibri"/>
      <family val="2"/>
      <scheme val="minor"/>
    </font>
    <font>
      <b/>
      <sz val="24"/>
      <color theme="1"/>
      <name val="Kruti Dev 010"/>
    </font>
    <font>
      <b/>
      <sz val="24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Kruti Dev 010"/>
    </font>
    <font>
      <b/>
      <u/>
      <sz val="16"/>
      <color rgb="FFFF0000"/>
      <name val="Kruti Dev 010"/>
    </font>
    <font>
      <b/>
      <u/>
      <sz val="18"/>
      <color rgb="FFFF0000"/>
      <name val="Kruti Dev 010"/>
    </font>
    <font>
      <u/>
      <sz val="16"/>
      <color theme="1"/>
      <name val="Times New Roman"/>
      <family val="1"/>
    </font>
    <font>
      <u/>
      <sz val="16"/>
      <color rgb="FFFF0000"/>
      <name val="Times New Roman"/>
      <family val="1"/>
    </font>
    <font>
      <b/>
      <sz val="18"/>
      <color rgb="FFFF0000"/>
      <name val="Kruti Dev 010"/>
    </font>
    <font>
      <b/>
      <sz val="14"/>
      <color theme="1"/>
      <name val="Times New Roman"/>
      <family val="1"/>
    </font>
    <font>
      <b/>
      <sz val="14"/>
      <color theme="1"/>
      <name val="Kruti Dev 010"/>
    </font>
    <font>
      <b/>
      <sz val="20"/>
      <color rgb="FFFF0000"/>
      <name val="Times New Roman"/>
      <family val="1"/>
    </font>
    <font>
      <b/>
      <sz val="20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b/>
      <sz val="14"/>
      <color rgb="FF0070C0"/>
      <name val="Times New Roman"/>
      <family val="1"/>
    </font>
    <font>
      <b/>
      <sz val="14"/>
      <name val="Times New Roman"/>
      <family val="1"/>
    </font>
    <font>
      <u/>
      <sz val="14"/>
      <color rgb="FFFF0000"/>
      <name val="Times New Roman"/>
      <family val="1"/>
    </font>
    <font>
      <b/>
      <u/>
      <sz val="16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2"/>
      <color rgb="FFFF0000"/>
      <name val="Times New Roman"/>
      <family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1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3" borderId="0" xfId="0" applyFill="1"/>
    <xf numFmtId="0" fontId="4" fillId="0" borderId="0" xfId="0" applyFont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0" fillId="6" borderId="0" xfId="0" applyFill="1"/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7" borderId="0" xfId="0" applyFont="1" applyFill="1"/>
    <xf numFmtId="0" fontId="14" fillId="0" borderId="0" xfId="0" applyFont="1"/>
    <xf numFmtId="0" fontId="16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9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vertical="center"/>
    </xf>
    <xf numFmtId="0" fontId="14" fillId="7" borderId="0" xfId="0" applyFont="1" applyFill="1"/>
    <xf numFmtId="0" fontId="21" fillId="7" borderId="1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2" fontId="23" fillId="3" borderId="1" xfId="0" applyNumberFormat="1" applyFont="1" applyFill="1" applyBorder="1" applyAlignment="1">
      <alignment horizontal="center" vertical="center" wrapText="1"/>
    </xf>
    <xf numFmtId="2" fontId="24" fillId="3" borderId="1" xfId="0" applyNumberFormat="1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7" borderId="0" xfId="0" applyFill="1"/>
    <xf numFmtId="0" fontId="29" fillId="7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1" fontId="30" fillId="0" borderId="1" xfId="0" applyNumberFormat="1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left" vertical="center"/>
    </xf>
    <xf numFmtId="1" fontId="31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165" fontId="25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32" fillId="7" borderId="0" xfId="0" applyFont="1" applyFill="1"/>
    <xf numFmtId="0" fontId="20" fillId="7" borderId="0" xfId="0" applyFont="1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2" fontId="26" fillId="3" borderId="1" xfId="0" applyNumberFormat="1" applyFont="1" applyFill="1" applyBorder="1" applyAlignment="1">
      <alignment horizontal="center" vertical="center" wrapText="1"/>
    </xf>
    <xf numFmtId="2" fontId="31" fillId="3" borderId="1" xfId="0" applyNumberFormat="1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4" fontId="25" fillId="8" borderId="1" xfId="0" applyNumberFormat="1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2" fontId="25" fillId="8" borderId="1" xfId="0" applyNumberFormat="1" applyFont="1" applyFill="1" applyBorder="1" applyAlignment="1">
      <alignment horizontal="center" vertical="center"/>
    </xf>
    <xf numFmtId="2" fontId="28" fillId="8" borderId="1" xfId="0" applyNumberFormat="1" applyFont="1" applyFill="1" applyBorder="1" applyAlignment="1">
      <alignment horizontal="center" vertical="center"/>
    </xf>
    <xf numFmtId="0" fontId="14" fillId="8" borderId="0" xfId="0" applyFont="1" applyFill="1"/>
    <xf numFmtId="166" fontId="25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14" fillId="0" borderId="1" xfId="0" applyFont="1" applyBorder="1"/>
    <xf numFmtId="1" fontId="23" fillId="3" borderId="1" xfId="0" applyNumberFormat="1" applyFont="1" applyFill="1" applyBorder="1" applyAlignment="1">
      <alignment horizontal="center" vertical="center" wrapText="1"/>
    </xf>
    <xf numFmtId="1" fontId="24" fillId="3" borderId="1" xfId="0" applyNumberFormat="1" applyFont="1" applyFill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65" fontId="28" fillId="0" borderId="1" xfId="0" applyNumberFormat="1" applyFont="1" applyBorder="1" applyAlignment="1">
      <alignment horizontal="center" vertical="center"/>
    </xf>
    <xf numFmtId="0" fontId="19" fillId="7" borderId="0" xfId="0" applyFont="1" applyFill="1" applyAlignment="1">
      <alignment horizontal="left" vertical="center"/>
    </xf>
    <xf numFmtId="0" fontId="21" fillId="7" borderId="6" xfId="0" applyFont="1" applyFill="1" applyBorder="1" applyAlignment="1">
      <alignment horizontal="center" vertical="center" wrapText="1"/>
    </xf>
    <xf numFmtId="2" fontId="27" fillId="9" borderId="1" xfId="0" applyNumberFormat="1" applyFont="1" applyFill="1" applyBorder="1" applyAlignment="1">
      <alignment horizontal="center" vertical="center"/>
    </xf>
    <xf numFmtId="0" fontId="8" fillId="8" borderId="1" xfId="1" applyFont="1" applyFill="1" applyBorder="1" applyAlignment="1" applyProtection="1">
      <alignment horizontal="left" vertical="center"/>
    </xf>
    <xf numFmtId="0" fontId="31" fillId="0" borderId="1" xfId="0" applyFont="1" applyBorder="1" applyAlignment="1">
      <alignment horizontal="center" vertical="center" wrapText="1"/>
    </xf>
    <xf numFmtId="0" fontId="37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2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7"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20/07/relationships/rdRichValueWebImage" Target="richData/rdRichValueWebImage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4"/><Relationship Id="rId1" Type="http://schemas.openxmlformats.org/officeDocument/2006/relationships/image" Target="../media/image18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5" Type="http://schemas.openxmlformats.org/officeDocument/2006/relationships/image" Target="../media/image20.jpeg"/><Relationship Id="rId4" Type="http://schemas.openxmlformats.org/officeDocument/2006/relationships/hyperlink" Target="#Index!B5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5" Type="http://schemas.openxmlformats.org/officeDocument/2006/relationships/hyperlink" Target="#Index!B6"/><Relationship Id="rId4" Type="http://schemas.openxmlformats.org/officeDocument/2006/relationships/image" Target="../media/image20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5" Type="http://schemas.openxmlformats.org/officeDocument/2006/relationships/hyperlink" Target="#Index!B7"/><Relationship Id="rId4" Type="http://schemas.openxmlformats.org/officeDocument/2006/relationships/image" Target="../media/image20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hyperlink" Target="#Index!B8"/><Relationship Id="rId1" Type="http://schemas.openxmlformats.org/officeDocument/2006/relationships/image" Target="../media/image18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hyperlink" Target="#Index!B9"/><Relationship Id="rId1" Type="http://schemas.openxmlformats.org/officeDocument/2006/relationships/image" Target="../media/image18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hyperlink" Target="#Index!B10"/><Relationship Id="rId1" Type="http://schemas.openxmlformats.org/officeDocument/2006/relationships/image" Target="../media/image18.jpeg"/><Relationship Id="rId5" Type="http://schemas.openxmlformats.org/officeDocument/2006/relationships/image" Target="../media/image19.jpeg"/><Relationship Id="rId4" Type="http://schemas.openxmlformats.org/officeDocument/2006/relationships/hyperlink" Target="#'Main Index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11"/><Relationship Id="rId1" Type="http://schemas.openxmlformats.org/officeDocument/2006/relationships/image" Target="../media/image1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4" Type="http://schemas.openxmlformats.org/officeDocument/2006/relationships/hyperlink" Target="#Index!B12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13"/><Relationship Id="rId1" Type="http://schemas.openxmlformats.org/officeDocument/2006/relationships/image" Target="../media/image18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4" Type="http://schemas.openxmlformats.org/officeDocument/2006/relationships/hyperlink" Target="#Index!B14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4" Type="http://schemas.openxmlformats.org/officeDocument/2006/relationships/hyperlink" Target="#Index!B15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4" Type="http://schemas.openxmlformats.org/officeDocument/2006/relationships/hyperlink" Target="#Index!B16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4" Type="http://schemas.openxmlformats.org/officeDocument/2006/relationships/hyperlink" Target="#Index!B17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4" Type="http://schemas.openxmlformats.org/officeDocument/2006/relationships/hyperlink" Target="#Index!B18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4" Type="http://schemas.openxmlformats.org/officeDocument/2006/relationships/hyperlink" Target="#Index!B19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'Main Index'!A1"/><Relationship Id="rId1" Type="http://schemas.openxmlformats.org/officeDocument/2006/relationships/image" Target="../media/image18.jpeg"/><Relationship Id="rId4" Type="http://schemas.openxmlformats.org/officeDocument/2006/relationships/hyperlink" Target="#Index!B20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21"/><Relationship Id="rId1" Type="http://schemas.openxmlformats.org/officeDocument/2006/relationships/image" Target="../media/image18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22"/><Relationship Id="rId1" Type="http://schemas.openxmlformats.org/officeDocument/2006/relationships/image" Target="../media/image18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23"/><Relationship Id="rId1" Type="http://schemas.openxmlformats.org/officeDocument/2006/relationships/image" Target="../media/image18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24"/><Relationship Id="rId1" Type="http://schemas.openxmlformats.org/officeDocument/2006/relationships/image" Target="../media/image18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25"/><Relationship Id="rId1" Type="http://schemas.openxmlformats.org/officeDocument/2006/relationships/image" Target="../media/image18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26"/><Relationship Id="rId1" Type="http://schemas.openxmlformats.org/officeDocument/2006/relationships/image" Target="../media/image18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27"/><Relationship Id="rId1" Type="http://schemas.openxmlformats.org/officeDocument/2006/relationships/image" Target="../media/image18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28"/><Relationship Id="rId1" Type="http://schemas.openxmlformats.org/officeDocument/2006/relationships/image" Target="../media/image18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hyperlink" Target="#Index!B29"/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29697</xdr:colOff>
      <xdr:row>0</xdr:row>
      <xdr:rowOff>0</xdr:rowOff>
    </xdr:from>
    <xdr:to>
      <xdr:col>1</xdr:col>
      <xdr:colOff>409576</xdr:colOff>
      <xdr:row>1</xdr:row>
      <xdr:rowOff>28575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4B26B96-76EC-4AF7-A51D-A7D948318C5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697" y="0"/>
          <a:ext cx="1113304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29697</xdr:colOff>
      <xdr:row>0</xdr:row>
      <xdr:rowOff>0</xdr:rowOff>
    </xdr:from>
    <xdr:to>
      <xdr:col>0</xdr:col>
      <xdr:colOff>1143001</xdr:colOff>
      <xdr:row>0</xdr:row>
      <xdr:rowOff>657225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16A69E6C-A6C6-4904-818B-6CBF0D19081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697" y="0"/>
          <a:ext cx="1113304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" name="Picture 1" descr="DFC logo">
          <a:extLst>
            <a:ext uri="{FF2B5EF4-FFF2-40B4-BE49-F238E27FC236}">
              <a16:creationId xmlns:a16="http://schemas.microsoft.com/office/drawing/2014/main" id="{9890EB78-B4E4-4A15-B0BD-E392C1FD7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960D58-4D9D-43F3-8850-E8ADBFA09E28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29697</xdr:colOff>
      <xdr:row>0</xdr:row>
      <xdr:rowOff>0</xdr:rowOff>
    </xdr:from>
    <xdr:to>
      <xdr:col>0</xdr:col>
      <xdr:colOff>1143001</xdr:colOff>
      <xdr:row>0</xdr:row>
      <xdr:rowOff>657225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D5C3307B-A09E-4929-A4D3-FE6373F43FD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697" y="0"/>
          <a:ext cx="1113304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" name="Picture 1" descr="DFC logo">
          <a:extLst>
            <a:ext uri="{FF2B5EF4-FFF2-40B4-BE49-F238E27FC236}">
              <a16:creationId xmlns:a16="http://schemas.microsoft.com/office/drawing/2014/main" id="{11A39995-7474-4AA5-8B15-BFCA4AC44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31B728-7D59-4F68-8778-544D9C7033E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" name="Picture 4" descr="DFC logo">
          <a:extLst>
            <a:ext uri="{FF2B5EF4-FFF2-40B4-BE49-F238E27FC236}">
              <a16:creationId xmlns:a16="http://schemas.microsoft.com/office/drawing/2014/main" id="{131BB2CD-23D7-431A-AD05-43431C8D5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228600</xdr:colOff>
      <xdr:row>2</xdr:row>
      <xdr:rowOff>28575</xdr:rowOff>
    </xdr:to>
    <xdr:sp macro="" textlink="">
      <xdr:nvSpPr>
        <xdr:cNvPr id="6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7ED1EB-235A-4C94-A822-DFB3612EE359}"/>
            </a:ext>
          </a:extLst>
        </xdr:cNvPr>
        <xdr:cNvSpPr/>
      </xdr:nvSpPr>
      <xdr:spPr>
        <a:xfrm>
          <a:off x="13763625" y="19050"/>
          <a:ext cx="2362200" cy="1304925"/>
        </a:xfrm>
        <a:prstGeom prst="roundRect">
          <a:avLst/>
        </a:prstGeom>
        <a:blipFill>
          <a:blip xmlns:r="http://schemas.openxmlformats.org/officeDocument/2006/relationships" r:embed="rId5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29697</xdr:colOff>
      <xdr:row>0</xdr:row>
      <xdr:rowOff>0</xdr:rowOff>
    </xdr:from>
    <xdr:to>
      <xdr:col>0</xdr:col>
      <xdr:colOff>1143001</xdr:colOff>
      <xdr:row>0</xdr:row>
      <xdr:rowOff>657225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777C0F6-35EF-4F69-B44F-9AE281A2C16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697" y="0"/>
          <a:ext cx="1113304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" name="Picture 1" descr="DFC logo">
          <a:extLst>
            <a:ext uri="{FF2B5EF4-FFF2-40B4-BE49-F238E27FC236}">
              <a16:creationId xmlns:a16="http://schemas.microsoft.com/office/drawing/2014/main" id="{5115BA44-CE4F-4048-8E14-06C7BDE40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0EFA68-F673-46D8-80B8-F9EF4469AD07}"/>
            </a:ext>
          </a:extLst>
        </xdr:cNvPr>
        <xdr:cNvSpPr/>
      </xdr:nvSpPr>
      <xdr:spPr>
        <a:xfrm>
          <a:off x="13773150" y="47625"/>
          <a:ext cx="2324100" cy="12382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" name="Picture 4" descr="DFC logo">
          <a:extLst>
            <a:ext uri="{FF2B5EF4-FFF2-40B4-BE49-F238E27FC236}">
              <a16:creationId xmlns:a16="http://schemas.microsoft.com/office/drawing/2014/main" id="{4C68E756-ABED-4C97-BDB6-8D7F4FCAF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6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20A947-3E21-4665-BEE5-286F831864F2}"/>
            </a:ext>
          </a:extLst>
        </xdr:cNvPr>
        <xdr:cNvSpPr/>
      </xdr:nvSpPr>
      <xdr:spPr>
        <a:xfrm>
          <a:off x="13763625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4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" name="Picture 6" descr="DFC logo">
          <a:extLst>
            <a:ext uri="{FF2B5EF4-FFF2-40B4-BE49-F238E27FC236}">
              <a16:creationId xmlns:a16="http://schemas.microsoft.com/office/drawing/2014/main" id="{A547053E-7C65-425C-8BD5-F8C413C67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57150</xdr:colOff>
      <xdr:row>0</xdr:row>
      <xdr:rowOff>19050</xdr:rowOff>
    </xdr:from>
    <xdr:to>
      <xdr:col>13</xdr:col>
      <xdr:colOff>228600</xdr:colOff>
      <xdr:row>2</xdr:row>
      <xdr:rowOff>19050</xdr:rowOff>
    </xdr:to>
    <xdr:sp macro="" textlink="">
      <xdr:nvSpPr>
        <xdr:cNvPr id="8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424EC4-E2E6-4FBB-81AD-B47A611655F9}"/>
            </a:ext>
          </a:extLst>
        </xdr:cNvPr>
        <xdr:cNvSpPr/>
      </xdr:nvSpPr>
      <xdr:spPr>
        <a:xfrm>
          <a:off x="13144500" y="19050"/>
          <a:ext cx="2209800" cy="1295400"/>
        </a:xfrm>
        <a:prstGeom prst="roundRect">
          <a:avLst/>
        </a:prstGeom>
        <a:blipFill>
          <a:blip xmlns:r="http://schemas.openxmlformats.org/officeDocument/2006/relationships" r:embed="rId4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29697</xdr:colOff>
      <xdr:row>0</xdr:row>
      <xdr:rowOff>0</xdr:rowOff>
    </xdr:from>
    <xdr:to>
      <xdr:col>0</xdr:col>
      <xdr:colOff>1143001</xdr:colOff>
      <xdr:row>0</xdr:row>
      <xdr:rowOff>657225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F8F81F0-0FB5-4F18-8C7E-D63A537FA5E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697" y="0"/>
          <a:ext cx="1113304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3" name="Picture 1" descr="DFC logo">
          <a:extLst>
            <a:ext uri="{FF2B5EF4-FFF2-40B4-BE49-F238E27FC236}">
              <a16:creationId xmlns:a16="http://schemas.microsoft.com/office/drawing/2014/main" id="{E5CB9FFE-6FC2-427E-A407-F79D52D49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4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BE0237-3757-4066-B20C-D1D445062752}"/>
            </a:ext>
          </a:extLst>
        </xdr:cNvPr>
        <xdr:cNvSpPr/>
      </xdr:nvSpPr>
      <xdr:spPr>
        <a:xfrm>
          <a:off x="13106400" y="47625"/>
          <a:ext cx="2219325" cy="12382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5" name="Picture 4" descr="DFC logo">
          <a:extLst>
            <a:ext uri="{FF2B5EF4-FFF2-40B4-BE49-F238E27FC236}">
              <a16:creationId xmlns:a16="http://schemas.microsoft.com/office/drawing/2014/main" id="{4DD4FC24-C0B2-49F8-9958-65BF0E7C4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6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EA88B6-F0DF-4F0E-92D4-A23986CC7D80}"/>
            </a:ext>
          </a:extLst>
        </xdr:cNvPr>
        <xdr:cNvSpPr/>
      </xdr:nvSpPr>
      <xdr:spPr>
        <a:xfrm>
          <a:off x="13096875" y="19050"/>
          <a:ext cx="2152650" cy="904875"/>
        </a:xfrm>
        <a:prstGeom prst="roundRect">
          <a:avLst/>
        </a:prstGeom>
        <a:blipFill>
          <a:blip xmlns:r="http://schemas.openxmlformats.org/officeDocument/2006/relationships" r:embed="rId4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7" name="Picture 6" descr="DFC logo">
          <a:extLst>
            <a:ext uri="{FF2B5EF4-FFF2-40B4-BE49-F238E27FC236}">
              <a16:creationId xmlns:a16="http://schemas.microsoft.com/office/drawing/2014/main" id="{2D7337C6-67CB-4F0D-9420-0BACDD253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57150</xdr:colOff>
      <xdr:row>0</xdr:row>
      <xdr:rowOff>19050</xdr:rowOff>
    </xdr:from>
    <xdr:to>
      <xdr:col>13</xdr:col>
      <xdr:colOff>152400</xdr:colOff>
      <xdr:row>2</xdr:row>
      <xdr:rowOff>19050</xdr:rowOff>
    </xdr:to>
    <xdr:sp macro="" textlink="">
      <xdr:nvSpPr>
        <xdr:cNvPr id="8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D8D2D4-9C54-49E8-BA04-FEB15347C9DF}"/>
            </a:ext>
          </a:extLst>
        </xdr:cNvPr>
        <xdr:cNvSpPr/>
      </xdr:nvSpPr>
      <xdr:spPr>
        <a:xfrm>
          <a:off x="13725525" y="19050"/>
          <a:ext cx="2238375" cy="1295400"/>
        </a:xfrm>
        <a:prstGeom prst="roundRect">
          <a:avLst/>
        </a:prstGeom>
        <a:blipFill>
          <a:blip xmlns:r="http://schemas.openxmlformats.org/officeDocument/2006/relationships" r:embed="rId4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9" name="Picture 8" descr="DFC logo">
          <a:extLst>
            <a:ext uri="{FF2B5EF4-FFF2-40B4-BE49-F238E27FC236}">
              <a16:creationId xmlns:a16="http://schemas.microsoft.com/office/drawing/2014/main" id="{A3313ADD-97DC-47D2-B263-302D9D4B3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238125</xdr:colOff>
      <xdr:row>2</xdr:row>
      <xdr:rowOff>28575</xdr:rowOff>
    </xdr:to>
    <xdr:sp macro="" textlink="">
      <xdr:nvSpPr>
        <xdr:cNvPr id="10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413259-A177-4E70-8352-9ED655749D4D}"/>
            </a:ext>
          </a:extLst>
        </xdr:cNvPr>
        <xdr:cNvSpPr/>
      </xdr:nvSpPr>
      <xdr:spPr>
        <a:xfrm>
          <a:off x="13677900" y="19050"/>
          <a:ext cx="2371725" cy="1304925"/>
        </a:xfrm>
        <a:prstGeom prst="roundRect">
          <a:avLst/>
        </a:prstGeom>
        <a:blipFill>
          <a:blip xmlns:r="http://schemas.openxmlformats.org/officeDocument/2006/relationships" r:embed="rId4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1" name="Picture 10" descr="DFC logo">
          <a:extLst>
            <a:ext uri="{FF2B5EF4-FFF2-40B4-BE49-F238E27FC236}">
              <a16:creationId xmlns:a16="http://schemas.microsoft.com/office/drawing/2014/main" id="{A651AD81-3D06-4DBB-8974-BC04C1906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12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7D7194-D900-4BCF-8F95-98C89FF7AE87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100DFBE-0DB3-4A69-9E9D-D4A50184B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BF4949-EB15-4E78-AE5A-A1BF9C18B70B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FADD9F2-B1ED-4649-BF4C-3CC467CF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5403DD-7210-475D-A987-B231DFC25D71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CC426F10-302D-4961-982A-DB69E6E95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18</xdr:col>
      <xdr:colOff>133350</xdr:colOff>
      <xdr:row>1</xdr:row>
      <xdr:rowOff>95250</xdr:rowOff>
    </xdr:from>
    <xdr:to>
      <xdr:col>21</xdr:col>
      <xdr:colOff>314325</xdr:colOff>
      <xdr:row>3</xdr:row>
      <xdr:rowOff>495300</xdr:rowOff>
    </xdr:to>
    <xdr:sp macro="" textlink="">
      <xdr:nvSpPr>
        <xdr:cNvPr id="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ACCB8C-3C8C-476D-9233-230F74D8910A}"/>
            </a:ext>
          </a:extLst>
        </xdr:cNvPr>
        <xdr:cNvSpPr/>
      </xdr:nvSpPr>
      <xdr:spPr>
        <a:xfrm>
          <a:off x="18821400" y="828675"/>
          <a:ext cx="2009775" cy="1000125"/>
        </a:xfrm>
        <a:prstGeom prst="roundRect">
          <a:avLst/>
        </a:prstGeom>
        <a:blipFill>
          <a:blip xmlns:r="http://schemas.openxmlformats.org/officeDocument/2006/relationships" r:embed="rId5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4235C701-A289-48FA-BC1B-5F5704F2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58ADEF-4424-4FBD-A183-2817202958CE}"/>
            </a:ext>
          </a:extLst>
        </xdr:cNvPr>
        <xdr:cNvSpPr/>
      </xdr:nvSpPr>
      <xdr:spPr>
        <a:xfrm>
          <a:off x="14020800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45D60410-5528-4BF5-95A7-24F969E97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00333C-416D-4534-BE99-8A9568806462}"/>
            </a:ext>
          </a:extLst>
        </xdr:cNvPr>
        <xdr:cNvSpPr/>
      </xdr:nvSpPr>
      <xdr:spPr>
        <a:xfrm>
          <a:off x="1389697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616D613-BD07-4E76-9564-99BD91F12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E214AB5-F510-4A6B-9B8C-B71D40D509EE}"/>
            </a:ext>
          </a:extLst>
        </xdr:cNvPr>
        <xdr:cNvSpPr/>
      </xdr:nvSpPr>
      <xdr:spPr>
        <a:xfrm>
          <a:off x="139160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02DAC1A-3274-490B-920C-453DF0EAC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FFED5F-9AFB-4C4F-B6B7-6C860D3A8387}"/>
            </a:ext>
          </a:extLst>
        </xdr:cNvPr>
        <xdr:cNvSpPr/>
      </xdr:nvSpPr>
      <xdr:spPr>
        <a:xfrm>
          <a:off x="1389697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232B73C-2276-4002-92B4-BF2E39723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00A684-29BD-4D09-85C1-C583EB303CBA}"/>
            </a:ext>
          </a:extLst>
        </xdr:cNvPr>
        <xdr:cNvSpPr/>
      </xdr:nvSpPr>
      <xdr:spPr>
        <a:xfrm>
          <a:off x="1389697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C6C14526-1CF0-4BA0-BA6C-C2A4A8F86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02E6209-CC75-4E5D-9D1B-57E1D5B5A33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099192C0-7176-4128-9ECA-8811F7F6B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CE935F-7301-45E0-BF27-C59A846EE022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08858A67-1499-455A-AADE-D236BDD3F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DAC656-61F6-4D80-800B-690F7FA783FC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65BA2706-86F8-4821-9BCF-C83A5C5CD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C4458E-3E54-40D1-BC29-EC82CB315CE3}"/>
            </a:ext>
          </a:extLst>
        </xdr:cNvPr>
        <xdr:cNvSpPr/>
      </xdr:nvSpPr>
      <xdr:spPr>
        <a:xfrm>
          <a:off x="139160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B340F95-F1AE-4959-A034-1AC43D15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2E64D8-84BC-4AEE-A1FD-7323B80AC4E3}"/>
            </a:ext>
          </a:extLst>
        </xdr:cNvPr>
        <xdr:cNvSpPr/>
      </xdr:nvSpPr>
      <xdr:spPr>
        <a:xfrm>
          <a:off x="139160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223AEB67-F86C-48FB-BBE2-C083E5DD2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B6FF3F-88CA-4556-B9C5-9640EAA20290}"/>
            </a:ext>
          </a:extLst>
        </xdr:cNvPr>
        <xdr:cNvSpPr/>
      </xdr:nvSpPr>
      <xdr:spPr>
        <a:xfrm>
          <a:off x="139160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7B61F9E6-1973-4A50-987E-58E281030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D3E6B4-043D-42BB-B7C2-3731E506059A}"/>
            </a:ext>
          </a:extLst>
        </xdr:cNvPr>
        <xdr:cNvSpPr/>
      </xdr:nvSpPr>
      <xdr:spPr>
        <a:xfrm>
          <a:off x="139160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AD123F07-7F2B-468F-A21F-BD5F0C59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48D2F4-2B48-46A0-8914-E8440E5AC0C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1D25D1A8-6D6F-4AA8-8B89-6CCF46203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8E78A1-BA7F-44A0-A7D2-1390DFCF359A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1D27DFF9-8A81-4C78-AED0-762E8927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578ECA-91D4-49C6-9B0C-64BA4F7EE9A7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8806753B-8CEA-4CC0-978D-1A8479B70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831957-D81F-4261-BCF6-C961E7732548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3F26D35C-A7FA-4021-BB90-9A8FC13C7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3C04D3-947B-4A9C-9E41-3D4E7C5AD926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CEA88341-4E1B-4726-89A7-66FA4D5A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B4D9F6-409E-47A3-B40C-B1FE6A3F98C6}"/>
            </a:ext>
          </a:extLst>
        </xdr:cNvPr>
        <xdr:cNvSpPr/>
      </xdr:nvSpPr>
      <xdr:spPr>
        <a:xfrm>
          <a:off x="14001750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864462F-620B-4C6B-8FB2-6FAAE5E20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B4E59A-FA62-417C-BC31-E7D172D6E8A9}"/>
            </a:ext>
          </a:extLst>
        </xdr:cNvPr>
        <xdr:cNvSpPr/>
      </xdr:nvSpPr>
      <xdr:spPr>
        <a:xfrm>
          <a:off x="14001750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888BC1D8-0452-4D34-ACED-6EF6DAE3D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297D30-6E88-4782-84CD-AA9DE52B9CBA}"/>
            </a:ext>
          </a:extLst>
        </xdr:cNvPr>
        <xdr:cNvSpPr/>
      </xdr:nvSpPr>
      <xdr:spPr>
        <a:xfrm>
          <a:off x="14001750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2CA66CD4-EDF4-42AD-8130-CE1AF161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9F26AF-E068-4AA5-A1B6-6DEDCF4BFA84}"/>
            </a:ext>
          </a:extLst>
        </xdr:cNvPr>
        <xdr:cNvSpPr/>
      </xdr:nvSpPr>
      <xdr:spPr>
        <a:xfrm>
          <a:off x="14001750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229904CA-33B7-4040-B927-89EF29FB7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8B3C45-4E11-4D04-B4BF-A2935461A006}"/>
            </a:ext>
          </a:extLst>
        </xdr:cNvPr>
        <xdr:cNvSpPr/>
      </xdr:nvSpPr>
      <xdr:spPr>
        <a:xfrm>
          <a:off x="14001750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02B07A85-73E3-4306-ABB8-08FE6F4E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3AECFA-500D-48F9-8607-1FFE1BA5C61B}"/>
            </a:ext>
          </a:extLst>
        </xdr:cNvPr>
        <xdr:cNvSpPr/>
      </xdr:nvSpPr>
      <xdr:spPr>
        <a:xfrm>
          <a:off x="14001750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093FAB8A-2B52-498E-A0D0-799821EC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29809B8-F1B0-4A10-8CDE-8FE40BBCE76B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657BC43-872C-486B-A6DE-6DC25C21E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DF699E-D465-4ED9-9B62-8D62E3F56844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ABEAF4DF-137F-4DDA-B36F-289947B4F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CA704B-D7D9-4E07-8BED-EB4E7360D395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C6A6A6BC-0547-495E-8403-49557079A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A3B72F-1F92-456E-9161-B8B94B84230D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703AD5BE-2A89-437D-A943-CEFD338F2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6D3144-07A8-4992-B070-D7CF12C10923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A19AF0A1-9332-4CEC-99DD-B4974D26D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5DE5BE-F1BE-49A0-B4C9-5A0250541E0C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785ACC65-DF90-42F3-8523-F99E6BF8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7112830-A13B-4F39-9A35-1080E31E79F4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DC261D1-5DB0-462E-B712-2EB27158A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E00AFA-2579-46CF-AF03-B8575553F43C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A3EE940E-A742-40C2-BB70-AC6EB4EDE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B10A4B-4E79-4851-A3B3-E0AF74FF2468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9B51A9AC-71F6-4D38-A2F8-CBDAF7969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9CF9AF-0CCE-456D-AD60-02B828AC15C8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1166721B-5833-4037-AB6B-28868A9DE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F3D7F3-4D05-4C02-A936-D884FBCD4BCE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0" name="Picture 9" descr="DFC logo">
          <a:extLst>
            <a:ext uri="{FF2B5EF4-FFF2-40B4-BE49-F238E27FC236}">
              <a16:creationId xmlns:a16="http://schemas.microsoft.com/office/drawing/2014/main" id="{D9BBC26A-1A38-4868-A0BD-D21B8A90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1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9CE1E7-E8D8-4E23-A6D8-00557765233A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12" name="Picture 11" descr="DFC logo">
          <a:extLst>
            <a:ext uri="{FF2B5EF4-FFF2-40B4-BE49-F238E27FC236}">
              <a16:creationId xmlns:a16="http://schemas.microsoft.com/office/drawing/2014/main" id="{FFD8CC68-EEA4-4AB5-97E7-5A548D808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81000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13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628040-33AC-438B-A2E4-07FF74D5B4D5}"/>
            </a:ext>
          </a:extLst>
        </xdr:cNvPr>
        <xdr:cNvSpPr/>
      </xdr:nvSpPr>
      <xdr:spPr>
        <a:xfrm>
          <a:off x="13573125" y="47625"/>
          <a:ext cx="2009775" cy="704850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0</xdr:row>
      <xdr:rowOff>95250</xdr:rowOff>
    </xdr:from>
    <xdr:to>
      <xdr:col>0</xdr:col>
      <xdr:colOff>1190626</xdr:colOff>
      <xdr:row>1</xdr:row>
      <xdr:rowOff>95250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60BBBDF-D4FB-4187-A83B-C764EFE9B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180976" y="9525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089BCE-D350-4293-B4BB-3165388222D3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FA64568-AFEA-4E6D-BD40-CE9D5D478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FE650E-D6D0-4D1D-9A86-D3CB8F45F4E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8F48227-4DFF-4DDE-AEBC-80971A6A8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181271-19C8-4271-97A2-5FEC1AFFBC1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1B00383-9977-4BC9-A626-C806C026B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85AF7F-1F93-44F3-8D55-CC06E3D33779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9F44A89-E969-4524-A77E-01E273F8D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F8B14F-8E97-4EB3-924C-21A9A2502D4F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4CCB496-AFEE-42CF-BF64-9C8A74A74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6DE3E4-0953-45F4-A1C4-AE70AA415311}"/>
            </a:ext>
          </a:extLst>
        </xdr:cNvPr>
        <xdr:cNvSpPr/>
      </xdr:nvSpPr>
      <xdr:spPr>
        <a:xfrm>
          <a:off x="1427797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D90AC31E-7E09-4C8D-9BA3-97B42C88B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5B9BF4-833D-421C-A588-733379C2A090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0A2FD42-7D00-4C5F-85E8-A069D85B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6C78D0-00F7-47BA-BF6F-FC15BCC9ECF1}"/>
            </a:ext>
          </a:extLst>
        </xdr:cNvPr>
        <xdr:cNvSpPr/>
      </xdr:nvSpPr>
      <xdr:spPr>
        <a:xfrm>
          <a:off x="14630400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395C133-3CAC-4A92-A78D-ADE008C6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101919-A4C5-408D-B7E4-176C74D2F7A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Store%20and%20Staff\Complete%20Talley%20book%20IMSD%20SMUN%20Final.xlsx" TargetMode="External"/><Relationship Id="rId1" Type="http://schemas.openxmlformats.org/officeDocument/2006/relationships/externalLinkPath" Target="Complete%20Talley%20book%20IMSD%20SMU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R"/>
      <sheetName val="Main Index"/>
      <sheetName val="Sprey Pump  Manual"/>
      <sheetName val="M.S Angle "/>
      <sheetName val="All In One Computer (HD) "/>
      <sheetName val="Hexagonal Bari For Track woris"/>
      <sheetName val="Power Exetenter Board "/>
      <sheetName val="3-4 inch pipe Sumerseable "/>
      <sheetName val="Crockery Items "/>
      <sheetName val="W Board "/>
      <sheetName val="Plastic Tripal "/>
      <sheetName val="Air Coolers "/>
      <sheetName val="Speed Indicator 75kmph"/>
      <sheetName val="Speed Indicator 45 kmph"/>
      <sheetName val="Speed Indicator 30kmph"/>
      <sheetName val="Speed Indicator 20 kmph"/>
      <sheetName val="Speed Indicator 10 kmph"/>
      <sheetName val="TG Board "/>
      <sheetName val="Caution Board"/>
      <sheetName val="Emergency (Aska Light)"/>
      <sheetName val="Salety Belt "/>
      <sheetName val="Digital Toe Load Machine "/>
      <sheetName val="Bush Cutter (MC)"/>
      <sheetName val="Chain Saw"/>
      <sheetName val="Rake Ballast "/>
      <sheetName val="wire Basket "/>
      <sheetName val="DIP LORRY "/>
      <sheetName val="MATERIAL TROLLEY "/>
      <sheetName val="FISH BOLT SPANNER (36X41)"/>
      <sheetName val="PRC SLEEPER CHAIN "/>
      <sheetName val="Rail Tong "/>
      <sheetName val="Insulated Rail dolly "/>
      <sheetName val="Chambering Kit "/>
      <sheetName val="Rail Clip Applicator"/>
      <sheetName val="CRT"/>
      <sheetName val="GREASE GUN "/>
      <sheetName val="PAN MORTAR"/>
      <sheetName val="PHOWRA SPADE"/>
      <sheetName val="PLATE SCREW TUBULAR SPANNER"/>
      <sheetName val="MAGNIFYING GLASS 100 MM"/>
      <sheetName val="P-WAY INSPECTION TROLLY"/>
      <sheetName val="Keying Hammer"/>
      <sheetName val="FISH BULT SPANNER "/>
      <sheetName val="Crow Bar"/>
      <sheetName val="TRACK JACK MECHANICAL "/>
      <sheetName val="RAIL GRINDING STONE "/>
      <sheetName val="RAIL PROFILE WELD GRINDER "/>
      <sheetName val="THERMIT WELDING TOOL SET"/>
      <sheetName val="RAIL MEATING BLOWER FOR AT WELD"/>
      <sheetName val="AT WELDING TRIMMER"/>
      <sheetName val="Rail Drilling machine"/>
      <sheetName val="Rail Disc cutter wheel stone "/>
      <sheetName val="RAIL DISC CUTTER"/>
      <sheetName val="ALUMINIUM LADDER "/>
      <sheetName val="PICK AXE "/>
      <sheetName val="PUNJI "/>
      <sheetName val="HAND HELD RECHARGEABLE TORCH "/>
      <sheetName val="ELECTRONIC TRACK AND TURNOUT CI"/>
      <sheetName val="Safety helmet with torch "/>
      <sheetName val="HS flag green "/>
      <sheetName val="Tri Color Torch"/>
      <sheetName val="HS Flag Red"/>
      <sheetName val="WOODEN SKIDS "/>
      <sheetName val="EMERGENCY MEDICAL HAND STRETCH"/>
      <sheetName val="FIRE BUCKET WITH STAND "/>
      <sheetName val="FIRE EXTINGUISHER"/>
      <sheetName val="FIRST AID BOX"/>
      <sheetName val="SAFTY CHAIN WITH LOCK"/>
      <sheetName val="POINTS CLAMP WITH LOCK"/>
      <sheetName val="AUTO LEVEL "/>
      <sheetName val="PLUMB BOB "/>
      <sheetName val="BRIDGE INSPECTION TORCH LIGHT "/>
      <sheetName val="FEELER GAUNE"/>
      <sheetName val="CALLIPER SET "/>
      <sheetName val="MEASURING TAPE "/>
      <sheetName val="ELCOMETER"/>
      <sheetName val="CHIPPING HAMMER "/>
      <sheetName val="SMALL TESTING HAMMER"/>
      <sheetName val="WHISTLE"/>
      <sheetName val="ADJUSTABLE SPANNER"/>
      <sheetName val="Steel sections cutting equipme"/>
      <sheetName val="Measuring Tape 30 m"/>
      <sheetName val="Measuring Tape 5 m "/>
      <sheetName val="KEYMEN BAG"/>
      <sheetName val="Number Plate "/>
      <sheetName val="Safety helmet"/>
      <sheetName val="Safety Jacket "/>
      <sheetName val="SAFETY CHAIN WITH LOCK"/>
      <sheetName val="BANNER FLAG "/>
      <sheetName val="ELECTRIC ARC WELDING MACHINE "/>
      <sheetName val="ACD FEMALE"/>
      <sheetName val="TRACK GAVE CUM LEVEL"/>
      <sheetName val="ACD MALE"/>
      <sheetName val="VERSINE MEASURING KIT"/>
      <sheetName val="PWI KIT "/>
      <sheetName val="RAIL THERMOMETER"/>
      <sheetName val="TRACK JACK "/>
      <sheetName val="STRAIGHT EDGE"/>
      <sheetName val="RAIL DRILLING TOOL 18MM "/>
      <sheetName val="RAIL DRILLING TOOL 26.5 MM"/>
      <sheetName val="RAIL DRILLING TOOL 31.5 MM"/>
      <sheetName val="Rain Suit"/>
      <sheetName val="DRAGON TORCH"/>
      <sheetName val="UMBRELLA"/>
      <sheetName val="PATROLMAN TORCH"/>
      <sheetName val="Table "/>
      <sheetName val="paint green "/>
      <sheetName val="CHAIR (PLASTIC)"/>
      <sheetName val="TENT "/>
      <sheetName val="Paint white"/>
      <sheetName val="Paint Black "/>
      <sheetName val="Paint yellow "/>
      <sheetName val="Herbicide (HERBICIDE)"/>
      <sheetName val="Synthetic Lubricating Grease"/>
      <sheetName val="Wooden Block "/>
      <sheetName val="Igniter "/>
      <sheetName val="Luting Sand"/>
      <sheetName val="Single shot Crucible"/>
      <sheetName val="Prefabricated Dry Mould -3P"/>
      <sheetName val="Main Data updateded on 28-10-22"/>
      <sheetName val="Grease"/>
      <sheetName val="Detonators"/>
      <sheetName val="Block Oil (used)"/>
      <sheetName val="Water Bottle "/>
      <sheetName val="Mobile Dustbin "/>
      <sheetName val="GFN LIN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9">
          <cell r="I9"/>
        </row>
        <row r="12">
          <cell r="E12"/>
          <cell r="F12"/>
          <cell r="G12"/>
          <cell r="H12"/>
        </row>
        <row r="13">
          <cell r="E13"/>
          <cell r="F13"/>
          <cell r="G13"/>
          <cell r="H13"/>
        </row>
        <row r="14">
          <cell r="E14"/>
          <cell r="F14"/>
          <cell r="G14"/>
          <cell r="H14"/>
        </row>
        <row r="15">
          <cell r="E15"/>
          <cell r="F15"/>
          <cell r="G15"/>
          <cell r="H15"/>
        </row>
        <row r="16">
          <cell r="E16"/>
          <cell r="F16"/>
          <cell r="G16"/>
          <cell r="H16"/>
        </row>
        <row r="17">
          <cell r="E17"/>
          <cell r="F17"/>
          <cell r="G17"/>
          <cell r="H17"/>
        </row>
        <row r="18">
          <cell r="E18"/>
          <cell r="F18"/>
          <cell r="G18"/>
          <cell r="H18"/>
        </row>
        <row r="19">
          <cell r="E19"/>
          <cell r="F19"/>
          <cell r="G19"/>
          <cell r="H19"/>
        </row>
        <row r="20">
          <cell r="E20"/>
          <cell r="F20"/>
          <cell r="G20"/>
          <cell r="H20"/>
        </row>
        <row r="21">
          <cell r="E21"/>
          <cell r="F21"/>
          <cell r="G21"/>
          <cell r="H21"/>
        </row>
        <row r="22">
          <cell r="E22"/>
          <cell r="F22"/>
          <cell r="G22"/>
          <cell r="H22"/>
        </row>
        <row r="23">
          <cell r="E23"/>
          <cell r="F23"/>
          <cell r="G23"/>
          <cell r="H23"/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>
        <row r="3">
          <cell r="I3">
            <v>3028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VEK AZAD" id="{1142EE44-7665-4368-986A-70A47400414D}" userId="S::vkazad@dfccil.com::edabda3b-0858-4920-82cc-894059867f53" providerId="AD"/>
</personList>
</file>

<file path=xl/richData/_rels/rdRichValueWebImage.xml.rels><?xml version="1.0" encoding="UTF-8" standalone="yes"?>
<Relationships xmlns="http://schemas.openxmlformats.org/package/2006/relationships"><Relationship Id="rId13" Type="http://schemas.openxmlformats.org/officeDocument/2006/relationships/hyperlink" Target="https://quickchart.io/qr?text=Sr%20No%3A%209%20%7C%20Item%3A%20Rail%20Grinding%20Stone%20%28%20weld%20Grin%20%7C%20Page%20No%3A%203026%20%7C%20Receipt%3A%2051%20%7C%20Transfer%3A%200%20%7C%20Issues%3A%2048%20%7C%20Balance%3A%203%20%7C%20Remarks%3A%20NOS.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hyperlink" Target="https://quickchart.io/qr?text=Sr%20No%3A%204%20%7C%20Item%3A%20Water%20Bottle%20%20%7C%20Page%20No%3A%203011%20%7C%20Receipt%3A%20150%20%7C%20Transfer%3A%200%20%7C%20Issues%3A%20123%20%7C%20Balance%3A%2027%20%7C%20Remarks%3A%20NOS." TargetMode="External"/><Relationship Id="rId21" Type="http://schemas.openxmlformats.org/officeDocument/2006/relationships/hyperlink" Target="https://quickchart.io/qr?text=Sr%20No%3A%2013%20%7C%20Item%3A%20Sythtic%20Lubricating%20Grease%20%28Lithum%29%20%7C%20Page%20No%3A%203036%20%7C%20Receipt%3A%20546%20%7C%20Transfer%3A%200%20%7C%20Issues%3A%20364%20%7C%20Balance%3A%20182%20%7C%20Remarks%3A%20NOS." TargetMode="External"/><Relationship Id="rId34" Type="http://schemas.openxmlformats.org/officeDocument/2006/relationships/image" Target="../media/image17.png"/><Relationship Id="rId7" Type="http://schemas.openxmlformats.org/officeDocument/2006/relationships/hyperlink" Target="https://quickchart.io/qr?text=Sr%20No%3A%206%20%7C%20Item%3A%20Alumino-Thermic%20portion%2060kg%28Rail%29%20%7C%20Page%20No%3A%203017%20%7C%20Receipt%3A%2046%20%7C%20Transfer%3A%200%20%7C%20Issues%3A%2035%20%7C%20Balance%3A%2011%20%7C%20Remarks%3A%20NOS.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quickchart.io/qr?text=Sr%20No%3A%2011%20%7C%20Item%3A%20Luting%20Sand%20%7C%20Page%20No%3A%203030%20%7C%20Receipt%3A%2028%20%7C%20Transfer%3A%200%20%7C%20Issues%3A%2021%20%7C%20Balance%3A%207%20%7C%20Remarks%3A%20NOS." TargetMode="External"/><Relationship Id="rId25" Type="http://schemas.openxmlformats.org/officeDocument/2006/relationships/hyperlink" Target="https://quickchart.io/qr?text=Sr%20No%3A%2015%20%7C%20Item%3A%20Detonators%20%7C%20Page%20No%3A%203047%20%7C%20Receipt%3A%20300%20%7C%20Transfer%3A%200%20%7C%20Issues%3A%20255%20%7C%20Balance%3A%2045%20%7C%20Remarks%3A%20NOS." TargetMode="External"/><Relationship Id="rId33" Type="http://schemas.openxmlformats.org/officeDocument/2006/relationships/hyperlink" Target="https://quickchart.io/qr?text=Sr%20No%3A%2019%20%7C%20Item%3A%20Dragon%20Torch%20%20%7C%20Page%20No%3A%203056%20%7C%20Receipt%3A%2012%20%7C%20Transfer%3A%200%20%7C%20Issues%3A%2012%20%7C%20Balance%3A%200%20%7C%20Remarks%3A%20NOS.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hyperlink" Target="https://quickchart.io/qr?text=Sr%20No%3A%2017%20%7C%20Item%3A%20Wooden%20Block%20For%20Check%20Rail%20%7C%20Page%20No%3A%203051%20%7C%20Receipt%3A%2050%20%7C%20Transfer%3A%200%20%7C%20Issues%3A%2032%20%7C%20Balance%3A%2018%20%7C%20Remarks%3A%20NOS." TargetMode="External"/><Relationship Id="rId1" Type="http://schemas.openxmlformats.org/officeDocument/2006/relationships/hyperlink" Target="https://quickchart.io/qr?text=Sr%20No%3A%203%20%7C%20Item%3A%20Black%20OIL%20%28used%29%20%7C%20Page%20No%3A%203008%20%7C%20Receipt%3A%20200%20%7C%20Transfer%3A%200%20%7C%20Issues%3A%20100%20%7C%20Balance%3A%20100%20%7C%20Remarks%3A%20NOS.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quickchart.io/qr?text=Sr%20No%3A%208%20%7C%20Item%3A%20Wooden%20Block%20%20%7C%20Page%20No%3A%203023%20%7C%20Receipt%3A%2046%20%7C%20Transfer%3A%200%20%7C%20Issues%3A%2036%20%7C%20Balance%3A%2010%20%7C%20Remarks%3A%20NOS.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5" Type="http://schemas.openxmlformats.org/officeDocument/2006/relationships/hyperlink" Target="https://quickchart.io/qr?text=Sr%20No%3A%205%20%7C%20Item%3A%20Mobile%20Dustbin%20%7C%20Page%20No%3A%203015%20%7C%20Receipt%3A%206%20%7C%20Transfer%3A%200%20%7C%20Issues%3A%202%20%7C%20Balance%3A%204%20%7C%20Remarks%3A%20NOS." TargetMode="External"/><Relationship Id="rId15" Type="http://schemas.openxmlformats.org/officeDocument/2006/relationships/hyperlink" Target="https://quickchart.io/qr?text=Sr%20No%3A%2010%20%7C%20Item%3A%20Igniter%20%20%7C%20Page%20No%3A%203028%20%7C%20Receipt%3A%2046%20%7C%20Transfer%3A%200%20%7C%20Issues%3A%2044%20%7C%20Balance%3A%202%20%7C%20Remarks%3A%20NOS." TargetMode="External"/><Relationship Id="rId23" Type="http://schemas.openxmlformats.org/officeDocument/2006/relationships/hyperlink" Target="https://quickchart.io/qr?text=Sr%20No%3A%2014%20%7C%20Item%3A%20Herbicide%20%20%7C%20Page%20No%3A%203038%20%7C%20Receipt%3A%20520%20%7C%20Transfer%3A%200%20%7C%20Issues%3A%20366%20%7C%20Balance%3A%20154%20%7C%20Remarks%3A%20NOS." TargetMode="External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hyperlink" Target="https://quickchart.io/qr?text=Sr%20No%3A%2012%20%7C%20Item%3A%20Single%20shot%20Crucible%20%7C%20Page%20No%3A%203033%20%7C%20Receipt%3A%20250%20%7C%20Transfer%3A%200%20%7C%20Issues%3A%20203%20%7C%20Balance%3A%2047%20%7C%20Remarks%3A%20NOS." TargetMode="External"/><Relationship Id="rId31" Type="http://schemas.openxmlformats.org/officeDocument/2006/relationships/hyperlink" Target="https://quickchart.io/qr?text=Sr%20No%3A%2018%20%7C%20Item%3A%20Patrolman%2FHandheld%20rechageable%20Torch%20%20%7C%20Page%20No%3A%203052%20%7C%20Receipt%3A%20150%20%7C%20Transfer%3A%200%20%7C%20Issues%3A%20150%20%7C%20Balance%3A%200%20%7C%20Remarks%3A%20NOS.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quickchart.io/qr?text=Sr%20No%3A%207%20%7C%20Item%3A%20Prelerbricated%20Dry%20Mould%20-Three%20%7C%20Page%20No%3A%203020%20%7C%20Receipt%3A%2048%20%7C%20Transfer%3A%200%20%7C%20Issues%3A%2040%20%7C%20Balance%3A%208%20%7C%20Remarks%3A%20NOS.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quickchart.io/qr?text=Sr%20No%3A%2016%20%7C%20Item%3A%20Empty%20goney%20bags%20%28Earth%20bag%29%20%7C%20Page%20No%3A%203049%20%7C%20Receipt%3A%206300%20%7C%20Transfer%3A%200%20%7C%20Issues%3A%201300%20%7C%20Balance%3A%205000%20%7C%20Remarks%3A%20NOS." TargetMode="External"/><Relationship Id="rId30" Type="http://schemas.openxmlformats.org/officeDocument/2006/relationships/image" Target="../media/image15.png"/><Relationship Id="rId8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</webImagesSrd>
</file>

<file path=xl/richData/rdrichvalue.xml><?xml version="1.0" encoding="utf-8"?>
<rvData xmlns="http://schemas.microsoft.com/office/spreadsheetml/2017/richdata" count="18">
  <rv s="0">
    <v>9</v>
    <v>0</v>
  </rv>
  <rv s="1">
    <v>0</v>
    <v>1</v>
    <v>0</v>
    <v>0</v>
  </rv>
  <rv s="1">
    <v>1</v>
    <v>1</v>
    <v>0</v>
    <v>0</v>
  </rv>
  <rv s="1">
    <v>2</v>
    <v>1</v>
    <v>0</v>
    <v>0</v>
  </rv>
  <rv s="1">
    <v>3</v>
    <v>1</v>
    <v>0</v>
    <v>0</v>
  </rv>
  <rv s="1">
    <v>4</v>
    <v>1</v>
    <v>0</v>
    <v>0</v>
  </rv>
  <rv s="1">
    <v>5</v>
    <v>1</v>
    <v>0</v>
    <v>0</v>
  </rv>
  <rv s="1">
    <v>6</v>
    <v>1</v>
    <v>0</v>
    <v>0</v>
  </rv>
  <rv s="1">
    <v>7</v>
    <v>1</v>
    <v>0</v>
    <v>0</v>
  </rv>
  <rv s="1">
    <v>8</v>
    <v>1</v>
    <v>0</v>
    <v>0</v>
  </rv>
  <rv s="1">
    <v>9</v>
    <v>1</v>
    <v>0</v>
    <v>0</v>
  </rv>
  <rv s="1">
    <v>10</v>
    <v>1</v>
    <v>0</v>
    <v>0</v>
  </rv>
  <rv s="1">
    <v>11</v>
    <v>1</v>
    <v>0</v>
    <v>0</v>
  </rv>
  <rv s="1">
    <v>12</v>
    <v>1</v>
    <v>0</v>
    <v>0</v>
  </rv>
  <rv s="1">
    <v>13</v>
    <v>1</v>
    <v>0</v>
    <v>0</v>
  </rv>
  <rv s="1">
    <v>14</v>
    <v>1</v>
    <v>0</v>
    <v>0</v>
  </rv>
  <rv s="1">
    <v>15</v>
    <v>1</v>
    <v>0</v>
    <v>0</v>
  </rv>
  <rv s="1">
    <v>16</v>
    <v>1</v>
    <v>0</v>
    <v>0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0" dT="2025-07-30T05:49:39.34" personId="{1142EE44-7665-4368-986A-70A47400414D}" id="{5D0C4D3A-E778-46DA-B077-CB7620CDA121}">
    <text xml:space="preserve"> Balance qty - 05 Nos carried to L. No. - 02, C&amp;P - Page No. -3047 dated 24.02.2025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0" dT="2025-07-30T05:49:39.34" personId="{1142EE44-7665-4368-986A-70A47400414D}" id="{DE835B07-A23E-4843-8E9E-6C20A86FFCE7}">
    <text xml:space="preserve"> Balance qty - 05 Nos carried to L. No. - 02, C&amp;P - Page No. -3047 dated 24.02.2025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0" dT="2025-07-30T05:49:39.34" personId="{1142EE44-7665-4368-986A-70A47400414D}" id="{A6FFE759-E526-4562-9B8C-2C80F4137896}">
    <text xml:space="preserve"> Balance qty - 05 Nos carried to L. No. - 02, C&amp;P - Page No. -3047 dated 24.02.2025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6.xml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7.xml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8.xml"/><Relationship Id="rId4" Type="http://schemas.microsoft.com/office/2017/10/relationships/threadedComment" Target="../threadedComments/threadedComment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30" zoomScaleNormal="100" workbookViewId="0">
      <selection activeCell="B4" sqref="B4"/>
    </sheetView>
  </sheetViews>
  <sheetFormatPr defaultRowHeight="15" x14ac:dyDescent="0.25"/>
  <cols>
    <col min="1" max="1" width="11" customWidth="1"/>
    <col min="2" max="2" width="58.7109375" customWidth="1"/>
    <col min="3" max="3" width="15.5703125" customWidth="1"/>
    <col min="4" max="4" width="18.7109375" customWidth="1"/>
    <col min="5" max="5" width="15.7109375" customWidth="1"/>
    <col min="6" max="6" width="17.42578125" customWidth="1"/>
    <col min="7" max="7" width="13.85546875" customWidth="1"/>
    <col min="8" max="8" width="18.85546875" customWidth="1"/>
    <col min="9" max="9" width="16.5703125" customWidth="1"/>
    <col min="10" max="10" width="0" hidden="1" customWidth="1"/>
    <col min="12" max="12" width="28.85546875" customWidth="1"/>
  </cols>
  <sheetData>
    <row r="1" spans="1:12" ht="50.1" customHeight="1" x14ac:dyDescent="0.25">
      <c r="A1" s="1" t="s">
        <v>0</v>
      </c>
      <c r="B1" s="104" t="s">
        <v>1</v>
      </c>
      <c r="C1" s="104"/>
      <c r="D1" s="104"/>
      <c r="E1" s="104"/>
      <c r="F1" s="104"/>
      <c r="G1" s="104"/>
      <c r="H1" s="104"/>
      <c r="I1" s="2"/>
      <c r="L1" s="3" t="s">
        <v>2</v>
      </c>
    </row>
    <row r="2" spans="1:12" ht="26.25" x14ac:dyDescent="0.25">
      <c r="A2" s="105" t="s">
        <v>3</v>
      </c>
      <c r="B2" s="105"/>
      <c r="C2" s="105"/>
      <c r="D2" s="105"/>
      <c r="E2" s="105"/>
      <c r="F2" s="105"/>
      <c r="G2" s="105"/>
      <c r="H2" s="105"/>
      <c r="I2" s="4"/>
      <c r="L2" s="5" t="s">
        <v>4</v>
      </c>
    </row>
    <row r="3" spans="1:12" ht="39.950000000000003" customHeight="1" x14ac:dyDescent="0.25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7" t="s">
        <v>13</v>
      </c>
      <c r="L3" s="8" t="s">
        <v>14</v>
      </c>
    </row>
    <row r="4" spans="1:12" ht="23.25" x14ac:dyDescent="0.25">
      <c r="A4" s="9">
        <v>1</v>
      </c>
      <c r="B4" s="101" t="s">
        <v>24</v>
      </c>
      <c r="C4" s="9">
        <v>3001</v>
      </c>
      <c r="D4" s="10">
        <f>'3001'!E6</f>
        <v>1100</v>
      </c>
      <c r="E4" s="10">
        <f>'3001'!F6</f>
        <v>0</v>
      </c>
      <c r="F4" s="10">
        <f>'3001'!G6</f>
        <v>980</v>
      </c>
      <c r="G4" s="10">
        <f>'3001'!H6</f>
        <v>120</v>
      </c>
      <c r="H4" s="11" t="s">
        <v>15</v>
      </c>
      <c r="I4" s="12" t="e">
        <f>_xlfn.IMAGE("https://quickchart.io/qr?text="&amp;_xlfn.ENCODEURL("Sr No: "&amp;#REF!&amp;" | Item: "&amp;#REF!&amp;" | Page No: "&amp;#REF!&amp;" | Receipt: "&amp;#REF!&amp;" | Transfer: "&amp;#REF!&amp;" | Issues: "&amp;#REF!&amp;" | Balance: "&amp;#REF!&amp;" | Remarks: "&amp;#REF!))</f>
        <v>#REF!</v>
      </c>
    </row>
    <row r="5" spans="1:12" ht="23.25" x14ac:dyDescent="0.25">
      <c r="A5" s="9">
        <v>2</v>
      </c>
      <c r="B5" s="101" t="s">
        <v>298</v>
      </c>
      <c r="C5" s="9">
        <v>3005</v>
      </c>
      <c r="D5" s="10">
        <f>'3005'!E6</f>
        <v>1280</v>
      </c>
      <c r="E5" s="10">
        <f>'3005'!F6</f>
        <v>0</v>
      </c>
      <c r="F5" s="10">
        <f>'3005'!G6</f>
        <v>975</v>
      </c>
      <c r="G5" s="10">
        <f>'3005'!H6</f>
        <v>305</v>
      </c>
      <c r="H5" s="11" t="s">
        <v>15</v>
      </c>
      <c r="I5" s="12" t="e">
        <f>_xlfn.IMAGE("https://quickchart.io/qr?text="&amp;_xlfn.ENCODEURL("Sr No: "&amp;#REF!&amp;" | Item: "&amp;#REF!&amp;" | Page No: "&amp;#REF!&amp;" | Receipt: "&amp;#REF!&amp;" | Transfer: "&amp;#REF!&amp;" | Issues: "&amp;#REF!&amp;" | Balance: "&amp;#REF!&amp;" | Remarks: "&amp;#REF!))</f>
        <v>#REF!</v>
      </c>
    </row>
    <row r="6" spans="1:12" ht="23.25" x14ac:dyDescent="0.25">
      <c r="A6" s="9">
        <v>3</v>
      </c>
      <c r="B6" s="101" t="s">
        <v>299</v>
      </c>
      <c r="C6" s="9">
        <v>3008</v>
      </c>
      <c r="D6" s="10">
        <f>'3008'!E6</f>
        <v>200</v>
      </c>
      <c r="E6" s="10">
        <f>'3008'!F6</f>
        <v>0</v>
      </c>
      <c r="F6" s="10">
        <f>'3008'!G6</f>
        <v>100</v>
      </c>
      <c r="G6" s="10">
        <f>'3008'!H6</f>
        <v>100</v>
      </c>
      <c r="H6" s="11" t="s">
        <v>15</v>
      </c>
      <c r="I6" s="12" t="e">
        <f>_xlfn.IMAGE("https://quickchart.io/qr?text="&amp;_xlfn.ENCODEURL("Sr No: "&amp;A4&amp;" | Item: "&amp;#REF!&amp;" | Page No: "&amp;C4&amp;" | Receipt: "&amp;D4&amp;" | Transfer: "&amp;E4&amp;" | Issues: "&amp;F4&amp;" | Balance: "&amp;G4&amp;" | Remarks: "&amp;H4))</f>
        <v>#REF!</v>
      </c>
    </row>
    <row r="7" spans="1:12" ht="23.25" x14ac:dyDescent="0.25">
      <c r="A7" s="9">
        <v>4</v>
      </c>
      <c r="B7" s="101" t="s">
        <v>26</v>
      </c>
      <c r="C7" s="9">
        <v>3011</v>
      </c>
      <c r="D7" s="10">
        <f>'3011'!E6</f>
        <v>150</v>
      </c>
      <c r="E7" s="10">
        <f>'3011'!F6</f>
        <v>0</v>
      </c>
      <c r="F7" s="10">
        <f>'3011'!G6</f>
        <v>123</v>
      </c>
      <c r="G7" s="10">
        <f>'3011'!H6</f>
        <v>27</v>
      </c>
      <c r="H7" s="11" t="s">
        <v>15</v>
      </c>
      <c r="I7" s="12" t="e" vm="1">
        <f t="shared" ref="I7:I24" ca="1" si="0">_xlfn.IMAGE("https://quickchart.io/qr?text="&amp;_xlfn.ENCODEURL("Sr No: "&amp;A5&amp;" | Item: "&amp;B5&amp;" | Page No: "&amp;C5&amp;" | Receipt: "&amp;D5&amp;" | Transfer: "&amp;E5&amp;" | Issues: "&amp;F5&amp;" | Balance: "&amp;G5&amp;" | Remarks: "&amp;H5))</f>
        <v>#VALUE!</v>
      </c>
    </row>
    <row r="8" spans="1:12" ht="23.25" x14ac:dyDescent="0.25">
      <c r="A8" s="9">
        <v>5</v>
      </c>
      <c r="B8" s="101" t="s">
        <v>129</v>
      </c>
      <c r="C8" s="9">
        <v>3015</v>
      </c>
      <c r="D8" s="10">
        <f>'3015'!E6</f>
        <v>6</v>
      </c>
      <c r="E8" s="10">
        <f>'3015'!F6</f>
        <v>0</v>
      </c>
      <c r="F8" s="10">
        <f>'3015'!G6</f>
        <v>2</v>
      </c>
      <c r="G8" s="10">
        <f>'3015'!H6</f>
        <v>4</v>
      </c>
      <c r="H8" s="11" t="s">
        <v>15</v>
      </c>
      <c r="I8" s="12" t="e" vm="2">
        <f t="shared" si="0"/>
        <v>#VALUE!</v>
      </c>
    </row>
    <row r="9" spans="1:12" ht="23.25" x14ac:dyDescent="0.25">
      <c r="A9" s="9">
        <v>6</v>
      </c>
      <c r="B9" s="101" t="s">
        <v>300</v>
      </c>
      <c r="C9" s="9">
        <v>3017</v>
      </c>
      <c r="D9" s="10">
        <f>'3017'!E6</f>
        <v>46</v>
      </c>
      <c r="E9" s="10">
        <f>'3017'!F6</f>
        <v>0</v>
      </c>
      <c r="F9" s="10">
        <f>'3017'!G6</f>
        <v>35</v>
      </c>
      <c r="G9" s="10">
        <f>'3017'!H6</f>
        <v>11</v>
      </c>
      <c r="H9" s="11" t="s">
        <v>15</v>
      </c>
      <c r="I9" s="12" t="e" vm="3">
        <f t="shared" si="0"/>
        <v>#VALUE!</v>
      </c>
    </row>
    <row r="10" spans="1:12" ht="23.25" x14ac:dyDescent="0.25">
      <c r="A10" s="9">
        <v>7</v>
      </c>
      <c r="B10" s="101" t="s">
        <v>23</v>
      </c>
      <c r="C10" s="9">
        <v>3020</v>
      </c>
      <c r="D10" s="10">
        <f>'3020'!E6</f>
        <v>48</v>
      </c>
      <c r="E10" s="10">
        <f>'3020'!F6</f>
        <v>0</v>
      </c>
      <c r="F10" s="10">
        <f>'3020'!G6</f>
        <v>40</v>
      </c>
      <c r="G10" s="10">
        <f>'3020'!H6</f>
        <v>8</v>
      </c>
      <c r="H10" s="11" t="s">
        <v>15</v>
      </c>
      <c r="I10" s="12" t="e" vm="4">
        <f t="shared" si="0"/>
        <v>#VALUE!</v>
      </c>
    </row>
    <row r="11" spans="1:12" ht="23.25" x14ac:dyDescent="0.25">
      <c r="A11" s="9">
        <v>8</v>
      </c>
      <c r="B11" s="101" t="s">
        <v>22</v>
      </c>
      <c r="C11" s="9">
        <v>3023</v>
      </c>
      <c r="D11" s="10">
        <f>'3023'!E6</f>
        <v>46</v>
      </c>
      <c r="E11" s="10">
        <f>'3023'!F6</f>
        <v>0</v>
      </c>
      <c r="F11" s="10">
        <f>'3023'!G6</f>
        <v>36</v>
      </c>
      <c r="G11" s="10">
        <f>'3023'!H6</f>
        <v>10</v>
      </c>
      <c r="H11" s="11" t="s">
        <v>15</v>
      </c>
      <c r="I11" s="12" t="e" vm="5">
        <f t="shared" si="0"/>
        <v>#VALUE!</v>
      </c>
    </row>
    <row r="12" spans="1:12" ht="23.25" x14ac:dyDescent="0.25">
      <c r="A12" s="9">
        <v>9</v>
      </c>
      <c r="B12" s="101" t="s">
        <v>21</v>
      </c>
      <c r="C12" s="9">
        <v>3026</v>
      </c>
      <c r="D12" s="10">
        <f>'3026'!E6</f>
        <v>51</v>
      </c>
      <c r="E12" s="10">
        <f>'3026'!F6</f>
        <v>0</v>
      </c>
      <c r="F12" s="10">
        <f>'3026'!G6</f>
        <v>48</v>
      </c>
      <c r="G12" s="10">
        <f>'3026'!H6</f>
        <v>3</v>
      </c>
      <c r="H12" s="11" t="s">
        <v>15</v>
      </c>
      <c r="I12" s="12" t="e" vm="6">
        <f t="shared" si="0"/>
        <v>#VALUE!</v>
      </c>
    </row>
    <row r="13" spans="1:12" ht="23.25" x14ac:dyDescent="0.25">
      <c r="A13" s="9">
        <v>10</v>
      </c>
      <c r="B13" s="101" t="s">
        <v>20</v>
      </c>
      <c r="C13" s="9">
        <f>'[1]Igniter '!I3</f>
        <v>3028</v>
      </c>
      <c r="D13" s="10">
        <f>'3028'!E6</f>
        <v>46</v>
      </c>
      <c r="E13" s="10">
        <f>'3028'!F6</f>
        <v>0</v>
      </c>
      <c r="F13" s="10">
        <f>'3028'!G6</f>
        <v>44</v>
      </c>
      <c r="G13" s="10">
        <f>'3028'!H6</f>
        <v>2</v>
      </c>
      <c r="H13" s="11" t="s">
        <v>15</v>
      </c>
      <c r="I13" s="12" t="e" vm="7">
        <f>_xlfn.IMAGE("https://quickchart.io/qr?text="&amp;_xlfn.ENCODEURL("Sr No: "&amp;A11&amp;" | Item: "&amp;B15&amp;" | Page No: "&amp;C11&amp;" | Receipt: "&amp;D11&amp;" | Transfer: "&amp;E11&amp;" | Issues: "&amp;F11&amp;" | Balance: "&amp;G11&amp;" | Remarks: "&amp;H11))</f>
        <v>#VALUE!</v>
      </c>
    </row>
    <row r="14" spans="1:12" ht="23.25" x14ac:dyDescent="0.25">
      <c r="A14" s="9">
        <v>11</v>
      </c>
      <c r="B14" s="101" t="s">
        <v>19</v>
      </c>
      <c r="C14" s="9">
        <v>3030</v>
      </c>
      <c r="D14" s="10">
        <f>'3030'!E6</f>
        <v>28</v>
      </c>
      <c r="E14" s="10">
        <f>'3030'!F6</f>
        <v>0</v>
      </c>
      <c r="F14" s="10">
        <f>'3030'!G6</f>
        <v>21</v>
      </c>
      <c r="G14" s="10">
        <f>'3030'!H6</f>
        <v>7</v>
      </c>
      <c r="H14" s="11" t="s">
        <v>15</v>
      </c>
      <c r="I14" s="12" t="e" vm="8">
        <f>_xlfn.IMAGE("https://quickchart.io/qr?text="&amp;_xlfn.ENCODEURL("Sr No: "&amp;A12&amp;" | Item: "&amp;B14&amp;" | Page No: "&amp;C12&amp;" | Receipt: "&amp;D12&amp;" | Transfer: "&amp;E12&amp;" | Issues: "&amp;F12&amp;" | Balance: "&amp;G12&amp;" | Remarks: "&amp;H12))</f>
        <v>#VALUE!</v>
      </c>
    </row>
    <row r="15" spans="1:12" ht="23.25" x14ac:dyDescent="0.25">
      <c r="A15" s="9">
        <v>12</v>
      </c>
      <c r="B15" s="101" t="s">
        <v>18</v>
      </c>
      <c r="C15" s="9">
        <v>3033</v>
      </c>
      <c r="D15" s="10">
        <f>'3033'!E6</f>
        <v>250</v>
      </c>
      <c r="E15" s="10">
        <f>'3033'!F6</f>
        <v>0</v>
      </c>
      <c r="F15" s="10">
        <f>'3033'!G6</f>
        <v>203</v>
      </c>
      <c r="G15" s="10">
        <f>'3033'!H6</f>
        <v>47</v>
      </c>
      <c r="H15" s="11" t="s">
        <v>15</v>
      </c>
      <c r="I15" s="12" t="e" vm="9">
        <f t="shared" si="0"/>
        <v>#VALUE!</v>
      </c>
    </row>
    <row r="16" spans="1:12" ht="23.25" x14ac:dyDescent="0.25">
      <c r="A16" s="9">
        <v>13</v>
      </c>
      <c r="B16" s="101" t="s">
        <v>301</v>
      </c>
      <c r="C16" s="9">
        <v>3036</v>
      </c>
      <c r="D16" s="10">
        <f>'3036'!E6</f>
        <v>546</v>
      </c>
      <c r="E16" s="10">
        <f>'3036'!F6</f>
        <v>0</v>
      </c>
      <c r="F16" s="10">
        <f>'3036'!G6</f>
        <v>364</v>
      </c>
      <c r="G16" s="10">
        <f>'3036'!H6</f>
        <v>182</v>
      </c>
      <c r="H16" s="11" t="s">
        <v>15</v>
      </c>
      <c r="I16" s="12" t="e" vm="10">
        <f>_xlfn.IMAGE("https://quickchart.io/qr?text="&amp;_xlfn.ENCODEURL("Sr No: "&amp;A14&amp;" | Item: "&amp;B12&amp;" | Page No: "&amp;C14&amp;" | Receipt: "&amp;D14&amp;" | Transfer: "&amp;E14&amp;" | Issues: "&amp;F14&amp;" | Balance: "&amp;G14&amp;" | Remarks: "&amp;H14))</f>
        <v>#VALUE!</v>
      </c>
    </row>
    <row r="17" spans="1:9" ht="23.25" x14ac:dyDescent="0.25">
      <c r="A17" s="9">
        <v>14</v>
      </c>
      <c r="B17" s="101" t="s">
        <v>302</v>
      </c>
      <c r="C17" s="9">
        <v>3038</v>
      </c>
      <c r="D17" s="10">
        <f>'3038'!E6</f>
        <v>520</v>
      </c>
      <c r="E17" s="10">
        <f>'3038'!F6</f>
        <v>0</v>
      </c>
      <c r="F17" s="10">
        <f>'3038'!G6</f>
        <v>366</v>
      </c>
      <c r="G17" s="10">
        <f>'3038'!H6</f>
        <v>154</v>
      </c>
      <c r="H17" s="11" t="s">
        <v>15</v>
      </c>
      <c r="I17" s="12" t="e" vm="11">
        <f>_xlfn.IMAGE("https://quickchart.io/qr?text="&amp;_xlfn.ENCODEURL("Sr No: "&amp;A15&amp;" | Item: "&amp;B11&amp;" | Page No: "&amp;C15&amp;" | Receipt: "&amp;D15&amp;" | Transfer: "&amp;E15&amp;" | Issues: "&amp;F15&amp;" | Balance: "&amp;G15&amp;" | Remarks: "&amp;H15))</f>
        <v>#VALUE!</v>
      </c>
    </row>
    <row r="18" spans="1:9" ht="23.25" x14ac:dyDescent="0.25">
      <c r="A18" s="9">
        <v>15</v>
      </c>
      <c r="B18" s="101" t="s">
        <v>27</v>
      </c>
      <c r="C18" s="9">
        <v>3047</v>
      </c>
      <c r="D18" s="10">
        <f>'3047'!E6</f>
        <v>300</v>
      </c>
      <c r="E18" s="10">
        <f>'3047'!F6</f>
        <v>0</v>
      </c>
      <c r="F18" s="10">
        <f>'3047'!G6</f>
        <v>255</v>
      </c>
      <c r="G18" s="10">
        <f>'3047'!H6</f>
        <v>45</v>
      </c>
      <c r="H18" s="11" t="s">
        <v>15</v>
      </c>
      <c r="I18" s="12" t="e" vm="12">
        <f t="shared" si="0"/>
        <v>#VALUE!</v>
      </c>
    </row>
    <row r="19" spans="1:9" ht="23.25" x14ac:dyDescent="0.25">
      <c r="A19" s="9">
        <v>16</v>
      </c>
      <c r="B19" s="101" t="s">
        <v>303</v>
      </c>
      <c r="C19" s="9">
        <v>3049</v>
      </c>
      <c r="D19" s="10">
        <f>'3049'!E6</f>
        <v>6300</v>
      </c>
      <c r="E19" s="10">
        <f>'3049'!F6</f>
        <v>0</v>
      </c>
      <c r="F19" s="10">
        <f>'3049'!G6</f>
        <v>1300</v>
      </c>
      <c r="G19" s="10">
        <f>'3049'!H6</f>
        <v>5000</v>
      </c>
      <c r="H19" s="11" t="s">
        <v>15</v>
      </c>
      <c r="I19" s="12" t="e" vm="13">
        <f t="shared" si="0"/>
        <v>#VALUE!</v>
      </c>
    </row>
    <row r="20" spans="1:9" ht="23.25" x14ac:dyDescent="0.25">
      <c r="A20" s="9">
        <v>17</v>
      </c>
      <c r="B20" s="101" t="s">
        <v>304</v>
      </c>
      <c r="C20" s="9">
        <v>3051</v>
      </c>
      <c r="D20" s="10">
        <f>'3051'!E6</f>
        <v>50</v>
      </c>
      <c r="E20" s="10">
        <f>'3051'!F6</f>
        <v>0</v>
      </c>
      <c r="F20" s="10">
        <f>'3051'!G6</f>
        <v>32</v>
      </c>
      <c r="G20" s="10">
        <f>'3051'!H6</f>
        <v>18</v>
      </c>
      <c r="H20" s="11" t="s">
        <v>15</v>
      </c>
      <c r="I20" s="12" t="e" vm="14">
        <f>_xlfn.IMAGE("https://quickchart.io/qr?text="&amp;_xlfn.ENCODEURL("Sr No: "&amp;A18&amp;" | Item: "&amp;B4&amp;" | Page No: "&amp;C18&amp;" | Receipt: "&amp;D18&amp;" | Transfer: "&amp;E18&amp;" | Issues: "&amp;F18&amp;" | Balance: "&amp;G18&amp;" | Remarks: "&amp;H18))</f>
        <v>#VALUE!</v>
      </c>
    </row>
    <row r="21" spans="1:9" ht="23.25" x14ac:dyDescent="0.25">
      <c r="A21" s="9">
        <v>18</v>
      </c>
      <c r="B21" s="101" t="s">
        <v>305</v>
      </c>
      <c r="C21" s="9">
        <v>3052</v>
      </c>
      <c r="D21" s="10">
        <f>'3052'!E6</f>
        <v>150</v>
      </c>
      <c r="E21" s="10">
        <f>'3052'!F6</f>
        <v>0</v>
      </c>
      <c r="F21" s="10">
        <f>'3052'!G6</f>
        <v>150</v>
      </c>
      <c r="G21" s="10">
        <f>'3052'!H6</f>
        <v>0</v>
      </c>
      <c r="H21" s="11" t="s">
        <v>15</v>
      </c>
      <c r="I21" s="12" t="e" vm="15">
        <f t="shared" si="0"/>
        <v>#VALUE!</v>
      </c>
    </row>
    <row r="22" spans="1:9" ht="23.25" x14ac:dyDescent="0.25">
      <c r="A22" s="9">
        <v>19</v>
      </c>
      <c r="B22" s="101" t="s">
        <v>329</v>
      </c>
      <c r="C22" s="9">
        <v>3056</v>
      </c>
      <c r="D22" s="10">
        <f>'3056'!E6</f>
        <v>12</v>
      </c>
      <c r="E22" s="10">
        <f>'3056'!F6</f>
        <v>0</v>
      </c>
      <c r="F22" s="10">
        <f>'3056'!G6</f>
        <v>12</v>
      </c>
      <c r="G22" s="10">
        <f>'3056'!H6</f>
        <v>0</v>
      </c>
      <c r="H22" s="11" t="s">
        <v>15</v>
      </c>
      <c r="I22" s="12" t="e" vm="16">
        <f t="shared" si="0"/>
        <v>#VALUE!</v>
      </c>
    </row>
    <row r="23" spans="1:9" ht="23.25" x14ac:dyDescent="0.25">
      <c r="A23" s="9">
        <v>20</v>
      </c>
      <c r="B23" s="101" t="s">
        <v>339</v>
      </c>
      <c r="C23" s="9">
        <v>3057</v>
      </c>
      <c r="D23" s="10">
        <f>'3057'!E6</f>
        <v>25</v>
      </c>
      <c r="E23" s="10">
        <f>'3057'!F6</f>
        <v>0</v>
      </c>
      <c r="F23" s="10">
        <f>'3057'!G6</f>
        <v>21</v>
      </c>
      <c r="G23" s="10">
        <f>'3057'!H6</f>
        <v>4</v>
      </c>
      <c r="H23" s="11" t="s">
        <v>15</v>
      </c>
      <c r="I23" s="12" t="e" vm="17">
        <f t="shared" si="0"/>
        <v>#VALUE!</v>
      </c>
    </row>
    <row r="24" spans="1:9" ht="23.25" x14ac:dyDescent="0.25">
      <c r="A24" s="9">
        <v>21</v>
      </c>
      <c r="B24" s="101" t="s">
        <v>340</v>
      </c>
      <c r="C24" s="9">
        <v>3059</v>
      </c>
      <c r="D24" s="10">
        <f>'3059'!E6</f>
        <v>50</v>
      </c>
      <c r="E24" s="10">
        <f>'3059'!F6</f>
        <v>0</v>
      </c>
      <c r="F24" s="10">
        <f>'3059'!G6</f>
        <v>27</v>
      </c>
      <c r="G24" s="10">
        <f>'3059'!H6</f>
        <v>23</v>
      </c>
      <c r="H24" s="11" t="s">
        <v>15</v>
      </c>
      <c r="I24" s="12" t="e" vm="18">
        <f t="shared" si="0"/>
        <v>#VALUE!</v>
      </c>
    </row>
    <row r="25" spans="1:9" ht="23.25" x14ac:dyDescent="0.25">
      <c r="A25" s="9">
        <v>22</v>
      </c>
      <c r="B25" s="101" t="s">
        <v>357</v>
      </c>
      <c r="C25" s="9">
        <v>3061</v>
      </c>
      <c r="D25" s="10">
        <f>'3061'!E6</f>
        <v>150</v>
      </c>
      <c r="E25" s="10">
        <f>'3061'!F6</f>
        <v>0</v>
      </c>
      <c r="F25" s="10">
        <f>'3061'!G6</f>
        <v>103</v>
      </c>
      <c r="G25" s="10">
        <f>'3061'!H6</f>
        <v>47</v>
      </c>
      <c r="H25" s="11" t="s">
        <v>15</v>
      </c>
    </row>
    <row r="26" spans="1:9" ht="23.25" x14ac:dyDescent="0.25">
      <c r="A26" s="9">
        <v>23</v>
      </c>
      <c r="B26" s="101" t="s">
        <v>358</v>
      </c>
      <c r="C26" s="9">
        <v>3064</v>
      </c>
      <c r="D26" s="10">
        <f>'3064'!E6</f>
        <v>100</v>
      </c>
      <c r="E26" s="10">
        <f>'3064'!F6</f>
        <v>0</v>
      </c>
      <c r="F26" s="10">
        <f>'3064'!G6</f>
        <v>95</v>
      </c>
      <c r="G26" s="10">
        <f>'3064'!H6</f>
        <v>5</v>
      </c>
      <c r="H26" s="11" t="s">
        <v>15</v>
      </c>
    </row>
    <row r="27" spans="1:9" ht="23.25" x14ac:dyDescent="0.25">
      <c r="A27" s="9">
        <v>24</v>
      </c>
      <c r="B27" s="101" t="s">
        <v>380</v>
      </c>
      <c r="C27" s="9">
        <v>3067</v>
      </c>
      <c r="D27" s="10">
        <f>'3067'!E6</f>
        <v>300</v>
      </c>
      <c r="E27" s="10">
        <f>'3067'!F6</f>
        <v>0</v>
      </c>
      <c r="F27" s="10">
        <f>'3067'!G6</f>
        <v>244</v>
      </c>
      <c r="G27" s="10">
        <f>'3067'!H6</f>
        <v>56</v>
      </c>
      <c r="H27" s="11" t="s">
        <v>15</v>
      </c>
    </row>
    <row r="28" spans="1:9" ht="23.25" x14ac:dyDescent="0.25">
      <c r="A28" s="9">
        <v>25</v>
      </c>
      <c r="B28" s="101" t="s">
        <v>390</v>
      </c>
      <c r="C28" s="9">
        <v>3070</v>
      </c>
      <c r="D28" s="10">
        <f>'3070'!E7</f>
        <v>250</v>
      </c>
      <c r="E28" s="10">
        <f>'3070'!F7</f>
        <v>0</v>
      </c>
      <c r="F28" s="10">
        <f>'3070'!G7</f>
        <v>165</v>
      </c>
      <c r="G28" s="10">
        <f>'3070'!H7</f>
        <v>85</v>
      </c>
      <c r="H28" s="11" t="s">
        <v>15</v>
      </c>
    </row>
    <row r="29" spans="1:9" ht="23.25" x14ac:dyDescent="0.25">
      <c r="A29" s="9">
        <v>26</v>
      </c>
      <c r="B29" s="101" t="s">
        <v>400</v>
      </c>
      <c r="C29" s="9">
        <v>3073</v>
      </c>
      <c r="D29" s="10">
        <f>'3073'!E6</f>
        <v>100</v>
      </c>
      <c r="E29" s="10">
        <f>'3073'!F6</f>
        <v>0</v>
      </c>
      <c r="F29" s="10">
        <f>'3073'!G6</f>
        <v>95</v>
      </c>
      <c r="G29" s="10">
        <f>'3073'!H6</f>
        <v>5</v>
      </c>
      <c r="H29" s="11" t="s">
        <v>15</v>
      </c>
    </row>
    <row r="30" spans="1:9" ht="23.25" x14ac:dyDescent="0.25">
      <c r="A30" s="9">
        <v>27</v>
      </c>
      <c r="B30" s="101"/>
      <c r="C30" s="9"/>
      <c r="D30" s="10">
        <f>'[1]Rail Disc cutter wheel stone '!E12</f>
        <v>0</v>
      </c>
      <c r="E30" s="10">
        <f>'[1]Rail Disc cutter wheel stone '!F12</f>
        <v>0</v>
      </c>
      <c r="F30" s="10">
        <f>'[1]Rail Disc cutter wheel stone '!G12</f>
        <v>0</v>
      </c>
      <c r="G30" s="10">
        <f>'[1]Rail Disc cutter wheel stone '!H12</f>
        <v>0</v>
      </c>
      <c r="H30" s="11" t="s">
        <v>15</v>
      </c>
    </row>
    <row r="31" spans="1:9" ht="23.25" x14ac:dyDescent="0.25">
      <c r="A31" s="9">
        <v>28</v>
      </c>
      <c r="B31" s="101"/>
      <c r="C31" s="9"/>
      <c r="D31" s="10">
        <f>'[1]Rail Disc cutter wheel stone '!E13</f>
        <v>0</v>
      </c>
      <c r="E31" s="10">
        <f>'[1]Rail Disc cutter wheel stone '!F13</f>
        <v>0</v>
      </c>
      <c r="F31" s="10">
        <f>'[1]Rail Disc cutter wheel stone '!G13</f>
        <v>0</v>
      </c>
      <c r="G31" s="10">
        <f>'[1]Rail Disc cutter wheel stone '!H13</f>
        <v>0</v>
      </c>
      <c r="H31" s="11" t="s">
        <v>15</v>
      </c>
    </row>
    <row r="32" spans="1:9" ht="23.25" x14ac:dyDescent="0.25">
      <c r="A32" s="9">
        <v>29</v>
      </c>
      <c r="B32" s="101"/>
      <c r="C32" s="9"/>
      <c r="D32" s="10">
        <f>'[1]Rail Disc cutter wheel stone '!E14</f>
        <v>0</v>
      </c>
      <c r="E32" s="10">
        <f>'[1]Rail Disc cutter wheel stone '!F14</f>
        <v>0</v>
      </c>
      <c r="F32" s="10">
        <f>'[1]Rail Disc cutter wheel stone '!G14</f>
        <v>0</v>
      </c>
      <c r="G32" s="10">
        <f>'[1]Rail Disc cutter wheel stone '!H14</f>
        <v>0</v>
      </c>
      <c r="H32" s="11" t="s">
        <v>15</v>
      </c>
    </row>
    <row r="33" spans="1:8" ht="23.25" x14ac:dyDescent="0.25">
      <c r="A33" s="9">
        <v>30</v>
      </c>
      <c r="B33" s="101"/>
      <c r="C33" s="9"/>
      <c r="D33" s="10">
        <f>'[1]Rail Disc cutter wheel stone '!E15</f>
        <v>0</v>
      </c>
      <c r="E33" s="10">
        <f>'[1]Rail Disc cutter wheel stone '!F15</f>
        <v>0</v>
      </c>
      <c r="F33" s="10">
        <f>'[1]Rail Disc cutter wheel stone '!G15</f>
        <v>0</v>
      </c>
      <c r="G33" s="10">
        <f>'[1]Rail Disc cutter wheel stone '!H15</f>
        <v>0</v>
      </c>
      <c r="H33" s="11" t="s">
        <v>15</v>
      </c>
    </row>
    <row r="34" spans="1:8" ht="23.25" x14ac:dyDescent="0.25">
      <c r="A34" s="9">
        <v>31</v>
      </c>
      <c r="B34" s="101"/>
      <c r="C34" s="9"/>
      <c r="D34" s="10">
        <f>'[1]Rail Disc cutter wheel stone '!E16</f>
        <v>0</v>
      </c>
      <c r="E34" s="10">
        <f>'[1]Rail Disc cutter wheel stone '!F16</f>
        <v>0</v>
      </c>
      <c r="F34" s="10">
        <f>'[1]Rail Disc cutter wheel stone '!G16</f>
        <v>0</v>
      </c>
      <c r="G34" s="10">
        <f>'[1]Rail Disc cutter wheel stone '!H16</f>
        <v>0</v>
      </c>
      <c r="H34" s="11" t="s">
        <v>15</v>
      </c>
    </row>
    <row r="35" spans="1:8" ht="23.25" x14ac:dyDescent="0.25">
      <c r="A35" s="9">
        <v>32</v>
      </c>
      <c r="B35" s="101"/>
      <c r="C35" s="9"/>
      <c r="D35" s="10">
        <f>'[1]Rail Disc cutter wheel stone '!E17</f>
        <v>0</v>
      </c>
      <c r="E35" s="10">
        <f>'[1]Rail Disc cutter wheel stone '!F17</f>
        <v>0</v>
      </c>
      <c r="F35" s="10">
        <f>'[1]Rail Disc cutter wheel stone '!G17</f>
        <v>0</v>
      </c>
      <c r="G35" s="10">
        <f>'[1]Rail Disc cutter wheel stone '!H17</f>
        <v>0</v>
      </c>
      <c r="H35" s="11" t="s">
        <v>15</v>
      </c>
    </row>
    <row r="36" spans="1:8" ht="23.25" x14ac:dyDescent="0.25">
      <c r="A36" s="9">
        <v>33</v>
      </c>
      <c r="B36" s="101"/>
      <c r="C36" s="9"/>
      <c r="D36" s="10">
        <f>'[1]Rail Disc cutter wheel stone '!E18</f>
        <v>0</v>
      </c>
      <c r="E36" s="10">
        <f>'[1]Rail Disc cutter wheel stone '!F18</f>
        <v>0</v>
      </c>
      <c r="F36" s="10">
        <f>'[1]Rail Disc cutter wheel stone '!G18</f>
        <v>0</v>
      </c>
      <c r="G36" s="10">
        <f>'[1]Rail Disc cutter wheel stone '!H18</f>
        <v>0</v>
      </c>
      <c r="H36" s="11" t="s">
        <v>15</v>
      </c>
    </row>
    <row r="37" spans="1:8" ht="23.25" x14ac:dyDescent="0.25">
      <c r="A37" s="9">
        <v>34</v>
      </c>
      <c r="B37" s="101"/>
      <c r="C37" s="9"/>
      <c r="D37" s="10">
        <f>'[1]Rail Disc cutter wheel stone '!E19</f>
        <v>0</v>
      </c>
      <c r="E37" s="10">
        <f>'[1]Rail Disc cutter wheel stone '!F19</f>
        <v>0</v>
      </c>
      <c r="F37" s="10">
        <f>'[1]Rail Disc cutter wheel stone '!G19</f>
        <v>0</v>
      </c>
      <c r="G37" s="10">
        <f>'[1]Rail Disc cutter wheel stone '!H19</f>
        <v>0</v>
      </c>
      <c r="H37" s="11" t="s">
        <v>15</v>
      </c>
    </row>
    <row r="38" spans="1:8" ht="23.25" x14ac:dyDescent="0.25">
      <c r="A38" s="9">
        <v>35</v>
      </c>
      <c r="B38" s="101"/>
      <c r="C38" s="9"/>
      <c r="D38" s="10">
        <f>'[1]Rail Disc cutter wheel stone '!E20</f>
        <v>0</v>
      </c>
      <c r="E38" s="10">
        <f>'[1]Rail Disc cutter wheel stone '!F20</f>
        <v>0</v>
      </c>
      <c r="F38" s="10">
        <f>'[1]Rail Disc cutter wheel stone '!G20</f>
        <v>0</v>
      </c>
      <c r="G38" s="10">
        <f>'[1]Rail Disc cutter wheel stone '!H20</f>
        <v>0</v>
      </c>
      <c r="H38" s="11" t="s">
        <v>15</v>
      </c>
    </row>
    <row r="39" spans="1:8" ht="23.25" x14ac:dyDescent="0.25">
      <c r="A39" s="9">
        <v>36</v>
      </c>
      <c r="B39" s="101"/>
      <c r="C39" s="9"/>
      <c r="D39" s="10">
        <f>'[1]Rail Disc cutter wheel stone '!E21</f>
        <v>0</v>
      </c>
      <c r="E39" s="10">
        <f>'[1]Rail Disc cutter wheel stone '!F21</f>
        <v>0</v>
      </c>
      <c r="F39" s="10">
        <f>'[1]Rail Disc cutter wheel stone '!G21</f>
        <v>0</v>
      </c>
      <c r="G39" s="10">
        <f>'[1]Rail Disc cutter wheel stone '!H21</f>
        <v>0</v>
      </c>
      <c r="H39" s="11" t="s">
        <v>15</v>
      </c>
    </row>
    <row r="40" spans="1:8" ht="23.25" x14ac:dyDescent="0.25">
      <c r="A40" s="9">
        <v>37</v>
      </c>
      <c r="B40" s="101"/>
      <c r="C40" s="9"/>
      <c r="D40" s="10">
        <f>'[1]Rail Disc cutter wheel stone '!E22</f>
        <v>0</v>
      </c>
      <c r="E40" s="10">
        <f>'[1]Rail Disc cutter wheel stone '!F22</f>
        <v>0</v>
      </c>
      <c r="F40" s="10">
        <f>'[1]Rail Disc cutter wheel stone '!G22</f>
        <v>0</v>
      </c>
      <c r="G40" s="10">
        <f>'[1]Rail Disc cutter wheel stone '!H22</f>
        <v>0</v>
      </c>
      <c r="H40" s="11" t="s">
        <v>15</v>
      </c>
    </row>
    <row r="41" spans="1:8" ht="23.25" x14ac:dyDescent="0.25">
      <c r="A41" s="9">
        <v>38</v>
      </c>
      <c r="B41" s="101"/>
      <c r="C41" s="9"/>
      <c r="D41" s="10">
        <f>'[1]Rail Disc cutter wheel stone '!E23</f>
        <v>0</v>
      </c>
      <c r="E41" s="10">
        <f>'[1]Rail Disc cutter wheel stone '!F23</f>
        <v>0</v>
      </c>
      <c r="F41" s="10">
        <f>'[1]Rail Disc cutter wheel stone '!G23</f>
        <v>0</v>
      </c>
      <c r="G41" s="10">
        <f>'[1]Rail Disc cutter wheel stone '!H23</f>
        <v>0</v>
      </c>
      <c r="H41" s="11" t="s">
        <v>15</v>
      </c>
    </row>
    <row r="42" spans="1:8" ht="23.25" x14ac:dyDescent="0.25">
      <c r="A42" s="9">
        <v>39</v>
      </c>
      <c r="B42" s="101"/>
      <c r="C42" s="9"/>
      <c r="D42" s="10">
        <f>'[1]Rail Disc cutter wheel stone '!E24</f>
        <v>0</v>
      </c>
      <c r="E42" s="10">
        <f>'[1]Rail Disc cutter wheel stone '!F24</f>
        <v>0</v>
      </c>
      <c r="F42" s="10">
        <f>'[1]Rail Disc cutter wheel stone '!G24</f>
        <v>0</v>
      </c>
      <c r="G42" s="10">
        <f>'[1]Rail Disc cutter wheel stone '!H24</f>
        <v>0</v>
      </c>
      <c r="H42" s="11" t="s">
        <v>15</v>
      </c>
    </row>
    <row r="43" spans="1:8" ht="23.25" x14ac:dyDescent="0.25">
      <c r="A43" s="9">
        <v>40</v>
      </c>
      <c r="B43" s="101"/>
      <c r="C43" s="9"/>
      <c r="D43" s="10">
        <f>'[1]Rail Disc cutter wheel stone '!E25</f>
        <v>0</v>
      </c>
      <c r="E43" s="10">
        <f>'[1]Rail Disc cutter wheel stone '!F25</f>
        <v>0</v>
      </c>
      <c r="F43" s="10">
        <f>'[1]Rail Disc cutter wheel stone '!G25</f>
        <v>0</v>
      </c>
      <c r="G43" s="10">
        <f>'[1]Rail Disc cutter wheel stone '!H25</f>
        <v>0</v>
      </c>
      <c r="H43" s="11" t="s">
        <v>15</v>
      </c>
    </row>
  </sheetData>
  <mergeCells count="2">
    <mergeCell ref="B1:H1"/>
    <mergeCell ref="A2:H2"/>
  </mergeCells>
  <hyperlinks>
    <hyperlink ref="B4" location="'3001'!A1" display="Detonators" xr:uid="{9C943F3A-3CAE-44D3-BCAC-21FE8A216273}"/>
    <hyperlink ref="B5" location="'3005'!A1" display="Graphite  Grease (IS: 408-202)" xr:uid="{85F5DE38-D11B-494E-BBE5-4ADCB83B835B}"/>
    <hyperlink ref="B6" location="'3008'!A1" display="Black OIL (used)" xr:uid="{EF5B83DF-3320-45F5-86E5-3AB607AE8ABE}"/>
    <hyperlink ref="B7" location="'3011'!A1" display="Water Bottle " xr:uid="{0B5FBC15-4E49-4747-8BBB-BE29E1EB7DF0}"/>
    <hyperlink ref="B8" location="'3015'!A1" display="Mobile Dustbin" xr:uid="{5D89D8FC-701B-404A-89EA-E688DBFA38C2}"/>
    <hyperlink ref="B10" location="'3020'!A1" display="Prelerbricated Dry Mould -Three" xr:uid="{9CAF1ED5-D45A-452C-AC09-BEDB6F46C077}"/>
    <hyperlink ref="B11" location="'3023'!A1" display="Single shot Crucible" xr:uid="{B83114E1-C567-40EC-AD9D-33CEE9FBF239}"/>
    <hyperlink ref="B12" location="'3026'!A1" display="Luting Sand" xr:uid="{41129D5E-5953-494C-803A-A1C7D8AE01C5}"/>
    <hyperlink ref="B13" location="'3028'!A1" display="Igniter " xr:uid="{E177276F-0A6E-4818-9397-FBEB019BC3B8}"/>
    <hyperlink ref="B14" location="'3030'!A1" display="Rail Grinding Stone ( weld Grin" xr:uid="{903AB868-2D0F-4B61-9325-D096FE3A7A8F}"/>
    <hyperlink ref="B15" location="'3033'!A1" display="Wooden Block " xr:uid="{3A1F0DD3-2E63-4C45-AA90-CF2C9DBED2DB}"/>
    <hyperlink ref="B16" location="'3036'!A1" display="Sythtic Lubricating Grease (Lithum)" xr:uid="{2126B06D-A24E-44FD-9230-57E667A46DF8}"/>
    <hyperlink ref="B17" location="'3038'!A1" display="Herbicide " xr:uid="{AB278E7C-AE98-4A24-92BC-8805D993F762}"/>
    <hyperlink ref="B18" location="'3047'!A1" display="Safety Jacket " xr:uid="{5DC37C81-297A-497B-AA55-CF185124A13D}"/>
    <hyperlink ref="B19" location="'3049'!A1" display="Empty goney bags (Earth bag)" xr:uid="{CAAA5FE3-CCE6-4B58-A212-3520F3EE45BC}"/>
    <hyperlink ref="B20" location="'3051'!A1" display="Wooden Block For Check Rail" xr:uid="{8E0CD220-A88C-4E58-9097-8C3FD9D5D795}"/>
    <hyperlink ref="B21" location="'3052'!A1" display="Patrolman/Handheld rechageable Torch " xr:uid="{2C9E98FB-428C-46C6-AC7D-DC2F426760D9}"/>
    <hyperlink ref="B22" location="'3056'!A1" display="Dragon Torch " xr:uid="{E89F23F1-20BA-4DC7-A02E-72F0E7AE7935}"/>
    <hyperlink ref="B23" location="'3057'!A1" display="Umrella" xr:uid="{D34D8410-F56C-4398-B61B-62A3B5849FA9}"/>
    <hyperlink ref="B24" location="'3059'!A1" display="Banner Flage" xr:uid="{EAD3C36D-BE7A-4BB2-BF53-A6481ECD1302}"/>
    <hyperlink ref="B25" location="'3061'!A1" display="Keyman Bag" xr:uid="{0BC6AB2C-8B0B-4662-A938-5D3925C063B5}"/>
    <hyperlink ref="B26" location="'3064'!A1" display="Tri color Troch " xr:uid="{90006D3C-9889-498B-BF70-CA2FF60B055D}"/>
    <hyperlink ref="B27" location="'3067'!A1" display="HS Flag Red " xr:uid="{2691F8F5-1478-4979-935E-CB03D5C43B97}"/>
    <hyperlink ref="B28" location="'3070'!A1" display="HS Flag Green" xr:uid="{B01EDAAD-35C6-4041-A947-18A4A76971A8}"/>
    <hyperlink ref="B29" location="'3073'!A1" display="Rail Disc Cutter Wheel Stone " xr:uid="{A5B2A471-D041-4BB0-BB13-F377EBB952CC}"/>
    <hyperlink ref="B9" location="'3017'!A1" display="Alumino-Thermic portion 60kg(Rail)" xr:uid="{EDC9D243-3FF5-4476-81CD-1EC362CE623B}"/>
  </hyperlinks>
  <pageMargins left="0.70866141732283472" right="0.70866141732283472" top="0.74803149606299213" bottom="0.74803149606299213" header="0.31496062992125984" footer="0.31496062992125984"/>
  <pageSetup paperSize="9" scale="75" orientation="portrait" r:id="rId1"/>
  <colBreaks count="1" manualBreakCount="1">
    <brk id="3" max="4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5C59-7B6A-48AC-AA87-7954CE606ED2}">
  <dimension ref="A1:M23"/>
  <sheetViews>
    <sheetView workbookViewId="0"/>
  </sheetViews>
  <sheetFormatPr defaultRowHeight="30" customHeight="1" x14ac:dyDescent="0.3"/>
  <cols>
    <col min="1" max="1" width="18.42578125" style="41" customWidth="1"/>
    <col min="2" max="2" width="19.5703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57.75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4.75" customHeight="1" x14ac:dyDescent="0.3">
      <c r="A2" s="107" t="s">
        <v>29</v>
      </c>
      <c r="B2" s="107"/>
      <c r="C2" s="107"/>
      <c r="D2" s="15">
        <v>1</v>
      </c>
      <c r="E2" s="108" t="s">
        <v>30</v>
      </c>
      <c r="F2" s="108"/>
      <c r="G2" s="108"/>
      <c r="H2" s="17">
        <v>2</v>
      </c>
      <c r="I2" s="16" t="s">
        <v>31</v>
      </c>
      <c r="J2" s="17">
        <v>1</v>
      </c>
      <c r="K2" s="18"/>
      <c r="L2" s="109"/>
      <c r="M2" s="109"/>
    </row>
    <row r="3" spans="1:13" ht="22.5" customHeight="1" x14ac:dyDescent="0.3">
      <c r="A3" s="107" t="s">
        <v>32</v>
      </c>
      <c r="B3" s="107"/>
      <c r="C3" s="107"/>
      <c r="D3" s="19" t="s">
        <v>24</v>
      </c>
      <c r="E3" s="112" t="s">
        <v>33</v>
      </c>
      <c r="F3" s="112"/>
      <c r="G3" s="112"/>
      <c r="H3" s="112"/>
      <c r="I3" s="20">
        <v>3001</v>
      </c>
      <c r="J3" s="21"/>
    </row>
    <row r="4" spans="1:13" ht="45" customHeight="1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16" t="s">
        <v>42</v>
      </c>
      <c r="J4" s="116"/>
    </row>
    <row r="5" spans="1:13" s="25" customFormat="1" ht="55.5" customHeight="1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49.5" customHeight="1" x14ac:dyDescent="0.25">
      <c r="A6" s="26" t="s">
        <v>44</v>
      </c>
      <c r="B6" s="26" t="s">
        <v>45</v>
      </c>
      <c r="C6" s="26" t="s">
        <v>46</v>
      </c>
      <c r="D6" s="26" t="s">
        <v>47</v>
      </c>
      <c r="E6" s="27">
        <f>SUM(E7:E1000)</f>
        <v>1100</v>
      </c>
      <c r="F6" s="28">
        <f>SUM(F7:F1000)</f>
        <v>0</v>
      </c>
      <c r="G6" s="28">
        <f>SUM(G7:G1000)</f>
        <v>980</v>
      </c>
      <c r="H6" s="27">
        <f>SUM(E6-F6-G6)</f>
        <v>120</v>
      </c>
      <c r="I6" s="29"/>
      <c r="J6" s="30"/>
    </row>
    <row r="7" spans="1:13" s="25" customFormat="1" ht="75" x14ac:dyDescent="0.25">
      <c r="A7" s="31" t="s">
        <v>48</v>
      </c>
      <c r="B7" s="32" t="s">
        <v>49</v>
      </c>
      <c r="C7" s="33" t="s">
        <v>50</v>
      </c>
      <c r="D7" s="34" t="s">
        <v>51</v>
      </c>
      <c r="E7" s="35">
        <v>1100</v>
      </c>
      <c r="F7" s="36">
        <v>0</v>
      </c>
      <c r="G7" s="36">
        <v>0</v>
      </c>
      <c r="H7" s="35">
        <f>SUM(E7:G7)</f>
        <v>1100</v>
      </c>
      <c r="I7" s="110"/>
      <c r="J7" s="111"/>
    </row>
    <row r="8" spans="1:13" s="25" customFormat="1" ht="66.75" customHeight="1" x14ac:dyDescent="0.25">
      <c r="A8" s="39">
        <v>45356</v>
      </c>
      <c r="B8" s="32" t="s">
        <v>52</v>
      </c>
      <c r="C8" s="33" t="s">
        <v>53</v>
      </c>
      <c r="D8" s="33" t="s">
        <v>54</v>
      </c>
      <c r="E8" s="35">
        <v>0</v>
      </c>
      <c r="F8" s="36">
        <v>0</v>
      </c>
      <c r="G8" s="36">
        <v>220</v>
      </c>
      <c r="H8" s="35">
        <f>H7-G8-F8+E8</f>
        <v>880</v>
      </c>
      <c r="I8" s="110"/>
      <c r="J8" s="111"/>
    </row>
    <row r="9" spans="1:13" s="25" customFormat="1" ht="57.75" customHeight="1" x14ac:dyDescent="0.25">
      <c r="A9" s="39" t="s">
        <v>55</v>
      </c>
      <c r="B9" s="32" t="s">
        <v>52</v>
      </c>
      <c r="C9" s="33" t="s">
        <v>56</v>
      </c>
      <c r="D9" s="33" t="s">
        <v>57</v>
      </c>
      <c r="E9" s="35">
        <v>0</v>
      </c>
      <c r="F9" s="36">
        <v>0</v>
      </c>
      <c r="G9" s="36">
        <v>440</v>
      </c>
      <c r="H9" s="35">
        <f t="shared" ref="H9:H15" si="0">H8-G9-F9+E9</f>
        <v>440</v>
      </c>
      <c r="I9" s="110"/>
      <c r="J9" s="111"/>
    </row>
    <row r="10" spans="1:13" s="25" customFormat="1" ht="51.75" customHeight="1" x14ac:dyDescent="0.25">
      <c r="A10" s="39" t="s">
        <v>58</v>
      </c>
      <c r="B10" s="32" t="s">
        <v>52</v>
      </c>
      <c r="C10" s="33" t="s">
        <v>59</v>
      </c>
      <c r="D10" s="34" t="s">
        <v>60</v>
      </c>
      <c r="E10" s="35">
        <v>0</v>
      </c>
      <c r="F10" s="36">
        <v>0</v>
      </c>
      <c r="G10" s="36">
        <v>100</v>
      </c>
      <c r="H10" s="35">
        <f t="shared" si="0"/>
        <v>340</v>
      </c>
      <c r="I10" s="110"/>
      <c r="J10" s="111"/>
    </row>
    <row r="11" spans="1:13" s="25" customFormat="1" ht="52.5" customHeight="1" x14ac:dyDescent="0.25">
      <c r="A11" s="39" t="s">
        <v>58</v>
      </c>
      <c r="B11" s="32" t="s">
        <v>52</v>
      </c>
      <c r="C11" s="33" t="s">
        <v>61</v>
      </c>
      <c r="D11" s="34" t="s">
        <v>60</v>
      </c>
      <c r="E11" s="35">
        <v>0</v>
      </c>
      <c r="F11" s="36">
        <v>0</v>
      </c>
      <c r="G11" s="36">
        <v>110</v>
      </c>
      <c r="H11" s="35">
        <f t="shared" si="0"/>
        <v>230</v>
      </c>
      <c r="I11" s="110"/>
      <c r="J11" s="111"/>
    </row>
    <row r="12" spans="1:13" s="25" customFormat="1" ht="45.75" customHeight="1" x14ac:dyDescent="0.25">
      <c r="A12" s="39">
        <v>45507</v>
      </c>
      <c r="B12" s="32" t="s">
        <v>459</v>
      </c>
      <c r="C12" s="33" t="s">
        <v>62</v>
      </c>
      <c r="D12" s="34" t="s">
        <v>63</v>
      </c>
      <c r="E12" s="35">
        <v>0</v>
      </c>
      <c r="F12" s="36">
        <v>0</v>
      </c>
      <c r="G12" s="36">
        <v>10</v>
      </c>
      <c r="H12" s="35">
        <f t="shared" si="0"/>
        <v>220</v>
      </c>
      <c r="I12" s="110"/>
      <c r="J12" s="111"/>
    </row>
    <row r="13" spans="1:13" s="25" customFormat="1" ht="56.25" x14ac:dyDescent="0.25">
      <c r="A13" s="39">
        <v>45510</v>
      </c>
      <c r="B13" s="32" t="s">
        <v>458</v>
      </c>
      <c r="C13" s="33" t="s">
        <v>64</v>
      </c>
      <c r="D13" s="34" t="s">
        <v>63</v>
      </c>
      <c r="E13" s="35">
        <v>0</v>
      </c>
      <c r="F13" s="36">
        <v>0</v>
      </c>
      <c r="G13" s="36">
        <v>10</v>
      </c>
      <c r="H13" s="35">
        <f t="shared" si="0"/>
        <v>210</v>
      </c>
      <c r="I13" s="110"/>
      <c r="J13" s="111"/>
    </row>
    <row r="14" spans="1:13" s="25" customFormat="1" ht="62.25" customHeight="1" x14ac:dyDescent="0.25">
      <c r="A14" s="39">
        <v>45622</v>
      </c>
      <c r="B14" s="32" t="s">
        <v>65</v>
      </c>
      <c r="C14" s="33" t="s">
        <v>66</v>
      </c>
      <c r="D14" s="34" t="s">
        <v>67</v>
      </c>
      <c r="E14" s="35">
        <v>0</v>
      </c>
      <c r="F14" s="36">
        <v>0</v>
      </c>
      <c r="G14" s="36">
        <v>50</v>
      </c>
      <c r="H14" s="35">
        <f t="shared" si="0"/>
        <v>160</v>
      </c>
      <c r="I14" s="110"/>
      <c r="J14" s="111"/>
    </row>
    <row r="15" spans="1:13" s="25" customFormat="1" ht="63.75" customHeight="1" x14ac:dyDescent="0.25">
      <c r="A15" s="39">
        <v>45638</v>
      </c>
      <c r="B15" s="32" t="s">
        <v>68</v>
      </c>
      <c r="C15" s="33" t="s">
        <v>69</v>
      </c>
      <c r="D15" s="34" t="s">
        <v>70</v>
      </c>
      <c r="E15" s="35">
        <v>0</v>
      </c>
      <c r="F15" s="36">
        <v>0</v>
      </c>
      <c r="G15" s="36">
        <v>40</v>
      </c>
      <c r="H15" s="35">
        <f t="shared" si="0"/>
        <v>120</v>
      </c>
      <c r="I15" s="110"/>
      <c r="J15" s="111"/>
    </row>
    <row r="16" spans="1:13" s="25" customFormat="1" ht="28.5" customHeight="1" x14ac:dyDescent="0.25">
      <c r="A16" s="39"/>
      <c r="B16" s="40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28.5" customHeight="1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28.5" customHeigh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28.5" customHeigh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28.5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28.5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28.5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28.5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9:G1048576" name="Range1"/>
  </protectedRanges>
  <mergeCells count="28">
    <mergeCell ref="I23:J23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B1:J1"/>
    <mergeCell ref="A2:C2"/>
    <mergeCell ref="E2:G2"/>
    <mergeCell ref="L2:M2"/>
    <mergeCell ref="I11:J11"/>
    <mergeCell ref="A3:C3"/>
    <mergeCell ref="E3:H3"/>
    <mergeCell ref="A4:A5"/>
    <mergeCell ref="B4:B5"/>
    <mergeCell ref="C4:C5"/>
    <mergeCell ref="D4:D5"/>
    <mergeCell ref="I4:J5"/>
    <mergeCell ref="I7:J7"/>
    <mergeCell ref="I8:J8"/>
    <mergeCell ref="I9:J9"/>
    <mergeCell ref="I10:J10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5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31EF-B2D1-4425-A597-406CC99B53E3}">
  <dimension ref="A1:M1048572"/>
  <sheetViews>
    <sheetView workbookViewId="0">
      <selection activeCell="I21" sqref="I21:J21"/>
    </sheetView>
  </sheetViews>
  <sheetFormatPr defaultRowHeight="30" customHeight="1" x14ac:dyDescent="0.3"/>
  <cols>
    <col min="1" max="1" width="18.42578125" style="63" customWidth="1"/>
    <col min="2" max="2" width="24.42578125" style="41" customWidth="1"/>
    <col min="3" max="3" width="24.7109375" style="41" customWidth="1"/>
    <col min="4" max="4" width="27" style="41" customWidth="1"/>
    <col min="5" max="6" width="17.7109375" style="64" customWidth="1"/>
    <col min="7" max="7" width="15.28515625" style="64" customWidth="1"/>
    <col min="8" max="8" width="21.28515625" style="67" customWidth="1"/>
    <col min="9" max="9" width="19.42578125" style="41" customWidth="1"/>
    <col min="10" max="10" width="20.28515625" style="41" customWidth="1"/>
    <col min="11" max="11" width="10.7109375" style="14" customWidth="1"/>
    <col min="12" max="12" width="12.28515625" style="14" customWidth="1"/>
    <col min="13" max="16384" width="9.140625" style="14"/>
  </cols>
  <sheetData>
    <row r="1" spans="1:13" ht="72" customHeight="1" x14ac:dyDescent="0.3">
      <c r="A1" s="46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/>
      <c r="E2" s="108" t="s">
        <v>30</v>
      </c>
      <c r="F2" s="108"/>
      <c r="G2" s="108"/>
      <c r="H2" s="17"/>
      <c r="I2" s="16" t="s">
        <v>31</v>
      </c>
      <c r="J2" s="17">
        <v>3005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47" t="s">
        <v>71</v>
      </c>
      <c r="E3" s="112" t="s">
        <v>33</v>
      </c>
      <c r="F3" s="112"/>
      <c r="G3" s="112"/>
      <c r="H3" s="112"/>
      <c r="I3" s="17"/>
      <c r="J3" s="21"/>
    </row>
    <row r="4" spans="1:13" ht="45" customHeight="1" x14ac:dyDescent="0.3">
      <c r="A4" s="117" t="s">
        <v>72</v>
      </c>
      <c r="B4" s="115" t="s">
        <v>35</v>
      </c>
      <c r="C4" s="117" t="s">
        <v>73</v>
      </c>
      <c r="D4" s="117" t="s">
        <v>74</v>
      </c>
      <c r="E4" s="48" t="s">
        <v>8</v>
      </c>
      <c r="F4" s="49" t="s">
        <v>9</v>
      </c>
      <c r="G4" s="49" t="s">
        <v>10</v>
      </c>
      <c r="H4" s="48" t="s">
        <v>11</v>
      </c>
      <c r="I4" s="119" t="s">
        <v>75</v>
      </c>
      <c r="J4" s="119"/>
    </row>
    <row r="5" spans="1:13" s="25" customFormat="1" ht="96.75" customHeight="1" x14ac:dyDescent="0.25">
      <c r="A5" s="118"/>
      <c r="B5" s="118"/>
      <c r="C5" s="118"/>
      <c r="D5" s="118"/>
      <c r="E5" s="50" t="s">
        <v>76</v>
      </c>
      <c r="F5" s="50" t="s">
        <v>77</v>
      </c>
      <c r="G5" s="50" t="s">
        <v>77</v>
      </c>
      <c r="H5" s="50" t="s">
        <v>77</v>
      </c>
      <c r="I5" s="119"/>
      <c r="J5" s="119"/>
    </row>
    <row r="6" spans="1:13" s="25" customFormat="1" ht="55.5" customHeight="1" x14ac:dyDescent="0.25">
      <c r="A6" s="51"/>
      <c r="B6" s="51"/>
      <c r="C6" s="51"/>
      <c r="D6" s="51"/>
      <c r="E6" s="1">
        <f>SUM(E7:E1001)</f>
        <v>1280</v>
      </c>
      <c r="F6" s="1">
        <f t="shared" ref="F6" si="0">SUM(F7:F1001)</f>
        <v>0</v>
      </c>
      <c r="G6" s="1">
        <f>G7+G8+G9+G10+G11+G12+G13+G15+G16+G17</f>
        <v>975</v>
      </c>
      <c r="H6" s="1">
        <f>E6-F6-G6</f>
        <v>305</v>
      </c>
      <c r="I6" s="52"/>
      <c r="J6" s="53"/>
    </row>
    <row r="7" spans="1:13" ht="37.5" x14ac:dyDescent="0.3">
      <c r="A7" s="39">
        <v>45296</v>
      </c>
      <c r="B7" s="32" t="s">
        <v>78</v>
      </c>
      <c r="C7" s="33" t="s">
        <v>79</v>
      </c>
      <c r="D7" s="33" t="s">
        <v>80</v>
      </c>
      <c r="E7" s="54">
        <v>180</v>
      </c>
      <c r="F7" s="55">
        <v>0</v>
      </c>
      <c r="G7" s="54">
        <v>0</v>
      </c>
      <c r="H7" s="56">
        <v>180</v>
      </c>
      <c r="I7" s="110"/>
      <c r="J7" s="111"/>
    </row>
    <row r="8" spans="1:13" ht="56.25" x14ac:dyDescent="0.3">
      <c r="A8" s="39">
        <v>45542</v>
      </c>
      <c r="B8" s="32" t="s">
        <v>81</v>
      </c>
      <c r="C8" s="33" t="s">
        <v>82</v>
      </c>
      <c r="D8" s="34" t="s">
        <v>83</v>
      </c>
      <c r="E8" s="54">
        <v>0</v>
      </c>
      <c r="F8" s="54">
        <v>0</v>
      </c>
      <c r="G8" s="54">
        <v>50</v>
      </c>
      <c r="H8" s="56">
        <f>H7+E8-F8-G8</f>
        <v>130</v>
      </c>
      <c r="I8" s="110"/>
      <c r="J8" s="111"/>
    </row>
    <row r="9" spans="1:13" ht="38.25" customHeight="1" x14ac:dyDescent="0.3">
      <c r="A9" s="39">
        <v>45606</v>
      </c>
      <c r="B9" s="57" t="s">
        <v>84</v>
      </c>
      <c r="C9" s="33" t="s">
        <v>85</v>
      </c>
      <c r="D9" s="34" t="s">
        <v>83</v>
      </c>
      <c r="E9" s="36">
        <v>1100</v>
      </c>
      <c r="F9" s="36">
        <v>0</v>
      </c>
      <c r="G9" s="36">
        <v>0</v>
      </c>
      <c r="H9" s="56">
        <f t="shared" ref="H9:H17" si="1">H8+E9-F9-G9</f>
        <v>1230</v>
      </c>
      <c r="I9" s="110"/>
      <c r="J9" s="111"/>
    </row>
    <row r="10" spans="1:13" ht="56.25" x14ac:dyDescent="0.3">
      <c r="A10" s="39" t="s">
        <v>86</v>
      </c>
      <c r="B10" s="59" t="s">
        <v>87</v>
      </c>
      <c r="C10" s="33" t="s">
        <v>82</v>
      </c>
      <c r="D10" s="34" t="s">
        <v>83</v>
      </c>
      <c r="E10" s="36">
        <v>0</v>
      </c>
      <c r="F10" s="36">
        <v>0</v>
      </c>
      <c r="G10" s="36">
        <v>545</v>
      </c>
      <c r="H10" s="56">
        <f t="shared" si="1"/>
        <v>685</v>
      </c>
      <c r="I10" s="110"/>
      <c r="J10" s="111"/>
    </row>
    <row r="11" spans="1:13" ht="56.25" x14ac:dyDescent="0.3">
      <c r="A11" s="39" t="s">
        <v>88</v>
      </c>
      <c r="B11" s="60" t="s">
        <v>89</v>
      </c>
      <c r="C11" s="34" t="s">
        <v>90</v>
      </c>
      <c r="D11" s="34" t="s">
        <v>83</v>
      </c>
      <c r="E11" s="36">
        <v>0</v>
      </c>
      <c r="F11" s="36">
        <v>0</v>
      </c>
      <c r="G11" s="36">
        <v>50</v>
      </c>
      <c r="H11" s="56">
        <f t="shared" si="1"/>
        <v>635</v>
      </c>
      <c r="I11" s="110"/>
      <c r="J11" s="111"/>
    </row>
    <row r="12" spans="1:13" ht="60.75" customHeight="1" x14ac:dyDescent="0.3">
      <c r="A12" s="39" t="s">
        <v>91</v>
      </c>
      <c r="B12" s="60" t="s">
        <v>92</v>
      </c>
      <c r="C12" s="33" t="s">
        <v>93</v>
      </c>
      <c r="D12" s="34" t="s">
        <v>83</v>
      </c>
      <c r="E12" s="36">
        <v>0</v>
      </c>
      <c r="F12" s="36">
        <v>0</v>
      </c>
      <c r="G12" s="36">
        <v>100</v>
      </c>
      <c r="H12" s="56">
        <f t="shared" si="1"/>
        <v>535</v>
      </c>
      <c r="I12" s="110"/>
      <c r="J12" s="111"/>
    </row>
    <row r="13" spans="1:13" ht="56.25" x14ac:dyDescent="0.3">
      <c r="A13" s="39">
        <v>46144</v>
      </c>
      <c r="B13" s="60" t="s">
        <v>94</v>
      </c>
      <c r="C13" s="33" t="s">
        <v>93</v>
      </c>
      <c r="D13" s="34" t="s">
        <v>83</v>
      </c>
      <c r="E13" s="36">
        <v>0</v>
      </c>
      <c r="F13" s="36">
        <v>0</v>
      </c>
      <c r="G13" s="36">
        <v>50</v>
      </c>
      <c r="H13" s="56">
        <f t="shared" si="1"/>
        <v>485</v>
      </c>
      <c r="I13" s="110"/>
      <c r="J13" s="111"/>
    </row>
    <row r="14" spans="1:13" ht="54.75" customHeight="1" x14ac:dyDescent="0.3">
      <c r="A14" s="39">
        <v>46298</v>
      </c>
      <c r="B14" s="60" t="s">
        <v>95</v>
      </c>
      <c r="C14" s="33" t="s">
        <v>96</v>
      </c>
      <c r="D14" s="34" t="s">
        <v>83</v>
      </c>
      <c r="E14" s="36">
        <v>0</v>
      </c>
      <c r="F14" s="36">
        <v>0</v>
      </c>
      <c r="G14" s="36">
        <v>50</v>
      </c>
      <c r="H14" s="56">
        <f t="shared" si="1"/>
        <v>435</v>
      </c>
      <c r="I14" s="37"/>
      <c r="J14" s="38"/>
    </row>
    <row r="15" spans="1:13" ht="57.75" customHeight="1" x14ac:dyDescent="0.3">
      <c r="A15" s="39" t="s">
        <v>97</v>
      </c>
      <c r="B15" s="60" t="s">
        <v>98</v>
      </c>
      <c r="C15" s="33" t="s">
        <v>96</v>
      </c>
      <c r="D15" s="34" t="s">
        <v>83</v>
      </c>
      <c r="E15" s="36">
        <v>0</v>
      </c>
      <c r="F15" s="36">
        <v>0</v>
      </c>
      <c r="G15" s="36">
        <v>60</v>
      </c>
      <c r="H15" s="56">
        <f t="shared" si="1"/>
        <v>375</v>
      </c>
      <c r="I15" s="110"/>
      <c r="J15" s="111"/>
    </row>
    <row r="16" spans="1:13" ht="57" customHeight="1" x14ac:dyDescent="0.3">
      <c r="A16" s="39" t="s">
        <v>99</v>
      </c>
      <c r="B16" s="60" t="s">
        <v>100</v>
      </c>
      <c r="C16" s="33" t="s">
        <v>96</v>
      </c>
      <c r="D16" s="34" t="s">
        <v>83</v>
      </c>
      <c r="E16" s="36">
        <v>0</v>
      </c>
      <c r="F16" s="36">
        <v>0</v>
      </c>
      <c r="G16" s="36">
        <v>100</v>
      </c>
      <c r="H16" s="56">
        <f t="shared" si="1"/>
        <v>275</v>
      </c>
      <c r="I16" s="110"/>
      <c r="J16" s="111"/>
    </row>
    <row r="17" spans="1:12" ht="56.25" x14ac:dyDescent="0.3">
      <c r="A17" s="39">
        <v>46162</v>
      </c>
      <c r="B17" s="60" t="s">
        <v>460</v>
      </c>
      <c r="C17" s="34" t="s">
        <v>461</v>
      </c>
      <c r="D17" s="34" t="s">
        <v>83</v>
      </c>
      <c r="E17" s="36">
        <v>0</v>
      </c>
      <c r="F17" s="36">
        <v>0</v>
      </c>
      <c r="G17" s="36">
        <v>20</v>
      </c>
      <c r="H17" s="56">
        <f t="shared" si="1"/>
        <v>255</v>
      </c>
      <c r="I17" s="110"/>
      <c r="J17" s="111"/>
    </row>
    <row r="18" spans="1:12" ht="20.25" x14ac:dyDescent="0.3">
      <c r="A18" s="39"/>
      <c r="B18" s="34"/>
      <c r="C18" s="34"/>
      <c r="D18" s="34"/>
      <c r="E18" s="36"/>
      <c r="F18" s="36"/>
      <c r="G18" s="36"/>
      <c r="H18" s="35"/>
      <c r="I18" s="110"/>
      <c r="J18" s="111"/>
    </row>
    <row r="19" spans="1:12" ht="20.25" x14ac:dyDescent="0.3">
      <c r="A19" s="39"/>
      <c r="B19" s="34"/>
      <c r="C19" s="34"/>
      <c r="D19" s="34"/>
      <c r="E19" s="36"/>
      <c r="F19" s="36"/>
      <c r="G19" s="36"/>
      <c r="H19" s="35"/>
      <c r="I19" s="110"/>
      <c r="J19" s="111"/>
    </row>
    <row r="20" spans="1:12" ht="20.25" x14ac:dyDescent="0.3">
      <c r="A20" s="39"/>
      <c r="B20" s="34"/>
      <c r="C20" s="34"/>
      <c r="D20" s="34"/>
      <c r="E20" s="61"/>
      <c r="F20" s="36"/>
      <c r="G20" s="36"/>
      <c r="H20" s="35"/>
      <c r="I20" s="110"/>
      <c r="J20" s="111"/>
    </row>
    <row r="21" spans="1:12" ht="20.25" x14ac:dyDescent="0.3">
      <c r="A21" s="39"/>
      <c r="B21" s="34"/>
      <c r="C21" s="34"/>
      <c r="D21" s="34"/>
      <c r="E21" s="36"/>
      <c r="F21" s="36"/>
      <c r="G21" s="61"/>
      <c r="H21" s="35"/>
      <c r="I21" s="110"/>
      <c r="J21" s="111"/>
      <c r="L21" s="35"/>
    </row>
    <row r="22" spans="1:12" ht="20.25" x14ac:dyDescent="0.3">
      <c r="A22" s="39"/>
      <c r="B22" s="34"/>
      <c r="C22" s="34"/>
      <c r="D22" s="34"/>
      <c r="E22" s="36"/>
      <c r="F22" s="36"/>
      <c r="G22" s="36"/>
      <c r="H22" s="35"/>
      <c r="I22" s="110"/>
      <c r="J22" s="111"/>
    </row>
    <row r="23" spans="1:12" ht="20.25" x14ac:dyDescent="0.3">
      <c r="A23" s="39"/>
      <c r="B23" s="34"/>
      <c r="C23" s="34"/>
      <c r="D23" s="34"/>
      <c r="E23" s="36"/>
      <c r="F23" s="36"/>
      <c r="G23" s="36"/>
      <c r="H23" s="35"/>
      <c r="I23" s="110"/>
      <c r="J23" s="111"/>
    </row>
    <row r="24" spans="1:12" ht="20.25" x14ac:dyDescent="0.3">
      <c r="A24" s="39"/>
      <c r="B24" s="34"/>
      <c r="C24" s="34"/>
      <c r="D24" s="34"/>
      <c r="E24" s="36"/>
      <c r="F24" s="36"/>
      <c r="G24" s="36"/>
      <c r="H24" s="35"/>
      <c r="I24" s="37"/>
      <c r="J24" s="38"/>
    </row>
    <row r="25" spans="1:12" ht="20.25" x14ac:dyDescent="0.3">
      <c r="A25" s="39"/>
      <c r="B25" s="34"/>
      <c r="C25" s="34"/>
      <c r="D25" s="34"/>
      <c r="E25" s="36"/>
      <c r="F25" s="36"/>
      <c r="G25" s="36"/>
      <c r="H25" s="35"/>
      <c r="I25" s="110"/>
      <c r="J25" s="111"/>
    </row>
    <row r="26" spans="1:12" ht="20.25" x14ac:dyDescent="0.3">
      <c r="A26" s="39"/>
      <c r="B26" s="34"/>
      <c r="C26" s="34"/>
      <c r="D26" s="34"/>
      <c r="E26" s="61"/>
      <c r="F26" s="36"/>
      <c r="G26" s="36"/>
      <c r="H26" s="35"/>
      <c r="I26" s="110"/>
      <c r="J26" s="111"/>
    </row>
    <row r="27" spans="1:12" ht="20.25" x14ac:dyDescent="0.3">
      <c r="A27" s="39"/>
      <c r="B27" s="34"/>
      <c r="C27" s="34"/>
      <c r="D27" s="34"/>
      <c r="E27" s="61"/>
      <c r="F27" s="36"/>
      <c r="G27" s="61"/>
      <c r="H27" s="35"/>
      <c r="I27" s="110"/>
      <c r="J27" s="111"/>
    </row>
    <row r="28" spans="1:12" ht="20.25" x14ac:dyDescent="0.3">
      <c r="A28" s="39"/>
      <c r="B28" s="34"/>
      <c r="C28" s="34"/>
      <c r="D28" s="34"/>
      <c r="E28" s="36"/>
      <c r="F28" s="36"/>
      <c r="G28" s="36"/>
      <c r="H28" s="35"/>
      <c r="I28" s="110"/>
      <c r="J28" s="111"/>
    </row>
    <row r="29" spans="1:12" ht="20.25" x14ac:dyDescent="0.3">
      <c r="A29" s="39"/>
      <c r="B29" s="34"/>
      <c r="C29" s="34"/>
      <c r="D29" s="34"/>
      <c r="E29" s="36"/>
      <c r="F29" s="36"/>
      <c r="G29" s="36"/>
      <c r="H29" s="35"/>
      <c r="I29" s="110"/>
      <c r="J29" s="111"/>
    </row>
    <row r="30" spans="1:12" ht="20.25" x14ac:dyDescent="0.3">
      <c r="A30" s="39"/>
      <c r="B30" s="34"/>
      <c r="C30" s="34"/>
      <c r="D30" s="34"/>
      <c r="E30" s="36"/>
      <c r="F30" s="36"/>
      <c r="G30" s="36"/>
      <c r="H30" s="35"/>
      <c r="I30" s="110"/>
      <c r="J30" s="111"/>
    </row>
    <row r="31" spans="1:12" ht="20.25" x14ac:dyDescent="0.3">
      <c r="A31" s="39"/>
      <c r="B31" s="62"/>
      <c r="C31" s="34"/>
      <c r="D31" s="34"/>
      <c r="E31" s="36"/>
      <c r="F31" s="36"/>
      <c r="G31" s="36"/>
      <c r="H31" s="35"/>
      <c r="I31" s="110"/>
      <c r="J31" s="111"/>
    </row>
    <row r="32" spans="1:12" ht="20.25" x14ac:dyDescent="0.3">
      <c r="A32" s="39"/>
      <c r="B32" s="34"/>
      <c r="C32" s="34"/>
      <c r="D32" s="34"/>
      <c r="E32" s="36"/>
      <c r="F32" s="36"/>
      <c r="G32" s="36"/>
      <c r="H32" s="35"/>
      <c r="I32" s="110"/>
      <c r="J32" s="111"/>
    </row>
    <row r="33" spans="1:10" ht="20.25" x14ac:dyDescent="0.3">
      <c r="A33" s="39"/>
      <c r="B33" s="34"/>
      <c r="C33" s="34"/>
      <c r="D33" s="34"/>
      <c r="E33" s="36"/>
      <c r="F33" s="36"/>
      <c r="G33" s="36"/>
      <c r="H33" s="35"/>
      <c r="I33" s="110"/>
      <c r="J33" s="111"/>
    </row>
    <row r="34" spans="1:10" ht="20.25" x14ac:dyDescent="0.3">
      <c r="A34" s="39"/>
      <c r="B34" s="34"/>
      <c r="C34" s="34"/>
      <c r="D34" s="34"/>
      <c r="E34" s="36"/>
      <c r="F34" s="36"/>
      <c r="G34" s="36"/>
      <c r="H34" s="35"/>
      <c r="I34" s="110"/>
      <c r="J34" s="111"/>
    </row>
    <row r="35" spans="1:10" ht="20.25" x14ac:dyDescent="0.3">
      <c r="A35" s="39"/>
      <c r="B35" s="34"/>
      <c r="C35" s="34"/>
      <c r="D35" s="34"/>
      <c r="E35" s="36"/>
      <c r="F35" s="36"/>
      <c r="G35" s="36"/>
      <c r="H35" s="35"/>
      <c r="I35" s="110"/>
      <c r="J35" s="111"/>
    </row>
    <row r="36" spans="1:10" ht="20.25" x14ac:dyDescent="0.3">
      <c r="A36" s="39"/>
      <c r="B36" s="34"/>
      <c r="C36" s="34"/>
      <c r="D36" s="34"/>
      <c r="E36" s="36"/>
      <c r="F36" s="36"/>
      <c r="G36" s="36"/>
      <c r="H36" s="35"/>
      <c r="I36" s="110"/>
      <c r="J36" s="111"/>
    </row>
    <row r="37" spans="1:10" ht="20.25" x14ac:dyDescent="0.3">
      <c r="A37" s="39"/>
      <c r="B37" s="34"/>
      <c r="C37" s="34"/>
      <c r="D37" s="34"/>
      <c r="E37" s="36"/>
      <c r="F37" s="36"/>
      <c r="G37" s="36"/>
      <c r="H37" s="35"/>
      <c r="I37" s="110"/>
      <c r="J37" s="111"/>
    </row>
    <row r="38" spans="1:10" ht="20.25" x14ac:dyDescent="0.3">
      <c r="A38" s="39"/>
      <c r="B38" s="34"/>
      <c r="C38" s="34"/>
      <c r="D38" s="34"/>
      <c r="E38" s="36"/>
      <c r="F38" s="36"/>
      <c r="G38" s="36"/>
      <c r="H38" s="35"/>
      <c r="I38" s="110"/>
      <c r="J38" s="111"/>
    </row>
    <row r="39" spans="1:10" ht="20.25" x14ac:dyDescent="0.3">
      <c r="A39" s="39"/>
      <c r="B39" s="34"/>
      <c r="C39" s="34"/>
      <c r="D39" s="34"/>
      <c r="E39" s="36"/>
      <c r="F39" s="36"/>
      <c r="G39" s="36"/>
      <c r="H39" s="35"/>
      <c r="I39" s="110"/>
      <c r="J39" s="111"/>
    </row>
    <row r="40" spans="1:10" ht="20.25" x14ac:dyDescent="0.3">
      <c r="A40" s="39"/>
      <c r="B40" s="34"/>
      <c r="C40" s="34"/>
      <c r="D40" s="34"/>
      <c r="E40" s="36"/>
      <c r="F40" s="36"/>
      <c r="G40" s="36"/>
      <c r="H40" s="35"/>
      <c r="I40" s="110"/>
      <c r="J40" s="111"/>
    </row>
    <row r="41" spans="1:10" ht="20.25" x14ac:dyDescent="0.3">
      <c r="A41" s="39"/>
      <c r="B41" s="34"/>
      <c r="C41" s="34"/>
      <c r="D41" s="34"/>
      <c r="E41" s="36"/>
      <c r="F41" s="36"/>
      <c r="G41" s="36"/>
      <c r="H41" s="35"/>
      <c r="I41" s="110"/>
      <c r="J41" s="111"/>
    </row>
    <row r="42" spans="1:10" ht="20.25" x14ac:dyDescent="0.3">
      <c r="A42" s="39"/>
      <c r="B42" s="34"/>
      <c r="C42" s="34"/>
      <c r="D42" s="34"/>
      <c r="E42" s="36"/>
      <c r="F42" s="36"/>
      <c r="G42" s="36"/>
      <c r="H42" s="35"/>
      <c r="I42" s="110"/>
      <c r="J42" s="111"/>
    </row>
    <row r="43" spans="1:10" ht="20.25" x14ac:dyDescent="0.3">
      <c r="A43" s="39"/>
      <c r="B43" s="34"/>
      <c r="C43" s="34"/>
      <c r="D43" s="34"/>
      <c r="E43" s="36"/>
      <c r="F43" s="36"/>
      <c r="G43" s="36"/>
      <c r="H43" s="35"/>
      <c r="I43" s="110"/>
      <c r="J43" s="111"/>
    </row>
    <row r="44" spans="1:10" ht="20.25" x14ac:dyDescent="0.3">
      <c r="A44" s="39"/>
      <c r="B44" s="34"/>
      <c r="C44" s="34"/>
      <c r="D44" s="34"/>
      <c r="E44" s="36"/>
      <c r="F44" s="36"/>
      <c r="G44" s="36"/>
      <c r="H44" s="35"/>
      <c r="I44" s="110"/>
      <c r="J44" s="111"/>
    </row>
    <row r="45" spans="1:10" ht="20.25" x14ac:dyDescent="0.3">
      <c r="A45" s="39"/>
      <c r="B45" s="34"/>
      <c r="C45" s="34"/>
      <c r="D45" s="34"/>
      <c r="E45" s="36"/>
      <c r="F45" s="36"/>
      <c r="G45" s="36"/>
      <c r="H45" s="35"/>
      <c r="I45" s="110"/>
      <c r="J45" s="111"/>
    </row>
    <row r="46" spans="1:10" ht="20.25" x14ac:dyDescent="0.3">
      <c r="A46" s="39"/>
      <c r="B46" s="34"/>
      <c r="C46" s="34"/>
      <c r="D46" s="34"/>
      <c r="E46" s="36"/>
      <c r="F46" s="36"/>
      <c r="G46" s="36"/>
      <c r="H46" s="35"/>
      <c r="I46" s="110"/>
      <c r="J46" s="111"/>
    </row>
    <row r="47" spans="1:10" ht="20.25" x14ac:dyDescent="0.3">
      <c r="A47" s="39"/>
      <c r="B47" s="34"/>
      <c r="C47" s="34"/>
      <c r="D47" s="34"/>
      <c r="E47" s="36"/>
      <c r="F47" s="36"/>
      <c r="G47" s="36"/>
      <c r="H47" s="35"/>
      <c r="I47" s="110"/>
      <c r="J47" s="111"/>
    </row>
    <row r="48" spans="1:10" ht="20.25" x14ac:dyDescent="0.3">
      <c r="A48" s="39"/>
      <c r="B48" s="34"/>
      <c r="C48" s="34"/>
      <c r="D48" s="34"/>
      <c r="E48" s="36"/>
      <c r="F48" s="36"/>
      <c r="G48" s="36"/>
      <c r="H48" s="35"/>
      <c r="I48" s="110"/>
      <c r="J48" s="111"/>
    </row>
    <row r="49" spans="1:10" ht="20.25" x14ac:dyDescent="0.3">
      <c r="A49" s="39"/>
      <c r="B49" s="34"/>
      <c r="C49" s="34"/>
      <c r="D49" s="34"/>
      <c r="E49" s="36"/>
      <c r="F49" s="36"/>
      <c r="G49" s="36"/>
      <c r="H49" s="35"/>
      <c r="I49" s="110"/>
      <c r="J49" s="111"/>
    </row>
    <row r="50" spans="1:10" ht="20.25" x14ac:dyDescent="0.3">
      <c r="A50" s="39"/>
      <c r="B50" s="34"/>
      <c r="C50" s="34"/>
      <c r="D50" s="34"/>
      <c r="E50" s="36"/>
      <c r="F50" s="36"/>
      <c r="G50" s="36"/>
      <c r="H50" s="35"/>
      <c r="I50" s="110"/>
      <c r="J50" s="111"/>
    </row>
    <row r="51" spans="1:10" ht="20.25" x14ac:dyDescent="0.3">
      <c r="A51" s="39"/>
      <c r="B51" s="34"/>
      <c r="C51" s="34"/>
      <c r="D51" s="34"/>
      <c r="E51" s="36"/>
      <c r="F51" s="36"/>
      <c r="G51" s="36"/>
      <c r="H51" s="35"/>
      <c r="I51" s="110"/>
      <c r="J51" s="111"/>
    </row>
    <row r="52" spans="1:10" ht="20.25" x14ac:dyDescent="0.3">
      <c r="A52" s="39"/>
      <c r="B52" s="34"/>
      <c r="C52" s="34"/>
      <c r="D52" s="34"/>
      <c r="E52" s="36"/>
      <c r="F52" s="36"/>
      <c r="G52" s="36"/>
      <c r="H52" s="35"/>
      <c r="I52" s="110"/>
      <c r="J52" s="111"/>
    </row>
    <row r="53" spans="1:10" ht="20.25" x14ac:dyDescent="0.3">
      <c r="A53" s="39"/>
      <c r="B53" s="34"/>
      <c r="C53" s="34"/>
      <c r="D53" s="34"/>
      <c r="E53" s="36"/>
      <c r="F53" s="36"/>
      <c r="G53" s="36"/>
      <c r="H53" s="35"/>
      <c r="I53" s="110"/>
      <c r="J53" s="111"/>
    </row>
    <row r="54" spans="1:10" ht="20.25" x14ac:dyDescent="0.3">
      <c r="A54" s="39"/>
      <c r="B54" s="34"/>
      <c r="C54" s="34"/>
      <c r="D54" s="34"/>
      <c r="E54" s="36"/>
      <c r="F54" s="36"/>
      <c r="G54" s="36"/>
      <c r="H54" s="35"/>
      <c r="I54" s="110"/>
      <c r="J54" s="111"/>
    </row>
    <row r="55" spans="1:10" ht="20.25" x14ac:dyDescent="0.3">
      <c r="A55" s="39"/>
      <c r="B55" s="34"/>
      <c r="C55" s="34"/>
      <c r="D55" s="34"/>
      <c r="E55" s="36"/>
      <c r="F55" s="36"/>
      <c r="G55" s="36"/>
      <c r="H55" s="35"/>
      <c r="I55" s="110"/>
      <c r="J55" s="111"/>
    </row>
    <row r="56" spans="1:10" ht="20.25" x14ac:dyDescent="0.3">
      <c r="A56" s="39"/>
      <c r="B56" s="34"/>
      <c r="C56" s="34"/>
      <c r="D56" s="34"/>
      <c r="E56" s="36"/>
      <c r="F56" s="36"/>
      <c r="G56" s="36"/>
      <c r="H56" s="35"/>
      <c r="I56" s="110"/>
      <c r="J56" s="111"/>
    </row>
    <row r="57" spans="1:10" ht="20.25" x14ac:dyDescent="0.3">
      <c r="A57" s="39"/>
      <c r="B57" s="34"/>
      <c r="C57" s="34"/>
      <c r="D57" s="34"/>
      <c r="E57" s="36"/>
      <c r="F57" s="36"/>
      <c r="G57" s="36"/>
      <c r="H57" s="35"/>
      <c r="I57" s="110"/>
      <c r="J57" s="111"/>
    </row>
    <row r="58" spans="1:10" ht="20.25" x14ac:dyDescent="0.3">
      <c r="A58" s="39"/>
      <c r="B58" s="34"/>
      <c r="C58" s="34"/>
      <c r="D58" s="34"/>
      <c r="E58" s="36"/>
      <c r="F58" s="36"/>
      <c r="G58" s="36"/>
      <c r="H58" s="35"/>
      <c r="I58" s="110"/>
      <c r="J58" s="111"/>
    </row>
    <row r="59" spans="1:10" ht="20.25" x14ac:dyDescent="0.3">
      <c r="A59" s="39"/>
      <c r="B59" s="34"/>
      <c r="C59" s="34"/>
      <c r="D59" s="34"/>
      <c r="E59" s="36"/>
      <c r="F59" s="36"/>
      <c r="G59" s="36"/>
      <c r="H59" s="35"/>
      <c r="I59" s="110"/>
      <c r="J59" s="111"/>
    </row>
    <row r="60" spans="1:10" ht="20.25" x14ac:dyDescent="0.3">
      <c r="A60" s="39"/>
      <c r="B60" s="34"/>
      <c r="C60" s="34"/>
      <c r="D60" s="34"/>
      <c r="E60" s="36"/>
      <c r="F60" s="36"/>
      <c r="G60" s="36"/>
      <c r="H60" s="35"/>
      <c r="I60" s="110"/>
      <c r="J60" s="111"/>
    </row>
    <row r="61" spans="1:10" ht="20.25" x14ac:dyDescent="0.3">
      <c r="A61" s="39"/>
      <c r="B61" s="34"/>
      <c r="C61" s="34"/>
      <c r="D61" s="34"/>
      <c r="E61" s="36"/>
      <c r="F61" s="36"/>
      <c r="G61" s="36"/>
      <c r="H61" s="58"/>
      <c r="I61" s="110"/>
      <c r="J61" s="111"/>
    </row>
    <row r="62" spans="1:10" ht="20.25" x14ac:dyDescent="0.3">
      <c r="A62" s="39"/>
      <c r="B62" s="34"/>
      <c r="C62" s="34"/>
      <c r="D62" s="34"/>
      <c r="E62" s="36"/>
      <c r="F62" s="36"/>
      <c r="G62" s="36"/>
      <c r="H62" s="58"/>
      <c r="I62" s="110"/>
      <c r="J62" s="111"/>
    </row>
    <row r="63" spans="1:10" ht="20.25" x14ac:dyDescent="0.3">
      <c r="A63" s="39"/>
      <c r="B63" s="34"/>
      <c r="C63" s="34"/>
      <c r="D63" s="34"/>
      <c r="E63" s="36"/>
      <c r="F63" s="36"/>
      <c r="G63" s="36"/>
      <c r="H63" s="58"/>
      <c r="I63" s="110"/>
      <c r="J63" s="111"/>
    </row>
    <row r="64" spans="1:10" ht="20.25" x14ac:dyDescent="0.3">
      <c r="A64" s="39"/>
      <c r="B64" s="34"/>
      <c r="C64" s="34"/>
      <c r="D64" s="34"/>
      <c r="E64" s="36"/>
      <c r="F64" s="36"/>
      <c r="G64" s="36"/>
      <c r="H64" s="58"/>
      <c r="I64" s="110"/>
      <c r="J64" s="111"/>
    </row>
    <row r="65" spans="1:10" ht="20.25" x14ac:dyDescent="0.3">
      <c r="A65" s="39"/>
      <c r="B65" s="34"/>
      <c r="C65" s="34"/>
      <c r="D65" s="34"/>
      <c r="E65" s="36"/>
      <c r="F65" s="36"/>
      <c r="G65" s="36"/>
      <c r="H65" s="58"/>
      <c r="I65" s="110"/>
      <c r="J65" s="111"/>
    </row>
    <row r="66" spans="1:10" ht="20.25" x14ac:dyDescent="0.3">
      <c r="A66" s="39"/>
      <c r="B66" s="34"/>
      <c r="C66" s="34"/>
      <c r="D66" s="34"/>
      <c r="E66" s="36"/>
      <c r="F66" s="36"/>
      <c r="G66" s="36"/>
      <c r="H66" s="58"/>
      <c r="I66" s="110"/>
      <c r="J66" s="111"/>
    </row>
    <row r="67" spans="1:10" ht="20.25" x14ac:dyDescent="0.3">
      <c r="A67" s="39"/>
      <c r="B67" s="34"/>
      <c r="C67" s="34"/>
      <c r="D67" s="34"/>
      <c r="E67" s="36"/>
      <c r="F67" s="36"/>
      <c r="G67" s="36"/>
      <c r="H67" s="58"/>
      <c r="I67" s="110"/>
      <c r="J67" s="111"/>
    </row>
    <row r="68" spans="1:10" ht="20.25" x14ac:dyDescent="0.3">
      <c r="A68" s="39"/>
      <c r="B68" s="34"/>
      <c r="C68" s="34"/>
      <c r="D68" s="34"/>
      <c r="E68" s="36"/>
      <c r="F68" s="36"/>
      <c r="G68" s="36"/>
      <c r="H68" s="58"/>
      <c r="I68" s="110"/>
      <c r="J68" s="111"/>
    </row>
    <row r="69" spans="1:10" ht="20.25" x14ac:dyDescent="0.3">
      <c r="A69" s="39"/>
      <c r="B69" s="34"/>
      <c r="C69" s="34"/>
      <c r="D69" s="34"/>
      <c r="E69" s="36"/>
      <c r="F69" s="36"/>
      <c r="G69" s="36"/>
      <c r="H69" s="58"/>
      <c r="I69" s="110"/>
      <c r="J69" s="111"/>
    </row>
    <row r="70" spans="1:10" ht="20.25" x14ac:dyDescent="0.3">
      <c r="A70" s="39"/>
      <c r="B70" s="34"/>
      <c r="C70" s="34"/>
      <c r="D70" s="34"/>
      <c r="E70" s="36"/>
      <c r="F70" s="36"/>
      <c r="G70" s="36"/>
      <c r="H70" s="58"/>
      <c r="I70" s="110"/>
      <c r="J70" s="111"/>
    </row>
    <row r="71" spans="1:10" ht="20.25" x14ac:dyDescent="0.3">
      <c r="A71" s="39"/>
      <c r="B71" s="34"/>
      <c r="C71" s="34"/>
      <c r="D71" s="34"/>
      <c r="E71" s="36"/>
      <c r="F71" s="36"/>
      <c r="G71" s="36"/>
      <c r="H71" s="58"/>
      <c r="I71" s="110"/>
      <c r="J71" s="111"/>
    </row>
    <row r="72" spans="1:10" ht="20.25" x14ac:dyDescent="0.3">
      <c r="A72" s="39"/>
      <c r="B72" s="34"/>
      <c r="C72" s="34"/>
      <c r="D72" s="34"/>
      <c r="E72" s="36"/>
      <c r="F72" s="36"/>
      <c r="G72" s="36"/>
      <c r="H72" s="58"/>
      <c r="I72" s="110"/>
      <c r="J72" s="111"/>
    </row>
    <row r="73" spans="1:10" ht="20.25" x14ac:dyDescent="0.3">
      <c r="A73" s="39"/>
      <c r="B73" s="34"/>
      <c r="C73" s="34"/>
      <c r="D73" s="34"/>
      <c r="E73" s="36"/>
      <c r="F73" s="36"/>
      <c r="G73" s="36"/>
      <c r="H73" s="58"/>
      <c r="I73" s="110"/>
      <c r="J73" s="111"/>
    </row>
    <row r="74" spans="1:10" ht="20.25" x14ac:dyDescent="0.3">
      <c r="A74" s="39"/>
      <c r="B74" s="34"/>
      <c r="C74" s="34"/>
      <c r="D74" s="34"/>
      <c r="E74" s="36"/>
      <c r="F74" s="36"/>
      <c r="G74" s="36"/>
      <c r="H74" s="58"/>
      <c r="I74" s="110"/>
      <c r="J74" s="111"/>
    </row>
    <row r="75" spans="1:10" ht="20.25" x14ac:dyDescent="0.3">
      <c r="A75" s="39"/>
      <c r="B75" s="34"/>
      <c r="C75" s="34"/>
      <c r="D75" s="34"/>
      <c r="E75" s="36"/>
      <c r="F75" s="36"/>
      <c r="G75" s="36"/>
      <c r="H75" s="58"/>
      <c r="I75" s="110"/>
      <c r="J75" s="111"/>
    </row>
    <row r="76" spans="1:10" ht="20.25" x14ac:dyDescent="0.3">
      <c r="A76" s="39"/>
      <c r="B76" s="34"/>
      <c r="C76" s="34"/>
      <c r="D76" s="34"/>
      <c r="E76" s="36"/>
      <c r="F76" s="36"/>
      <c r="G76" s="36"/>
      <c r="H76" s="58"/>
      <c r="I76" s="110"/>
      <c r="J76" s="111"/>
    </row>
    <row r="77" spans="1:10" ht="20.25" x14ac:dyDescent="0.3">
      <c r="A77" s="39"/>
      <c r="B77" s="34"/>
      <c r="C77" s="34"/>
      <c r="D77" s="34"/>
      <c r="E77" s="36"/>
      <c r="F77" s="36"/>
      <c r="G77" s="36"/>
      <c r="H77" s="58"/>
      <c r="I77" s="110"/>
      <c r="J77" s="111"/>
    </row>
    <row r="78" spans="1:10" ht="20.25" x14ac:dyDescent="0.3">
      <c r="A78" s="39"/>
      <c r="B78" s="34"/>
      <c r="C78" s="34"/>
      <c r="D78" s="34"/>
      <c r="E78" s="36"/>
      <c r="F78" s="36"/>
      <c r="G78" s="36"/>
      <c r="H78" s="58"/>
      <c r="I78" s="110"/>
      <c r="J78" s="111"/>
    </row>
    <row r="79" spans="1:10" ht="30" customHeight="1" x14ac:dyDescent="0.3">
      <c r="A79" s="39"/>
      <c r="B79" s="34"/>
      <c r="C79" s="34"/>
      <c r="D79" s="34"/>
      <c r="E79" s="36"/>
      <c r="F79" s="36"/>
      <c r="G79" s="36"/>
      <c r="H79" s="58"/>
      <c r="I79" s="110"/>
      <c r="J79" s="111"/>
    </row>
    <row r="80" spans="1:10" ht="30" customHeight="1" x14ac:dyDescent="0.3">
      <c r="A80" s="39"/>
      <c r="B80" s="34"/>
      <c r="C80" s="34"/>
      <c r="D80" s="34"/>
      <c r="E80" s="36"/>
      <c r="F80" s="36"/>
      <c r="G80" s="36"/>
      <c r="H80" s="58"/>
      <c r="I80" s="110"/>
      <c r="J80" s="111"/>
    </row>
    <row r="81" spans="1:10" ht="30" customHeight="1" x14ac:dyDescent="0.3">
      <c r="A81" s="39"/>
      <c r="B81" s="34"/>
      <c r="C81" s="34"/>
      <c r="D81" s="34"/>
      <c r="E81" s="36"/>
      <c r="F81" s="36"/>
      <c r="G81" s="36"/>
      <c r="H81" s="58"/>
      <c r="I81" s="110"/>
      <c r="J81" s="111"/>
    </row>
    <row r="82" spans="1:10" ht="30" customHeight="1" x14ac:dyDescent="0.3">
      <c r="A82" s="39"/>
      <c r="B82" s="34"/>
      <c r="C82" s="34"/>
      <c r="D82" s="34"/>
      <c r="E82" s="36"/>
      <c r="F82" s="36"/>
      <c r="G82" s="36"/>
      <c r="H82" s="58"/>
      <c r="I82" s="110"/>
      <c r="J82" s="111"/>
    </row>
    <row r="83" spans="1:10" ht="30" customHeight="1" x14ac:dyDescent="0.3">
      <c r="A83" s="39"/>
      <c r="B83" s="34"/>
      <c r="C83" s="34"/>
      <c r="D83" s="34"/>
      <c r="E83" s="36"/>
      <c r="F83" s="36"/>
      <c r="G83" s="36"/>
      <c r="H83" s="58"/>
      <c r="I83" s="110"/>
      <c r="J83" s="111"/>
    </row>
    <row r="84" spans="1:10" ht="30" customHeight="1" x14ac:dyDescent="0.3">
      <c r="A84" s="39"/>
      <c r="B84" s="34"/>
      <c r="C84" s="34"/>
      <c r="D84" s="34"/>
      <c r="E84" s="36"/>
      <c r="F84" s="36"/>
      <c r="G84" s="36"/>
      <c r="H84" s="58"/>
      <c r="I84" s="110"/>
      <c r="J84" s="111"/>
    </row>
    <row r="85" spans="1:10" ht="30" customHeight="1" x14ac:dyDescent="0.3">
      <c r="A85" s="39"/>
      <c r="B85" s="34"/>
      <c r="C85" s="34"/>
      <c r="D85" s="34"/>
      <c r="E85" s="36"/>
      <c r="F85" s="36"/>
      <c r="G85" s="36"/>
      <c r="H85" s="58">
        <f t="shared" ref="H85:H148" si="2">H84-G85-F85+E85</f>
        <v>0</v>
      </c>
      <c r="I85" s="110"/>
      <c r="J85" s="111"/>
    </row>
    <row r="86" spans="1:10" ht="30" customHeight="1" x14ac:dyDescent="0.3">
      <c r="A86" s="39"/>
      <c r="B86" s="34"/>
      <c r="C86" s="34"/>
      <c r="D86" s="34"/>
      <c r="E86" s="36"/>
      <c r="F86" s="36"/>
      <c r="G86" s="36"/>
      <c r="H86" s="58">
        <f t="shared" si="2"/>
        <v>0</v>
      </c>
      <c r="I86" s="110"/>
      <c r="J86" s="111"/>
    </row>
    <row r="87" spans="1:10" ht="30" customHeight="1" x14ac:dyDescent="0.3">
      <c r="A87" s="39"/>
      <c r="B87" s="34"/>
      <c r="C87" s="34"/>
      <c r="D87" s="34"/>
      <c r="E87" s="36"/>
      <c r="F87" s="36"/>
      <c r="G87" s="36"/>
      <c r="H87" s="58">
        <f t="shared" si="2"/>
        <v>0</v>
      </c>
      <c r="I87" s="110"/>
      <c r="J87" s="111"/>
    </row>
    <row r="88" spans="1:10" ht="30" customHeight="1" x14ac:dyDescent="0.3">
      <c r="A88" s="39"/>
      <c r="B88" s="34"/>
      <c r="C88" s="34"/>
      <c r="D88" s="34"/>
      <c r="E88" s="36"/>
      <c r="F88" s="36"/>
      <c r="G88" s="36"/>
      <c r="H88" s="58">
        <f t="shared" si="2"/>
        <v>0</v>
      </c>
      <c r="I88" s="110"/>
      <c r="J88" s="111"/>
    </row>
    <row r="89" spans="1:10" ht="30" customHeight="1" x14ac:dyDescent="0.3">
      <c r="A89" s="39"/>
      <c r="B89" s="34"/>
      <c r="C89" s="34"/>
      <c r="D89" s="34"/>
      <c r="E89" s="36"/>
      <c r="F89" s="36"/>
      <c r="G89" s="36"/>
      <c r="H89" s="58">
        <f t="shared" si="2"/>
        <v>0</v>
      </c>
      <c r="I89" s="110"/>
      <c r="J89" s="111"/>
    </row>
    <row r="90" spans="1:10" ht="30" customHeight="1" x14ac:dyDescent="0.3">
      <c r="A90" s="39"/>
      <c r="B90" s="34"/>
      <c r="C90" s="34"/>
      <c r="D90" s="34"/>
      <c r="E90" s="36"/>
      <c r="F90" s="36"/>
      <c r="G90" s="36"/>
      <c r="H90" s="58">
        <f t="shared" si="2"/>
        <v>0</v>
      </c>
      <c r="I90" s="110"/>
      <c r="J90" s="111"/>
    </row>
    <row r="91" spans="1:10" ht="30" customHeight="1" x14ac:dyDescent="0.3">
      <c r="A91" s="39"/>
      <c r="B91" s="34"/>
      <c r="C91" s="34"/>
      <c r="D91" s="34"/>
      <c r="E91" s="36"/>
      <c r="F91" s="36"/>
      <c r="G91" s="36"/>
      <c r="H91" s="58">
        <f t="shared" si="2"/>
        <v>0</v>
      </c>
      <c r="I91" s="110"/>
      <c r="J91" s="111"/>
    </row>
    <row r="92" spans="1:10" ht="30" customHeight="1" x14ac:dyDescent="0.3">
      <c r="A92" s="39"/>
      <c r="B92" s="34"/>
      <c r="C92" s="34"/>
      <c r="D92" s="34"/>
      <c r="E92" s="36"/>
      <c r="F92" s="36"/>
      <c r="G92" s="36"/>
      <c r="H92" s="58">
        <f t="shared" si="2"/>
        <v>0</v>
      </c>
      <c r="I92" s="110"/>
      <c r="J92" s="111"/>
    </row>
    <row r="93" spans="1:10" ht="30" customHeight="1" x14ac:dyDescent="0.3">
      <c r="A93" s="39"/>
      <c r="B93" s="34"/>
      <c r="C93" s="34"/>
      <c r="D93" s="34"/>
      <c r="E93" s="36"/>
      <c r="F93" s="36"/>
      <c r="G93" s="36"/>
      <c r="H93" s="58">
        <f t="shared" si="2"/>
        <v>0</v>
      </c>
      <c r="I93" s="110"/>
      <c r="J93" s="111"/>
    </row>
    <row r="94" spans="1:10" ht="30" customHeight="1" x14ac:dyDescent="0.3">
      <c r="E94" s="36"/>
      <c r="F94" s="36"/>
      <c r="G94" s="36"/>
      <c r="H94" s="58">
        <f t="shared" si="2"/>
        <v>0</v>
      </c>
    </row>
    <row r="95" spans="1:10" ht="30" customHeight="1" x14ac:dyDescent="0.3">
      <c r="E95" s="36"/>
      <c r="F95" s="36"/>
      <c r="G95" s="36"/>
      <c r="H95" s="58">
        <f t="shared" si="2"/>
        <v>0</v>
      </c>
    </row>
    <row r="96" spans="1:10" ht="30" customHeight="1" x14ac:dyDescent="0.3">
      <c r="E96" s="36"/>
      <c r="F96" s="36"/>
      <c r="G96" s="36"/>
      <c r="H96" s="58">
        <f t="shared" si="2"/>
        <v>0</v>
      </c>
    </row>
    <row r="97" spans="5:8" ht="30" customHeight="1" x14ac:dyDescent="0.3">
      <c r="E97" s="36"/>
      <c r="F97" s="36"/>
      <c r="G97" s="36"/>
      <c r="H97" s="58">
        <f t="shared" si="2"/>
        <v>0</v>
      </c>
    </row>
    <row r="98" spans="5:8" ht="30" customHeight="1" x14ac:dyDescent="0.3">
      <c r="E98" s="36"/>
      <c r="F98" s="36"/>
      <c r="G98" s="36"/>
      <c r="H98" s="58">
        <f t="shared" si="2"/>
        <v>0</v>
      </c>
    </row>
    <row r="99" spans="5:8" ht="30" customHeight="1" x14ac:dyDescent="0.3">
      <c r="E99" s="36"/>
      <c r="F99" s="36"/>
      <c r="G99" s="36"/>
      <c r="H99" s="58">
        <f t="shared" si="2"/>
        <v>0</v>
      </c>
    </row>
    <row r="100" spans="5:8" ht="30" customHeight="1" x14ac:dyDescent="0.3">
      <c r="E100" s="36"/>
      <c r="F100" s="36"/>
      <c r="G100" s="36"/>
      <c r="H100" s="58">
        <f t="shared" si="2"/>
        <v>0</v>
      </c>
    </row>
    <row r="101" spans="5:8" ht="30" customHeight="1" x14ac:dyDescent="0.3">
      <c r="E101" s="36"/>
      <c r="F101" s="36"/>
      <c r="G101" s="36"/>
      <c r="H101" s="58">
        <f t="shared" si="2"/>
        <v>0</v>
      </c>
    </row>
    <row r="102" spans="5:8" ht="30" customHeight="1" x14ac:dyDescent="0.3">
      <c r="E102" s="36"/>
      <c r="F102" s="36"/>
      <c r="G102" s="36"/>
      <c r="H102" s="58">
        <f t="shared" si="2"/>
        <v>0</v>
      </c>
    </row>
    <row r="103" spans="5:8" ht="30" customHeight="1" x14ac:dyDescent="0.3">
      <c r="E103" s="36"/>
      <c r="F103" s="36"/>
      <c r="G103" s="36"/>
      <c r="H103" s="58">
        <f t="shared" si="2"/>
        <v>0</v>
      </c>
    </row>
    <row r="104" spans="5:8" ht="30" customHeight="1" x14ac:dyDescent="0.3">
      <c r="E104" s="36"/>
      <c r="F104" s="36"/>
      <c r="G104" s="36"/>
      <c r="H104" s="58">
        <f t="shared" si="2"/>
        <v>0</v>
      </c>
    </row>
    <row r="105" spans="5:8" ht="30" customHeight="1" x14ac:dyDescent="0.3">
      <c r="E105" s="36"/>
      <c r="F105" s="36"/>
      <c r="G105" s="36"/>
      <c r="H105" s="58">
        <f t="shared" si="2"/>
        <v>0</v>
      </c>
    </row>
    <row r="106" spans="5:8" ht="30" customHeight="1" x14ac:dyDescent="0.3">
      <c r="E106" s="36"/>
      <c r="F106" s="36"/>
      <c r="G106" s="36"/>
      <c r="H106" s="58">
        <f t="shared" si="2"/>
        <v>0</v>
      </c>
    </row>
    <row r="107" spans="5:8" ht="30" customHeight="1" x14ac:dyDescent="0.3">
      <c r="E107" s="36"/>
      <c r="F107" s="36"/>
      <c r="G107" s="36"/>
      <c r="H107" s="58">
        <f t="shared" si="2"/>
        <v>0</v>
      </c>
    </row>
    <row r="108" spans="5:8" ht="30" customHeight="1" x14ac:dyDescent="0.3">
      <c r="E108" s="36"/>
      <c r="F108" s="36"/>
      <c r="G108" s="36"/>
      <c r="H108" s="58">
        <f t="shared" si="2"/>
        <v>0</v>
      </c>
    </row>
    <row r="109" spans="5:8" ht="30" customHeight="1" x14ac:dyDescent="0.3">
      <c r="E109" s="36"/>
      <c r="F109" s="36"/>
      <c r="G109" s="36"/>
      <c r="H109" s="58">
        <f t="shared" si="2"/>
        <v>0</v>
      </c>
    </row>
    <row r="110" spans="5:8" ht="30" customHeight="1" x14ac:dyDescent="0.3">
      <c r="E110" s="36"/>
      <c r="F110" s="36"/>
      <c r="G110" s="36"/>
      <c r="H110" s="58">
        <f t="shared" si="2"/>
        <v>0</v>
      </c>
    </row>
    <row r="111" spans="5:8" ht="30" customHeight="1" x14ac:dyDescent="0.3">
      <c r="E111" s="36"/>
      <c r="F111" s="36"/>
      <c r="G111" s="36"/>
      <c r="H111" s="58">
        <f t="shared" si="2"/>
        <v>0</v>
      </c>
    </row>
    <row r="112" spans="5:8" ht="30" customHeight="1" x14ac:dyDescent="0.3">
      <c r="E112" s="36"/>
      <c r="F112" s="36"/>
      <c r="G112" s="36"/>
      <c r="H112" s="58">
        <f t="shared" si="2"/>
        <v>0</v>
      </c>
    </row>
    <row r="113" spans="5:8" ht="30" customHeight="1" x14ac:dyDescent="0.3">
      <c r="E113" s="36"/>
      <c r="F113" s="36"/>
      <c r="G113" s="36"/>
      <c r="H113" s="58">
        <f t="shared" si="2"/>
        <v>0</v>
      </c>
    </row>
    <row r="114" spans="5:8" ht="30" customHeight="1" x14ac:dyDescent="0.3">
      <c r="E114" s="36"/>
      <c r="F114" s="36"/>
      <c r="G114" s="36"/>
      <c r="H114" s="58">
        <f t="shared" si="2"/>
        <v>0</v>
      </c>
    </row>
    <row r="115" spans="5:8" ht="30" customHeight="1" x14ac:dyDescent="0.3">
      <c r="E115" s="36"/>
      <c r="F115" s="36"/>
      <c r="G115" s="36"/>
      <c r="H115" s="58">
        <f t="shared" si="2"/>
        <v>0</v>
      </c>
    </row>
    <row r="116" spans="5:8" ht="30" customHeight="1" x14ac:dyDescent="0.3">
      <c r="E116" s="36"/>
      <c r="F116" s="36"/>
      <c r="G116" s="36"/>
      <c r="H116" s="58">
        <f t="shared" si="2"/>
        <v>0</v>
      </c>
    </row>
    <row r="117" spans="5:8" ht="30" customHeight="1" x14ac:dyDescent="0.3">
      <c r="E117" s="36"/>
      <c r="F117" s="36"/>
      <c r="G117" s="36"/>
      <c r="H117" s="58">
        <f t="shared" si="2"/>
        <v>0</v>
      </c>
    </row>
    <row r="118" spans="5:8" ht="30" customHeight="1" x14ac:dyDescent="0.3">
      <c r="E118" s="36"/>
      <c r="F118" s="36"/>
      <c r="G118" s="36"/>
      <c r="H118" s="58">
        <f t="shared" si="2"/>
        <v>0</v>
      </c>
    </row>
    <row r="119" spans="5:8" ht="30" customHeight="1" x14ac:dyDescent="0.3">
      <c r="E119" s="36"/>
      <c r="F119" s="36"/>
      <c r="G119" s="36"/>
      <c r="H119" s="58">
        <f t="shared" si="2"/>
        <v>0</v>
      </c>
    </row>
    <row r="120" spans="5:8" ht="30" customHeight="1" x14ac:dyDescent="0.3">
      <c r="E120" s="36"/>
      <c r="F120" s="36"/>
      <c r="G120" s="36"/>
      <c r="H120" s="58">
        <f t="shared" si="2"/>
        <v>0</v>
      </c>
    </row>
    <row r="121" spans="5:8" ht="30" customHeight="1" x14ac:dyDescent="0.3">
      <c r="E121" s="36"/>
      <c r="F121" s="36"/>
      <c r="G121" s="36"/>
      <c r="H121" s="58">
        <f t="shared" si="2"/>
        <v>0</v>
      </c>
    </row>
    <row r="122" spans="5:8" ht="30" customHeight="1" x14ac:dyDescent="0.3">
      <c r="E122" s="36"/>
      <c r="F122" s="36"/>
      <c r="G122" s="36"/>
      <c r="H122" s="58">
        <f t="shared" si="2"/>
        <v>0</v>
      </c>
    </row>
    <row r="123" spans="5:8" ht="30" customHeight="1" x14ac:dyDescent="0.3">
      <c r="E123" s="36"/>
      <c r="F123" s="36"/>
      <c r="G123" s="36"/>
      <c r="H123" s="58">
        <f t="shared" si="2"/>
        <v>0</v>
      </c>
    </row>
    <row r="124" spans="5:8" ht="30" customHeight="1" x14ac:dyDescent="0.3">
      <c r="E124" s="36"/>
      <c r="F124" s="36"/>
      <c r="G124" s="36"/>
      <c r="H124" s="58">
        <f t="shared" si="2"/>
        <v>0</v>
      </c>
    </row>
    <row r="125" spans="5:8" ht="30" customHeight="1" x14ac:dyDescent="0.3">
      <c r="E125" s="36"/>
      <c r="F125" s="36"/>
      <c r="G125" s="36"/>
      <c r="H125" s="58">
        <f t="shared" si="2"/>
        <v>0</v>
      </c>
    </row>
    <row r="126" spans="5:8" ht="30" customHeight="1" x14ac:dyDescent="0.3">
      <c r="E126" s="36"/>
      <c r="F126" s="36"/>
      <c r="G126" s="36"/>
      <c r="H126" s="58">
        <f t="shared" si="2"/>
        <v>0</v>
      </c>
    </row>
    <row r="127" spans="5:8" ht="30" customHeight="1" x14ac:dyDescent="0.3">
      <c r="E127" s="36"/>
      <c r="F127" s="36"/>
      <c r="G127" s="36"/>
      <c r="H127" s="58">
        <f t="shared" si="2"/>
        <v>0</v>
      </c>
    </row>
    <row r="128" spans="5:8" ht="30" customHeight="1" x14ac:dyDescent="0.3">
      <c r="E128" s="36"/>
      <c r="F128" s="36"/>
      <c r="G128" s="36"/>
      <c r="H128" s="58">
        <f t="shared" si="2"/>
        <v>0</v>
      </c>
    </row>
    <row r="129" spans="5:8" ht="30" customHeight="1" x14ac:dyDescent="0.3">
      <c r="E129" s="36"/>
      <c r="F129" s="36"/>
      <c r="G129" s="36"/>
      <c r="H129" s="58">
        <f t="shared" si="2"/>
        <v>0</v>
      </c>
    </row>
    <row r="130" spans="5:8" ht="30" customHeight="1" x14ac:dyDescent="0.3">
      <c r="E130" s="36"/>
      <c r="F130" s="36"/>
      <c r="G130" s="36"/>
      <c r="H130" s="58">
        <f t="shared" si="2"/>
        <v>0</v>
      </c>
    </row>
    <row r="131" spans="5:8" ht="30" customHeight="1" x14ac:dyDescent="0.3">
      <c r="E131" s="36"/>
      <c r="F131" s="36"/>
      <c r="G131" s="36"/>
      <c r="H131" s="58">
        <f t="shared" si="2"/>
        <v>0</v>
      </c>
    </row>
    <row r="132" spans="5:8" ht="30" customHeight="1" x14ac:dyDescent="0.3">
      <c r="E132" s="36"/>
      <c r="F132" s="36"/>
      <c r="G132" s="36"/>
      <c r="H132" s="58">
        <f t="shared" si="2"/>
        <v>0</v>
      </c>
    </row>
    <row r="133" spans="5:8" ht="30" customHeight="1" x14ac:dyDescent="0.3">
      <c r="E133" s="36"/>
      <c r="F133" s="36"/>
      <c r="G133" s="36"/>
      <c r="H133" s="58">
        <f t="shared" si="2"/>
        <v>0</v>
      </c>
    </row>
    <row r="134" spans="5:8" ht="30" customHeight="1" x14ac:dyDescent="0.3">
      <c r="E134" s="36"/>
      <c r="F134" s="36"/>
      <c r="G134" s="36"/>
      <c r="H134" s="58">
        <f t="shared" si="2"/>
        <v>0</v>
      </c>
    </row>
    <row r="135" spans="5:8" ht="30" customHeight="1" x14ac:dyDescent="0.3">
      <c r="E135" s="36"/>
      <c r="F135" s="36"/>
      <c r="G135" s="36"/>
      <c r="H135" s="58">
        <f t="shared" si="2"/>
        <v>0</v>
      </c>
    </row>
    <row r="136" spans="5:8" ht="30" customHeight="1" x14ac:dyDescent="0.3">
      <c r="E136" s="36"/>
      <c r="F136" s="36"/>
      <c r="G136" s="36"/>
      <c r="H136" s="58">
        <f t="shared" si="2"/>
        <v>0</v>
      </c>
    </row>
    <row r="137" spans="5:8" ht="30" customHeight="1" x14ac:dyDescent="0.3">
      <c r="E137" s="36"/>
      <c r="F137" s="36"/>
      <c r="G137" s="36"/>
      <c r="H137" s="58">
        <f t="shared" si="2"/>
        <v>0</v>
      </c>
    </row>
    <row r="138" spans="5:8" ht="30" customHeight="1" x14ac:dyDescent="0.3">
      <c r="E138" s="36"/>
      <c r="F138" s="36"/>
      <c r="G138" s="36"/>
      <c r="H138" s="58">
        <f t="shared" si="2"/>
        <v>0</v>
      </c>
    </row>
    <row r="139" spans="5:8" ht="30" customHeight="1" x14ac:dyDescent="0.3">
      <c r="E139" s="36"/>
      <c r="F139" s="36"/>
      <c r="G139" s="36"/>
      <c r="H139" s="58">
        <f t="shared" si="2"/>
        <v>0</v>
      </c>
    </row>
    <row r="140" spans="5:8" ht="30" customHeight="1" x14ac:dyDescent="0.3">
      <c r="E140" s="36"/>
      <c r="F140" s="36"/>
      <c r="G140" s="36"/>
      <c r="H140" s="58">
        <f t="shared" si="2"/>
        <v>0</v>
      </c>
    </row>
    <row r="141" spans="5:8" ht="30" customHeight="1" x14ac:dyDescent="0.3">
      <c r="E141" s="36"/>
      <c r="F141" s="36"/>
      <c r="G141" s="36"/>
      <c r="H141" s="58">
        <f t="shared" si="2"/>
        <v>0</v>
      </c>
    </row>
    <row r="142" spans="5:8" ht="30" customHeight="1" x14ac:dyDescent="0.3">
      <c r="E142" s="36"/>
      <c r="F142" s="36"/>
      <c r="G142" s="36"/>
      <c r="H142" s="58">
        <f t="shared" si="2"/>
        <v>0</v>
      </c>
    </row>
    <row r="143" spans="5:8" ht="30" customHeight="1" x14ac:dyDescent="0.3">
      <c r="E143" s="36"/>
      <c r="F143" s="36"/>
      <c r="G143" s="36"/>
      <c r="H143" s="58">
        <f t="shared" si="2"/>
        <v>0</v>
      </c>
    </row>
    <row r="144" spans="5:8" ht="30" customHeight="1" x14ac:dyDescent="0.3">
      <c r="E144" s="36"/>
      <c r="F144" s="36"/>
      <c r="G144" s="36"/>
      <c r="H144" s="58">
        <f t="shared" si="2"/>
        <v>0</v>
      </c>
    </row>
    <row r="145" spans="5:8" ht="30" customHeight="1" x14ac:dyDescent="0.3">
      <c r="E145" s="36"/>
      <c r="F145" s="36"/>
      <c r="G145" s="36"/>
      <c r="H145" s="58">
        <f t="shared" si="2"/>
        <v>0</v>
      </c>
    </row>
    <row r="146" spans="5:8" ht="30" customHeight="1" x14ac:dyDescent="0.3">
      <c r="E146" s="36"/>
      <c r="F146" s="36"/>
      <c r="G146" s="36"/>
      <c r="H146" s="58">
        <f t="shared" si="2"/>
        <v>0</v>
      </c>
    </row>
    <row r="147" spans="5:8" ht="30" customHeight="1" x14ac:dyDescent="0.3">
      <c r="E147" s="36"/>
      <c r="F147" s="36"/>
      <c r="G147" s="36"/>
      <c r="H147" s="58">
        <f t="shared" si="2"/>
        <v>0</v>
      </c>
    </row>
    <row r="148" spans="5:8" ht="30" customHeight="1" x14ac:dyDescent="0.3">
      <c r="E148" s="36"/>
      <c r="F148" s="36"/>
      <c r="G148" s="36"/>
      <c r="H148" s="58">
        <f t="shared" si="2"/>
        <v>0</v>
      </c>
    </row>
    <row r="149" spans="5:8" ht="30" customHeight="1" x14ac:dyDescent="0.3">
      <c r="E149" s="36"/>
      <c r="F149" s="36"/>
      <c r="G149" s="36"/>
      <c r="H149" s="58">
        <f t="shared" ref="H149:H212" si="3">H148-G149-F149+E149</f>
        <v>0</v>
      </c>
    </row>
    <row r="150" spans="5:8" ht="30" customHeight="1" x14ac:dyDescent="0.3">
      <c r="E150" s="36"/>
      <c r="F150" s="36"/>
      <c r="G150" s="36"/>
      <c r="H150" s="58">
        <f t="shared" si="3"/>
        <v>0</v>
      </c>
    </row>
    <row r="151" spans="5:8" ht="30" customHeight="1" x14ac:dyDescent="0.3">
      <c r="E151" s="36"/>
      <c r="F151" s="36"/>
      <c r="G151" s="36"/>
      <c r="H151" s="58">
        <f t="shared" si="3"/>
        <v>0</v>
      </c>
    </row>
    <row r="152" spans="5:8" ht="30" customHeight="1" x14ac:dyDescent="0.3">
      <c r="E152" s="36"/>
      <c r="F152" s="36"/>
      <c r="G152" s="36"/>
      <c r="H152" s="58">
        <f t="shared" si="3"/>
        <v>0</v>
      </c>
    </row>
    <row r="153" spans="5:8" ht="30" customHeight="1" x14ac:dyDescent="0.3">
      <c r="E153" s="36"/>
      <c r="F153" s="36"/>
      <c r="G153" s="36"/>
      <c r="H153" s="58">
        <f t="shared" si="3"/>
        <v>0</v>
      </c>
    </row>
    <row r="154" spans="5:8" ht="30" customHeight="1" x14ac:dyDescent="0.3">
      <c r="E154" s="36"/>
      <c r="F154" s="36"/>
      <c r="G154" s="36"/>
      <c r="H154" s="58">
        <f t="shared" si="3"/>
        <v>0</v>
      </c>
    </row>
    <row r="155" spans="5:8" ht="30" customHeight="1" x14ac:dyDescent="0.3">
      <c r="E155" s="36"/>
      <c r="F155" s="36"/>
      <c r="G155" s="36"/>
      <c r="H155" s="58">
        <f t="shared" si="3"/>
        <v>0</v>
      </c>
    </row>
    <row r="156" spans="5:8" ht="30" customHeight="1" x14ac:dyDescent="0.3">
      <c r="E156" s="36"/>
      <c r="F156" s="36"/>
      <c r="G156" s="36"/>
      <c r="H156" s="58">
        <f t="shared" si="3"/>
        <v>0</v>
      </c>
    </row>
    <row r="157" spans="5:8" ht="30" customHeight="1" x14ac:dyDescent="0.3">
      <c r="E157" s="36"/>
      <c r="F157" s="36"/>
      <c r="G157" s="36"/>
      <c r="H157" s="58">
        <f t="shared" si="3"/>
        <v>0</v>
      </c>
    </row>
    <row r="158" spans="5:8" ht="30" customHeight="1" x14ac:dyDescent="0.3">
      <c r="E158" s="36"/>
      <c r="F158" s="36"/>
      <c r="G158" s="36"/>
      <c r="H158" s="58">
        <f t="shared" si="3"/>
        <v>0</v>
      </c>
    </row>
    <row r="159" spans="5:8" ht="30" customHeight="1" x14ac:dyDescent="0.3">
      <c r="E159" s="36"/>
      <c r="F159" s="36"/>
      <c r="G159" s="36"/>
      <c r="H159" s="58">
        <f t="shared" si="3"/>
        <v>0</v>
      </c>
    </row>
    <row r="160" spans="5:8" ht="30" customHeight="1" x14ac:dyDescent="0.3">
      <c r="E160" s="36"/>
      <c r="F160" s="36"/>
      <c r="G160" s="36"/>
      <c r="H160" s="58">
        <f t="shared" si="3"/>
        <v>0</v>
      </c>
    </row>
    <row r="161" spans="5:8" ht="30" customHeight="1" x14ac:dyDescent="0.3">
      <c r="E161" s="36"/>
      <c r="F161" s="36"/>
      <c r="G161" s="36"/>
      <c r="H161" s="58">
        <f t="shared" si="3"/>
        <v>0</v>
      </c>
    </row>
    <row r="162" spans="5:8" ht="30" customHeight="1" x14ac:dyDescent="0.3">
      <c r="E162" s="36"/>
      <c r="F162" s="36"/>
      <c r="G162" s="36"/>
      <c r="H162" s="58">
        <f t="shared" si="3"/>
        <v>0</v>
      </c>
    </row>
    <row r="163" spans="5:8" ht="30" customHeight="1" x14ac:dyDescent="0.3">
      <c r="E163" s="36"/>
      <c r="F163" s="36"/>
      <c r="G163" s="36"/>
      <c r="H163" s="58">
        <f t="shared" si="3"/>
        <v>0</v>
      </c>
    </row>
    <row r="164" spans="5:8" ht="30" customHeight="1" x14ac:dyDescent="0.3">
      <c r="E164" s="36"/>
      <c r="F164" s="36"/>
      <c r="G164" s="36"/>
      <c r="H164" s="58">
        <f t="shared" si="3"/>
        <v>0</v>
      </c>
    </row>
    <row r="165" spans="5:8" ht="30" customHeight="1" x14ac:dyDescent="0.3">
      <c r="E165" s="36"/>
      <c r="F165" s="36"/>
      <c r="G165" s="36"/>
      <c r="H165" s="58">
        <f t="shared" si="3"/>
        <v>0</v>
      </c>
    </row>
    <row r="166" spans="5:8" ht="30" customHeight="1" x14ac:dyDescent="0.3">
      <c r="E166" s="36"/>
      <c r="F166" s="36"/>
      <c r="G166" s="36"/>
      <c r="H166" s="58">
        <f t="shared" si="3"/>
        <v>0</v>
      </c>
    </row>
    <row r="167" spans="5:8" ht="30" customHeight="1" x14ac:dyDescent="0.3">
      <c r="E167" s="36"/>
      <c r="F167" s="36"/>
      <c r="G167" s="36"/>
      <c r="H167" s="58">
        <f t="shared" si="3"/>
        <v>0</v>
      </c>
    </row>
    <row r="168" spans="5:8" ht="30" customHeight="1" x14ac:dyDescent="0.3">
      <c r="E168" s="36"/>
      <c r="F168" s="36"/>
      <c r="G168" s="36"/>
      <c r="H168" s="58">
        <f t="shared" si="3"/>
        <v>0</v>
      </c>
    </row>
    <row r="169" spans="5:8" ht="30" customHeight="1" x14ac:dyDescent="0.3">
      <c r="E169" s="36"/>
      <c r="F169" s="36"/>
      <c r="G169" s="36"/>
      <c r="H169" s="58">
        <f t="shared" si="3"/>
        <v>0</v>
      </c>
    </row>
    <row r="170" spans="5:8" ht="30" customHeight="1" x14ac:dyDescent="0.3">
      <c r="E170" s="36"/>
      <c r="F170" s="36"/>
      <c r="G170" s="36"/>
      <c r="H170" s="58">
        <f t="shared" si="3"/>
        <v>0</v>
      </c>
    </row>
    <row r="171" spans="5:8" ht="30" customHeight="1" x14ac:dyDescent="0.3">
      <c r="E171" s="36"/>
      <c r="F171" s="36"/>
      <c r="G171" s="36"/>
      <c r="H171" s="58">
        <f t="shared" si="3"/>
        <v>0</v>
      </c>
    </row>
    <row r="172" spans="5:8" ht="30" customHeight="1" x14ac:dyDescent="0.3">
      <c r="E172" s="36"/>
      <c r="F172" s="36"/>
      <c r="G172" s="36"/>
      <c r="H172" s="58">
        <f t="shared" si="3"/>
        <v>0</v>
      </c>
    </row>
    <row r="173" spans="5:8" ht="30" customHeight="1" x14ac:dyDescent="0.3">
      <c r="E173" s="36"/>
      <c r="F173" s="36"/>
      <c r="G173" s="36"/>
      <c r="H173" s="58">
        <f t="shared" si="3"/>
        <v>0</v>
      </c>
    </row>
    <row r="174" spans="5:8" ht="30" customHeight="1" x14ac:dyDescent="0.3">
      <c r="E174" s="36"/>
      <c r="F174" s="36"/>
      <c r="G174" s="36"/>
      <c r="H174" s="58">
        <f t="shared" si="3"/>
        <v>0</v>
      </c>
    </row>
    <row r="175" spans="5:8" ht="30" customHeight="1" x14ac:dyDescent="0.3">
      <c r="E175" s="36"/>
      <c r="F175" s="36"/>
      <c r="G175" s="36"/>
      <c r="H175" s="58">
        <f t="shared" si="3"/>
        <v>0</v>
      </c>
    </row>
    <row r="176" spans="5:8" ht="30" customHeight="1" x14ac:dyDescent="0.3">
      <c r="E176" s="36"/>
      <c r="F176" s="36"/>
      <c r="G176" s="36"/>
      <c r="H176" s="58">
        <f t="shared" si="3"/>
        <v>0</v>
      </c>
    </row>
    <row r="177" spans="5:8" ht="30" customHeight="1" x14ac:dyDescent="0.3">
      <c r="E177" s="36"/>
      <c r="F177" s="36"/>
      <c r="G177" s="36"/>
      <c r="H177" s="58">
        <f t="shared" si="3"/>
        <v>0</v>
      </c>
    </row>
    <row r="178" spans="5:8" ht="30" customHeight="1" x14ac:dyDescent="0.3">
      <c r="E178" s="36"/>
      <c r="F178" s="36"/>
      <c r="G178" s="36"/>
      <c r="H178" s="58">
        <f t="shared" si="3"/>
        <v>0</v>
      </c>
    </row>
    <row r="179" spans="5:8" ht="30" customHeight="1" x14ac:dyDescent="0.3">
      <c r="E179" s="36"/>
      <c r="F179" s="36"/>
      <c r="G179" s="36"/>
      <c r="H179" s="58">
        <f t="shared" si="3"/>
        <v>0</v>
      </c>
    </row>
    <row r="180" spans="5:8" ht="30" customHeight="1" x14ac:dyDescent="0.3">
      <c r="E180" s="36"/>
      <c r="F180" s="36"/>
      <c r="G180" s="36"/>
      <c r="H180" s="58">
        <f t="shared" si="3"/>
        <v>0</v>
      </c>
    </row>
    <row r="181" spans="5:8" ht="30" customHeight="1" x14ac:dyDescent="0.3">
      <c r="E181" s="36"/>
      <c r="F181" s="36"/>
      <c r="G181" s="36"/>
      <c r="H181" s="58">
        <f t="shared" si="3"/>
        <v>0</v>
      </c>
    </row>
    <row r="182" spans="5:8" ht="30" customHeight="1" x14ac:dyDescent="0.3">
      <c r="E182" s="36"/>
      <c r="F182" s="36"/>
      <c r="G182" s="36"/>
      <c r="H182" s="58">
        <f t="shared" si="3"/>
        <v>0</v>
      </c>
    </row>
    <row r="183" spans="5:8" ht="30" customHeight="1" x14ac:dyDescent="0.3">
      <c r="E183" s="36"/>
      <c r="F183" s="36"/>
      <c r="G183" s="36"/>
      <c r="H183" s="58">
        <f t="shared" si="3"/>
        <v>0</v>
      </c>
    </row>
    <row r="184" spans="5:8" ht="30" customHeight="1" x14ac:dyDescent="0.3">
      <c r="E184" s="36"/>
      <c r="F184" s="36"/>
      <c r="G184" s="36"/>
      <c r="H184" s="58">
        <f t="shared" si="3"/>
        <v>0</v>
      </c>
    </row>
    <row r="185" spans="5:8" ht="30" customHeight="1" x14ac:dyDescent="0.3">
      <c r="E185" s="36"/>
      <c r="F185" s="36"/>
      <c r="G185" s="36"/>
      <c r="H185" s="58">
        <f t="shared" si="3"/>
        <v>0</v>
      </c>
    </row>
    <row r="186" spans="5:8" ht="30" customHeight="1" x14ac:dyDescent="0.3">
      <c r="E186" s="36"/>
      <c r="F186" s="36"/>
      <c r="G186" s="36"/>
      <c r="H186" s="58">
        <f t="shared" si="3"/>
        <v>0</v>
      </c>
    </row>
    <row r="187" spans="5:8" ht="30" customHeight="1" x14ac:dyDescent="0.3">
      <c r="E187" s="36"/>
      <c r="F187" s="36"/>
      <c r="G187" s="36"/>
      <c r="H187" s="58">
        <f t="shared" si="3"/>
        <v>0</v>
      </c>
    </row>
    <row r="188" spans="5:8" ht="30" customHeight="1" x14ac:dyDescent="0.3">
      <c r="E188" s="36"/>
      <c r="F188" s="36"/>
      <c r="G188" s="36"/>
      <c r="H188" s="58">
        <f t="shared" si="3"/>
        <v>0</v>
      </c>
    </row>
    <row r="189" spans="5:8" ht="30" customHeight="1" x14ac:dyDescent="0.3">
      <c r="E189" s="36"/>
      <c r="F189" s="36"/>
      <c r="G189" s="36"/>
      <c r="H189" s="58">
        <f t="shared" si="3"/>
        <v>0</v>
      </c>
    </row>
    <row r="190" spans="5:8" ht="30" customHeight="1" x14ac:dyDescent="0.3">
      <c r="E190" s="36"/>
      <c r="F190" s="36"/>
      <c r="G190" s="36"/>
      <c r="H190" s="58">
        <f t="shared" si="3"/>
        <v>0</v>
      </c>
    </row>
    <row r="191" spans="5:8" ht="30" customHeight="1" x14ac:dyDescent="0.3">
      <c r="E191" s="36"/>
      <c r="F191" s="36"/>
      <c r="G191" s="36"/>
      <c r="H191" s="58">
        <f t="shared" si="3"/>
        <v>0</v>
      </c>
    </row>
    <row r="192" spans="5:8" ht="30" customHeight="1" x14ac:dyDescent="0.3">
      <c r="E192" s="36"/>
      <c r="F192" s="36"/>
      <c r="G192" s="36"/>
      <c r="H192" s="58">
        <f t="shared" si="3"/>
        <v>0</v>
      </c>
    </row>
    <row r="193" spans="5:8" ht="30" customHeight="1" x14ac:dyDescent="0.3">
      <c r="E193" s="36"/>
      <c r="F193" s="36"/>
      <c r="G193" s="36"/>
      <c r="H193" s="58">
        <f t="shared" si="3"/>
        <v>0</v>
      </c>
    </row>
    <row r="194" spans="5:8" ht="30" customHeight="1" x14ac:dyDescent="0.3">
      <c r="E194" s="36"/>
      <c r="F194" s="36"/>
      <c r="G194" s="36"/>
      <c r="H194" s="58">
        <f t="shared" si="3"/>
        <v>0</v>
      </c>
    </row>
    <row r="195" spans="5:8" ht="30" customHeight="1" x14ac:dyDescent="0.3">
      <c r="E195" s="36"/>
      <c r="F195" s="36"/>
      <c r="G195" s="36"/>
      <c r="H195" s="58">
        <f t="shared" si="3"/>
        <v>0</v>
      </c>
    </row>
    <row r="196" spans="5:8" ht="30" customHeight="1" x14ac:dyDescent="0.3">
      <c r="E196" s="36"/>
      <c r="F196" s="36"/>
      <c r="G196" s="36"/>
      <c r="H196" s="58">
        <f t="shared" si="3"/>
        <v>0</v>
      </c>
    </row>
    <row r="197" spans="5:8" ht="30" customHeight="1" x14ac:dyDescent="0.3">
      <c r="E197" s="36"/>
      <c r="F197" s="36"/>
      <c r="G197" s="36"/>
      <c r="H197" s="58">
        <f t="shared" si="3"/>
        <v>0</v>
      </c>
    </row>
    <row r="198" spans="5:8" ht="30" customHeight="1" x14ac:dyDescent="0.3">
      <c r="E198" s="36"/>
      <c r="F198" s="36"/>
      <c r="G198" s="36"/>
      <c r="H198" s="58">
        <f t="shared" si="3"/>
        <v>0</v>
      </c>
    </row>
    <row r="199" spans="5:8" ht="30" customHeight="1" x14ac:dyDescent="0.3">
      <c r="E199" s="36"/>
      <c r="F199" s="36"/>
      <c r="G199" s="36"/>
      <c r="H199" s="58">
        <f t="shared" si="3"/>
        <v>0</v>
      </c>
    </row>
    <row r="200" spans="5:8" ht="30" customHeight="1" x14ac:dyDescent="0.3">
      <c r="E200" s="36"/>
      <c r="F200" s="36"/>
      <c r="G200" s="36"/>
      <c r="H200" s="58">
        <f t="shared" si="3"/>
        <v>0</v>
      </c>
    </row>
    <row r="201" spans="5:8" ht="30" customHeight="1" x14ac:dyDescent="0.3">
      <c r="E201" s="36"/>
      <c r="F201" s="36"/>
      <c r="G201" s="36"/>
      <c r="H201" s="58">
        <f t="shared" si="3"/>
        <v>0</v>
      </c>
    </row>
    <row r="202" spans="5:8" ht="30" customHeight="1" x14ac:dyDescent="0.3">
      <c r="E202" s="36"/>
      <c r="F202" s="36"/>
      <c r="G202" s="36"/>
      <c r="H202" s="58">
        <f t="shared" si="3"/>
        <v>0</v>
      </c>
    </row>
    <row r="203" spans="5:8" ht="30" customHeight="1" x14ac:dyDescent="0.3">
      <c r="E203" s="36"/>
      <c r="F203" s="36"/>
      <c r="G203" s="36"/>
      <c r="H203" s="58">
        <f t="shared" si="3"/>
        <v>0</v>
      </c>
    </row>
    <row r="204" spans="5:8" ht="30" customHeight="1" x14ac:dyDescent="0.3">
      <c r="E204" s="36"/>
      <c r="F204" s="36"/>
      <c r="G204" s="36"/>
      <c r="H204" s="58">
        <f t="shared" si="3"/>
        <v>0</v>
      </c>
    </row>
    <row r="205" spans="5:8" ht="30" customHeight="1" x14ac:dyDescent="0.3">
      <c r="E205" s="36"/>
      <c r="F205" s="36"/>
      <c r="G205" s="36"/>
      <c r="H205" s="58">
        <f t="shared" si="3"/>
        <v>0</v>
      </c>
    </row>
    <row r="206" spans="5:8" ht="30" customHeight="1" x14ac:dyDescent="0.3">
      <c r="E206" s="36"/>
      <c r="F206" s="36"/>
      <c r="G206" s="36"/>
      <c r="H206" s="58">
        <f t="shared" si="3"/>
        <v>0</v>
      </c>
    </row>
    <row r="207" spans="5:8" ht="30" customHeight="1" x14ac:dyDescent="0.3">
      <c r="E207" s="36"/>
      <c r="F207" s="36"/>
      <c r="G207" s="36"/>
      <c r="H207" s="58">
        <f t="shared" si="3"/>
        <v>0</v>
      </c>
    </row>
    <row r="208" spans="5:8" ht="30" customHeight="1" x14ac:dyDescent="0.3">
      <c r="E208" s="36"/>
      <c r="F208" s="36"/>
      <c r="G208" s="36"/>
      <c r="H208" s="58">
        <f t="shared" si="3"/>
        <v>0</v>
      </c>
    </row>
    <row r="209" spans="5:8" ht="30" customHeight="1" x14ac:dyDescent="0.3">
      <c r="E209" s="36"/>
      <c r="F209" s="36"/>
      <c r="G209" s="36"/>
      <c r="H209" s="58">
        <f t="shared" si="3"/>
        <v>0</v>
      </c>
    </row>
    <row r="210" spans="5:8" ht="30" customHeight="1" x14ac:dyDescent="0.3">
      <c r="E210" s="36"/>
      <c r="F210" s="36"/>
      <c r="G210" s="36"/>
      <c r="H210" s="58">
        <f t="shared" si="3"/>
        <v>0</v>
      </c>
    </row>
    <row r="211" spans="5:8" ht="30" customHeight="1" x14ac:dyDescent="0.3">
      <c r="E211" s="36"/>
      <c r="F211" s="36"/>
      <c r="G211" s="36"/>
      <c r="H211" s="58">
        <f t="shared" si="3"/>
        <v>0</v>
      </c>
    </row>
    <row r="212" spans="5:8" ht="30" customHeight="1" x14ac:dyDescent="0.3">
      <c r="E212" s="36"/>
      <c r="F212" s="36"/>
      <c r="G212" s="36"/>
      <c r="H212" s="58">
        <f t="shared" si="3"/>
        <v>0</v>
      </c>
    </row>
    <row r="213" spans="5:8" ht="30" customHeight="1" x14ac:dyDescent="0.3">
      <c r="E213" s="36"/>
      <c r="F213" s="36"/>
      <c r="G213" s="36"/>
      <c r="H213" s="58">
        <f t="shared" ref="H213:H276" si="4">H212-G213-F213+E213</f>
        <v>0</v>
      </c>
    </row>
    <row r="214" spans="5:8" ht="30" customHeight="1" x14ac:dyDescent="0.3">
      <c r="E214" s="36"/>
      <c r="F214" s="36"/>
      <c r="G214" s="36"/>
      <c r="H214" s="58">
        <f t="shared" si="4"/>
        <v>0</v>
      </c>
    </row>
    <row r="215" spans="5:8" ht="30" customHeight="1" x14ac:dyDescent="0.3">
      <c r="E215" s="36"/>
      <c r="F215" s="36"/>
      <c r="G215" s="36"/>
      <c r="H215" s="58">
        <f t="shared" si="4"/>
        <v>0</v>
      </c>
    </row>
    <row r="216" spans="5:8" ht="30" customHeight="1" x14ac:dyDescent="0.3">
      <c r="E216" s="36"/>
      <c r="F216" s="36"/>
      <c r="G216" s="36"/>
      <c r="H216" s="58">
        <f t="shared" si="4"/>
        <v>0</v>
      </c>
    </row>
    <row r="217" spans="5:8" ht="30" customHeight="1" x14ac:dyDescent="0.3">
      <c r="E217" s="36"/>
      <c r="F217" s="36"/>
      <c r="G217" s="36"/>
      <c r="H217" s="58">
        <f t="shared" si="4"/>
        <v>0</v>
      </c>
    </row>
    <row r="218" spans="5:8" ht="30" customHeight="1" x14ac:dyDescent="0.3">
      <c r="E218" s="36"/>
      <c r="F218" s="36"/>
      <c r="G218" s="36"/>
      <c r="H218" s="58">
        <f t="shared" si="4"/>
        <v>0</v>
      </c>
    </row>
    <row r="219" spans="5:8" ht="30" customHeight="1" x14ac:dyDescent="0.3">
      <c r="E219" s="36"/>
      <c r="F219" s="36"/>
      <c r="G219" s="36"/>
      <c r="H219" s="58">
        <f t="shared" si="4"/>
        <v>0</v>
      </c>
    </row>
    <row r="220" spans="5:8" ht="30" customHeight="1" x14ac:dyDescent="0.3">
      <c r="E220" s="36"/>
      <c r="F220" s="36"/>
      <c r="G220" s="36"/>
      <c r="H220" s="58">
        <f t="shared" si="4"/>
        <v>0</v>
      </c>
    </row>
    <row r="221" spans="5:8" ht="30" customHeight="1" x14ac:dyDescent="0.3">
      <c r="E221" s="36"/>
      <c r="F221" s="36"/>
      <c r="G221" s="36"/>
      <c r="H221" s="58">
        <f t="shared" si="4"/>
        <v>0</v>
      </c>
    </row>
    <row r="222" spans="5:8" ht="30" customHeight="1" x14ac:dyDescent="0.3">
      <c r="E222" s="36"/>
      <c r="F222" s="36"/>
      <c r="G222" s="36"/>
      <c r="H222" s="58">
        <f t="shared" si="4"/>
        <v>0</v>
      </c>
    </row>
    <row r="223" spans="5:8" ht="30" customHeight="1" x14ac:dyDescent="0.3">
      <c r="E223" s="36"/>
      <c r="F223" s="36"/>
      <c r="G223" s="36"/>
      <c r="H223" s="58">
        <f t="shared" si="4"/>
        <v>0</v>
      </c>
    </row>
    <row r="224" spans="5:8" ht="30" customHeight="1" x14ac:dyDescent="0.3">
      <c r="E224" s="36"/>
      <c r="F224" s="36"/>
      <c r="G224" s="36"/>
      <c r="H224" s="58">
        <f t="shared" si="4"/>
        <v>0</v>
      </c>
    </row>
    <row r="225" spans="5:8" ht="30" customHeight="1" x14ac:dyDescent="0.3">
      <c r="E225" s="36"/>
      <c r="F225" s="36"/>
      <c r="G225" s="36"/>
      <c r="H225" s="58">
        <f t="shared" si="4"/>
        <v>0</v>
      </c>
    </row>
    <row r="226" spans="5:8" ht="30" customHeight="1" x14ac:dyDescent="0.3">
      <c r="E226" s="36"/>
      <c r="F226" s="36"/>
      <c r="G226" s="36"/>
      <c r="H226" s="58">
        <f t="shared" si="4"/>
        <v>0</v>
      </c>
    </row>
    <row r="227" spans="5:8" ht="30" customHeight="1" x14ac:dyDescent="0.3">
      <c r="E227" s="36"/>
      <c r="F227" s="36"/>
      <c r="G227" s="36"/>
      <c r="H227" s="58">
        <f t="shared" si="4"/>
        <v>0</v>
      </c>
    </row>
    <row r="228" spans="5:8" ht="30" customHeight="1" x14ac:dyDescent="0.3">
      <c r="E228" s="36"/>
      <c r="F228" s="36"/>
      <c r="G228" s="36"/>
      <c r="H228" s="58">
        <f t="shared" si="4"/>
        <v>0</v>
      </c>
    </row>
    <row r="229" spans="5:8" ht="30" customHeight="1" x14ac:dyDescent="0.3">
      <c r="E229" s="36"/>
      <c r="F229" s="36"/>
      <c r="G229" s="36"/>
      <c r="H229" s="58">
        <f t="shared" si="4"/>
        <v>0</v>
      </c>
    </row>
    <row r="230" spans="5:8" ht="30" customHeight="1" x14ac:dyDescent="0.3">
      <c r="E230" s="36"/>
      <c r="F230" s="36"/>
      <c r="G230" s="36"/>
      <c r="H230" s="58">
        <f t="shared" si="4"/>
        <v>0</v>
      </c>
    </row>
    <row r="231" spans="5:8" ht="30" customHeight="1" x14ac:dyDescent="0.3">
      <c r="E231" s="36"/>
      <c r="F231" s="36"/>
      <c r="G231" s="36"/>
      <c r="H231" s="58">
        <f t="shared" si="4"/>
        <v>0</v>
      </c>
    </row>
    <row r="232" spans="5:8" ht="30" customHeight="1" x14ac:dyDescent="0.3">
      <c r="E232" s="36"/>
      <c r="F232" s="36"/>
      <c r="G232" s="36"/>
      <c r="H232" s="58">
        <f t="shared" si="4"/>
        <v>0</v>
      </c>
    </row>
    <row r="233" spans="5:8" ht="30" customHeight="1" x14ac:dyDescent="0.3">
      <c r="E233" s="36"/>
      <c r="F233" s="36"/>
      <c r="G233" s="36"/>
      <c r="H233" s="58">
        <f t="shared" si="4"/>
        <v>0</v>
      </c>
    </row>
    <row r="234" spans="5:8" ht="30" customHeight="1" x14ac:dyDescent="0.3">
      <c r="E234" s="36"/>
      <c r="F234" s="36"/>
      <c r="G234" s="36"/>
      <c r="H234" s="58">
        <f t="shared" si="4"/>
        <v>0</v>
      </c>
    </row>
    <row r="235" spans="5:8" ht="30" customHeight="1" x14ac:dyDescent="0.3">
      <c r="E235" s="36"/>
      <c r="F235" s="36"/>
      <c r="G235" s="36"/>
      <c r="H235" s="58">
        <f t="shared" si="4"/>
        <v>0</v>
      </c>
    </row>
    <row r="236" spans="5:8" ht="30" customHeight="1" x14ac:dyDescent="0.3">
      <c r="E236" s="36"/>
      <c r="F236" s="36"/>
      <c r="G236" s="36"/>
      <c r="H236" s="58">
        <f t="shared" si="4"/>
        <v>0</v>
      </c>
    </row>
    <row r="237" spans="5:8" ht="30" customHeight="1" x14ac:dyDescent="0.3">
      <c r="E237" s="36"/>
      <c r="F237" s="36"/>
      <c r="G237" s="36"/>
      <c r="H237" s="58">
        <f t="shared" si="4"/>
        <v>0</v>
      </c>
    </row>
    <row r="238" spans="5:8" ht="30" customHeight="1" x14ac:dyDescent="0.3">
      <c r="E238" s="36"/>
      <c r="F238" s="36"/>
      <c r="G238" s="36"/>
      <c r="H238" s="58">
        <f t="shared" si="4"/>
        <v>0</v>
      </c>
    </row>
    <row r="239" spans="5:8" ht="30" customHeight="1" x14ac:dyDescent="0.3">
      <c r="E239" s="36"/>
      <c r="F239" s="36"/>
      <c r="G239" s="36"/>
      <c r="H239" s="58">
        <f t="shared" si="4"/>
        <v>0</v>
      </c>
    </row>
    <row r="240" spans="5:8" ht="30" customHeight="1" x14ac:dyDescent="0.3">
      <c r="E240" s="36"/>
      <c r="F240" s="36"/>
      <c r="G240" s="36"/>
      <c r="H240" s="58">
        <f t="shared" si="4"/>
        <v>0</v>
      </c>
    </row>
    <row r="241" spans="5:8" ht="30" customHeight="1" x14ac:dyDescent="0.3">
      <c r="E241" s="36"/>
      <c r="F241" s="36"/>
      <c r="G241" s="36"/>
      <c r="H241" s="58">
        <f t="shared" si="4"/>
        <v>0</v>
      </c>
    </row>
    <row r="242" spans="5:8" ht="30" customHeight="1" x14ac:dyDescent="0.3">
      <c r="E242" s="36"/>
      <c r="F242" s="36"/>
      <c r="G242" s="36"/>
      <c r="H242" s="58">
        <f t="shared" si="4"/>
        <v>0</v>
      </c>
    </row>
    <row r="243" spans="5:8" ht="30" customHeight="1" x14ac:dyDescent="0.3">
      <c r="E243" s="36"/>
      <c r="F243" s="36"/>
      <c r="G243" s="36"/>
      <c r="H243" s="58">
        <f t="shared" si="4"/>
        <v>0</v>
      </c>
    </row>
    <row r="244" spans="5:8" ht="30" customHeight="1" x14ac:dyDescent="0.3">
      <c r="E244" s="36"/>
      <c r="F244" s="36"/>
      <c r="G244" s="36"/>
      <c r="H244" s="58">
        <f t="shared" si="4"/>
        <v>0</v>
      </c>
    </row>
    <row r="245" spans="5:8" ht="30" customHeight="1" x14ac:dyDescent="0.3">
      <c r="E245" s="36"/>
      <c r="F245" s="36"/>
      <c r="G245" s="36"/>
      <c r="H245" s="58">
        <f t="shared" si="4"/>
        <v>0</v>
      </c>
    </row>
    <row r="246" spans="5:8" ht="30" customHeight="1" x14ac:dyDescent="0.3">
      <c r="E246" s="36"/>
      <c r="F246" s="36"/>
      <c r="G246" s="36"/>
      <c r="H246" s="58">
        <f t="shared" si="4"/>
        <v>0</v>
      </c>
    </row>
    <row r="247" spans="5:8" ht="30" customHeight="1" x14ac:dyDescent="0.3">
      <c r="E247" s="36"/>
      <c r="F247" s="36"/>
      <c r="G247" s="36"/>
      <c r="H247" s="58">
        <f t="shared" si="4"/>
        <v>0</v>
      </c>
    </row>
    <row r="248" spans="5:8" ht="30" customHeight="1" x14ac:dyDescent="0.3">
      <c r="E248" s="36"/>
      <c r="F248" s="36"/>
      <c r="G248" s="36"/>
      <c r="H248" s="58">
        <f t="shared" si="4"/>
        <v>0</v>
      </c>
    </row>
    <row r="249" spans="5:8" ht="30" customHeight="1" x14ac:dyDescent="0.3">
      <c r="E249" s="36"/>
      <c r="F249" s="36"/>
      <c r="G249" s="36"/>
      <c r="H249" s="58">
        <f t="shared" si="4"/>
        <v>0</v>
      </c>
    </row>
    <row r="250" spans="5:8" ht="30" customHeight="1" x14ac:dyDescent="0.3">
      <c r="E250" s="36"/>
      <c r="F250" s="36"/>
      <c r="G250" s="36"/>
      <c r="H250" s="58">
        <f t="shared" si="4"/>
        <v>0</v>
      </c>
    </row>
    <row r="251" spans="5:8" ht="30" customHeight="1" x14ac:dyDescent="0.3">
      <c r="E251" s="36"/>
      <c r="F251" s="36"/>
      <c r="G251" s="36"/>
      <c r="H251" s="58">
        <f t="shared" si="4"/>
        <v>0</v>
      </c>
    </row>
    <row r="252" spans="5:8" ht="30" customHeight="1" x14ac:dyDescent="0.3">
      <c r="E252" s="36"/>
      <c r="F252" s="36"/>
      <c r="G252" s="36"/>
      <c r="H252" s="58">
        <f t="shared" si="4"/>
        <v>0</v>
      </c>
    </row>
    <row r="253" spans="5:8" ht="30" customHeight="1" x14ac:dyDescent="0.3">
      <c r="E253" s="36"/>
      <c r="F253" s="36"/>
      <c r="G253" s="36"/>
      <c r="H253" s="58">
        <f t="shared" si="4"/>
        <v>0</v>
      </c>
    </row>
    <row r="254" spans="5:8" ht="30" customHeight="1" x14ac:dyDescent="0.3">
      <c r="E254" s="36"/>
      <c r="F254" s="36"/>
      <c r="G254" s="36"/>
      <c r="H254" s="58">
        <f t="shared" si="4"/>
        <v>0</v>
      </c>
    </row>
    <row r="255" spans="5:8" ht="30" customHeight="1" x14ac:dyDescent="0.3">
      <c r="E255" s="36"/>
      <c r="F255" s="36"/>
      <c r="G255" s="36"/>
      <c r="H255" s="58">
        <f t="shared" si="4"/>
        <v>0</v>
      </c>
    </row>
    <row r="256" spans="5:8" ht="30" customHeight="1" x14ac:dyDescent="0.3">
      <c r="E256" s="36"/>
      <c r="F256" s="36"/>
      <c r="G256" s="36"/>
      <c r="H256" s="58">
        <f t="shared" si="4"/>
        <v>0</v>
      </c>
    </row>
    <row r="257" spans="5:8" ht="30" customHeight="1" x14ac:dyDescent="0.3">
      <c r="E257" s="36"/>
      <c r="F257" s="36"/>
      <c r="G257" s="36"/>
      <c r="H257" s="58">
        <f t="shared" si="4"/>
        <v>0</v>
      </c>
    </row>
    <row r="258" spans="5:8" ht="30" customHeight="1" x14ac:dyDescent="0.3">
      <c r="E258" s="36"/>
      <c r="F258" s="36"/>
      <c r="G258" s="36"/>
      <c r="H258" s="58">
        <f t="shared" si="4"/>
        <v>0</v>
      </c>
    </row>
    <row r="259" spans="5:8" ht="30" customHeight="1" x14ac:dyDescent="0.3">
      <c r="E259" s="36"/>
      <c r="F259" s="36"/>
      <c r="G259" s="36"/>
      <c r="H259" s="58">
        <f t="shared" si="4"/>
        <v>0</v>
      </c>
    </row>
    <row r="260" spans="5:8" ht="30" customHeight="1" x14ac:dyDescent="0.3">
      <c r="E260" s="36"/>
      <c r="F260" s="36"/>
      <c r="G260" s="36"/>
      <c r="H260" s="58">
        <f t="shared" si="4"/>
        <v>0</v>
      </c>
    </row>
    <row r="261" spans="5:8" ht="30" customHeight="1" x14ac:dyDescent="0.3">
      <c r="E261" s="36"/>
      <c r="F261" s="36"/>
      <c r="G261" s="36"/>
      <c r="H261" s="58">
        <f t="shared" si="4"/>
        <v>0</v>
      </c>
    </row>
    <row r="262" spans="5:8" ht="30" customHeight="1" x14ac:dyDescent="0.3">
      <c r="E262" s="36"/>
      <c r="F262" s="36"/>
      <c r="G262" s="36"/>
      <c r="H262" s="58">
        <f t="shared" si="4"/>
        <v>0</v>
      </c>
    </row>
    <row r="263" spans="5:8" ht="30" customHeight="1" x14ac:dyDescent="0.3">
      <c r="E263" s="36"/>
      <c r="F263" s="36"/>
      <c r="G263" s="36"/>
      <c r="H263" s="58">
        <f t="shared" si="4"/>
        <v>0</v>
      </c>
    </row>
    <row r="264" spans="5:8" ht="30" customHeight="1" x14ac:dyDescent="0.3">
      <c r="E264" s="36"/>
      <c r="F264" s="36"/>
      <c r="G264" s="36"/>
      <c r="H264" s="58">
        <f t="shared" si="4"/>
        <v>0</v>
      </c>
    </row>
    <row r="265" spans="5:8" ht="30" customHeight="1" x14ac:dyDescent="0.3">
      <c r="E265" s="36"/>
      <c r="F265" s="36"/>
      <c r="G265" s="36"/>
      <c r="H265" s="58">
        <f t="shared" si="4"/>
        <v>0</v>
      </c>
    </row>
    <row r="266" spans="5:8" ht="30" customHeight="1" x14ac:dyDescent="0.3">
      <c r="E266" s="36"/>
      <c r="F266" s="36"/>
      <c r="G266" s="36"/>
      <c r="H266" s="58">
        <f t="shared" si="4"/>
        <v>0</v>
      </c>
    </row>
    <row r="267" spans="5:8" ht="30" customHeight="1" x14ac:dyDescent="0.3">
      <c r="E267" s="36"/>
      <c r="F267" s="36"/>
      <c r="G267" s="36"/>
      <c r="H267" s="58">
        <f t="shared" si="4"/>
        <v>0</v>
      </c>
    </row>
    <row r="268" spans="5:8" ht="30" customHeight="1" x14ac:dyDescent="0.3">
      <c r="E268" s="36"/>
      <c r="F268" s="36"/>
      <c r="G268" s="36"/>
      <c r="H268" s="58">
        <f t="shared" si="4"/>
        <v>0</v>
      </c>
    </row>
    <row r="269" spans="5:8" ht="30" customHeight="1" x14ac:dyDescent="0.3">
      <c r="E269" s="36"/>
      <c r="F269" s="36"/>
      <c r="G269" s="36"/>
      <c r="H269" s="58">
        <f t="shared" si="4"/>
        <v>0</v>
      </c>
    </row>
    <row r="270" spans="5:8" ht="30" customHeight="1" x14ac:dyDescent="0.3">
      <c r="E270" s="36"/>
      <c r="F270" s="36"/>
      <c r="G270" s="36"/>
      <c r="H270" s="58">
        <f t="shared" si="4"/>
        <v>0</v>
      </c>
    </row>
    <row r="271" spans="5:8" ht="30" customHeight="1" x14ac:dyDescent="0.3">
      <c r="E271" s="36"/>
      <c r="F271" s="36"/>
      <c r="G271" s="36"/>
      <c r="H271" s="58">
        <f t="shared" si="4"/>
        <v>0</v>
      </c>
    </row>
    <row r="272" spans="5:8" ht="30" customHeight="1" x14ac:dyDescent="0.3">
      <c r="E272" s="36"/>
      <c r="F272" s="36"/>
      <c r="G272" s="36"/>
      <c r="H272" s="58">
        <f t="shared" si="4"/>
        <v>0</v>
      </c>
    </row>
    <row r="273" spans="5:8" ht="30" customHeight="1" x14ac:dyDescent="0.3">
      <c r="E273" s="36"/>
      <c r="F273" s="36"/>
      <c r="G273" s="36"/>
      <c r="H273" s="58">
        <f t="shared" si="4"/>
        <v>0</v>
      </c>
    </row>
    <row r="274" spans="5:8" ht="30" customHeight="1" x14ac:dyDescent="0.3">
      <c r="E274" s="36"/>
      <c r="F274" s="36"/>
      <c r="G274" s="36"/>
      <c r="H274" s="58">
        <f t="shared" si="4"/>
        <v>0</v>
      </c>
    </row>
    <row r="275" spans="5:8" ht="30" customHeight="1" x14ac:dyDescent="0.3">
      <c r="E275" s="36"/>
      <c r="F275" s="36"/>
      <c r="G275" s="36"/>
      <c r="H275" s="58">
        <f t="shared" si="4"/>
        <v>0</v>
      </c>
    </row>
    <row r="276" spans="5:8" ht="30" customHeight="1" x14ac:dyDescent="0.3">
      <c r="E276" s="36"/>
      <c r="F276" s="36"/>
      <c r="G276" s="36"/>
      <c r="H276" s="58">
        <f t="shared" si="4"/>
        <v>0</v>
      </c>
    </row>
    <row r="277" spans="5:8" ht="30" customHeight="1" x14ac:dyDescent="0.3">
      <c r="E277" s="36"/>
      <c r="F277" s="36"/>
      <c r="G277" s="36"/>
      <c r="H277" s="58">
        <f t="shared" ref="H277:H340" si="5">H276-G277-F277+E277</f>
        <v>0</v>
      </c>
    </row>
    <row r="278" spans="5:8" ht="30" customHeight="1" x14ac:dyDescent="0.3">
      <c r="E278" s="36"/>
      <c r="F278" s="36"/>
      <c r="G278" s="36"/>
      <c r="H278" s="58">
        <f t="shared" si="5"/>
        <v>0</v>
      </c>
    </row>
    <row r="279" spans="5:8" ht="30" customHeight="1" x14ac:dyDescent="0.3">
      <c r="E279" s="36"/>
      <c r="F279" s="36"/>
      <c r="G279" s="36"/>
      <c r="H279" s="58">
        <f t="shared" si="5"/>
        <v>0</v>
      </c>
    </row>
    <row r="280" spans="5:8" ht="30" customHeight="1" x14ac:dyDescent="0.3">
      <c r="E280" s="36"/>
      <c r="F280" s="36"/>
      <c r="G280" s="36"/>
      <c r="H280" s="58">
        <f t="shared" si="5"/>
        <v>0</v>
      </c>
    </row>
    <row r="281" spans="5:8" ht="30" customHeight="1" x14ac:dyDescent="0.3">
      <c r="E281" s="36"/>
      <c r="F281" s="36"/>
      <c r="G281" s="36"/>
      <c r="H281" s="58">
        <f t="shared" si="5"/>
        <v>0</v>
      </c>
    </row>
    <row r="282" spans="5:8" ht="30" customHeight="1" x14ac:dyDescent="0.3">
      <c r="E282" s="36"/>
      <c r="F282" s="36"/>
      <c r="G282" s="36"/>
      <c r="H282" s="58">
        <f t="shared" si="5"/>
        <v>0</v>
      </c>
    </row>
    <row r="283" spans="5:8" ht="30" customHeight="1" x14ac:dyDescent="0.3">
      <c r="E283" s="36"/>
      <c r="F283" s="36"/>
      <c r="G283" s="36"/>
      <c r="H283" s="58">
        <f t="shared" si="5"/>
        <v>0</v>
      </c>
    </row>
    <row r="284" spans="5:8" ht="30" customHeight="1" x14ac:dyDescent="0.3">
      <c r="E284" s="36"/>
      <c r="F284" s="36"/>
      <c r="G284" s="36"/>
      <c r="H284" s="58">
        <f t="shared" si="5"/>
        <v>0</v>
      </c>
    </row>
    <row r="285" spans="5:8" ht="30" customHeight="1" x14ac:dyDescent="0.3">
      <c r="E285" s="36"/>
      <c r="F285" s="36"/>
      <c r="G285" s="36"/>
      <c r="H285" s="58">
        <f t="shared" si="5"/>
        <v>0</v>
      </c>
    </row>
    <row r="286" spans="5:8" ht="30" customHeight="1" x14ac:dyDescent="0.3">
      <c r="E286" s="36"/>
      <c r="F286" s="36"/>
      <c r="G286" s="36"/>
      <c r="H286" s="58">
        <f t="shared" si="5"/>
        <v>0</v>
      </c>
    </row>
    <row r="287" spans="5:8" ht="30" customHeight="1" x14ac:dyDescent="0.3">
      <c r="E287" s="36"/>
      <c r="F287" s="36"/>
      <c r="G287" s="36"/>
      <c r="H287" s="58">
        <f t="shared" si="5"/>
        <v>0</v>
      </c>
    </row>
    <row r="288" spans="5:8" ht="30" customHeight="1" x14ac:dyDescent="0.3">
      <c r="E288" s="36"/>
      <c r="F288" s="36"/>
      <c r="G288" s="36"/>
      <c r="H288" s="58">
        <f t="shared" si="5"/>
        <v>0</v>
      </c>
    </row>
    <row r="289" spans="5:8" ht="30" customHeight="1" x14ac:dyDescent="0.3">
      <c r="E289" s="36"/>
      <c r="F289" s="36"/>
      <c r="G289" s="36"/>
      <c r="H289" s="58">
        <f t="shared" si="5"/>
        <v>0</v>
      </c>
    </row>
    <row r="290" spans="5:8" ht="30" customHeight="1" x14ac:dyDescent="0.3">
      <c r="E290" s="36"/>
      <c r="F290" s="36"/>
      <c r="G290" s="36"/>
      <c r="H290" s="58">
        <f t="shared" si="5"/>
        <v>0</v>
      </c>
    </row>
    <row r="291" spans="5:8" ht="30" customHeight="1" x14ac:dyDescent="0.3">
      <c r="E291" s="36"/>
      <c r="F291" s="36"/>
      <c r="G291" s="36"/>
      <c r="H291" s="58">
        <f t="shared" si="5"/>
        <v>0</v>
      </c>
    </row>
    <row r="292" spans="5:8" ht="30" customHeight="1" x14ac:dyDescent="0.3">
      <c r="E292" s="36"/>
      <c r="F292" s="36"/>
      <c r="G292" s="36"/>
      <c r="H292" s="58">
        <f t="shared" si="5"/>
        <v>0</v>
      </c>
    </row>
    <row r="293" spans="5:8" ht="30" customHeight="1" x14ac:dyDescent="0.3">
      <c r="E293" s="36"/>
      <c r="F293" s="36"/>
      <c r="G293" s="36"/>
      <c r="H293" s="58">
        <f t="shared" si="5"/>
        <v>0</v>
      </c>
    </row>
    <row r="294" spans="5:8" ht="30" customHeight="1" x14ac:dyDescent="0.3">
      <c r="E294" s="36"/>
      <c r="F294" s="36"/>
      <c r="G294" s="36"/>
      <c r="H294" s="58">
        <f t="shared" si="5"/>
        <v>0</v>
      </c>
    </row>
    <row r="295" spans="5:8" ht="30" customHeight="1" x14ac:dyDescent="0.3">
      <c r="E295" s="36"/>
      <c r="F295" s="36"/>
      <c r="G295" s="36"/>
      <c r="H295" s="58">
        <f t="shared" si="5"/>
        <v>0</v>
      </c>
    </row>
    <row r="296" spans="5:8" ht="30" customHeight="1" x14ac:dyDescent="0.3">
      <c r="E296" s="36"/>
      <c r="F296" s="36"/>
      <c r="G296" s="36"/>
      <c r="H296" s="58">
        <f t="shared" si="5"/>
        <v>0</v>
      </c>
    </row>
    <row r="297" spans="5:8" ht="30" customHeight="1" x14ac:dyDescent="0.3">
      <c r="E297" s="36"/>
      <c r="F297" s="36"/>
      <c r="G297" s="36"/>
      <c r="H297" s="58">
        <f t="shared" si="5"/>
        <v>0</v>
      </c>
    </row>
    <row r="298" spans="5:8" ht="30" customHeight="1" x14ac:dyDescent="0.3">
      <c r="E298" s="36"/>
      <c r="F298" s="36"/>
      <c r="G298" s="36"/>
      <c r="H298" s="58">
        <f t="shared" si="5"/>
        <v>0</v>
      </c>
    </row>
    <row r="299" spans="5:8" ht="30" customHeight="1" x14ac:dyDescent="0.3">
      <c r="E299" s="36"/>
      <c r="F299" s="36"/>
      <c r="G299" s="36"/>
      <c r="H299" s="58">
        <f t="shared" si="5"/>
        <v>0</v>
      </c>
    </row>
    <row r="300" spans="5:8" ht="30" customHeight="1" x14ac:dyDescent="0.3">
      <c r="E300" s="36"/>
      <c r="F300" s="36"/>
      <c r="G300" s="36"/>
      <c r="H300" s="58">
        <f t="shared" si="5"/>
        <v>0</v>
      </c>
    </row>
    <row r="301" spans="5:8" ht="30" customHeight="1" x14ac:dyDescent="0.3">
      <c r="E301" s="36"/>
      <c r="F301" s="36"/>
      <c r="G301" s="36"/>
      <c r="H301" s="58">
        <f t="shared" si="5"/>
        <v>0</v>
      </c>
    </row>
    <row r="302" spans="5:8" ht="30" customHeight="1" x14ac:dyDescent="0.3">
      <c r="E302" s="36"/>
      <c r="F302" s="36"/>
      <c r="G302" s="36"/>
      <c r="H302" s="58">
        <f t="shared" si="5"/>
        <v>0</v>
      </c>
    </row>
    <row r="303" spans="5:8" ht="30" customHeight="1" x14ac:dyDescent="0.3">
      <c r="E303" s="36"/>
      <c r="F303" s="36"/>
      <c r="G303" s="36"/>
      <c r="H303" s="58">
        <f t="shared" si="5"/>
        <v>0</v>
      </c>
    </row>
    <row r="304" spans="5:8" ht="30" customHeight="1" x14ac:dyDescent="0.3">
      <c r="E304" s="36"/>
      <c r="F304" s="36"/>
      <c r="G304" s="36"/>
      <c r="H304" s="58">
        <f t="shared" si="5"/>
        <v>0</v>
      </c>
    </row>
    <row r="305" spans="5:8" ht="30" customHeight="1" x14ac:dyDescent="0.3">
      <c r="E305" s="36"/>
      <c r="F305" s="36"/>
      <c r="G305" s="36"/>
      <c r="H305" s="58">
        <f t="shared" si="5"/>
        <v>0</v>
      </c>
    </row>
    <row r="306" spans="5:8" ht="30" customHeight="1" x14ac:dyDescent="0.3">
      <c r="E306" s="36"/>
      <c r="F306" s="36"/>
      <c r="G306" s="36"/>
      <c r="H306" s="58">
        <f t="shared" si="5"/>
        <v>0</v>
      </c>
    </row>
    <row r="307" spans="5:8" ht="30" customHeight="1" x14ac:dyDescent="0.3">
      <c r="E307" s="36"/>
      <c r="F307" s="36"/>
      <c r="G307" s="36"/>
      <c r="H307" s="58">
        <f t="shared" si="5"/>
        <v>0</v>
      </c>
    </row>
    <row r="308" spans="5:8" ht="30" customHeight="1" x14ac:dyDescent="0.3">
      <c r="E308" s="36"/>
      <c r="F308" s="36"/>
      <c r="G308" s="36"/>
      <c r="H308" s="58">
        <f t="shared" si="5"/>
        <v>0</v>
      </c>
    </row>
    <row r="309" spans="5:8" ht="30" customHeight="1" x14ac:dyDescent="0.3">
      <c r="E309" s="36"/>
      <c r="F309" s="36"/>
      <c r="G309" s="36"/>
      <c r="H309" s="58">
        <f t="shared" si="5"/>
        <v>0</v>
      </c>
    </row>
    <row r="310" spans="5:8" ht="30" customHeight="1" x14ac:dyDescent="0.3">
      <c r="E310" s="36"/>
      <c r="F310" s="36"/>
      <c r="G310" s="36"/>
      <c r="H310" s="58">
        <f t="shared" si="5"/>
        <v>0</v>
      </c>
    </row>
    <row r="311" spans="5:8" ht="30" customHeight="1" x14ac:dyDescent="0.3">
      <c r="E311" s="36"/>
      <c r="F311" s="36"/>
      <c r="G311" s="36"/>
      <c r="H311" s="58">
        <f t="shared" si="5"/>
        <v>0</v>
      </c>
    </row>
    <row r="312" spans="5:8" ht="30" customHeight="1" x14ac:dyDescent="0.3">
      <c r="E312" s="36"/>
      <c r="F312" s="36"/>
      <c r="G312" s="36"/>
      <c r="H312" s="58">
        <f t="shared" si="5"/>
        <v>0</v>
      </c>
    </row>
    <row r="313" spans="5:8" ht="30" customHeight="1" x14ac:dyDescent="0.3">
      <c r="E313" s="36"/>
      <c r="F313" s="36"/>
      <c r="G313" s="36"/>
      <c r="H313" s="58">
        <f t="shared" si="5"/>
        <v>0</v>
      </c>
    </row>
    <row r="314" spans="5:8" ht="30" customHeight="1" x14ac:dyDescent="0.3">
      <c r="E314" s="36"/>
      <c r="F314" s="36"/>
      <c r="G314" s="36"/>
      <c r="H314" s="58">
        <f t="shared" si="5"/>
        <v>0</v>
      </c>
    </row>
    <row r="315" spans="5:8" ht="30" customHeight="1" x14ac:dyDescent="0.3">
      <c r="E315" s="36"/>
      <c r="F315" s="36"/>
      <c r="G315" s="36"/>
      <c r="H315" s="58">
        <f t="shared" si="5"/>
        <v>0</v>
      </c>
    </row>
    <row r="316" spans="5:8" ht="30" customHeight="1" x14ac:dyDescent="0.3">
      <c r="E316" s="36"/>
      <c r="F316" s="36"/>
      <c r="G316" s="36"/>
      <c r="H316" s="58">
        <f t="shared" si="5"/>
        <v>0</v>
      </c>
    </row>
    <row r="317" spans="5:8" ht="30" customHeight="1" x14ac:dyDescent="0.3">
      <c r="E317" s="36"/>
      <c r="F317" s="36"/>
      <c r="G317" s="36"/>
      <c r="H317" s="58">
        <f t="shared" si="5"/>
        <v>0</v>
      </c>
    </row>
    <row r="318" spans="5:8" ht="30" customHeight="1" x14ac:dyDescent="0.3">
      <c r="E318" s="36"/>
      <c r="F318" s="36"/>
      <c r="G318" s="36"/>
      <c r="H318" s="58">
        <f t="shared" si="5"/>
        <v>0</v>
      </c>
    </row>
    <row r="319" spans="5:8" ht="30" customHeight="1" x14ac:dyDescent="0.3">
      <c r="E319" s="36"/>
      <c r="F319" s="36"/>
      <c r="G319" s="36"/>
      <c r="H319" s="58">
        <f t="shared" si="5"/>
        <v>0</v>
      </c>
    </row>
    <row r="320" spans="5:8" ht="30" customHeight="1" x14ac:dyDescent="0.3">
      <c r="E320" s="36"/>
      <c r="F320" s="36"/>
      <c r="G320" s="36"/>
      <c r="H320" s="58">
        <f t="shared" si="5"/>
        <v>0</v>
      </c>
    </row>
    <row r="321" spans="5:8" ht="30" customHeight="1" x14ac:dyDescent="0.3">
      <c r="E321" s="36"/>
      <c r="F321" s="36"/>
      <c r="G321" s="36"/>
      <c r="H321" s="58">
        <f t="shared" si="5"/>
        <v>0</v>
      </c>
    </row>
    <row r="322" spans="5:8" ht="30" customHeight="1" x14ac:dyDescent="0.3">
      <c r="E322" s="36"/>
      <c r="F322" s="36"/>
      <c r="G322" s="36"/>
      <c r="H322" s="58">
        <f t="shared" si="5"/>
        <v>0</v>
      </c>
    </row>
    <row r="323" spans="5:8" ht="30" customHeight="1" x14ac:dyDescent="0.3">
      <c r="E323" s="36"/>
      <c r="F323" s="36"/>
      <c r="G323" s="36"/>
      <c r="H323" s="58">
        <f t="shared" si="5"/>
        <v>0</v>
      </c>
    </row>
    <row r="324" spans="5:8" ht="30" customHeight="1" x14ac:dyDescent="0.3">
      <c r="E324" s="36"/>
      <c r="F324" s="36"/>
      <c r="G324" s="36"/>
      <c r="H324" s="58">
        <f t="shared" si="5"/>
        <v>0</v>
      </c>
    </row>
    <row r="325" spans="5:8" ht="30" customHeight="1" x14ac:dyDescent="0.3">
      <c r="E325" s="36"/>
      <c r="F325" s="36"/>
      <c r="G325" s="36"/>
      <c r="H325" s="58">
        <f t="shared" si="5"/>
        <v>0</v>
      </c>
    </row>
    <row r="326" spans="5:8" ht="30" customHeight="1" x14ac:dyDescent="0.3">
      <c r="E326" s="36"/>
      <c r="F326" s="36"/>
      <c r="G326" s="36"/>
      <c r="H326" s="58">
        <f t="shared" si="5"/>
        <v>0</v>
      </c>
    </row>
    <row r="327" spans="5:8" ht="30" customHeight="1" x14ac:dyDescent="0.3">
      <c r="E327" s="36"/>
      <c r="F327" s="36"/>
      <c r="G327" s="36"/>
      <c r="H327" s="58">
        <f t="shared" si="5"/>
        <v>0</v>
      </c>
    </row>
    <row r="328" spans="5:8" ht="30" customHeight="1" x14ac:dyDescent="0.3">
      <c r="E328" s="36"/>
      <c r="F328" s="36"/>
      <c r="G328" s="36"/>
      <c r="H328" s="58">
        <f t="shared" si="5"/>
        <v>0</v>
      </c>
    </row>
    <row r="329" spans="5:8" ht="30" customHeight="1" x14ac:dyDescent="0.3">
      <c r="E329" s="36"/>
      <c r="F329" s="36"/>
      <c r="G329" s="36"/>
      <c r="H329" s="58">
        <f t="shared" si="5"/>
        <v>0</v>
      </c>
    </row>
    <row r="330" spans="5:8" ht="30" customHeight="1" x14ac:dyDescent="0.3">
      <c r="E330" s="36"/>
      <c r="F330" s="36"/>
      <c r="G330" s="36"/>
      <c r="H330" s="58">
        <f t="shared" si="5"/>
        <v>0</v>
      </c>
    </row>
    <row r="331" spans="5:8" ht="30" customHeight="1" x14ac:dyDescent="0.3">
      <c r="E331" s="36"/>
      <c r="F331" s="36"/>
      <c r="G331" s="36"/>
      <c r="H331" s="58">
        <f t="shared" si="5"/>
        <v>0</v>
      </c>
    </row>
    <row r="332" spans="5:8" ht="30" customHeight="1" x14ac:dyDescent="0.3">
      <c r="E332" s="36"/>
      <c r="F332" s="36"/>
      <c r="G332" s="36"/>
      <c r="H332" s="58">
        <f t="shared" si="5"/>
        <v>0</v>
      </c>
    </row>
    <row r="333" spans="5:8" ht="30" customHeight="1" x14ac:dyDescent="0.3">
      <c r="E333" s="36"/>
      <c r="F333" s="36"/>
      <c r="G333" s="36"/>
      <c r="H333" s="58">
        <f t="shared" si="5"/>
        <v>0</v>
      </c>
    </row>
    <row r="334" spans="5:8" ht="30" customHeight="1" x14ac:dyDescent="0.3">
      <c r="E334" s="36"/>
      <c r="F334" s="36"/>
      <c r="G334" s="36"/>
      <c r="H334" s="58">
        <f t="shared" si="5"/>
        <v>0</v>
      </c>
    </row>
    <row r="335" spans="5:8" ht="30" customHeight="1" x14ac:dyDescent="0.3">
      <c r="E335" s="36"/>
      <c r="F335" s="36"/>
      <c r="G335" s="36"/>
      <c r="H335" s="58">
        <f t="shared" si="5"/>
        <v>0</v>
      </c>
    </row>
    <row r="336" spans="5:8" ht="30" customHeight="1" x14ac:dyDescent="0.3">
      <c r="E336" s="36"/>
      <c r="F336" s="36"/>
      <c r="G336" s="36"/>
      <c r="H336" s="58">
        <f t="shared" si="5"/>
        <v>0</v>
      </c>
    </row>
    <row r="337" spans="5:8" ht="30" customHeight="1" x14ac:dyDescent="0.3">
      <c r="E337" s="36"/>
      <c r="F337" s="36"/>
      <c r="G337" s="36"/>
      <c r="H337" s="58">
        <f t="shared" si="5"/>
        <v>0</v>
      </c>
    </row>
    <row r="338" spans="5:8" ht="30" customHeight="1" x14ac:dyDescent="0.3">
      <c r="E338" s="36"/>
      <c r="F338" s="36"/>
      <c r="G338" s="36"/>
      <c r="H338" s="58">
        <f t="shared" si="5"/>
        <v>0</v>
      </c>
    </row>
    <row r="339" spans="5:8" ht="30" customHeight="1" x14ac:dyDescent="0.3">
      <c r="E339" s="36"/>
      <c r="F339" s="36"/>
      <c r="G339" s="36"/>
      <c r="H339" s="58">
        <f t="shared" si="5"/>
        <v>0</v>
      </c>
    </row>
    <row r="340" spans="5:8" ht="30" customHeight="1" x14ac:dyDescent="0.3">
      <c r="E340" s="36"/>
      <c r="F340" s="36"/>
      <c r="G340" s="36"/>
      <c r="H340" s="58">
        <f t="shared" si="5"/>
        <v>0</v>
      </c>
    </row>
    <row r="341" spans="5:8" ht="30" customHeight="1" x14ac:dyDescent="0.3">
      <c r="E341" s="36"/>
      <c r="F341" s="36"/>
      <c r="G341" s="36"/>
      <c r="H341" s="58">
        <f t="shared" ref="H341:H404" si="6">H340-G341-F341+E341</f>
        <v>0</v>
      </c>
    </row>
    <row r="342" spans="5:8" ht="30" customHeight="1" x14ac:dyDescent="0.3">
      <c r="E342" s="36"/>
      <c r="F342" s="36"/>
      <c r="G342" s="36"/>
      <c r="H342" s="58">
        <f t="shared" si="6"/>
        <v>0</v>
      </c>
    </row>
    <row r="343" spans="5:8" ht="30" customHeight="1" x14ac:dyDescent="0.3">
      <c r="E343" s="36"/>
      <c r="F343" s="36"/>
      <c r="G343" s="36"/>
      <c r="H343" s="58">
        <f t="shared" si="6"/>
        <v>0</v>
      </c>
    </row>
    <row r="344" spans="5:8" ht="30" customHeight="1" x14ac:dyDescent="0.3">
      <c r="E344" s="36"/>
      <c r="F344" s="36"/>
      <c r="G344" s="36"/>
      <c r="H344" s="58">
        <f t="shared" si="6"/>
        <v>0</v>
      </c>
    </row>
    <row r="345" spans="5:8" ht="30" customHeight="1" x14ac:dyDescent="0.3">
      <c r="E345" s="36"/>
      <c r="F345" s="36"/>
      <c r="G345" s="36"/>
      <c r="H345" s="58">
        <f t="shared" si="6"/>
        <v>0</v>
      </c>
    </row>
    <row r="346" spans="5:8" ht="30" customHeight="1" x14ac:dyDescent="0.3">
      <c r="E346" s="36"/>
      <c r="F346" s="36"/>
      <c r="G346" s="36"/>
      <c r="H346" s="58">
        <f t="shared" si="6"/>
        <v>0</v>
      </c>
    </row>
    <row r="347" spans="5:8" ht="30" customHeight="1" x14ac:dyDescent="0.3">
      <c r="E347" s="36"/>
      <c r="F347" s="36"/>
      <c r="G347" s="36"/>
      <c r="H347" s="58">
        <f t="shared" si="6"/>
        <v>0</v>
      </c>
    </row>
    <row r="348" spans="5:8" ht="30" customHeight="1" x14ac:dyDescent="0.3">
      <c r="E348" s="36"/>
      <c r="F348" s="36"/>
      <c r="G348" s="36"/>
      <c r="H348" s="58">
        <f t="shared" si="6"/>
        <v>0</v>
      </c>
    </row>
    <row r="349" spans="5:8" ht="30" customHeight="1" x14ac:dyDescent="0.3">
      <c r="E349" s="36"/>
      <c r="F349" s="36"/>
      <c r="G349" s="36"/>
      <c r="H349" s="58">
        <f t="shared" si="6"/>
        <v>0</v>
      </c>
    </row>
    <row r="350" spans="5:8" ht="30" customHeight="1" x14ac:dyDescent="0.3">
      <c r="E350" s="36"/>
      <c r="F350" s="36"/>
      <c r="G350" s="36"/>
      <c r="H350" s="58">
        <f t="shared" si="6"/>
        <v>0</v>
      </c>
    </row>
    <row r="351" spans="5:8" ht="30" customHeight="1" x14ac:dyDescent="0.3">
      <c r="E351" s="36"/>
      <c r="F351" s="36"/>
      <c r="G351" s="36"/>
      <c r="H351" s="58">
        <f t="shared" si="6"/>
        <v>0</v>
      </c>
    </row>
    <row r="352" spans="5:8" ht="30" customHeight="1" x14ac:dyDescent="0.3">
      <c r="E352" s="36"/>
      <c r="F352" s="36"/>
      <c r="G352" s="36"/>
      <c r="H352" s="58">
        <f t="shared" si="6"/>
        <v>0</v>
      </c>
    </row>
    <row r="353" spans="5:8" ht="30" customHeight="1" x14ac:dyDescent="0.3">
      <c r="E353" s="36"/>
      <c r="F353" s="36"/>
      <c r="G353" s="36"/>
      <c r="H353" s="58">
        <f t="shared" si="6"/>
        <v>0</v>
      </c>
    </row>
    <row r="354" spans="5:8" ht="30" customHeight="1" x14ac:dyDescent="0.3">
      <c r="E354" s="36"/>
      <c r="F354" s="36"/>
      <c r="G354" s="36"/>
      <c r="H354" s="58">
        <f t="shared" si="6"/>
        <v>0</v>
      </c>
    </row>
    <row r="355" spans="5:8" ht="30" customHeight="1" x14ac:dyDescent="0.3">
      <c r="E355" s="36"/>
      <c r="F355" s="36"/>
      <c r="G355" s="36"/>
      <c r="H355" s="58">
        <f t="shared" si="6"/>
        <v>0</v>
      </c>
    </row>
    <row r="356" spans="5:8" ht="30" customHeight="1" x14ac:dyDescent="0.3">
      <c r="E356" s="36"/>
      <c r="F356" s="36"/>
      <c r="G356" s="36"/>
      <c r="H356" s="58">
        <f t="shared" si="6"/>
        <v>0</v>
      </c>
    </row>
    <row r="357" spans="5:8" ht="30" customHeight="1" x14ac:dyDescent="0.3">
      <c r="E357" s="36"/>
      <c r="F357" s="36"/>
      <c r="G357" s="36"/>
      <c r="H357" s="58">
        <f t="shared" si="6"/>
        <v>0</v>
      </c>
    </row>
    <row r="358" spans="5:8" ht="30" customHeight="1" x14ac:dyDescent="0.3">
      <c r="E358" s="36"/>
      <c r="F358" s="36"/>
      <c r="G358" s="36"/>
      <c r="H358" s="58">
        <f t="shared" si="6"/>
        <v>0</v>
      </c>
    </row>
    <row r="359" spans="5:8" ht="30" customHeight="1" x14ac:dyDescent="0.3">
      <c r="E359" s="36"/>
      <c r="F359" s="36"/>
      <c r="G359" s="36"/>
      <c r="H359" s="58">
        <f t="shared" si="6"/>
        <v>0</v>
      </c>
    </row>
    <row r="360" spans="5:8" ht="30" customHeight="1" x14ac:dyDescent="0.3">
      <c r="E360" s="36"/>
      <c r="F360" s="36"/>
      <c r="G360" s="36"/>
      <c r="H360" s="58">
        <f t="shared" si="6"/>
        <v>0</v>
      </c>
    </row>
    <row r="361" spans="5:8" ht="30" customHeight="1" x14ac:dyDescent="0.3">
      <c r="E361" s="36"/>
      <c r="F361" s="36"/>
      <c r="G361" s="36"/>
      <c r="H361" s="58">
        <f t="shared" si="6"/>
        <v>0</v>
      </c>
    </row>
    <row r="362" spans="5:8" ht="30" customHeight="1" x14ac:dyDescent="0.3">
      <c r="E362" s="36"/>
      <c r="F362" s="36"/>
      <c r="G362" s="36"/>
      <c r="H362" s="58">
        <f t="shared" si="6"/>
        <v>0</v>
      </c>
    </row>
    <row r="363" spans="5:8" ht="30" customHeight="1" x14ac:dyDescent="0.3">
      <c r="E363" s="36"/>
      <c r="F363" s="36"/>
      <c r="G363" s="36"/>
      <c r="H363" s="58">
        <f t="shared" si="6"/>
        <v>0</v>
      </c>
    </row>
    <row r="364" spans="5:8" ht="30" customHeight="1" x14ac:dyDescent="0.3">
      <c r="E364" s="36"/>
      <c r="F364" s="36"/>
      <c r="G364" s="36"/>
      <c r="H364" s="58">
        <f t="shared" si="6"/>
        <v>0</v>
      </c>
    </row>
    <row r="365" spans="5:8" ht="30" customHeight="1" x14ac:dyDescent="0.3">
      <c r="E365" s="36"/>
      <c r="F365" s="36"/>
      <c r="G365" s="36"/>
      <c r="H365" s="58">
        <f t="shared" si="6"/>
        <v>0</v>
      </c>
    </row>
    <row r="366" spans="5:8" ht="30" customHeight="1" x14ac:dyDescent="0.3">
      <c r="E366" s="36"/>
      <c r="F366" s="36"/>
      <c r="G366" s="36"/>
      <c r="H366" s="58">
        <f t="shared" si="6"/>
        <v>0</v>
      </c>
    </row>
    <row r="367" spans="5:8" ht="30" customHeight="1" x14ac:dyDescent="0.3">
      <c r="E367" s="36"/>
      <c r="F367" s="36"/>
      <c r="G367" s="36"/>
      <c r="H367" s="58">
        <f t="shared" si="6"/>
        <v>0</v>
      </c>
    </row>
    <row r="368" spans="5:8" ht="30" customHeight="1" x14ac:dyDescent="0.3">
      <c r="E368" s="36"/>
      <c r="F368" s="36"/>
      <c r="G368" s="36"/>
      <c r="H368" s="58">
        <f t="shared" si="6"/>
        <v>0</v>
      </c>
    </row>
    <row r="369" spans="5:8" ht="30" customHeight="1" x14ac:dyDescent="0.3">
      <c r="E369" s="36"/>
      <c r="F369" s="36"/>
      <c r="G369" s="36"/>
      <c r="H369" s="58">
        <f t="shared" si="6"/>
        <v>0</v>
      </c>
    </row>
    <row r="370" spans="5:8" ht="30" customHeight="1" x14ac:dyDescent="0.3">
      <c r="E370" s="36"/>
      <c r="F370" s="36"/>
      <c r="G370" s="36"/>
      <c r="H370" s="58">
        <f t="shared" si="6"/>
        <v>0</v>
      </c>
    </row>
    <row r="371" spans="5:8" ht="30" customHeight="1" x14ac:dyDescent="0.3">
      <c r="E371" s="36"/>
      <c r="F371" s="36"/>
      <c r="G371" s="36"/>
      <c r="H371" s="58">
        <f t="shared" si="6"/>
        <v>0</v>
      </c>
    </row>
    <row r="372" spans="5:8" ht="30" customHeight="1" x14ac:dyDescent="0.3">
      <c r="E372" s="36"/>
      <c r="F372" s="36"/>
      <c r="G372" s="36"/>
      <c r="H372" s="58">
        <f t="shared" si="6"/>
        <v>0</v>
      </c>
    </row>
    <row r="373" spans="5:8" ht="30" customHeight="1" x14ac:dyDescent="0.3">
      <c r="E373" s="36"/>
      <c r="F373" s="36"/>
      <c r="G373" s="36"/>
      <c r="H373" s="58">
        <f t="shared" si="6"/>
        <v>0</v>
      </c>
    </row>
    <row r="374" spans="5:8" ht="30" customHeight="1" x14ac:dyDescent="0.3">
      <c r="E374" s="36"/>
      <c r="F374" s="36"/>
      <c r="G374" s="36"/>
      <c r="H374" s="58">
        <f t="shared" si="6"/>
        <v>0</v>
      </c>
    </row>
    <row r="375" spans="5:8" ht="30" customHeight="1" x14ac:dyDescent="0.3">
      <c r="E375" s="36"/>
      <c r="F375" s="36"/>
      <c r="G375" s="36"/>
      <c r="H375" s="58">
        <f t="shared" si="6"/>
        <v>0</v>
      </c>
    </row>
    <row r="376" spans="5:8" ht="30" customHeight="1" x14ac:dyDescent="0.3">
      <c r="E376" s="36"/>
      <c r="F376" s="36"/>
      <c r="G376" s="36"/>
      <c r="H376" s="58">
        <f t="shared" si="6"/>
        <v>0</v>
      </c>
    </row>
    <row r="377" spans="5:8" ht="30" customHeight="1" x14ac:dyDescent="0.3">
      <c r="E377" s="36"/>
      <c r="F377" s="36"/>
      <c r="G377" s="36"/>
      <c r="H377" s="58">
        <f t="shared" si="6"/>
        <v>0</v>
      </c>
    </row>
    <row r="378" spans="5:8" ht="30" customHeight="1" x14ac:dyDescent="0.3">
      <c r="E378" s="36"/>
      <c r="F378" s="36"/>
      <c r="G378" s="36"/>
      <c r="H378" s="58">
        <f t="shared" si="6"/>
        <v>0</v>
      </c>
    </row>
    <row r="379" spans="5:8" ht="30" customHeight="1" x14ac:dyDescent="0.3">
      <c r="E379" s="36"/>
      <c r="F379" s="36"/>
      <c r="G379" s="36"/>
      <c r="H379" s="58">
        <f t="shared" si="6"/>
        <v>0</v>
      </c>
    </row>
    <row r="380" spans="5:8" ht="30" customHeight="1" x14ac:dyDescent="0.3">
      <c r="E380" s="36"/>
      <c r="F380" s="36"/>
      <c r="G380" s="36"/>
      <c r="H380" s="58">
        <f t="shared" si="6"/>
        <v>0</v>
      </c>
    </row>
    <row r="381" spans="5:8" ht="30" customHeight="1" x14ac:dyDescent="0.3">
      <c r="E381" s="36"/>
      <c r="F381" s="36"/>
      <c r="G381" s="36"/>
      <c r="H381" s="58">
        <f t="shared" si="6"/>
        <v>0</v>
      </c>
    </row>
    <row r="382" spans="5:8" ht="30" customHeight="1" x14ac:dyDescent="0.3">
      <c r="E382" s="36"/>
      <c r="F382" s="36"/>
      <c r="G382" s="36"/>
      <c r="H382" s="58">
        <f t="shared" si="6"/>
        <v>0</v>
      </c>
    </row>
    <row r="383" spans="5:8" ht="30" customHeight="1" x14ac:dyDescent="0.3">
      <c r="E383" s="36"/>
      <c r="F383" s="36"/>
      <c r="G383" s="36"/>
      <c r="H383" s="58">
        <f t="shared" si="6"/>
        <v>0</v>
      </c>
    </row>
    <row r="384" spans="5:8" ht="30" customHeight="1" x14ac:dyDescent="0.3">
      <c r="E384" s="36"/>
      <c r="F384" s="36"/>
      <c r="G384" s="36"/>
      <c r="H384" s="58">
        <f t="shared" si="6"/>
        <v>0</v>
      </c>
    </row>
    <row r="385" spans="5:8" ht="30" customHeight="1" x14ac:dyDescent="0.3">
      <c r="E385" s="36"/>
      <c r="F385" s="36"/>
      <c r="G385" s="36"/>
      <c r="H385" s="58">
        <f t="shared" si="6"/>
        <v>0</v>
      </c>
    </row>
    <row r="386" spans="5:8" ht="30" customHeight="1" x14ac:dyDescent="0.3">
      <c r="E386" s="36"/>
      <c r="F386" s="36"/>
      <c r="G386" s="36"/>
      <c r="H386" s="58">
        <f t="shared" si="6"/>
        <v>0</v>
      </c>
    </row>
    <row r="387" spans="5:8" ht="30" customHeight="1" x14ac:dyDescent="0.3">
      <c r="E387" s="36"/>
      <c r="F387" s="36"/>
      <c r="G387" s="36"/>
      <c r="H387" s="58">
        <f t="shared" si="6"/>
        <v>0</v>
      </c>
    </row>
    <row r="388" spans="5:8" ht="30" customHeight="1" x14ac:dyDescent="0.3">
      <c r="E388" s="36"/>
      <c r="F388" s="36"/>
      <c r="G388" s="36"/>
      <c r="H388" s="58">
        <f t="shared" si="6"/>
        <v>0</v>
      </c>
    </row>
    <row r="389" spans="5:8" ht="30" customHeight="1" x14ac:dyDescent="0.3">
      <c r="E389" s="36"/>
      <c r="F389" s="36"/>
      <c r="G389" s="36"/>
      <c r="H389" s="58">
        <f t="shared" si="6"/>
        <v>0</v>
      </c>
    </row>
    <row r="390" spans="5:8" ht="30" customHeight="1" x14ac:dyDescent="0.3">
      <c r="E390" s="36"/>
      <c r="F390" s="36"/>
      <c r="G390" s="36"/>
      <c r="H390" s="58">
        <f t="shared" si="6"/>
        <v>0</v>
      </c>
    </row>
    <row r="391" spans="5:8" ht="30" customHeight="1" x14ac:dyDescent="0.3">
      <c r="E391" s="36"/>
      <c r="F391" s="36"/>
      <c r="G391" s="36"/>
      <c r="H391" s="58">
        <f t="shared" si="6"/>
        <v>0</v>
      </c>
    </row>
    <row r="392" spans="5:8" ht="30" customHeight="1" x14ac:dyDescent="0.3">
      <c r="E392" s="36"/>
      <c r="F392" s="36"/>
      <c r="G392" s="36"/>
      <c r="H392" s="58">
        <f t="shared" si="6"/>
        <v>0</v>
      </c>
    </row>
    <row r="393" spans="5:8" ht="30" customHeight="1" x14ac:dyDescent="0.3">
      <c r="E393" s="36"/>
      <c r="F393" s="36"/>
      <c r="G393" s="36"/>
      <c r="H393" s="58">
        <f t="shared" si="6"/>
        <v>0</v>
      </c>
    </row>
    <row r="394" spans="5:8" ht="30" customHeight="1" x14ac:dyDescent="0.3">
      <c r="E394" s="36"/>
      <c r="F394" s="36"/>
      <c r="G394" s="36"/>
      <c r="H394" s="58">
        <f t="shared" si="6"/>
        <v>0</v>
      </c>
    </row>
    <row r="395" spans="5:8" ht="30" customHeight="1" x14ac:dyDescent="0.3">
      <c r="E395" s="36"/>
      <c r="F395" s="36"/>
      <c r="G395" s="36"/>
      <c r="H395" s="58">
        <f t="shared" si="6"/>
        <v>0</v>
      </c>
    </row>
    <row r="396" spans="5:8" ht="30" customHeight="1" x14ac:dyDescent="0.3">
      <c r="E396" s="36"/>
      <c r="F396" s="36"/>
      <c r="G396" s="36"/>
      <c r="H396" s="58">
        <f t="shared" si="6"/>
        <v>0</v>
      </c>
    </row>
    <row r="397" spans="5:8" ht="30" customHeight="1" x14ac:dyDescent="0.3">
      <c r="E397" s="36"/>
      <c r="F397" s="36"/>
      <c r="G397" s="36"/>
      <c r="H397" s="58">
        <f t="shared" si="6"/>
        <v>0</v>
      </c>
    </row>
    <row r="398" spans="5:8" ht="30" customHeight="1" x14ac:dyDescent="0.3">
      <c r="E398" s="36"/>
      <c r="F398" s="36"/>
      <c r="G398" s="36"/>
      <c r="H398" s="58">
        <f t="shared" si="6"/>
        <v>0</v>
      </c>
    </row>
    <row r="399" spans="5:8" ht="30" customHeight="1" x14ac:dyDescent="0.3">
      <c r="E399" s="36"/>
      <c r="F399" s="36"/>
      <c r="G399" s="36"/>
      <c r="H399" s="58">
        <f t="shared" si="6"/>
        <v>0</v>
      </c>
    </row>
    <row r="400" spans="5:8" ht="30" customHeight="1" x14ac:dyDescent="0.3">
      <c r="E400" s="36"/>
      <c r="F400" s="36"/>
      <c r="G400" s="36"/>
      <c r="H400" s="58">
        <f t="shared" si="6"/>
        <v>0</v>
      </c>
    </row>
    <row r="401" spans="5:8" ht="30" customHeight="1" x14ac:dyDescent="0.3">
      <c r="E401" s="36"/>
      <c r="F401" s="36"/>
      <c r="G401" s="36"/>
      <c r="H401" s="58">
        <f t="shared" si="6"/>
        <v>0</v>
      </c>
    </row>
    <row r="402" spans="5:8" ht="30" customHeight="1" x14ac:dyDescent="0.3">
      <c r="E402" s="36"/>
      <c r="F402" s="36"/>
      <c r="G402" s="36"/>
      <c r="H402" s="58">
        <f t="shared" si="6"/>
        <v>0</v>
      </c>
    </row>
    <row r="403" spans="5:8" ht="30" customHeight="1" x14ac:dyDescent="0.3">
      <c r="E403" s="36"/>
      <c r="F403" s="36"/>
      <c r="G403" s="36"/>
      <c r="H403" s="58">
        <f t="shared" si="6"/>
        <v>0</v>
      </c>
    </row>
    <row r="404" spans="5:8" ht="30" customHeight="1" x14ac:dyDescent="0.3">
      <c r="E404" s="36"/>
      <c r="F404" s="36"/>
      <c r="G404" s="36"/>
      <c r="H404" s="58">
        <f t="shared" si="6"/>
        <v>0</v>
      </c>
    </row>
    <row r="405" spans="5:8" ht="30" customHeight="1" x14ac:dyDescent="0.3">
      <c r="E405" s="36"/>
      <c r="F405" s="36"/>
      <c r="G405" s="36"/>
      <c r="H405" s="58">
        <f t="shared" ref="H405:H468" si="7">H404-G405-F405+E405</f>
        <v>0</v>
      </c>
    </row>
    <row r="406" spans="5:8" ht="30" customHeight="1" x14ac:dyDescent="0.3">
      <c r="E406" s="36"/>
      <c r="F406" s="36"/>
      <c r="G406" s="36"/>
      <c r="H406" s="58">
        <f t="shared" si="7"/>
        <v>0</v>
      </c>
    </row>
    <row r="407" spans="5:8" ht="30" customHeight="1" x14ac:dyDescent="0.3">
      <c r="E407" s="36"/>
      <c r="F407" s="36"/>
      <c r="G407" s="36"/>
      <c r="H407" s="58">
        <f t="shared" si="7"/>
        <v>0</v>
      </c>
    </row>
    <row r="408" spans="5:8" ht="30" customHeight="1" x14ac:dyDescent="0.3">
      <c r="E408" s="36"/>
      <c r="F408" s="36"/>
      <c r="G408" s="36"/>
      <c r="H408" s="58">
        <f t="shared" si="7"/>
        <v>0</v>
      </c>
    </row>
    <row r="409" spans="5:8" ht="30" customHeight="1" x14ac:dyDescent="0.3">
      <c r="E409" s="36"/>
      <c r="F409" s="36"/>
      <c r="G409" s="36"/>
      <c r="H409" s="58">
        <f t="shared" si="7"/>
        <v>0</v>
      </c>
    </row>
    <row r="410" spans="5:8" ht="30" customHeight="1" x14ac:dyDescent="0.3">
      <c r="E410" s="36"/>
      <c r="F410" s="36"/>
      <c r="G410" s="36"/>
      <c r="H410" s="58">
        <f t="shared" si="7"/>
        <v>0</v>
      </c>
    </row>
    <row r="411" spans="5:8" ht="30" customHeight="1" x14ac:dyDescent="0.3">
      <c r="E411" s="36"/>
      <c r="F411" s="36"/>
      <c r="G411" s="36"/>
      <c r="H411" s="58">
        <f t="shared" si="7"/>
        <v>0</v>
      </c>
    </row>
    <row r="412" spans="5:8" ht="30" customHeight="1" x14ac:dyDescent="0.3">
      <c r="E412" s="36"/>
      <c r="F412" s="36"/>
      <c r="G412" s="36"/>
      <c r="H412" s="58">
        <f t="shared" si="7"/>
        <v>0</v>
      </c>
    </row>
    <row r="413" spans="5:8" ht="30" customHeight="1" x14ac:dyDescent="0.3">
      <c r="E413" s="36"/>
      <c r="F413" s="36"/>
      <c r="G413" s="36"/>
      <c r="H413" s="58">
        <f t="shared" si="7"/>
        <v>0</v>
      </c>
    </row>
    <row r="414" spans="5:8" ht="30" customHeight="1" x14ac:dyDescent="0.3">
      <c r="E414" s="36"/>
      <c r="F414" s="36"/>
      <c r="G414" s="36"/>
      <c r="H414" s="58">
        <f t="shared" si="7"/>
        <v>0</v>
      </c>
    </row>
    <row r="415" spans="5:8" ht="30" customHeight="1" x14ac:dyDescent="0.3">
      <c r="E415" s="36"/>
      <c r="F415" s="36"/>
      <c r="G415" s="36"/>
      <c r="H415" s="58">
        <f t="shared" si="7"/>
        <v>0</v>
      </c>
    </row>
    <row r="416" spans="5:8" ht="30" customHeight="1" x14ac:dyDescent="0.3">
      <c r="E416" s="36"/>
      <c r="F416" s="36"/>
      <c r="G416" s="36"/>
      <c r="H416" s="58">
        <f t="shared" si="7"/>
        <v>0</v>
      </c>
    </row>
    <row r="417" spans="5:8" ht="30" customHeight="1" x14ac:dyDescent="0.3">
      <c r="E417" s="36"/>
      <c r="F417" s="36"/>
      <c r="G417" s="36"/>
      <c r="H417" s="58">
        <f t="shared" si="7"/>
        <v>0</v>
      </c>
    </row>
    <row r="418" spans="5:8" ht="30" customHeight="1" x14ac:dyDescent="0.3">
      <c r="E418" s="36"/>
      <c r="F418" s="36"/>
      <c r="G418" s="36"/>
      <c r="H418" s="58">
        <f t="shared" si="7"/>
        <v>0</v>
      </c>
    </row>
    <row r="419" spans="5:8" ht="30" customHeight="1" x14ac:dyDescent="0.3">
      <c r="E419" s="36"/>
      <c r="F419" s="36"/>
      <c r="G419" s="36"/>
      <c r="H419" s="58">
        <f t="shared" si="7"/>
        <v>0</v>
      </c>
    </row>
    <row r="420" spans="5:8" ht="30" customHeight="1" x14ac:dyDescent="0.3">
      <c r="E420" s="36"/>
      <c r="F420" s="36"/>
      <c r="G420" s="36"/>
      <c r="H420" s="58">
        <f t="shared" si="7"/>
        <v>0</v>
      </c>
    </row>
    <row r="421" spans="5:8" ht="30" customHeight="1" x14ac:dyDescent="0.3">
      <c r="E421" s="36"/>
      <c r="F421" s="36"/>
      <c r="G421" s="36"/>
      <c r="H421" s="58">
        <f t="shared" si="7"/>
        <v>0</v>
      </c>
    </row>
    <row r="422" spans="5:8" ht="30" customHeight="1" x14ac:dyDescent="0.3">
      <c r="E422" s="36"/>
      <c r="F422" s="36"/>
      <c r="G422" s="36"/>
      <c r="H422" s="58">
        <f t="shared" si="7"/>
        <v>0</v>
      </c>
    </row>
    <row r="423" spans="5:8" ht="30" customHeight="1" x14ac:dyDescent="0.3">
      <c r="E423" s="36"/>
      <c r="F423" s="36"/>
      <c r="G423" s="36"/>
      <c r="H423" s="58">
        <f t="shared" si="7"/>
        <v>0</v>
      </c>
    </row>
    <row r="424" spans="5:8" ht="30" customHeight="1" x14ac:dyDescent="0.3">
      <c r="E424" s="36"/>
      <c r="F424" s="36"/>
      <c r="G424" s="36"/>
      <c r="H424" s="58">
        <f t="shared" si="7"/>
        <v>0</v>
      </c>
    </row>
    <row r="425" spans="5:8" ht="30" customHeight="1" x14ac:dyDescent="0.3">
      <c r="E425" s="36"/>
      <c r="F425" s="36"/>
      <c r="G425" s="36"/>
      <c r="H425" s="58">
        <f t="shared" si="7"/>
        <v>0</v>
      </c>
    </row>
    <row r="426" spans="5:8" ht="30" customHeight="1" x14ac:dyDescent="0.3">
      <c r="E426" s="36"/>
      <c r="F426" s="36"/>
      <c r="G426" s="36"/>
      <c r="H426" s="58">
        <f t="shared" si="7"/>
        <v>0</v>
      </c>
    </row>
    <row r="427" spans="5:8" ht="30" customHeight="1" x14ac:dyDescent="0.3">
      <c r="E427" s="36"/>
      <c r="F427" s="36"/>
      <c r="G427" s="36"/>
      <c r="H427" s="58">
        <f t="shared" si="7"/>
        <v>0</v>
      </c>
    </row>
    <row r="428" spans="5:8" ht="30" customHeight="1" x14ac:dyDescent="0.3">
      <c r="E428" s="36"/>
      <c r="F428" s="36"/>
      <c r="G428" s="36"/>
      <c r="H428" s="58">
        <f t="shared" si="7"/>
        <v>0</v>
      </c>
    </row>
    <row r="429" spans="5:8" ht="30" customHeight="1" x14ac:dyDescent="0.3">
      <c r="E429" s="36"/>
      <c r="F429" s="36"/>
      <c r="G429" s="36"/>
      <c r="H429" s="58">
        <f t="shared" si="7"/>
        <v>0</v>
      </c>
    </row>
    <row r="430" spans="5:8" ht="30" customHeight="1" x14ac:dyDescent="0.3">
      <c r="E430" s="36"/>
      <c r="F430" s="36"/>
      <c r="G430" s="36"/>
      <c r="H430" s="58">
        <f t="shared" si="7"/>
        <v>0</v>
      </c>
    </row>
    <row r="431" spans="5:8" ht="30" customHeight="1" x14ac:dyDescent="0.3">
      <c r="E431" s="36"/>
      <c r="F431" s="36"/>
      <c r="G431" s="36"/>
      <c r="H431" s="58">
        <f t="shared" si="7"/>
        <v>0</v>
      </c>
    </row>
    <row r="432" spans="5:8" ht="30" customHeight="1" x14ac:dyDescent="0.3">
      <c r="E432" s="36"/>
      <c r="F432" s="36"/>
      <c r="G432" s="36"/>
      <c r="H432" s="58">
        <f t="shared" si="7"/>
        <v>0</v>
      </c>
    </row>
    <row r="433" spans="5:8" ht="30" customHeight="1" x14ac:dyDescent="0.3">
      <c r="E433" s="36"/>
      <c r="F433" s="36"/>
      <c r="G433" s="36"/>
      <c r="H433" s="58">
        <f t="shared" si="7"/>
        <v>0</v>
      </c>
    </row>
    <row r="434" spans="5:8" ht="30" customHeight="1" x14ac:dyDescent="0.3">
      <c r="E434" s="36"/>
      <c r="F434" s="36"/>
      <c r="G434" s="36"/>
      <c r="H434" s="58">
        <f t="shared" si="7"/>
        <v>0</v>
      </c>
    </row>
    <row r="435" spans="5:8" ht="30" customHeight="1" x14ac:dyDescent="0.3">
      <c r="E435" s="36"/>
      <c r="F435" s="36"/>
      <c r="G435" s="36"/>
      <c r="H435" s="58">
        <f t="shared" si="7"/>
        <v>0</v>
      </c>
    </row>
    <row r="436" spans="5:8" ht="30" customHeight="1" x14ac:dyDescent="0.3">
      <c r="E436" s="36"/>
      <c r="F436" s="36"/>
      <c r="G436" s="36"/>
      <c r="H436" s="58">
        <f t="shared" si="7"/>
        <v>0</v>
      </c>
    </row>
    <row r="437" spans="5:8" ht="30" customHeight="1" x14ac:dyDescent="0.3">
      <c r="E437" s="36"/>
      <c r="F437" s="36"/>
      <c r="G437" s="36"/>
      <c r="H437" s="58">
        <f t="shared" si="7"/>
        <v>0</v>
      </c>
    </row>
    <row r="438" spans="5:8" ht="30" customHeight="1" x14ac:dyDescent="0.3">
      <c r="E438" s="36"/>
      <c r="F438" s="36"/>
      <c r="G438" s="36"/>
      <c r="H438" s="58">
        <f t="shared" si="7"/>
        <v>0</v>
      </c>
    </row>
    <row r="439" spans="5:8" ht="30" customHeight="1" x14ac:dyDescent="0.3">
      <c r="E439" s="36"/>
      <c r="F439" s="36"/>
      <c r="G439" s="36"/>
      <c r="H439" s="58">
        <f t="shared" si="7"/>
        <v>0</v>
      </c>
    </row>
    <row r="440" spans="5:8" ht="30" customHeight="1" x14ac:dyDescent="0.3">
      <c r="E440" s="36"/>
      <c r="F440" s="36"/>
      <c r="G440" s="36"/>
      <c r="H440" s="58">
        <f t="shared" si="7"/>
        <v>0</v>
      </c>
    </row>
    <row r="441" spans="5:8" ht="30" customHeight="1" x14ac:dyDescent="0.3">
      <c r="E441" s="36"/>
      <c r="F441" s="36"/>
      <c r="G441" s="36"/>
      <c r="H441" s="58">
        <f t="shared" si="7"/>
        <v>0</v>
      </c>
    </row>
    <row r="442" spans="5:8" ht="30" customHeight="1" x14ac:dyDescent="0.3">
      <c r="E442" s="36"/>
      <c r="F442" s="36"/>
      <c r="G442" s="36"/>
      <c r="H442" s="58">
        <f t="shared" si="7"/>
        <v>0</v>
      </c>
    </row>
    <row r="443" spans="5:8" ht="30" customHeight="1" x14ac:dyDescent="0.3">
      <c r="E443" s="36"/>
      <c r="F443" s="36"/>
      <c r="G443" s="36"/>
      <c r="H443" s="58">
        <f t="shared" si="7"/>
        <v>0</v>
      </c>
    </row>
    <row r="444" spans="5:8" ht="30" customHeight="1" x14ac:dyDescent="0.3">
      <c r="E444" s="36"/>
      <c r="F444" s="36"/>
      <c r="G444" s="36"/>
      <c r="H444" s="58">
        <f t="shared" si="7"/>
        <v>0</v>
      </c>
    </row>
    <row r="445" spans="5:8" ht="30" customHeight="1" x14ac:dyDescent="0.3">
      <c r="E445" s="36"/>
      <c r="F445" s="36"/>
      <c r="G445" s="36"/>
      <c r="H445" s="58">
        <f t="shared" si="7"/>
        <v>0</v>
      </c>
    </row>
    <row r="446" spans="5:8" ht="30" customHeight="1" x14ac:dyDescent="0.3">
      <c r="E446" s="36"/>
      <c r="F446" s="36"/>
      <c r="G446" s="36"/>
      <c r="H446" s="58">
        <f t="shared" si="7"/>
        <v>0</v>
      </c>
    </row>
    <row r="447" spans="5:8" ht="30" customHeight="1" x14ac:dyDescent="0.3">
      <c r="E447" s="36"/>
      <c r="F447" s="36"/>
      <c r="G447" s="36"/>
      <c r="H447" s="58">
        <f t="shared" si="7"/>
        <v>0</v>
      </c>
    </row>
    <row r="448" spans="5:8" ht="30" customHeight="1" x14ac:dyDescent="0.3">
      <c r="E448" s="36"/>
      <c r="F448" s="36"/>
      <c r="G448" s="36"/>
      <c r="H448" s="58">
        <f t="shared" si="7"/>
        <v>0</v>
      </c>
    </row>
    <row r="449" spans="5:8" ht="30" customHeight="1" x14ac:dyDescent="0.3">
      <c r="E449" s="36"/>
      <c r="F449" s="36"/>
      <c r="G449" s="36"/>
      <c r="H449" s="58">
        <f t="shared" si="7"/>
        <v>0</v>
      </c>
    </row>
    <row r="450" spans="5:8" ht="30" customHeight="1" x14ac:dyDescent="0.3">
      <c r="E450" s="36"/>
      <c r="F450" s="36"/>
      <c r="G450" s="36"/>
      <c r="H450" s="58">
        <f t="shared" si="7"/>
        <v>0</v>
      </c>
    </row>
    <row r="451" spans="5:8" ht="30" customHeight="1" x14ac:dyDescent="0.3">
      <c r="E451" s="36"/>
      <c r="F451" s="36"/>
      <c r="G451" s="36"/>
      <c r="H451" s="58">
        <f t="shared" si="7"/>
        <v>0</v>
      </c>
    </row>
    <row r="452" spans="5:8" ht="30" customHeight="1" x14ac:dyDescent="0.3">
      <c r="E452" s="36"/>
      <c r="F452" s="36"/>
      <c r="G452" s="36"/>
      <c r="H452" s="58">
        <f t="shared" si="7"/>
        <v>0</v>
      </c>
    </row>
    <row r="453" spans="5:8" ht="30" customHeight="1" x14ac:dyDescent="0.3">
      <c r="E453" s="36"/>
      <c r="F453" s="36"/>
      <c r="G453" s="36"/>
      <c r="H453" s="58">
        <f t="shared" si="7"/>
        <v>0</v>
      </c>
    </row>
    <row r="454" spans="5:8" ht="30" customHeight="1" x14ac:dyDescent="0.3">
      <c r="E454" s="36"/>
      <c r="F454" s="36"/>
      <c r="G454" s="36"/>
      <c r="H454" s="58">
        <f t="shared" si="7"/>
        <v>0</v>
      </c>
    </row>
    <row r="455" spans="5:8" ht="30" customHeight="1" x14ac:dyDescent="0.3">
      <c r="E455" s="36"/>
      <c r="F455" s="36"/>
      <c r="G455" s="36"/>
      <c r="H455" s="58">
        <f t="shared" si="7"/>
        <v>0</v>
      </c>
    </row>
    <row r="456" spans="5:8" ht="30" customHeight="1" x14ac:dyDescent="0.3">
      <c r="E456" s="36"/>
      <c r="F456" s="36"/>
      <c r="G456" s="36"/>
      <c r="H456" s="58">
        <f t="shared" si="7"/>
        <v>0</v>
      </c>
    </row>
    <row r="457" spans="5:8" ht="30" customHeight="1" x14ac:dyDescent="0.3">
      <c r="E457" s="36"/>
      <c r="F457" s="36"/>
      <c r="G457" s="36"/>
      <c r="H457" s="58">
        <f t="shared" si="7"/>
        <v>0</v>
      </c>
    </row>
    <row r="458" spans="5:8" ht="30" customHeight="1" x14ac:dyDescent="0.3">
      <c r="E458" s="36"/>
      <c r="F458" s="36"/>
      <c r="G458" s="36"/>
      <c r="H458" s="58">
        <f t="shared" si="7"/>
        <v>0</v>
      </c>
    </row>
    <row r="459" spans="5:8" ht="30" customHeight="1" x14ac:dyDescent="0.3">
      <c r="E459" s="36"/>
      <c r="F459" s="36"/>
      <c r="G459" s="36"/>
      <c r="H459" s="58">
        <f t="shared" si="7"/>
        <v>0</v>
      </c>
    </row>
    <row r="460" spans="5:8" ht="30" customHeight="1" x14ac:dyDescent="0.3">
      <c r="E460" s="36"/>
      <c r="F460" s="36"/>
      <c r="G460" s="36"/>
      <c r="H460" s="58">
        <f t="shared" si="7"/>
        <v>0</v>
      </c>
    </row>
    <row r="461" spans="5:8" ht="30" customHeight="1" x14ac:dyDescent="0.3">
      <c r="E461" s="36"/>
      <c r="F461" s="36"/>
      <c r="G461" s="36"/>
      <c r="H461" s="58">
        <f t="shared" si="7"/>
        <v>0</v>
      </c>
    </row>
    <row r="462" spans="5:8" ht="30" customHeight="1" x14ac:dyDescent="0.3">
      <c r="E462" s="36"/>
      <c r="F462" s="36"/>
      <c r="G462" s="36"/>
      <c r="H462" s="58">
        <f t="shared" si="7"/>
        <v>0</v>
      </c>
    </row>
    <row r="463" spans="5:8" ht="30" customHeight="1" x14ac:dyDescent="0.3">
      <c r="E463" s="36"/>
      <c r="F463" s="36"/>
      <c r="G463" s="36"/>
      <c r="H463" s="58">
        <f t="shared" si="7"/>
        <v>0</v>
      </c>
    </row>
    <row r="464" spans="5:8" ht="30" customHeight="1" x14ac:dyDescent="0.3">
      <c r="E464" s="36"/>
      <c r="F464" s="36"/>
      <c r="G464" s="36"/>
      <c r="H464" s="58">
        <f t="shared" si="7"/>
        <v>0</v>
      </c>
    </row>
    <row r="465" spans="5:8" ht="30" customHeight="1" x14ac:dyDescent="0.3">
      <c r="E465" s="36"/>
      <c r="F465" s="36"/>
      <c r="G465" s="36"/>
      <c r="H465" s="58">
        <f t="shared" si="7"/>
        <v>0</v>
      </c>
    </row>
    <row r="466" spans="5:8" ht="30" customHeight="1" x14ac:dyDescent="0.3">
      <c r="E466" s="36"/>
      <c r="F466" s="36"/>
      <c r="G466" s="36"/>
      <c r="H466" s="58">
        <f t="shared" si="7"/>
        <v>0</v>
      </c>
    </row>
    <row r="467" spans="5:8" ht="30" customHeight="1" x14ac:dyDescent="0.3">
      <c r="E467" s="36"/>
      <c r="F467" s="36"/>
      <c r="G467" s="36"/>
      <c r="H467" s="58">
        <f t="shared" si="7"/>
        <v>0</v>
      </c>
    </row>
    <row r="468" spans="5:8" ht="30" customHeight="1" x14ac:dyDescent="0.3">
      <c r="E468" s="36"/>
      <c r="F468" s="36"/>
      <c r="G468" s="36"/>
      <c r="H468" s="58">
        <f t="shared" si="7"/>
        <v>0</v>
      </c>
    </row>
    <row r="469" spans="5:8" ht="30" customHeight="1" x14ac:dyDescent="0.3">
      <c r="E469" s="36"/>
      <c r="F469" s="36"/>
      <c r="G469" s="36"/>
      <c r="H469" s="58">
        <f t="shared" ref="H469:H532" si="8">H468-G469-F469+E469</f>
        <v>0</v>
      </c>
    </row>
    <row r="470" spans="5:8" ht="30" customHeight="1" x14ac:dyDescent="0.3">
      <c r="E470" s="36"/>
      <c r="F470" s="36"/>
      <c r="G470" s="36"/>
      <c r="H470" s="58">
        <f t="shared" si="8"/>
        <v>0</v>
      </c>
    </row>
    <row r="471" spans="5:8" ht="30" customHeight="1" x14ac:dyDescent="0.3">
      <c r="E471" s="36"/>
      <c r="F471" s="36"/>
      <c r="G471" s="36"/>
      <c r="H471" s="58">
        <f t="shared" si="8"/>
        <v>0</v>
      </c>
    </row>
    <row r="472" spans="5:8" ht="30" customHeight="1" x14ac:dyDescent="0.3">
      <c r="E472" s="36"/>
      <c r="F472" s="36"/>
      <c r="G472" s="36"/>
      <c r="H472" s="58">
        <f t="shared" si="8"/>
        <v>0</v>
      </c>
    </row>
    <row r="473" spans="5:8" ht="30" customHeight="1" x14ac:dyDescent="0.3">
      <c r="E473" s="36"/>
      <c r="F473" s="36"/>
      <c r="G473" s="36"/>
      <c r="H473" s="58">
        <f t="shared" si="8"/>
        <v>0</v>
      </c>
    </row>
    <row r="474" spans="5:8" ht="30" customHeight="1" x14ac:dyDescent="0.3">
      <c r="E474" s="36"/>
      <c r="F474" s="36"/>
      <c r="G474" s="36"/>
      <c r="H474" s="58">
        <f t="shared" si="8"/>
        <v>0</v>
      </c>
    </row>
    <row r="475" spans="5:8" ht="30" customHeight="1" x14ac:dyDescent="0.3">
      <c r="E475" s="36"/>
      <c r="F475" s="36"/>
      <c r="G475" s="36"/>
      <c r="H475" s="58">
        <f t="shared" si="8"/>
        <v>0</v>
      </c>
    </row>
    <row r="476" spans="5:8" ht="30" customHeight="1" x14ac:dyDescent="0.3">
      <c r="E476" s="36"/>
      <c r="F476" s="36"/>
      <c r="G476" s="36"/>
      <c r="H476" s="58">
        <f t="shared" si="8"/>
        <v>0</v>
      </c>
    </row>
    <row r="477" spans="5:8" ht="30" customHeight="1" x14ac:dyDescent="0.3">
      <c r="E477" s="36"/>
      <c r="F477" s="36"/>
      <c r="G477" s="36"/>
      <c r="H477" s="58">
        <f t="shared" si="8"/>
        <v>0</v>
      </c>
    </row>
    <row r="478" spans="5:8" ht="30" customHeight="1" x14ac:dyDescent="0.3">
      <c r="E478" s="36"/>
      <c r="F478" s="36"/>
      <c r="G478" s="36"/>
      <c r="H478" s="58">
        <f t="shared" si="8"/>
        <v>0</v>
      </c>
    </row>
    <row r="479" spans="5:8" ht="30" customHeight="1" x14ac:dyDescent="0.3">
      <c r="E479" s="36"/>
      <c r="F479" s="36"/>
      <c r="G479" s="36"/>
      <c r="H479" s="58">
        <f t="shared" si="8"/>
        <v>0</v>
      </c>
    </row>
    <row r="480" spans="5:8" ht="30" customHeight="1" x14ac:dyDescent="0.3">
      <c r="E480" s="36"/>
      <c r="F480" s="36"/>
      <c r="G480" s="36"/>
      <c r="H480" s="58">
        <f t="shared" si="8"/>
        <v>0</v>
      </c>
    </row>
    <row r="481" spans="5:8" ht="30" customHeight="1" x14ac:dyDescent="0.3">
      <c r="E481" s="36"/>
      <c r="F481" s="36"/>
      <c r="G481" s="36"/>
      <c r="H481" s="58">
        <f t="shared" si="8"/>
        <v>0</v>
      </c>
    </row>
    <row r="482" spans="5:8" ht="30" customHeight="1" x14ac:dyDescent="0.3">
      <c r="E482" s="36"/>
      <c r="F482" s="36"/>
      <c r="G482" s="36"/>
      <c r="H482" s="58">
        <f t="shared" si="8"/>
        <v>0</v>
      </c>
    </row>
    <row r="483" spans="5:8" ht="30" customHeight="1" x14ac:dyDescent="0.3">
      <c r="E483" s="36"/>
      <c r="F483" s="36"/>
      <c r="G483" s="36"/>
      <c r="H483" s="58">
        <f t="shared" si="8"/>
        <v>0</v>
      </c>
    </row>
    <row r="484" spans="5:8" ht="30" customHeight="1" x14ac:dyDescent="0.3">
      <c r="E484" s="36"/>
      <c r="F484" s="36"/>
      <c r="G484" s="36"/>
      <c r="H484" s="58">
        <f t="shared" si="8"/>
        <v>0</v>
      </c>
    </row>
    <row r="485" spans="5:8" ht="30" customHeight="1" x14ac:dyDescent="0.3">
      <c r="E485" s="36"/>
      <c r="F485" s="36"/>
      <c r="G485" s="36"/>
      <c r="H485" s="58">
        <f t="shared" si="8"/>
        <v>0</v>
      </c>
    </row>
    <row r="486" spans="5:8" ht="30" customHeight="1" x14ac:dyDescent="0.3">
      <c r="E486" s="36"/>
      <c r="F486" s="36"/>
      <c r="G486" s="36"/>
      <c r="H486" s="58">
        <f t="shared" si="8"/>
        <v>0</v>
      </c>
    </row>
    <row r="487" spans="5:8" ht="30" customHeight="1" x14ac:dyDescent="0.3">
      <c r="E487" s="36"/>
      <c r="F487" s="36"/>
      <c r="G487" s="36"/>
      <c r="H487" s="58">
        <f t="shared" si="8"/>
        <v>0</v>
      </c>
    </row>
    <row r="488" spans="5:8" ht="30" customHeight="1" x14ac:dyDescent="0.3">
      <c r="E488" s="36"/>
      <c r="F488" s="36"/>
      <c r="G488" s="36"/>
      <c r="H488" s="58">
        <f t="shared" si="8"/>
        <v>0</v>
      </c>
    </row>
    <row r="489" spans="5:8" ht="30" customHeight="1" x14ac:dyDescent="0.3">
      <c r="E489" s="36"/>
      <c r="F489" s="36"/>
      <c r="G489" s="36"/>
      <c r="H489" s="58">
        <f t="shared" si="8"/>
        <v>0</v>
      </c>
    </row>
    <row r="490" spans="5:8" ht="30" customHeight="1" x14ac:dyDescent="0.3">
      <c r="E490" s="36"/>
      <c r="F490" s="36"/>
      <c r="G490" s="36"/>
      <c r="H490" s="58">
        <f t="shared" si="8"/>
        <v>0</v>
      </c>
    </row>
    <row r="491" spans="5:8" ht="30" customHeight="1" x14ac:dyDescent="0.3">
      <c r="E491" s="36"/>
      <c r="F491" s="36"/>
      <c r="G491" s="36"/>
      <c r="H491" s="58">
        <f t="shared" si="8"/>
        <v>0</v>
      </c>
    </row>
    <row r="492" spans="5:8" ht="30" customHeight="1" x14ac:dyDescent="0.3">
      <c r="E492" s="36"/>
      <c r="F492" s="36"/>
      <c r="G492" s="36"/>
      <c r="H492" s="58">
        <f t="shared" si="8"/>
        <v>0</v>
      </c>
    </row>
    <row r="493" spans="5:8" ht="30" customHeight="1" x14ac:dyDescent="0.3">
      <c r="E493" s="36"/>
      <c r="F493" s="36"/>
      <c r="G493" s="36"/>
      <c r="H493" s="58">
        <f t="shared" si="8"/>
        <v>0</v>
      </c>
    </row>
    <row r="494" spans="5:8" ht="30" customHeight="1" x14ac:dyDescent="0.3">
      <c r="E494" s="36"/>
      <c r="F494" s="36"/>
      <c r="G494" s="36"/>
      <c r="H494" s="58">
        <f t="shared" si="8"/>
        <v>0</v>
      </c>
    </row>
    <row r="495" spans="5:8" ht="30" customHeight="1" x14ac:dyDescent="0.3">
      <c r="E495" s="36"/>
      <c r="F495" s="36"/>
      <c r="G495" s="36"/>
      <c r="H495" s="58">
        <f t="shared" si="8"/>
        <v>0</v>
      </c>
    </row>
    <row r="496" spans="5:8" ht="30" customHeight="1" x14ac:dyDescent="0.3">
      <c r="E496" s="36"/>
      <c r="F496" s="36"/>
      <c r="G496" s="36"/>
      <c r="H496" s="58">
        <f t="shared" si="8"/>
        <v>0</v>
      </c>
    </row>
    <row r="497" spans="5:8" ht="30" customHeight="1" x14ac:dyDescent="0.3">
      <c r="E497" s="36"/>
      <c r="F497" s="36"/>
      <c r="G497" s="36"/>
      <c r="H497" s="58">
        <f t="shared" si="8"/>
        <v>0</v>
      </c>
    </row>
    <row r="498" spans="5:8" ht="30" customHeight="1" x14ac:dyDescent="0.3">
      <c r="E498" s="36"/>
      <c r="F498" s="36"/>
      <c r="G498" s="36"/>
      <c r="H498" s="58">
        <f t="shared" si="8"/>
        <v>0</v>
      </c>
    </row>
    <row r="499" spans="5:8" ht="30" customHeight="1" x14ac:dyDescent="0.3">
      <c r="E499" s="36"/>
      <c r="F499" s="36"/>
      <c r="G499" s="36"/>
      <c r="H499" s="58">
        <f t="shared" si="8"/>
        <v>0</v>
      </c>
    </row>
    <row r="500" spans="5:8" ht="30" customHeight="1" x14ac:dyDescent="0.3">
      <c r="E500" s="36"/>
      <c r="F500" s="36"/>
      <c r="G500" s="36"/>
      <c r="H500" s="58">
        <f t="shared" si="8"/>
        <v>0</v>
      </c>
    </row>
    <row r="501" spans="5:8" ht="30" customHeight="1" x14ac:dyDescent="0.3">
      <c r="E501" s="36"/>
      <c r="F501" s="36"/>
      <c r="G501" s="36"/>
      <c r="H501" s="58">
        <f t="shared" si="8"/>
        <v>0</v>
      </c>
    </row>
    <row r="502" spans="5:8" ht="30" customHeight="1" x14ac:dyDescent="0.3">
      <c r="E502" s="36"/>
      <c r="F502" s="36"/>
      <c r="G502" s="36"/>
      <c r="H502" s="58">
        <f t="shared" si="8"/>
        <v>0</v>
      </c>
    </row>
    <row r="503" spans="5:8" ht="30" customHeight="1" x14ac:dyDescent="0.3">
      <c r="E503" s="36"/>
      <c r="F503" s="36"/>
      <c r="G503" s="36"/>
      <c r="H503" s="58">
        <f t="shared" si="8"/>
        <v>0</v>
      </c>
    </row>
    <row r="504" spans="5:8" ht="30" customHeight="1" x14ac:dyDescent="0.3">
      <c r="E504" s="36"/>
      <c r="F504" s="36"/>
      <c r="G504" s="36"/>
      <c r="H504" s="58">
        <f t="shared" si="8"/>
        <v>0</v>
      </c>
    </row>
    <row r="505" spans="5:8" ht="30" customHeight="1" x14ac:dyDescent="0.3">
      <c r="E505" s="36"/>
      <c r="F505" s="36"/>
      <c r="G505" s="36"/>
      <c r="H505" s="58">
        <f t="shared" si="8"/>
        <v>0</v>
      </c>
    </row>
    <row r="506" spans="5:8" ht="30" customHeight="1" x14ac:dyDescent="0.3">
      <c r="E506" s="36"/>
      <c r="F506" s="36"/>
      <c r="G506" s="36"/>
      <c r="H506" s="58">
        <f t="shared" si="8"/>
        <v>0</v>
      </c>
    </row>
    <row r="507" spans="5:8" ht="30" customHeight="1" x14ac:dyDescent="0.3">
      <c r="E507" s="36"/>
      <c r="F507" s="36"/>
      <c r="G507" s="36"/>
      <c r="H507" s="58">
        <f t="shared" si="8"/>
        <v>0</v>
      </c>
    </row>
    <row r="508" spans="5:8" ht="30" customHeight="1" x14ac:dyDescent="0.3">
      <c r="E508" s="36"/>
      <c r="F508" s="36"/>
      <c r="G508" s="36"/>
      <c r="H508" s="58">
        <f t="shared" si="8"/>
        <v>0</v>
      </c>
    </row>
    <row r="509" spans="5:8" ht="30" customHeight="1" x14ac:dyDescent="0.3">
      <c r="E509" s="36"/>
      <c r="F509" s="36"/>
      <c r="G509" s="36"/>
      <c r="H509" s="58">
        <f t="shared" si="8"/>
        <v>0</v>
      </c>
    </row>
    <row r="510" spans="5:8" ht="30" customHeight="1" x14ac:dyDescent="0.3">
      <c r="E510" s="36"/>
      <c r="F510" s="36"/>
      <c r="G510" s="36"/>
      <c r="H510" s="58">
        <f t="shared" si="8"/>
        <v>0</v>
      </c>
    </row>
    <row r="511" spans="5:8" ht="30" customHeight="1" x14ac:dyDescent="0.3">
      <c r="E511" s="36"/>
      <c r="F511" s="36"/>
      <c r="G511" s="36"/>
      <c r="H511" s="58">
        <f t="shared" si="8"/>
        <v>0</v>
      </c>
    </row>
    <row r="512" spans="5:8" ht="30" customHeight="1" x14ac:dyDescent="0.3">
      <c r="E512" s="36"/>
      <c r="F512" s="36"/>
      <c r="G512" s="36"/>
      <c r="H512" s="58">
        <f t="shared" si="8"/>
        <v>0</v>
      </c>
    </row>
    <row r="513" spans="5:8" ht="30" customHeight="1" x14ac:dyDescent="0.3">
      <c r="E513" s="36"/>
      <c r="F513" s="36"/>
      <c r="G513" s="36"/>
      <c r="H513" s="58">
        <f t="shared" si="8"/>
        <v>0</v>
      </c>
    </row>
    <row r="514" spans="5:8" ht="30" customHeight="1" x14ac:dyDescent="0.3">
      <c r="E514" s="36"/>
      <c r="F514" s="36"/>
      <c r="G514" s="36"/>
      <c r="H514" s="58">
        <f t="shared" si="8"/>
        <v>0</v>
      </c>
    </row>
    <row r="515" spans="5:8" ht="30" customHeight="1" x14ac:dyDescent="0.3">
      <c r="E515" s="36"/>
      <c r="F515" s="36"/>
      <c r="G515" s="36"/>
      <c r="H515" s="58">
        <f t="shared" si="8"/>
        <v>0</v>
      </c>
    </row>
    <row r="516" spans="5:8" ht="30" customHeight="1" x14ac:dyDescent="0.3">
      <c r="E516" s="36"/>
      <c r="F516" s="36"/>
      <c r="G516" s="36"/>
      <c r="H516" s="58">
        <f t="shared" si="8"/>
        <v>0</v>
      </c>
    </row>
    <row r="517" spans="5:8" ht="30" customHeight="1" x14ac:dyDescent="0.3">
      <c r="E517" s="36"/>
      <c r="F517" s="36"/>
      <c r="G517" s="36"/>
      <c r="H517" s="58">
        <f t="shared" si="8"/>
        <v>0</v>
      </c>
    </row>
    <row r="518" spans="5:8" ht="30" customHeight="1" x14ac:dyDescent="0.3">
      <c r="E518" s="36"/>
      <c r="F518" s="36"/>
      <c r="G518" s="36"/>
      <c r="H518" s="58">
        <f t="shared" si="8"/>
        <v>0</v>
      </c>
    </row>
    <row r="519" spans="5:8" ht="30" customHeight="1" x14ac:dyDescent="0.3">
      <c r="E519" s="36"/>
      <c r="F519" s="36"/>
      <c r="G519" s="36"/>
      <c r="H519" s="58">
        <f t="shared" si="8"/>
        <v>0</v>
      </c>
    </row>
    <row r="520" spans="5:8" ht="30" customHeight="1" x14ac:dyDescent="0.3">
      <c r="E520" s="36"/>
      <c r="F520" s="36"/>
      <c r="G520" s="36"/>
      <c r="H520" s="58">
        <f t="shared" si="8"/>
        <v>0</v>
      </c>
    </row>
    <row r="521" spans="5:8" ht="30" customHeight="1" x14ac:dyDescent="0.3">
      <c r="E521" s="36"/>
      <c r="F521" s="36"/>
      <c r="G521" s="36"/>
      <c r="H521" s="58">
        <f t="shared" si="8"/>
        <v>0</v>
      </c>
    </row>
    <row r="522" spans="5:8" ht="30" customHeight="1" x14ac:dyDescent="0.3">
      <c r="E522" s="36"/>
      <c r="F522" s="36"/>
      <c r="G522" s="36"/>
      <c r="H522" s="58">
        <f t="shared" si="8"/>
        <v>0</v>
      </c>
    </row>
    <row r="523" spans="5:8" ht="30" customHeight="1" x14ac:dyDescent="0.3">
      <c r="E523" s="36"/>
      <c r="F523" s="36"/>
      <c r="G523" s="36"/>
      <c r="H523" s="58">
        <f t="shared" si="8"/>
        <v>0</v>
      </c>
    </row>
    <row r="524" spans="5:8" ht="30" customHeight="1" x14ac:dyDescent="0.3">
      <c r="E524" s="36"/>
      <c r="F524" s="36"/>
      <c r="G524" s="36"/>
      <c r="H524" s="58">
        <f t="shared" si="8"/>
        <v>0</v>
      </c>
    </row>
    <row r="525" spans="5:8" ht="30" customHeight="1" x14ac:dyDescent="0.3">
      <c r="E525" s="36"/>
      <c r="F525" s="36"/>
      <c r="G525" s="36"/>
      <c r="H525" s="58">
        <f t="shared" si="8"/>
        <v>0</v>
      </c>
    </row>
    <row r="526" spans="5:8" ht="30" customHeight="1" x14ac:dyDescent="0.3">
      <c r="E526" s="36"/>
      <c r="F526" s="36"/>
      <c r="G526" s="36"/>
      <c r="H526" s="58">
        <f t="shared" si="8"/>
        <v>0</v>
      </c>
    </row>
    <row r="527" spans="5:8" ht="30" customHeight="1" x14ac:dyDescent="0.3">
      <c r="E527" s="36"/>
      <c r="F527" s="36"/>
      <c r="G527" s="36"/>
      <c r="H527" s="58">
        <f t="shared" si="8"/>
        <v>0</v>
      </c>
    </row>
    <row r="528" spans="5:8" ht="30" customHeight="1" x14ac:dyDescent="0.3">
      <c r="E528" s="36"/>
      <c r="F528" s="36"/>
      <c r="G528" s="36"/>
      <c r="H528" s="58">
        <f t="shared" si="8"/>
        <v>0</v>
      </c>
    </row>
    <row r="529" spans="5:8" ht="30" customHeight="1" x14ac:dyDescent="0.3">
      <c r="E529" s="36"/>
      <c r="F529" s="36"/>
      <c r="G529" s="36"/>
      <c r="H529" s="58">
        <f t="shared" si="8"/>
        <v>0</v>
      </c>
    </row>
    <row r="530" spans="5:8" ht="30" customHeight="1" x14ac:dyDescent="0.3">
      <c r="E530" s="36"/>
      <c r="F530" s="36"/>
      <c r="G530" s="36"/>
      <c r="H530" s="58">
        <f t="shared" si="8"/>
        <v>0</v>
      </c>
    </row>
    <row r="531" spans="5:8" ht="30" customHeight="1" x14ac:dyDescent="0.3">
      <c r="E531" s="36"/>
      <c r="F531" s="36"/>
      <c r="G531" s="36"/>
      <c r="H531" s="58">
        <f t="shared" si="8"/>
        <v>0</v>
      </c>
    </row>
    <row r="532" spans="5:8" ht="30" customHeight="1" x14ac:dyDescent="0.3">
      <c r="E532" s="36"/>
      <c r="F532" s="36"/>
      <c r="G532" s="36"/>
      <c r="H532" s="58">
        <f t="shared" si="8"/>
        <v>0</v>
      </c>
    </row>
    <row r="533" spans="5:8" ht="30" customHeight="1" x14ac:dyDescent="0.3">
      <c r="E533" s="36"/>
      <c r="F533" s="36"/>
      <c r="G533" s="36"/>
      <c r="H533" s="58">
        <f t="shared" ref="H533:H596" si="9">H532-G533-F533+E533</f>
        <v>0</v>
      </c>
    </row>
    <row r="534" spans="5:8" ht="30" customHeight="1" x14ac:dyDescent="0.3">
      <c r="E534" s="36"/>
      <c r="F534" s="36"/>
      <c r="G534" s="36"/>
      <c r="H534" s="58">
        <f t="shared" si="9"/>
        <v>0</v>
      </c>
    </row>
    <row r="535" spans="5:8" ht="30" customHeight="1" x14ac:dyDescent="0.3">
      <c r="E535" s="36"/>
      <c r="F535" s="36"/>
      <c r="G535" s="36"/>
      <c r="H535" s="58">
        <f t="shared" si="9"/>
        <v>0</v>
      </c>
    </row>
    <row r="536" spans="5:8" ht="30" customHeight="1" x14ac:dyDescent="0.3">
      <c r="E536" s="36"/>
      <c r="F536" s="36"/>
      <c r="G536" s="36"/>
      <c r="H536" s="58">
        <f t="shared" si="9"/>
        <v>0</v>
      </c>
    </row>
    <row r="537" spans="5:8" ht="30" customHeight="1" x14ac:dyDescent="0.3">
      <c r="E537" s="36"/>
      <c r="F537" s="36"/>
      <c r="G537" s="36"/>
      <c r="H537" s="58">
        <f t="shared" si="9"/>
        <v>0</v>
      </c>
    </row>
    <row r="538" spans="5:8" ht="30" customHeight="1" x14ac:dyDescent="0.3">
      <c r="E538" s="36"/>
      <c r="F538" s="36"/>
      <c r="G538" s="36"/>
      <c r="H538" s="58">
        <f t="shared" si="9"/>
        <v>0</v>
      </c>
    </row>
    <row r="539" spans="5:8" ht="30" customHeight="1" x14ac:dyDescent="0.3">
      <c r="E539" s="36"/>
      <c r="F539" s="36"/>
      <c r="G539" s="36"/>
      <c r="H539" s="58">
        <f t="shared" si="9"/>
        <v>0</v>
      </c>
    </row>
    <row r="540" spans="5:8" ht="30" customHeight="1" x14ac:dyDescent="0.3">
      <c r="E540" s="36"/>
      <c r="F540" s="36"/>
      <c r="G540" s="36"/>
      <c r="H540" s="58">
        <f t="shared" si="9"/>
        <v>0</v>
      </c>
    </row>
    <row r="541" spans="5:8" ht="30" customHeight="1" x14ac:dyDescent="0.3">
      <c r="E541" s="36"/>
      <c r="F541" s="36"/>
      <c r="G541" s="36"/>
      <c r="H541" s="58">
        <f t="shared" si="9"/>
        <v>0</v>
      </c>
    </row>
    <row r="542" spans="5:8" ht="30" customHeight="1" x14ac:dyDescent="0.3">
      <c r="E542" s="36"/>
      <c r="F542" s="36"/>
      <c r="G542" s="36"/>
      <c r="H542" s="58">
        <f t="shared" si="9"/>
        <v>0</v>
      </c>
    </row>
    <row r="543" spans="5:8" ht="30" customHeight="1" x14ac:dyDescent="0.3">
      <c r="E543" s="36"/>
      <c r="F543" s="36"/>
      <c r="G543" s="36"/>
      <c r="H543" s="58">
        <f t="shared" si="9"/>
        <v>0</v>
      </c>
    </row>
    <row r="544" spans="5:8" ht="30" customHeight="1" x14ac:dyDescent="0.3">
      <c r="E544" s="36"/>
      <c r="F544" s="36"/>
      <c r="G544" s="36"/>
      <c r="H544" s="58">
        <f t="shared" si="9"/>
        <v>0</v>
      </c>
    </row>
    <row r="545" spans="5:8" ht="30" customHeight="1" x14ac:dyDescent="0.3">
      <c r="E545" s="36"/>
      <c r="F545" s="36"/>
      <c r="G545" s="36"/>
      <c r="H545" s="58">
        <f t="shared" si="9"/>
        <v>0</v>
      </c>
    </row>
    <row r="546" spans="5:8" ht="30" customHeight="1" x14ac:dyDescent="0.3">
      <c r="E546" s="36"/>
      <c r="F546" s="36"/>
      <c r="G546" s="36"/>
      <c r="H546" s="58">
        <f t="shared" si="9"/>
        <v>0</v>
      </c>
    </row>
    <row r="547" spans="5:8" ht="30" customHeight="1" x14ac:dyDescent="0.3">
      <c r="E547" s="36"/>
      <c r="F547" s="36"/>
      <c r="G547" s="36"/>
      <c r="H547" s="58">
        <f t="shared" si="9"/>
        <v>0</v>
      </c>
    </row>
    <row r="548" spans="5:8" ht="30" customHeight="1" x14ac:dyDescent="0.3">
      <c r="E548" s="36"/>
      <c r="F548" s="36"/>
      <c r="G548" s="36"/>
      <c r="H548" s="58">
        <f t="shared" si="9"/>
        <v>0</v>
      </c>
    </row>
    <row r="549" spans="5:8" ht="30" customHeight="1" x14ac:dyDescent="0.3">
      <c r="E549" s="36"/>
      <c r="F549" s="36"/>
      <c r="G549" s="36"/>
      <c r="H549" s="58">
        <f t="shared" si="9"/>
        <v>0</v>
      </c>
    </row>
    <row r="550" spans="5:8" ht="30" customHeight="1" x14ac:dyDescent="0.3">
      <c r="E550" s="36"/>
      <c r="F550" s="36"/>
      <c r="G550" s="36"/>
      <c r="H550" s="58">
        <f t="shared" si="9"/>
        <v>0</v>
      </c>
    </row>
    <row r="551" spans="5:8" ht="30" customHeight="1" x14ac:dyDescent="0.3">
      <c r="E551" s="36"/>
      <c r="F551" s="36"/>
      <c r="G551" s="36"/>
      <c r="H551" s="58">
        <f t="shared" si="9"/>
        <v>0</v>
      </c>
    </row>
    <row r="552" spans="5:8" ht="30" customHeight="1" x14ac:dyDescent="0.3">
      <c r="E552" s="36"/>
      <c r="F552" s="36"/>
      <c r="G552" s="36"/>
      <c r="H552" s="58">
        <f t="shared" si="9"/>
        <v>0</v>
      </c>
    </row>
    <row r="553" spans="5:8" ht="30" customHeight="1" x14ac:dyDescent="0.3">
      <c r="E553" s="36"/>
      <c r="F553" s="36"/>
      <c r="G553" s="36"/>
      <c r="H553" s="58">
        <f t="shared" si="9"/>
        <v>0</v>
      </c>
    </row>
    <row r="554" spans="5:8" ht="30" customHeight="1" x14ac:dyDescent="0.3">
      <c r="E554" s="36"/>
      <c r="F554" s="36"/>
      <c r="G554" s="36"/>
      <c r="H554" s="58">
        <f t="shared" si="9"/>
        <v>0</v>
      </c>
    </row>
    <row r="555" spans="5:8" ht="30" customHeight="1" x14ac:dyDescent="0.3">
      <c r="E555" s="36"/>
      <c r="F555" s="36"/>
      <c r="G555" s="36"/>
      <c r="H555" s="58">
        <f t="shared" si="9"/>
        <v>0</v>
      </c>
    </row>
    <row r="556" spans="5:8" ht="30" customHeight="1" x14ac:dyDescent="0.3">
      <c r="E556" s="36"/>
      <c r="F556" s="36"/>
      <c r="G556" s="36"/>
      <c r="H556" s="58">
        <f t="shared" si="9"/>
        <v>0</v>
      </c>
    </row>
    <row r="557" spans="5:8" ht="30" customHeight="1" x14ac:dyDescent="0.3">
      <c r="E557" s="36"/>
      <c r="F557" s="36"/>
      <c r="G557" s="36"/>
      <c r="H557" s="58">
        <f t="shared" si="9"/>
        <v>0</v>
      </c>
    </row>
    <row r="558" spans="5:8" ht="30" customHeight="1" x14ac:dyDescent="0.3">
      <c r="E558" s="36"/>
      <c r="F558" s="36"/>
      <c r="G558" s="36"/>
      <c r="H558" s="58">
        <f t="shared" si="9"/>
        <v>0</v>
      </c>
    </row>
    <row r="559" spans="5:8" ht="30" customHeight="1" x14ac:dyDescent="0.3">
      <c r="E559" s="36"/>
      <c r="F559" s="36"/>
      <c r="G559" s="36"/>
      <c r="H559" s="58">
        <f t="shared" si="9"/>
        <v>0</v>
      </c>
    </row>
    <row r="560" spans="5:8" ht="30" customHeight="1" x14ac:dyDescent="0.3">
      <c r="E560" s="36"/>
      <c r="F560" s="36"/>
      <c r="G560" s="36"/>
      <c r="H560" s="58">
        <f t="shared" si="9"/>
        <v>0</v>
      </c>
    </row>
    <row r="561" spans="5:8" ht="30" customHeight="1" x14ac:dyDescent="0.3">
      <c r="E561" s="36"/>
      <c r="F561" s="36"/>
      <c r="G561" s="36"/>
      <c r="H561" s="58">
        <f t="shared" si="9"/>
        <v>0</v>
      </c>
    </row>
    <row r="562" spans="5:8" ht="30" customHeight="1" x14ac:dyDescent="0.3">
      <c r="E562" s="36"/>
      <c r="F562" s="36"/>
      <c r="G562" s="36"/>
      <c r="H562" s="58">
        <f t="shared" si="9"/>
        <v>0</v>
      </c>
    </row>
    <row r="563" spans="5:8" ht="30" customHeight="1" x14ac:dyDescent="0.3">
      <c r="E563" s="36"/>
      <c r="F563" s="36"/>
      <c r="G563" s="36"/>
      <c r="H563" s="58">
        <f t="shared" si="9"/>
        <v>0</v>
      </c>
    </row>
    <row r="564" spans="5:8" ht="30" customHeight="1" x14ac:dyDescent="0.3">
      <c r="E564" s="36"/>
      <c r="F564" s="36"/>
      <c r="G564" s="36"/>
      <c r="H564" s="58">
        <f t="shared" si="9"/>
        <v>0</v>
      </c>
    </row>
    <row r="565" spans="5:8" ht="30" customHeight="1" x14ac:dyDescent="0.3">
      <c r="E565" s="36"/>
      <c r="F565" s="36"/>
      <c r="G565" s="36"/>
      <c r="H565" s="58">
        <f t="shared" si="9"/>
        <v>0</v>
      </c>
    </row>
    <row r="566" spans="5:8" ht="30" customHeight="1" x14ac:dyDescent="0.3">
      <c r="E566" s="36"/>
      <c r="F566" s="36"/>
      <c r="G566" s="36"/>
      <c r="H566" s="58">
        <f t="shared" si="9"/>
        <v>0</v>
      </c>
    </row>
    <row r="567" spans="5:8" ht="30" customHeight="1" x14ac:dyDescent="0.3">
      <c r="E567" s="36"/>
      <c r="F567" s="36"/>
      <c r="G567" s="36"/>
      <c r="H567" s="58">
        <f t="shared" si="9"/>
        <v>0</v>
      </c>
    </row>
    <row r="568" spans="5:8" ht="30" customHeight="1" x14ac:dyDescent="0.3">
      <c r="E568" s="36"/>
      <c r="F568" s="36"/>
      <c r="G568" s="36"/>
      <c r="H568" s="58">
        <f t="shared" si="9"/>
        <v>0</v>
      </c>
    </row>
    <row r="569" spans="5:8" ht="30" customHeight="1" x14ac:dyDescent="0.3">
      <c r="E569" s="36"/>
      <c r="F569" s="36"/>
      <c r="G569" s="36"/>
      <c r="H569" s="58">
        <f t="shared" si="9"/>
        <v>0</v>
      </c>
    </row>
    <row r="570" spans="5:8" ht="30" customHeight="1" x14ac:dyDescent="0.3">
      <c r="E570" s="36"/>
      <c r="F570" s="36"/>
      <c r="G570" s="36"/>
      <c r="H570" s="58">
        <f t="shared" si="9"/>
        <v>0</v>
      </c>
    </row>
    <row r="571" spans="5:8" ht="30" customHeight="1" x14ac:dyDescent="0.3">
      <c r="E571" s="36"/>
      <c r="F571" s="36"/>
      <c r="G571" s="36"/>
      <c r="H571" s="58">
        <f t="shared" si="9"/>
        <v>0</v>
      </c>
    </row>
    <row r="572" spans="5:8" ht="30" customHeight="1" x14ac:dyDescent="0.3">
      <c r="E572" s="36"/>
      <c r="F572" s="36"/>
      <c r="G572" s="36"/>
      <c r="H572" s="58">
        <f t="shared" si="9"/>
        <v>0</v>
      </c>
    </row>
    <row r="573" spans="5:8" ht="30" customHeight="1" x14ac:dyDescent="0.3">
      <c r="E573" s="36"/>
      <c r="F573" s="36"/>
      <c r="G573" s="36"/>
      <c r="H573" s="58">
        <f t="shared" si="9"/>
        <v>0</v>
      </c>
    </row>
    <row r="574" spans="5:8" ht="30" customHeight="1" x14ac:dyDescent="0.3">
      <c r="E574" s="36"/>
      <c r="F574" s="36"/>
      <c r="G574" s="36"/>
      <c r="H574" s="58">
        <f t="shared" si="9"/>
        <v>0</v>
      </c>
    </row>
    <row r="575" spans="5:8" ht="30" customHeight="1" x14ac:dyDescent="0.3">
      <c r="E575" s="36"/>
      <c r="F575" s="36"/>
      <c r="G575" s="36"/>
      <c r="H575" s="58">
        <f t="shared" si="9"/>
        <v>0</v>
      </c>
    </row>
    <row r="576" spans="5:8" ht="30" customHeight="1" x14ac:dyDescent="0.3">
      <c r="E576" s="36"/>
      <c r="F576" s="36"/>
      <c r="G576" s="36"/>
      <c r="H576" s="58">
        <f t="shared" si="9"/>
        <v>0</v>
      </c>
    </row>
    <row r="577" spans="5:8" ht="30" customHeight="1" x14ac:dyDescent="0.3">
      <c r="E577" s="36"/>
      <c r="F577" s="36"/>
      <c r="G577" s="36"/>
      <c r="H577" s="58">
        <f t="shared" si="9"/>
        <v>0</v>
      </c>
    </row>
    <row r="578" spans="5:8" ht="30" customHeight="1" x14ac:dyDescent="0.3">
      <c r="E578" s="36"/>
      <c r="F578" s="36"/>
      <c r="G578" s="36"/>
      <c r="H578" s="58">
        <f t="shared" si="9"/>
        <v>0</v>
      </c>
    </row>
    <row r="579" spans="5:8" ht="30" customHeight="1" x14ac:dyDescent="0.3">
      <c r="E579" s="36"/>
      <c r="F579" s="36"/>
      <c r="G579" s="36"/>
      <c r="H579" s="58">
        <f t="shared" si="9"/>
        <v>0</v>
      </c>
    </row>
    <row r="580" spans="5:8" ht="30" customHeight="1" x14ac:dyDescent="0.3">
      <c r="E580" s="36"/>
      <c r="F580" s="36"/>
      <c r="G580" s="36"/>
      <c r="H580" s="58">
        <f t="shared" si="9"/>
        <v>0</v>
      </c>
    </row>
    <row r="581" spans="5:8" ht="30" customHeight="1" x14ac:dyDescent="0.3">
      <c r="E581" s="36"/>
      <c r="F581" s="36"/>
      <c r="G581" s="36"/>
      <c r="H581" s="58">
        <f t="shared" si="9"/>
        <v>0</v>
      </c>
    </row>
    <row r="582" spans="5:8" ht="30" customHeight="1" x14ac:dyDescent="0.3">
      <c r="E582" s="36"/>
      <c r="F582" s="36"/>
      <c r="G582" s="36"/>
      <c r="H582" s="58">
        <f t="shared" si="9"/>
        <v>0</v>
      </c>
    </row>
    <row r="583" spans="5:8" ht="30" customHeight="1" x14ac:dyDescent="0.3">
      <c r="E583" s="36"/>
      <c r="F583" s="36"/>
      <c r="G583" s="36"/>
      <c r="H583" s="58">
        <f t="shared" si="9"/>
        <v>0</v>
      </c>
    </row>
    <row r="584" spans="5:8" ht="30" customHeight="1" x14ac:dyDescent="0.3">
      <c r="E584" s="36"/>
      <c r="F584" s="36"/>
      <c r="G584" s="36"/>
      <c r="H584" s="58">
        <f t="shared" si="9"/>
        <v>0</v>
      </c>
    </row>
    <row r="585" spans="5:8" ht="30" customHeight="1" x14ac:dyDescent="0.3">
      <c r="E585" s="36"/>
      <c r="F585" s="36"/>
      <c r="G585" s="36"/>
      <c r="H585" s="58">
        <f t="shared" si="9"/>
        <v>0</v>
      </c>
    </row>
    <row r="586" spans="5:8" ht="30" customHeight="1" x14ac:dyDescent="0.3">
      <c r="E586" s="36"/>
      <c r="F586" s="36"/>
      <c r="G586" s="36"/>
      <c r="H586" s="58">
        <f t="shared" si="9"/>
        <v>0</v>
      </c>
    </row>
    <row r="587" spans="5:8" ht="30" customHeight="1" x14ac:dyDescent="0.3">
      <c r="E587" s="36"/>
      <c r="F587" s="36"/>
      <c r="G587" s="36"/>
      <c r="H587" s="58">
        <f t="shared" si="9"/>
        <v>0</v>
      </c>
    </row>
    <row r="588" spans="5:8" ht="30" customHeight="1" x14ac:dyDescent="0.3">
      <c r="E588" s="36"/>
      <c r="F588" s="36"/>
      <c r="G588" s="36"/>
      <c r="H588" s="58">
        <f t="shared" si="9"/>
        <v>0</v>
      </c>
    </row>
    <row r="589" spans="5:8" ht="30" customHeight="1" x14ac:dyDescent="0.3">
      <c r="E589" s="36"/>
      <c r="F589" s="36"/>
      <c r="G589" s="36"/>
      <c r="H589" s="58">
        <f t="shared" si="9"/>
        <v>0</v>
      </c>
    </row>
    <row r="590" spans="5:8" ht="30" customHeight="1" x14ac:dyDescent="0.3">
      <c r="E590" s="36"/>
      <c r="F590" s="36"/>
      <c r="G590" s="36"/>
      <c r="H590" s="58">
        <f t="shared" si="9"/>
        <v>0</v>
      </c>
    </row>
    <row r="591" spans="5:8" ht="30" customHeight="1" x14ac:dyDescent="0.3">
      <c r="E591" s="36"/>
      <c r="F591" s="36"/>
      <c r="G591" s="36"/>
      <c r="H591" s="58">
        <f t="shared" si="9"/>
        <v>0</v>
      </c>
    </row>
    <row r="592" spans="5:8" ht="30" customHeight="1" x14ac:dyDescent="0.3">
      <c r="E592" s="36"/>
      <c r="F592" s="36"/>
      <c r="G592" s="36"/>
      <c r="H592" s="58">
        <f t="shared" si="9"/>
        <v>0</v>
      </c>
    </row>
    <row r="593" spans="5:8" ht="30" customHeight="1" x14ac:dyDescent="0.3">
      <c r="E593" s="36"/>
      <c r="F593" s="36"/>
      <c r="G593" s="36"/>
      <c r="H593" s="58">
        <f t="shared" si="9"/>
        <v>0</v>
      </c>
    </row>
    <row r="594" spans="5:8" ht="30" customHeight="1" x14ac:dyDescent="0.3">
      <c r="E594" s="36"/>
      <c r="F594" s="36"/>
      <c r="G594" s="36"/>
      <c r="H594" s="58">
        <f t="shared" si="9"/>
        <v>0</v>
      </c>
    </row>
    <row r="595" spans="5:8" ht="30" customHeight="1" x14ac:dyDescent="0.3">
      <c r="E595" s="36"/>
      <c r="F595" s="36"/>
      <c r="G595" s="36"/>
      <c r="H595" s="58">
        <f t="shared" si="9"/>
        <v>0</v>
      </c>
    </row>
    <row r="596" spans="5:8" ht="30" customHeight="1" x14ac:dyDescent="0.3">
      <c r="E596" s="36"/>
      <c r="F596" s="36"/>
      <c r="G596" s="36"/>
      <c r="H596" s="58">
        <f t="shared" si="9"/>
        <v>0</v>
      </c>
    </row>
    <row r="597" spans="5:8" ht="30" customHeight="1" x14ac:dyDescent="0.3">
      <c r="E597" s="36"/>
      <c r="F597" s="36"/>
      <c r="G597" s="36"/>
      <c r="H597" s="58">
        <f t="shared" ref="H597:H660" si="10">H596-G597-F597+E597</f>
        <v>0</v>
      </c>
    </row>
    <row r="598" spans="5:8" ht="30" customHeight="1" x14ac:dyDescent="0.3">
      <c r="E598" s="36"/>
      <c r="F598" s="36"/>
      <c r="G598" s="36"/>
      <c r="H598" s="58">
        <f t="shared" si="10"/>
        <v>0</v>
      </c>
    </row>
    <row r="599" spans="5:8" ht="30" customHeight="1" x14ac:dyDescent="0.3">
      <c r="E599" s="36"/>
      <c r="F599" s="36"/>
      <c r="G599" s="36"/>
      <c r="H599" s="58">
        <f t="shared" si="10"/>
        <v>0</v>
      </c>
    </row>
    <row r="600" spans="5:8" ht="30" customHeight="1" x14ac:dyDescent="0.3">
      <c r="E600" s="36"/>
      <c r="F600" s="36"/>
      <c r="G600" s="36"/>
      <c r="H600" s="58">
        <f t="shared" si="10"/>
        <v>0</v>
      </c>
    </row>
    <row r="601" spans="5:8" ht="30" customHeight="1" x14ac:dyDescent="0.3">
      <c r="E601" s="36"/>
      <c r="F601" s="36"/>
      <c r="G601" s="36"/>
      <c r="H601" s="58">
        <f t="shared" si="10"/>
        <v>0</v>
      </c>
    </row>
    <row r="602" spans="5:8" ht="30" customHeight="1" x14ac:dyDescent="0.3">
      <c r="E602" s="36"/>
      <c r="F602" s="36"/>
      <c r="G602" s="36"/>
      <c r="H602" s="58">
        <f t="shared" si="10"/>
        <v>0</v>
      </c>
    </row>
    <row r="603" spans="5:8" ht="30" customHeight="1" x14ac:dyDescent="0.3">
      <c r="E603" s="36"/>
      <c r="F603" s="36"/>
      <c r="G603" s="36"/>
      <c r="H603" s="58">
        <f t="shared" si="10"/>
        <v>0</v>
      </c>
    </row>
    <row r="604" spans="5:8" ht="30" customHeight="1" x14ac:dyDescent="0.3">
      <c r="E604" s="36"/>
      <c r="F604" s="36"/>
      <c r="G604" s="36"/>
      <c r="H604" s="58">
        <f t="shared" si="10"/>
        <v>0</v>
      </c>
    </row>
    <row r="605" spans="5:8" ht="30" customHeight="1" x14ac:dyDescent="0.3">
      <c r="E605" s="36"/>
      <c r="F605" s="36"/>
      <c r="G605" s="36"/>
      <c r="H605" s="58">
        <f t="shared" si="10"/>
        <v>0</v>
      </c>
    </row>
    <row r="606" spans="5:8" ht="30" customHeight="1" x14ac:dyDescent="0.3">
      <c r="E606" s="36"/>
      <c r="F606" s="36"/>
      <c r="G606" s="36"/>
      <c r="H606" s="58">
        <f t="shared" si="10"/>
        <v>0</v>
      </c>
    </row>
    <row r="607" spans="5:8" ht="30" customHeight="1" x14ac:dyDescent="0.3">
      <c r="E607" s="36"/>
      <c r="F607" s="36"/>
      <c r="G607" s="36"/>
      <c r="H607" s="58">
        <f t="shared" si="10"/>
        <v>0</v>
      </c>
    </row>
    <row r="608" spans="5:8" ht="30" customHeight="1" x14ac:dyDescent="0.3">
      <c r="E608" s="36"/>
      <c r="F608" s="36"/>
      <c r="G608" s="36"/>
      <c r="H608" s="58">
        <f t="shared" si="10"/>
        <v>0</v>
      </c>
    </row>
    <row r="609" spans="5:8" ht="30" customHeight="1" x14ac:dyDescent="0.3">
      <c r="E609" s="36"/>
      <c r="F609" s="36"/>
      <c r="G609" s="36"/>
      <c r="H609" s="58">
        <f t="shared" si="10"/>
        <v>0</v>
      </c>
    </row>
    <row r="610" spans="5:8" ht="30" customHeight="1" x14ac:dyDescent="0.3">
      <c r="E610" s="36"/>
      <c r="F610" s="36"/>
      <c r="G610" s="36"/>
      <c r="H610" s="58">
        <f t="shared" si="10"/>
        <v>0</v>
      </c>
    </row>
    <row r="611" spans="5:8" ht="30" customHeight="1" x14ac:dyDescent="0.3">
      <c r="E611" s="36"/>
      <c r="F611" s="36"/>
      <c r="G611" s="36"/>
      <c r="H611" s="58">
        <f t="shared" si="10"/>
        <v>0</v>
      </c>
    </row>
    <row r="612" spans="5:8" ht="30" customHeight="1" x14ac:dyDescent="0.3">
      <c r="E612" s="36"/>
      <c r="F612" s="36"/>
      <c r="G612" s="36"/>
      <c r="H612" s="58">
        <f t="shared" si="10"/>
        <v>0</v>
      </c>
    </row>
    <row r="613" spans="5:8" ht="30" customHeight="1" x14ac:dyDescent="0.3">
      <c r="E613" s="36"/>
      <c r="F613" s="36"/>
      <c r="G613" s="36"/>
      <c r="H613" s="58">
        <f t="shared" si="10"/>
        <v>0</v>
      </c>
    </row>
    <row r="614" spans="5:8" ht="30" customHeight="1" x14ac:dyDescent="0.3">
      <c r="E614" s="36"/>
      <c r="F614" s="36"/>
      <c r="G614" s="36"/>
      <c r="H614" s="58">
        <f t="shared" si="10"/>
        <v>0</v>
      </c>
    </row>
    <row r="615" spans="5:8" ht="30" customHeight="1" x14ac:dyDescent="0.3">
      <c r="E615" s="36"/>
      <c r="F615" s="36"/>
      <c r="G615" s="36"/>
      <c r="H615" s="58">
        <f t="shared" si="10"/>
        <v>0</v>
      </c>
    </row>
    <row r="616" spans="5:8" ht="30" customHeight="1" x14ac:dyDescent="0.3">
      <c r="E616" s="36"/>
      <c r="F616" s="36"/>
      <c r="G616" s="36"/>
      <c r="H616" s="58">
        <f t="shared" si="10"/>
        <v>0</v>
      </c>
    </row>
    <row r="617" spans="5:8" ht="30" customHeight="1" x14ac:dyDescent="0.3">
      <c r="E617" s="36"/>
      <c r="F617" s="36"/>
      <c r="G617" s="36"/>
      <c r="H617" s="58">
        <f t="shared" si="10"/>
        <v>0</v>
      </c>
    </row>
    <row r="618" spans="5:8" ht="30" customHeight="1" x14ac:dyDescent="0.3">
      <c r="E618" s="36"/>
      <c r="F618" s="36"/>
      <c r="G618" s="36"/>
      <c r="H618" s="58">
        <f t="shared" si="10"/>
        <v>0</v>
      </c>
    </row>
    <row r="619" spans="5:8" ht="30" customHeight="1" x14ac:dyDescent="0.3">
      <c r="E619" s="36"/>
      <c r="F619" s="36"/>
      <c r="G619" s="36"/>
      <c r="H619" s="58">
        <f t="shared" si="10"/>
        <v>0</v>
      </c>
    </row>
    <row r="620" spans="5:8" ht="30" customHeight="1" x14ac:dyDescent="0.3">
      <c r="E620" s="36"/>
      <c r="F620" s="36"/>
      <c r="G620" s="36"/>
      <c r="H620" s="58">
        <f t="shared" si="10"/>
        <v>0</v>
      </c>
    </row>
    <row r="621" spans="5:8" ht="30" customHeight="1" x14ac:dyDescent="0.3">
      <c r="E621" s="36"/>
      <c r="F621" s="36"/>
      <c r="G621" s="36"/>
      <c r="H621" s="58">
        <f t="shared" si="10"/>
        <v>0</v>
      </c>
    </row>
    <row r="622" spans="5:8" ht="30" customHeight="1" x14ac:dyDescent="0.3">
      <c r="E622" s="36"/>
      <c r="F622" s="36"/>
      <c r="G622" s="36"/>
      <c r="H622" s="58">
        <f t="shared" si="10"/>
        <v>0</v>
      </c>
    </row>
    <row r="623" spans="5:8" ht="30" customHeight="1" x14ac:dyDescent="0.3">
      <c r="E623" s="36"/>
      <c r="F623" s="36"/>
      <c r="G623" s="36"/>
      <c r="H623" s="58">
        <f t="shared" si="10"/>
        <v>0</v>
      </c>
    </row>
    <row r="624" spans="5:8" ht="30" customHeight="1" x14ac:dyDescent="0.3">
      <c r="E624" s="36"/>
      <c r="F624" s="36"/>
      <c r="G624" s="36"/>
      <c r="H624" s="58">
        <f t="shared" si="10"/>
        <v>0</v>
      </c>
    </row>
    <row r="625" spans="5:8" ht="30" customHeight="1" x14ac:dyDescent="0.3">
      <c r="E625" s="36"/>
      <c r="F625" s="36"/>
      <c r="G625" s="36"/>
      <c r="H625" s="58">
        <f t="shared" si="10"/>
        <v>0</v>
      </c>
    </row>
    <row r="626" spans="5:8" ht="30" customHeight="1" x14ac:dyDescent="0.3">
      <c r="E626" s="36"/>
      <c r="F626" s="36"/>
      <c r="G626" s="36"/>
      <c r="H626" s="58">
        <f t="shared" si="10"/>
        <v>0</v>
      </c>
    </row>
    <row r="627" spans="5:8" ht="30" customHeight="1" x14ac:dyDescent="0.3">
      <c r="E627" s="36"/>
      <c r="F627" s="36"/>
      <c r="G627" s="36"/>
      <c r="H627" s="58">
        <f t="shared" si="10"/>
        <v>0</v>
      </c>
    </row>
    <row r="628" spans="5:8" ht="30" customHeight="1" x14ac:dyDescent="0.3">
      <c r="E628" s="36"/>
      <c r="F628" s="36"/>
      <c r="G628" s="36"/>
      <c r="H628" s="58">
        <f t="shared" si="10"/>
        <v>0</v>
      </c>
    </row>
    <row r="629" spans="5:8" ht="30" customHeight="1" x14ac:dyDescent="0.3">
      <c r="E629" s="36"/>
      <c r="F629" s="36"/>
      <c r="G629" s="36"/>
      <c r="H629" s="58">
        <f t="shared" si="10"/>
        <v>0</v>
      </c>
    </row>
    <row r="630" spans="5:8" ht="30" customHeight="1" x14ac:dyDescent="0.3">
      <c r="E630" s="36"/>
      <c r="F630" s="36"/>
      <c r="G630" s="36"/>
      <c r="H630" s="58">
        <f t="shared" si="10"/>
        <v>0</v>
      </c>
    </row>
    <row r="631" spans="5:8" ht="30" customHeight="1" x14ac:dyDescent="0.3">
      <c r="E631" s="36"/>
      <c r="F631" s="36"/>
      <c r="G631" s="36"/>
      <c r="H631" s="58">
        <f t="shared" si="10"/>
        <v>0</v>
      </c>
    </row>
    <row r="632" spans="5:8" ht="30" customHeight="1" x14ac:dyDescent="0.3">
      <c r="E632" s="36"/>
      <c r="F632" s="36"/>
      <c r="G632" s="36"/>
      <c r="H632" s="58">
        <f t="shared" si="10"/>
        <v>0</v>
      </c>
    </row>
    <row r="633" spans="5:8" ht="30" customHeight="1" x14ac:dyDescent="0.3">
      <c r="E633" s="36"/>
      <c r="F633" s="36"/>
      <c r="G633" s="36"/>
      <c r="H633" s="58">
        <f t="shared" si="10"/>
        <v>0</v>
      </c>
    </row>
    <row r="634" spans="5:8" ht="30" customHeight="1" x14ac:dyDescent="0.3">
      <c r="E634" s="36"/>
      <c r="F634" s="36"/>
      <c r="G634" s="36"/>
      <c r="H634" s="58">
        <f t="shared" si="10"/>
        <v>0</v>
      </c>
    </row>
    <row r="635" spans="5:8" ht="30" customHeight="1" x14ac:dyDescent="0.3">
      <c r="E635" s="36"/>
      <c r="F635" s="36"/>
      <c r="G635" s="36"/>
      <c r="H635" s="58">
        <f t="shared" si="10"/>
        <v>0</v>
      </c>
    </row>
    <row r="636" spans="5:8" ht="30" customHeight="1" x14ac:dyDescent="0.3">
      <c r="E636" s="36"/>
      <c r="F636" s="36"/>
      <c r="G636" s="36"/>
      <c r="H636" s="58">
        <f t="shared" si="10"/>
        <v>0</v>
      </c>
    </row>
    <row r="637" spans="5:8" ht="30" customHeight="1" x14ac:dyDescent="0.3">
      <c r="E637" s="36"/>
      <c r="F637" s="36"/>
      <c r="G637" s="36"/>
      <c r="H637" s="58">
        <f t="shared" si="10"/>
        <v>0</v>
      </c>
    </row>
    <row r="638" spans="5:8" ht="30" customHeight="1" x14ac:dyDescent="0.3">
      <c r="E638" s="36"/>
      <c r="F638" s="36"/>
      <c r="G638" s="36"/>
      <c r="H638" s="58">
        <f t="shared" si="10"/>
        <v>0</v>
      </c>
    </row>
    <row r="639" spans="5:8" ht="30" customHeight="1" x14ac:dyDescent="0.3">
      <c r="E639" s="36"/>
      <c r="F639" s="36"/>
      <c r="G639" s="36"/>
      <c r="H639" s="58">
        <f t="shared" si="10"/>
        <v>0</v>
      </c>
    </row>
    <row r="640" spans="5:8" ht="30" customHeight="1" x14ac:dyDescent="0.3">
      <c r="E640" s="36"/>
      <c r="F640" s="36"/>
      <c r="G640" s="36"/>
      <c r="H640" s="58">
        <f t="shared" si="10"/>
        <v>0</v>
      </c>
    </row>
    <row r="641" spans="5:8" ht="30" customHeight="1" x14ac:dyDescent="0.3">
      <c r="E641" s="36"/>
      <c r="F641" s="36"/>
      <c r="G641" s="36"/>
      <c r="H641" s="58">
        <f t="shared" si="10"/>
        <v>0</v>
      </c>
    </row>
    <row r="642" spans="5:8" ht="30" customHeight="1" x14ac:dyDescent="0.3">
      <c r="E642" s="36"/>
      <c r="F642" s="36"/>
      <c r="G642" s="36"/>
      <c r="H642" s="58">
        <f t="shared" si="10"/>
        <v>0</v>
      </c>
    </row>
    <row r="643" spans="5:8" ht="30" customHeight="1" x14ac:dyDescent="0.3">
      <c r="E643" s="36"/>
      <c r="F643" s="36"/>
      <c r="G643" s="36"/>
      <c r="H643" s="58">
        <f t="shared" si="10"/>
        <v>0</v>
      </c>
    </row>
    <row r="644" spans="5:8" ht="30" customHeight="1" x14ac:dyDescent="0.3">
      <c r="E644" s="36"/>
      <c r="F644" s="36"/>
      <c r="G644" s="36"/>
      <c r="H644" s="58">
        <f t="shared" si="10"/>
        <v>0</v>
      </c>
    </row>
    <row r="645" spans="5:8" ht="30" customHeight="1" x14ac:dyDescent="0.3">
      <c r="E645" s="36"/>
      <c r="F645" s="36"/>
      <c r="G645" s="36"/>
      <c r="H645" s="58">
        <f t="shared" si="10"/>
        <v>0</v>
      </c>
    </row>
    <row r="646" spans="5:8" ht="30" customHeight="1" x14ac:dyDescent="0.3">
      <c r="E646" s="36"/>
      <c r="F646" s="36"/>
      <c r="G646" s="36"/>
      <c r="H646" s="58">
        <f t="shared" si="10"/>
        <v>0</v>
      </c>
    </row>
    <row r="647" spans="5:8" ht="30" customHeight="1" x14ac:dyDescent="0.3">
      <c r="E647" s="36"/>
      <c r="F647" s="36"/>
      <c r="G647" s="36"/>
      <c r="H647" s="58">
        <f t="shared" si="10"/>
        <v>0</v>
      </c>
    </row>
    <row r="648" spans="5:8" ht="30" customHeight="1" x14ac:dyDescent="0.3">
      <c r="E648" s="36"/>
      <c r="F648" s="36"/>
      <c r="G648" s="36"/>
      <c r="H648" s="58">
        <f t="shared" si="10"/>
        <v>0</v>
      </c>
    </row>
    <row r="649" spans="5:8" ht="30" customHeight="1" x14ac:dyDescent="0.3">
      <c r="E649" s="36"/>
      <c r="F649" s="36"/>
      <c r="G649" s="36"/>
      <c r="H649" s="58">
        <f t="shared" si="10"/>
        <v>0</v>
      </c>
    </row>
    <row r="650" spans="5:8" ht="30" customHeight="1" x14ac:dyDescent="0.3">
      <c r="E650" s="36"/>
      <c r="F650" s="36"/>
      <c r="G650" s="36"/>
      <c r="H650" s="58">
        <f t="shared" si="10"/>
        <v>0</v>
      </c>
    </row>
    <row r="651" spans="5:8" ht="30" customHeight="1" x14ac:dyDescent="0.3">
      <c r="E651" s="36"/>
      <c r="F651" s="36"/>
      <c r="G651" s="36"/>
      <c r="H651" s="58">
        <f t="shared" si="10"/>
        <v>0</v>
      </c>
    </row>
    <row r="652" spans="5:8" ht="30" customHeight="1" x14ac:dyDescent="0.3">
      <c r="E652" s="36"/>
      <c r="F652" s="36"/>
      <c r="G652" s="36"/>
      <c r="H652" s="58">
        <f t="shared" si="10"/>
        <v>0</v>
      </c>
    </row>
    <row r="653" spans="5:8" ht="30" customHeight="1" x14ac:dyDescent="0.3">
      <c r="E653" s="36"/>
      <c r="F653" s="36"/>
      <c r="G653" s="36"/>
      <c r="H653" s="58">
        <f t="shared" si="10"/>
        <v>0</v>
      </c>
    </row>
    <row r="654" spans="5:8" ht="30" customHeight="1" x14ac:dyDescent="0.3">
      <c r="E654" s="36"/>
      <c r="F654" s="36"/>
      <c r="G654" s="36"/>
      <c r="H654" s="58">
        <f t="shared" si="10"/>
        <v>0</v>
      </c>
    </row>
    <row r="655" spans="5:8" ht="30" customHeight="1" x14ac:dyDescent="0.3">
      <c r="E655" s="36"/>
      <c r="F655" s="36"/>
      <c r="G655" s="36"/>
      <c r="H655" s="58">
        <f t="shared" si="10"/>
        <v>0</v>
      </c>
    </row>
    <row r="656" spans="5:8" ht="30" customHeight="1" x14ac:dyDescent="0.3">
      <c r="E656" s="36"/>
      <c r="F656" s="36"/>
      <c r="G656" s="36"/>
      <c r="H656" s="58">
        <f t="shared" si="10"/>
        <v>0</v>
      </c>
    </row>
    <row r="657" spans="5:8" ht="30" customHeight="1" x14ac:dyDescent="0.3">
      <c r="E657" s="36"/>
      <c r="F657" s="36"/>
      <c r="G657" s="36"/>
      <c r="H657" s="58">
        <f t="shared" si="10"/>
        <v>0</v>
      </c>
    </row>
    <row r="658" spans="5:8" ht="30" customHeight="1" x14ac:dyDescent="0.3">
      <c r="E658" s="36"/>
      <c r="F658" s="36"/>
      <c r="G658" s="36"/>
      <c r="H658" s="58">
        <f t="shared" si="10"/>
        <v>0</v>
      </c>
    </row>
    <row r="659" spans="5:8" ht="30" customHeight="1" x14ac:dyDescent="0.3">
      <c r="E659" s="36"/>
      <c r="F659" s="36"/>
      <c r="G659" s="36"/>
      <c r="H659" s="58">
        <f t="shared" si="10"/>
        <v>0</v>
      </c>
    </row>
    <row r="660" spans="5:8" ht="30" customHeight="1" x14ac:dyDescent="0.3">
      <c r="E660" s="36"/>
      <c r="F660" s="36"/>
      <c r="G660" s="36"/>
      <c r="H660" s="58">
        <f t="shared" si="10"/>
        <v>0</v>
      </c>
    </row>
    <row r="661" spans="5:8" ht="30" customHeight="1" x14ac:dyDescent="0.3">
      <c r="E661" s="36"/>
      <c r="F661" s="36"/>
      <c r="G661" s="36"/>
      <c r="H661" s="58">
        <f t="shared" ref="H661:H674" si="11">H660-G661-F661+E661</f>
        <v>0</v>
      </c>
    </row>
    <row r="662" spans="5:8" ht="30" customHeight="1" x14ac:dyDescent="0.3">
      <c r="E662" s="36"/>
      <c r="F662" s="36"/>
      <c r="G662" s="36"/>
      <c r="H662" s="58">
        <f t="shared" si="11"/>
        <v>0</v>
      </c>
    </row>
    <row r="663" spans="5:8" ht="30" customHeight="1" x14ac:dyDescent="0.3">
      <c r="E663" s="36"/>
      <c r="F663" s="36"/>
      <c r="G663" s="36"/>
      <c r="H663" s="58">
        <f t="shared" si="11"/>
        <v>0</v>
      </c>
    </row>
    <row r="664" spans="5:8" ht="30" customHeight="1" x14ac:dyDescent="0.3">
      <c r="E664" s="36"/>
      <c r="F664" s="36"/>
      <c r="G664" s="36"/>
      <c r="H664" s="58">
        <f t="shared" si="11"/>
        <v>0</v>
      </c>
    </row>
    <row r="665" spans="5:8" ht="30" customHeight="1" x14ac:dyDescent="0.3">
      <c r="E665" s="36"/>
      <c r="F665" s="36"/>
      <c r="G665" s="36"/>
      <c r="H665" s="58">
        <f t="shared" si="11"/>
        <v>0</v>
      </c>
    </row>
    <row r="666" spans="5:8" ht="30" customHeight="1" x14ac:dyDescent="0.3">
      <c r="E666" s="36"/>
      <c r="F666" s="36"/>
      <c r="G666" s="36"/>
      <c r="H666" s="58">
        <f t="shared" si="11"/>
        <v>0</v>
      </c>
    </row>
    <row r="667" spans="5:8" ht="30" customHeight="1" x14ac:dyDescent="0.3">
      <c r="E667" s="36"/>
      <c r="F667" s="36"/>
      <c r="G667" s="36"/>
      <c r="H667" s="58">
        <f t="shared" si="11"/>
        <v>0</v>
      </c>
    </row>
    <row r="668" spans="5:8" ht="30" customHeight="1" x14ac:dyDescent="0.3">
      <c r="E668" s="36"/>
      <c r="F668" s="36"/>
      <c r="G668" s="36"/>
      <c r="H668" s="58">
        <f t="shared" si="11"/>
        <v>0</v>
      </c>
    </row>
    <row r="669" spans="5:8" ht="30" customHeight="1" x14ac:dyDescent="0.3">
      <c r="E669" s="36"/>
      <c r="F669" s="36"/>
      <c r="G669" s="36"/>
      <c r="H669" s="58">
        <f t="shared" si="11"/>
        <v>0</v>
      </c>
    </row>
    <row r="670" spans="5:8" ht="30" customHeight="1" x14ac:dyDescent="0.3">
      <c r="E670" s="36"/>
      <c r="F670" s="36"/>
      <c r="G670" s="36"/>
      <c r="H670" s="58">
        <f t="shared" si="11"/>
        <v>0</v>
      </c>
    </row>
    <row r="671" spans="5:8" ht="30" customHeight="1" x14ac:dyDescent="0.3">
      <c r="E671" s="36"/>
      <c r="F671" s="36"/>
      <c r="G671" s="36"/>
      <c r="H671" s="58">
        <f t="shared" si="11"/>
        <v>0</v>
      </c>
    </row>
    <row r="672" spans="5:8" ht="30" customHeight="1" x14ac:dyDescent="0.3">
      <c r="E672" s="36"/>
      <c r="F672" s="36"/>
      <c r="G672" s="36"/>
      <c r="H672" s="58">
        <f t="shared" si="11"/>
        <v>0</v>
      </c>
    </row>
    <row r="673" spans="5:8" ht="30" customHeight="1" x14ac:dyDescent="0.3">
      <c r="E673" s="36"/>
      <c r="F673" s="36"/>
      <c r="G673" s="36"/>
      <c r="H673" s="58">
        <f t="shared" si="11"/>
        <v>0</v>
      </c>
    </row>
    <row r="674" spans="5:8" ht="30" customHeight="1" x14ac:dyDescent="0.3">
      <c r="E674" s="36"/>
      <c r="F674" s="36"/>
      <c r="G674" s="36"/>
      <c r="H674" s="58">
        <f t="shared" si="11"/>
        <v>0</v>
      </c>
    </row>
    <row r="1048539" spans="8:8" ht="30" customHeight="1" x14ac:dyDescent="0.3">
      <c r="H1048539" s="65"/>
    </row>
    <row r="1048572" spans="5:5" ht="30" customHeight="1" x14ac:dyDescent="0.3">
      <c r="E1048572" s="66">
        <v>2</v>
      </c>
    </row>
  </sheetData>
  <protectedRanges>
    <protectedRange algorithmName="SHA-512" hashValue="ffugsC+REQ3KjEFJPAje2qwzrzXXl9JEs1FRMVMrvyyePkWcoE88xPlm8f68gmEz7nCPeHy7w1rT+Op/ZeZidg==" saltValue="l+cA5HIP8oY+anLUm+9hzw==" spinCount="100000" sqref="E9:G10 A72:G1048576 A9:B71 D11:G71" name="Range1_1"/>
    <protectedRange algorithmName="SHA-512" hashValue="ffugsC+REQ3KjEFJPAje2qwzrzXXl9JEs1FRMVMrvyyePkWcoE88xPlm8f68gmEz7nCPeHy7w1rT+Op/ZeZidg==" saltValue="l+cA5HIP8oY+anLUm+9hzw==" spinCount="100000" sqref="A7:G7 A8:B8 D8:G8 C8:C71" name="Range1_1_1"/>
  </protectedRanges>
  <mergeCells count="96">
    <mergeCell ref="I93:J93"/>
    <mergeCell ref="I87:J87"/>
    <mergeCell ref="I88:J88"/>
    <mergeCell ref="I89:J89"/>
    <mergeCell ref="I90:J90"/>
    <mergeCell ref="I91:J91"/>
    <mergeCell ref="I92:J92"/>
    <mergeCell ref="I86:J86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74:J74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62:J62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5:J25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E7:G8">
    <cfRule type="cellIs" dxfId="55" priority="1" operator="lessThan">
      <formula>1</formula>
    </cfRule>
  </conditionalFormatting>
  <conditionalFormatting sqref="E7:H8 H9:H17">
    <cfRule type="cellIs" dxfId="54" priority="2" operator="between">
      <formula>1</formula>
      <formula>1000000</formula>
    </cfRule>
  </conditionalFormatting>
  <conditionalFormatting sqref="E9:G20">
    <cfRule type="cellIs" dxfId="53" priority="5" operator="between">
      <formula>0.1</formula>
      <formula>999999</formula>
    </cfRule>
  </conditionalFormatting>
  <conditionalFormatting sqref="H18:H60">
    <cfRule type="cellIs" dxfId="52" priority="3" operator="between">
      <formula>0.1</formula>
      <formula>999999</formula>
    </cfRule>
  </conditionalFormatting>
  <conditionalFormatting sqref="L21">
    <cfRule type="cellIs" dxfId="51" priority="4" operator="between">
      <formula>0.1</formula>
      <formula>999999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5F27-B314-457F-A0F8-EFAD2F62E688}">
  <dimension ref="A1:L1048575"/>
  <sheetViews>
    <sheetView workbookViewId="0">
      <selection activeCell="H12" sqref="H12"/>
    </sheetView>
  </sheetViews>
  <sheetFormatPr defaultRowHeight="30" customHeight="1" x14ac:dyDescent="0.3"/>
  <cols>
    <col min="1" max="1" width="18.42578125" style="63" customWidth="1"/>
    <col min="2" max="2" width="22.28515625" style="75" customWidth="1"/>
    <col min="3" max="3" width="27.140625" style="41" customWidth="1"/>
    <col min="4" max="4" width="22.42578125" style="41" customWidth="1"/>
    <col min="5" max="5" width="21.5703125" style="64" customWidth="1"/>
    <col min="6" max="6" width="17.7109375" style="64" customWidth="1"/>
    <col min="7" max="7" width="15.28515625" style="64" customWidth="1"/>
    <col min="8" max="8" width="21.28515625" style="67" customWidth="1"/>
    <col min="9" max="9" width="19.42578125" style="41" customWidth="1"/>
    <col min="10" max="10" width="10.7109375" style="14" customWidth="1"/>
    <col min="11" max="11" width="12.28515625" style="14" customWidth="1"/>
    <col min="12" max="16384" width="9.140625" style="14"/>
  </cols>
  <sheetData>
    <row r="1" spans="1:12" ht="72" customHeight="1" x14ac:dyDescent="0.3">
      <c r="A1" s="46"/>
      <c r="B1" s="106" t="s">
        <v>28</v>
      </c>
      <c r="C1" s="106"/>
      <c r="D1" s="106"/>
      <c r="E1" s="106"/>
      <c r="F1" s="106"/>
      <c r="G1" s="106"/>
      <c r="H1" s="106"/>
      <c r="I1" s="106"/>
    </row>
    <row r="2" spans="1:12" ht="30" customHeight="1" x14ac:dyDescent="0.3">
      <c r="A2" s="107" t="s">
        <v>29</v>
      </c>
      <c r="B2" s="107"/>
      <c r="C2" s="107"/>
      <c r="D2" s="15">
        <v>3</v>
      </c>
      <c r="E2" s="108" t="s">
        <v>30</v>
      </c>
      <c r="F2" s="108"/>
      <c r="G2" s="108"/>
      <c r="H2" s="17"/>
      <c r="I2" s="16" t="s">
        <v>31</v>
      </c>
      <c r="J2" s="18"/>
      <c r="K2" s="109"/>
      <c r="L2" s="109"/>
    </row>
    <row r="3" spans="1:12" ht="30" customHeight="1" x14ac:dyDescent="0.3">
      <c r="A3" s="107" t="s">
        <v>32</v>
      </c>
      <c r="B3" s="107"/>
      <c r="C3" s="107"/>
      <c r="D3" s="68" t="s">
        <v>25</v>
      </c>
      <c r="E3" s="112" t="s">
        <v>33</v>
      </c>
      <c r="F3" s="112"/>
      <c r="G3" s="112"/>
      <c r="H3" s="112"/>
      <c r="I3" s="69">
        <v>3008</v>
      </c>
    </row>
    <row r="4" spans="1:12" ht="57.75" customHeight="1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70" t="s">
        <v>38</v>
      </c>
      <c r="F4" s="22" t="s">
        <v>39</v>
      </c>
      <c r="G4" s="22" t="s">
        <v>40</v>
      </c>
      <c r="H4" s="70" t="s">
        <v>41</v>
      </c>
      <c r="I4" s="113" t="s">
        <v>42</v>
      </c>
    </row>
    <row r="5" spans="1:12" s="25" customFormat="1" ht="89.25" customHeight="1" x14ac:dyDescent="0.25">
      <c r="A5" s="114"/>
      <c r="B5" s="114"/>
      <c r="C5" s="114"/>
      <c r="D5" s="114"/>
      <c r="E5" s="24" t="s">
        <v>101</v>
      </c>
      <c r="F5" s="24" t="s">
        <v>43</v>
      </c>
      <c r="G5" s="24" t="s">
        <v>43</v>
      </c>
      <c r="H5" s="24" t="s">
        <v>43</v>
      </c>
      <c r="I5" s="114"/>
    </row>
    <row r="6" spans="1:12" s="25" customFormat="1" ht="49.5" customHeight="1" x14ac:dyDescent="0.25">
      <c r="A6" s="23"/>
      <c r="B6" s="71"/>
      <c r="C6" s="23"/>
      <c r="D6" s="23"/>
      <c r="E6" s="72">
        <f>SUM(E7:E1004)</f>
        <v>200</v>
      </c>
      <c r="F6" s="73">
        <f>SUM(F7:F1004)</f>
        <v>0</v>
      </c>
      <c r="G6" s="73">
        <f>SUM(G7:G1004)</f>
        <v>100</v>
      </c>
      <c r="H6" s="72">
        <f>SUM(E6-F6-G6)</f>
        <v>100</v>
      </c>
      <c r="I6" s="74"/>
    </row>
    <row r="7" spans="1:12" ht="48" customHeight="1" x14ac:dyDescent="0.3">
      <c r="A7" s="39">
        <v>45296</v>
      </c>
      <c r="B7" s="32" t="s">
        <v>102</v>
      </c>
      <c r="C7" s="33" t="s">
        <v>103</v>
      </c>
      <c r="D7" s="33" t="s">
        <v>104</v>
      </c>
      <c r="E7" s="36">
        <v>200</v>
      </c>
      <c r="F7" s="36">
        <v>0</v>
      </c>
      <c r="G7" s="36">
        <v>0</v>
      </c>
      <c r="H7" s="58">
        <f>SUM(E7:G7)</f>
        <v>200</v>
      </c>
      <c r="I7" s="37"/>
    </row>
    <row r="8" spans="1:12" ht="61.5" customHeight="1" x14ac:dyDescent="0.3">
      <c r="A8" s="39" t="s">
        <v>88</v>
      </c>
      <c r="B8" s="32" t="s">
        <v>105</v>
      </c>
      <c r="C8" s="33" t="s">
        <v>106</v>
      </c>
      <c r="D8" s="34" t="s">
        <v>107</v>
      </c>
      <c r="E8" s="36">
        <v>0</v>
      </c>
      <c r="F8" s="36">
        <v>0</v>
      </c>
      <c r="G8" s="36">
        <v>50</v>
      </c>
      <c r="H8" s="58">
        <f>H7+E8-F8-G8</f>
        <v>150</v>
      </c>
      <c r="I8" s="37"/>
    </row>
    <row r="9" spans="1:12" ht="65.25" customHeight="1" x14ac:dyDescent="0.3">
      <c r="A9" s="39">
        <v>46144</v>
      </c>
      <c r="B9" s="32" t="s">
        <v>108</v>
      </c>
      <c r="C9" s="33" t="s">
        <v>109</v>
      </c>
      <c r="D9" s="34" t="s">
        <v>107</v>
      </c>
      <c r="E9" s="36">
        <v>0</v>
      </c>
      <c r="F9" s="36">
        <v>0</v>
      </c>
      <c r="G9" s="36">
        <v>20</v>
      </c>
      <c r="H9" s="58">
        <f t="shared" ref="H9:H11" si="0">H8+E9-F9-G9</f>
        <v>130</v>
      </c>
      <c r="I9" s="37"/>
    </row>
    <row r="10" spans="1:12" ht="63" customHeight="1" x14ac:dyDescent="0.3">
      <c r="A10" s="39">
        <v>46298</v>
      </c>
      <c r="B10" s="32" t="s">
        <v>108</v>
      </c>
      <c r="C10" s="33" t="s">
        <v>110</v>
      </c>
      <c r="D10" s="34" t="s">
        <v>107</v>
      </c>
      <c r="E10" s="36">
        <v>0</v>
      </c>
      <c r="F10" s="36">
        <v>0</v>
      </c>
      <c r="G10" s="36">
        <v>20</v>
      </c>
      <c r="H10" s="58">
        <f t="shared" si="0"/>
        <v>110</v>
      </c>
      <c r="I10" s="37"/>
    </row>
    <row r="11" spans="1:12" ht="65.25" customHeight="1" x14ac:dyDescent="0.3">
      <c r="A11" s="39">
        <v>46162</v>
      </c>
      <c r="B11" s="32" t="s">
        <v>462</v>
      </c>
      <c r="C11" s="33" t="s">
        <v>110</v>
      </c>
      <c r="D11" s="34" t="s">
        <v>107</v>
      </c>
      <c r="E11" s="36">
        <v>0</v>
      </c>
      <c r="F11" s="36">
        <v>0</v>
      </c>
      <c r="G11" s="36">
        <v>10</v>
      </c>
      <c r="H11" s="58">
        <f t="shared" si="0"/>
        <v>100</v>
      </c>
      <c r="I11" s="37"/>
    </row>
    <row r="12" spans="1:12" ht="30" customHeight="1" x14ac:dyDescent="0.3">
      <c r="A12" s="39"/>
      <c r="B12" s="40"/>
      <c r="C12" s="34"/>
      <c r="D12" s="34"/>
      <c r="E12" s="36"/>
      <c r="F12" s="36"/>
      <c r="G12" s="36"/>
      <c r="H12" s="58"/>
      <c r="I12" s="37"/>
    </row>
    <row r="13" spans="1:12" ht="30" customHeight="1" x14ac:dyDescent="0.3">
      <c r="A13" s="39"/>
      <c r="B13" s="40"/>
      <c r="C13" s="34"/>
      <c r="D13" s="34"/>
      <c r="E13" s="36"/>
      <c r="F13" s="36"/>
      <c r="G13" s="36"/>
      <c r="H13" s="58"/>
      <c r="I13" s="37"/>
    </row>
    <row r="14" spans="1:12" ht="30" customHeight="1" x14ac:dyDescent="0.3">
      <c r="A14" s="39"/>
      <c r="B14" s="40"/>
      <c r="C14" s="34"/>
      <c r="D14" s="34"/>
      <c r="E14" s="36"/>
      <c r="F14" s="36"/>
      <c r="G14" s="36"/>
      <c r="H14" s="58"/>
      <c r="I14" s="37"/>
    </row>
    <row r="15" spans="1:12" ht="30" customHeight="1" x14ac:dyDescent="0.3">
      <c r="A15" s="39"/>
      <c r="B15" s="40"/>
      <c r="C15" s="34"/>
      <c r="D15" s="34"/>
      <c r="E15" s="36"/>
      <c r="F15" s="36"/>
      <c r="G15" s="36"/>
      <c r="H15" s="58"/>
      <c r="I15" s="37"/>
    </row>
    <row r="16" spans="1:12" ht="30" customHeight="1" x14ac:dyDescent="0.3">
      <c r="A16" s="39"/>
      <c r="B16" s="40"/>
      <c r="C16" s="34"/>
      <c r="D16" s="34"/>
      <c r="E16" s="36"/>
      <c r="F16" s="36"/>
      <c r="G16" s="36"/>
      <c r="H16" s="58"/>
      <c r="I16" s="37"/>
    </row>
    <row r="17" spans="1:9" ht="30" customHeight="1" x14ac:dyDescent="0.3">
      <c r="A17" s="39"/>
      <c r="B17" s="40"/>
      <c r="C17" s="34"/>
      <c r="D17" s="34"/>
      <c r="E17" s="36"/>
      <c r="F17" s="36"/>
      <c r="G17" s="36"/>
      <c r="H17" s="58"/>
      <c r="I17" s="37"/>
    </row>
    <row r="18" spans="1:9" ht="30" customHeight="1" x14ac:dyDescent="0.3">
      <c r="A18" s="39"/>
      <c r="B18" s="40"/>
      <c r="C18" s="34"/>
      <c r="D18" s="34"/>
      <c r="E18" s="36"/>
      <c r="F18" s="36"/>
      <c r="G18" s="36"/>
      <c r="H18" s="58"/>
      <c r="I18" s="37"/>
    </row>
    <row r="19" spans="1:9" ht="30" customHeight="1" x14ac:dyDescent="0.3">
      <c r="A19" s="39"/>
      <c r="B19" s="40"/>
      <c r="C19" s="34"/>
      <c r="D19" s="34"/>
      <c r="E19" s="36"/>
      <c r="F19" s="36"/>
      <c r="G19" s="36"/>
      <c r="H19" s="58"/>
      <c r="I19" s="37"/>
    </row>
    <row r="20" spans="1:9" ht="30" customHeight="1" x14ac:dyDescent="0.3">
      <c r="A20" s="39"/>
      <c r="B20" s="40"/>
      <c r="C20" s="34"/>
      <c r="D20" s="34"/>
      <c r="E20" s="61"/>
      <c r="F20" s="36"/>
      <c r="G20" s="36"/>
      <c r="H20" s="58"/>
      <c r="I20" s="37"/>
    </row>
    <row r="21" spans="1:9" ht="30" customHeight="1" x14ac:dyDescent="0.3">
      <c r="A21" s="39"/>
      <c r="B21" s="40"/>
      <c r="C21" s="34"/>
      <c r="D21" s="34"/>
      <c r="E21" s="36"/>
      <c r="F21" s="36"/>
      <c r="G21" s="61"/>
      <c r="H21" s="58"/>
      <c r="I21" s="37"/>
    </row>
    <row r="22" spans="1:9" ht="30" customHeight="1" x14ac:dyDescent="0.3">
      <c r="A22" s="39"/>
      <c r="B22" s="40"/>
      <c r="D22" s="34"/>
      <c r="E22" s="36"/>
      <c r="F22" s="36"/>
      <c r="G22" s="36"/>
      <c r="H22" s="58"/>
      <c r="I22" s="37"/>
    </row>
    <row r="23" spans="1:9" ht="30" customHeight="1" x14ac:dyDescent="0.3">
      <c r="A23" s="39"/>
      <c r="B23" s="40"/>
      <c r="C23" s="34"/>
      <c r="D23" s="34"/>
      <c r="E23" s="36"/>
      <c r="F23" s="36"/>
      <c r="G23" s="36"/>
      <c r="H23" s="58"/>
      <c r="I23" s="37"/>
    </row>
    <row r="24" spans="1:9" ht="30" customHeight="1" x14ac:dyDescent="0.3">
      <c r="A24" s="39"/>
      <c r="B24" s="40"/>
      <c r="C24" s="34"/>
      <c r="D24" s="34"/>
      <c r="E24" s="36"/>
      <c r="F24" s="36"/>
      <c r="G24" s="36"/>
      <c r="H24" s="58"/>
      <c r="I24" s="37"/>
    </row>
    <row r="25" spans="1:9" ht="30" customHeight="1" x14ac:dyDescent="0.3">
      <c r="A25" s="39"/>
      <c r="B25" s="40"/>
      <c r="C25" s="34"/>
      <c r="D25" s="34"/>
      <c r="E25" s="36"/>
      <c r="F25" s="36"/>
      <c r="G25" s="36"/>
      <c r="H25" s="58"/>
      <c r="I25" s="37"/>
    </row>
    <row r="26" spans="1:9" ht="30" customHeight="1" x14ac:dyDescent="0.3">
      <c r="A26" s="39"/>
      <c r="B26" s="40"/>
      <c r="C26" s="34"/>
      <c r="D26" s="34"/>
      <c r="E26" s="61"/>
      <c r="F26" s="36"/>
      <c r="G26" s="36"/>
      <c r="H26" s="58"/>
      <c r="I26" s="37"/>
    </row>
    <row r="27" spans="1:9" ht="30" customHeight="1" x14ac:dyDescent="0.3">
      <c r="A27" s="39"/>
      <c r="B27" s="40"/>
      <c r="C27" s="34"/>
      <c r="D27" s="34"/>
      <c r="E27" s="61"/>
      <c r="F27" s="36"/>
      <c r="G27" s="61"/>
      <c r="H27" s="58"/>
      <c r="I27" s="37"/>
    </row>
    <row r="28" spans="1:9" ht="30" customHeight="1" x14ac:dyDescent="0.3">
      <c r="A28" s="39"/>
      <c r="B28" s="40"/>
      <c r="C28" s="34"/>
      <c r="D28" s="34"/>
      <c r="E28" s="36"/>
      <c r="F28" s="36"/>
      <c r="G28" s="36"/>
      <c r="H28" s="58"/>
      <c r="I28" s="37"/>
    </row>
    <row r="29" spans="1:9" ht="30" customHeight="1" x14ac:dyDescent="0.3">
      <c r="A29" s="39"/>
      <c r="B29" s="40"/>
      <c r="C29" s="34"/>
      <c r="D29" s="34"/>
      <c r="E29" s="36"/>
      <c r="F29" s="36"/>
      <c r="G29" s="36"/>
      <c r="H29" s="58"/>
      <c r="I29" s="37"/>
    </row>
    <row r="30" spans="1:9" ht="30" customHeight="1" x14ac:dyDescent="0.3">
      <c r="A30" s="39"/>
      <c r="B30" s="40"/>
      <c r="C30" s="34"/>
      <c r="D30" s="34"/>
      <c r="E30" s="36"/>
      <c r="F30" s="36"/>
      <c r="G30" s="36"/>
      <c r="H30" s="58"/>
      <c r="I30" s="37"/>
    </row>
    <row r="31" spans="1:9" ht="30" customHeight="1" x14ac:dyDescent="0.3">
      <c r="A31" s="39"/>
      <c r="C31" s="34"/>
      <c r="D31" s="34"/>
      <c r="E31" s="36"/>
      <c r="F31" s="36"/>
      <c r="G31" s="36"/>
      <c r="H31" s="58"/>
      <c r="I31" s="37"/>
    </row>
    <row r="32" spans="1:9" ht="30" customHeight="1" x14ac:dyDescent="0.3">
      <c r="A32" s="39"/>
      <c r="B32" s="40"/>
      <c r="C32" s="34"/>
      <c r="D32" s="34"/>
      <c r="E32" s="36"/>
      <c r="F32" s="36"/>
      <c r="G32" s="36"/>
      <c r="H32" s="58"/>
      <c r="I32" s="37"/>
    </row>
    <row r="33" spans="1:9" ht="30" customHeight="1" x14ac:dyDescent="0.3">
      <c r="A33" s="39"/>
      <c r="B33" s="40"/>
      <c r="C33" s="34"/>
      <c r="D33" s="34"/>
      <c r="E33" s="36"/>
      <c r="F33" s="36"/>
      <c r="G33" s="36"/>
      <c r="H33" s="58"/>
      <c r="I33" s="37"/>
    </row>
    <row r="34" spans="1:9" ht="30" customHeight="1" x14ac:dyDescent="0.3">
      <c r="A34" s="39"/>
      <c r="B34" s="40"/>
      <c r="C34" s="34"/>
      <c r="D34" s="34"/>
      <c r="E34" s="36"/>
      <c r="F34" s="36"/>
      <c r="G34" s="36"/>
      <c r="H34" s="58"/>
      <c r="I34" s="37"/>
    </row>
    <row r="35" spans="1:9" ht="30" customHeight="1" x14ac:dyDescent="0.3">
      <c r="A35" s="39"/>
      <c r="B35" s="40"/>
      <c r="C35" s="34"/>
      <c r="D35" s="34"/>
      <c r="E35" s="36"/>
      <c r="F35" s="36"/>
      <c r="G35" s="36"/>
      <c r="H35" s="58"/>
      <c r="I35" s="37"/>
    </row>
    <row r="36" spans="1:9" ht="30" customHeight="1" x14ac:dyDescent="0.3">
      <c r="A36" s="39"/>
      <c r="B36" s="40"/>
      <c r="C36" s="34"/>
      <c r="D36" s="34"/>
      <c r="E36" s="36"/>
      <c r="F36" s="36"/>
      <c r="G36" s="36"/>
      <c r="H36" s="58"/>
      <c r="I36" s="37"/>
    </row>
    <row r="37" spans="1:9" ht="30" customHeight="1" x14ac:dyDescent="0.3">
      <c r="A37" s="39"/>
      <c r="B37" s="40"/>
      <c r="C37" s="34"/>
      <c r="D37" s="34"/>
      <c r="E37" s="36"/>
      <c r="F37" s="36"/>
      <c r="G37" s="36"/>
      <c r="H37" s="58"/>
      <c r="I37" s="37"/>
    </row>
    <row r="38" spans="1:9" ht="30" customHeight="1" x14ac:dyDescent="0.3">
      <c r="A38" s="39"/>
      <c r="B38" s="40"/>
      <c r="C38" s="34"/>
      <c r="D38" s="34"/>
      <c r="E38" s="36"/>
      <c r="F38" s="36"/>
      <c r="G38" s="36"/>
      <c r="H38" s="58"/>
      <c r="I38" s="37"/>
    </row>
    <row r="39" spans="1:9" ht="30" customHeight="1" x14ac:dyDescent="0.3">
      <c r="A39" s="39"/>
      <c r="B39" s="40"/>
      <c r="C39" s="34"/>
      <c r="D39" s="34"/>
      <c r="E39" s="36"/>
      <c r="F39" s="36"/>
      <c r="G39" s="36"/>
      <c r="H39" s="58"/>
      <c r="I39" s="37"/>
    </row>
    <row r="40" spans="1:9" ht="30" customHeight="1" x14ac:dyDescent="0.3">
      <c r="A40" s="39"/>
      <c r="B40" s="40"/>
      <c r="C40" s="34"/>
      <c r="D40" s="34"/>
      <c r="E40" s="36"/>
      <c r="F40" s="36"/>
      <c r="G40" s="36"/>
      <c r="H40" s="58"/>
      <c r="I40" s="37"/>
    </row>
    <row r="41" spans="1:9" ht="30" customHeight="1" x14ac:dyDescent="0.3">
      <c r="A41" s="39"/>
      <c r="B41" s="40"/>
      <c r="C41" s="34"/>
      <c r="D41" s="34"/>
      <c r="E41" s="36"/>
      <c r="F41" s="36"/>
      <c r="G41" s="36"/>
      <c r="H41" s="58"/>
      <c r="I41" s="37"/>
    </row>
    <row r="42" spans="1:9" s="81" customFormat="1" ht="30" customHeight="1" x14ac:dyDescent="0.3">
      <c r="A42" s="76"/>
      <c r="B42" s="77"/>
      <c r="C42" s="78"/>
      <c r="D42" s="78"/>
      <c r="E42" s="79"/>
      <c r="F42" s="79"/>
      <c r="G42" s="79"/>
      <c r="H42" s="80"/>
      <c r="I42" s="78" t="s">
        <v>111</v>
      </c>
    </row>
    <row r="43" spans="1:9" ht="30" customHeight="1" x14ac:dyDescent="0.3">
      <c r="A43" s="76"/>
      <c r="B43" s="40"/>
      <c r="C43" s="34"/>
      <c r="D43" s="34"/>
      <c r="E43" s="79"/>
      <c r="F43" s="79"/>
      <c r="G43" s="79"/>
      <c r="H43" s="80"/>
      <c r="I43" s="37" t="s">
        <v>111</v>
      </c>
    </row>
    <row r="44" spans="1:9" ht="30" customHeight="1" x14ac:dyDescent="0.3">
      <c r="A44" s="76"/>
      <c r="B44" s="77"/>
      <c r="C44" s="78"/>
      <c r="D44" s="78"/>
      <c r="E44" s="79"/>
      <c r="F44" s="79"/>
      <c r="G44" s="79"/>
      <c r="H44" s="80"/>
      <c r="I44" s="37"/>
    </row>
    <row r="45" spans="1:9" ht="30" customHeight="1" x14ac:dyDescent="0.3">
      <c r="A45" s="76"/>
      <c r="B45" s="40"/>
      <c r="C45" s="34"/>
      <c r="D45" s="34"/>
      <c r="E45" s="79"/>
      <c r="F45" s="79"/>
      <c r="G45" s="79"/>
      <c r="H45" s="80"/>
      <c r="I45" s="37"/>
    </row>
    <row r="46" spans="1:9" ht="30" customHeight="1" x14ac:dyDescent="0.3">
      <c r="A46" s="39"/>
      <c r="B46" s="40"/>
      <c r="C46" s="34"/>
      <c r="D46" s="34"/>
      <c r="E46" s="79"/>
      <c r="F46" s="79"/>
      <c r="G46" s="79"/>
      <c r="H46" s="80"/>
      <c r="I46" s="37"/>
    </row>
    <row r="47" spans="1:9" ht="30" customHeight="1" x14ac:dyDescent="0.3">
      <c r="A47" s="39"/>
      <c r="B47" s="40"/>
      <c r="C47" s="34"/>
      <c r="D47" s="34"/>
      <c r="E47" s="79"/>
      <c r="F47" s="79"/>
      <c r="G47" s="79"/>
      <c r="H47" s="80"/>
      <c r="I47" s="37"/>
    </row>
    <row r="48" spans="1:9" ht="30" customHeight="1" x14ac:dyDescent="0.3">
      <c r="A48" s="39"/>
      <c r="B48" s="40"/>
      <c r="C48" s="34"/>
      <c r="D48" s="34"/>
      <c r="E48" s="79"/>
      <c r="F48" s="79"/>
      <c r="G48" s="79"/>
      <c r="H48" s="80"/>
      <c r="I48" s="37"/>
    </row>
    <row r="49" spans="1:9" ht="30" customHeight="1" x14ac:dyDescent="0.3">
      <c r="A49" s="39"/>
      <c r="B49" s="40"/>
      <c r="C49" s="34"/>
      <c r="D49" s="34"/>
      <c r="E49" s="79"/>
      <c r="F49" s="79"/>
      <c r="G49" s="79"/>
      <c r="H49" s="80"/>
      <c r="I49" s="37"/>
    </row>
    <row r="50" spans="1:9" ht="30" customHeight="1" x14ac:dyDescent="0.3">
      <c r="A50" s="39"/>
      <c r="B50" s="40"/>
      <c r="C50" s="34"/>
      <c r="D50" s="34"/>
      <c r="E50" s="36"/>
      <c r="F50" s="36"/>
      <c r="G50" s="36"/>
      <c r="H50" s="80"/>
      <c r="I50" s="37"/>
    </row>
    <row r="51" spans="1:9" ht="30" customHeight="1" x14ac:dyDescent="0.3">
      <c r="A51" s="39"/>
      <c r="B51" s="40"/>
      <c r="C51" s="34"/>
      <c r="D51" s="34"/>
      <c r="E51" s="36"/>
      <c r="F51" s="82"/>
      <c r="G51" s="36"/>
      <c r="H51" s="80"/>
      <c r="I51" s="37"/>
    </row>
    <row r="52" spans="1:9" ht="30" customHeight="1" x14ac:dyDescent="0.3">
      <c r="A52" s="39"/>
      <c r="B52" s="40"/>
      <c r="C52" s="34"/>
      <c r="D52" s="34"/>
      <c r="E52" s="36"/>
      <c r="F52" s="36"/>
      <c r="G52" s="36"/>
      <c r="H52" s="80"/>
      <c r="I52" s="37"/>
    </row>
    <row r="53" spans="1:9" ht="30" customHeight="1" x14ac:dyDescent="0.3">
      <c r="A53" s="39"/>
      <c r="B53" s="40"/>
      <c r="C53" s="34"/>
      <c r="D53" s="34"/>
      <c r="E53" s="36"/>
      <c r="F53" s="82"/>
      <c r="G53" s="36"/>
      <c r="H53" s="80"/>
      <c r="I53" s="34"/>
    </row>
    <row r="54" spans="1:9" ht="30" customHeight="1" x14ac:dyDescent="0.3">
      <c r="A54" s="39"/>
      <c r="B54" s="40"/>
      <c r="C54" s="34"/>
      <c r="D54" s="34"/>
      <c r="E54" s="36"/>
      <c r="F54" s="36"/>
      <c r="G54" s="36"/>
      <c r="H54" s="80"/>
      <c r="I54" s="34"/>
    </row>
    <row r="55" spans="1:9" ht="30" customHeight="1" x14ac:dyDescent="0.3">
      <c r="A55" s="39"/>
      <c r="B55" s="40"/>
      <c r="C55" s="34"/>
      <c r="D55" s="34"/>
      <c r="E55" s="36"/>
      <c r="F55" s="82"/>
      <c r="G55" s="36"/>
      <c r="H55" s="80"/>
      <c r="I55" s="34"/>
    </row>
    <row r="56" spans="1:9" ht="30" customHeight="1" x14ac:dyDescent="0.3">
      <c r="A56" s="39"/>
      <c r="B56" s="40"/>
      <c r="C56" s="34"/>
      <c r="D56" s="34"/>
      <c r="E56" s="36"/>
      <c r="F56" s="36"/>
      <c r="G56" s="36"/>
      <c r="H56" s="80"/>
      <c r="I56" s="34"/>
    </row>
    <row r="57" spans="1:9" ht="30" customHeight="1" x14ac:dyDescent="0.3">
      <c r="A57" s="39"/>
      <c r="B57" s="40"/>
      <c r="C57" s="34"/>
      <c r="D57" s="34"/>
      <c r="E57" s="36"/>
      <c r="F57" s="82"/>
      <c r="G57" s="36"/>
      <c r="H57" s="80"/>
      <c r="I57" s="34"/>
    </row>
    <row r="58" spans="1:9" ht="30" customHeight="1" x14ac:dyDescent="0.3">
      <c r="A58" s="39"/>
      <c r="B58" s="40"/>
      <c r="C58" s="34"/>
      <c r="D58" s="34"/>
      <c r="E58" s="36"/>
      <c r="F58" s="36"/>
      <c r="G58" s="36"/>
      <c r="H58" s="80"/>
      <c r="I58" s="34"/>
    </row>
    <row r="59" spans="1:9" ht="30" customHeight="1" x14ac:dyDescent="0.3">
      <c r="A59" s="39"/>
      <c r="B59" s="40"/>
      <c r="C59" s="34"/>
      <c r="D59" s="34"/>
      <c r="E59" s="36"/>
      <c r="F59" s="82"/>
      <c r="G59" s="36"/>
      <c r="H59" s="80"/>
      <c r="I59" s="34"/>
    </row>
    <row r="60" spans="1:9" ht="30" customHeight="1" x14ac:dyDescent="0.3">
      <c r="A60" s="39"/>
      <c r="B60" s="83"/>
      <c r="C60" s="34"/>
      <c r="D60" s="34"/>
      <c r="E60" s="36"/>
      <c r="F60" s="36"/>
      <c r="G60" s="36"/>
      <c r="H60" s="80"/>
      <c r="I60" s="34"/>
    </row>
    <row r="61" spans="1:9" ht="30" customHeight="1" x14ac:dyDescent="0.3">
      <c r="A61" s="39"/>
      <c r="B61" s="83"/>
      <c r="C61" s="34"/>
      <c r="D61" s="34"/>
      <c r="E61" s="36"/>
      <c r="F61" s="36"/>
      <c r="G61" s="36"/>
      <c r="H61" s="80"/>
      <c r="I61" s="37"/>
    </row>
    <row r="62" spans="1:9" ht="30" customHeight="1" x14ac:dyDescent="0.3">
      <c r="A62" s="39"/>
      <c r="B62" s="40"/>
      <c r="C62" s="34"/>
      <c r="D62" s="34"/>
      <c r="E62" s="36"/>
      <c r="F62" s="36"/>
      <c r="G62" s="36"/>
      <c r="H62" s="80"/>
      <c r="I62" s="37"/>
    </row>
    <row r="63" spans="1:9" ht="30" customHeight="1" x14ac:dyDescent="0.3">
      <c r="A63" s="39"/>
      <c r="C63" s="34"/>
      <c r="E63" s="36"/>
      <c r="F63" s="36"/>
      <c r="G63" s="36"/>
      <c r="H63" s="80"/>
      <c r="I63" s="37"/>
    </row>
    <row r="64" spans="1:9" ht="30" customHeight="1" x14ac:dyDescent="0.3">
      <c r="A64" s="39"/>
      <c r="B64" s="40"/>
      <c r="C64" s="34"/>
      <c r="D64" s="34"/>
      <c r="E64" s="36"/>
      <c r="F64" s="36"/>
      <c r="G64" s="36"/>
      <c r="H64" s="80"/>
      <c r="I64" s="37"/>
    </row>
    <row r="65" spans="1:9" ht="30" customHeight="1" x14ac:dyDescent="0.3">
      <c r="A65" s="39"/>
      <c r="B65" s="40"/>
      <c r="C65" s="34"/>
      <c r="D65" s="34"/>
      <c r="E65" s="36"/>
      <c r="F65" s="36"/>
      <c r="G65" s="36"/>
      <c r="H65" s="80"/>
      <c r="I65" s="37"/>
    </row>
    <row r="66" spans="1:9" ht="30" customHeight="1" x14ac:dyDescent="0.3">
      <c r="A66" s="39"/>
      <c r="B66" s="40"/>
      <c r="C66" s="34"/>
      <c r="D66" s="34"/>
      <c r="E66" s="36"/>
      <c r="F66" s="36"/>
      <c r="G66" s="36"/>
      <c r="H66" s="80"/>
      <c r="I66" s="37"/>
    </row>
    <row r="67" spans="1:9" ht="30" customHeight="1" x14ac:dyDescent="0.3">
      <c r="A67" s="39"/>
      <c r="B67" s="40"/>
      <c r="C67" s="34"/>
      <c r="D67" s="34"/>
      <c r="E67" s="36"/>
      <c r="F67" s="36"/>
      <c r="G67" s="36"/>
      <c r="H67" s="80"/>
      <c r="I67" s="37"/>
    </row>
    <row r="68" spans="1:9" ht="30" customHeight="1" x14ac:dyDescent="0.3">
      <c r="A68" s="39"/>
      <c r="B68" s="40"/>
      <c r="C68" s="34"/>
      <c r="D68" s="34"/>
      <c r="E68" s="36"/>
      <c r="F68" s="36"/>
      <c r="G68" s="36"/>
      <c r="H68" s="80"/>
      <c r="I68" s="37"/>
    </row>
    <row r="69" spans="1:9" ht="30" customHeight="1" x14ac:dyDescent="0.3">
      <c r="A69" s="39"/>
      <c r="B69" s="40"/>
      <c r="C69" s="34"/>
      <c r="D69" s="34"/>
      <c r="E69" s="36"/>
      <c r="F69" s="36"/>
      <c r="G69" s="36"/>
      <c r="H69" s="80"/>
      <c r="I69" s="37"/>
    </row>
    <row r="70" spans="1:9" ht="30" customHeight="1" x14ac:dyDescent="0.3">
      <c r="A70" s="39"/>
      <c r="B70" s="40"/>
      <c r="C70" s="34"/>
      <c r="D70" s="34"/>
      <c r="E70" s="36"/>
      <c r="F70" s="36"/>
      <c r="G70" s="36"/>
      <c r="H70" s="80"/>
      <c r="I70" s="37"/>
    </row>
    <row r="71" spans="1:9" ht="30" customHeight="1" x14ac:dyDescent="0.3">
      <c r="A71" s="39"/>
      <c r="B71" s="40"/>
      <c r="C71" s="34"/>
      <c r="D71" s="34"/>
      <c r="E71" s="36"/>
      <c r="F71" s="36"/>
      <c r="G71" s="36"/>
      <c r="H71" s="80"/>
      <c r="I71" s="37"/>
    </row>
    <row r="72" spans="1:9" ht="30" customHeight="1" x14ac:dyDescent="0.3">
      <c r="A72" s="39"/>
      <c r="B72" s="40"/>
      <c r="C72" s="34"/>
      <c r="D72" s="34"/>
      <c r="E72" s="36"/>
      <c r="F72" s="36"/>
      <c r="G72" s="36"/>
      <c r="H72" s="80"/>
      <c r="I72" s="37"/>
    </row>
    <row r="73" spans="1:9" ht="30" customHeight="1" x14ac:dyDescent="0.3">
      <c r="A73" s="39"/>
      <c r="B73" s="40"/>
      <c r="C73" s="34"/>
      <c r="D73" s="34"/>
      <c r="E73" s="36"/>
      <c r="F73" s="36"/>
      <c r="G73" s="36"/>
      <c r="H73" s="80"/>
      <c r="I73" s="37"/>
    </row>
    <row r="74" spans="1:9" ht="30" customHeight="1" x14ac:dyDescent="0.3">
      <c r="A74" s="39"/>
      <c r="B74" s="40"/>
      <c r="C74" s="34"/>
      <c r="D74" s="34"/>
      <c r="E74" s="36"/>
      <c r="F74" s="36"/>
      <c r="G74" s="36"/>
      <c r="H74" s="80"/>
      <c r="I74" s="37"/>
    </row>
    <row r="75" spans="1:9" ht="30" customHeight="1" x14ac:dyDescent="0.3">
      <c r="A75" s="39"/>
      <c r="B75" s="40"/>
      <c r="C75" s="34"/>
      <c r="D75" s="34"/>
      <c r="E75" s="36"/>
      <c r="F75" s="36"/>
      <c r="G75" s="36"/>
      <c r="H75" s="80"/>
      <c r="I75" s="37"/>
    </row>
    <row r="76" spans="1:9" ht="30" customHeight="1" x14ac:dyDescent="0.3">
      <c r="A76" s="39"/>
      <c r="B76" s="40"/>
      <c r="C76" s="34"/>
      <c r="D76" s="34"/>
      <c r="E76" s="36"/>
      <c r="F76" s="36"/>
      <c r="G76" s="36"/>
      <c r="H76" s="80"/>
      <c r="I76" s="37"/>
    </row>
    <row r="77" spans="1:9" ht="30" customHeight="1" x14ac:dyDescent="0.3">
      <c r="A77" s="39"/>
      <c r="B77" s="40"/>
      <c r="C77" s="34"/>
      <c r="D77" s="34"/>
      <c r="E77" s="36"/>
      <c r="F77" s="36"/>
      <c r="G77" s="36"/>
      <c r="H77" s="80"/>
      <c r="I77" s="37"/>
    </row>
    <row r="78" spans="1:9" ht="30" customHeight="1" x14ac:dyDescent="0.3">
      <c r="A78" s="39"/>
      <c r="B78" s="40"/>
      <c r="C78" s="34"/>
      <c r="D78" s="34"/>
      <c r="E78" s="36"/>
      <c r="F78" s="36"/>
      <c r="G78" s="36"/>
      <c r="H78" s="80"/>
      <c r="I78" s="37"/>
    </row>
    <row r="79" spans="1:9" ht="30" customHeight="1" x14ac:dyDescent="0.3">
      <c r="A79" s="39"/>
      <c r="B79" s="40"/>
      <c r="C79" s="34"/>
      <c r="D79" s="34"/>
      <c r="E79" s="36"/>
      <c r="F79" s="36"/>
      <c r="G79" s="36"/>
      <c r="H79" s="80"/>
      <c r="I79" s="37"/>
    </row>
    <row r="80" spans="1:9" ht="30" customHeight="1" x14ac:dyDescent="0.3">
      <c r="A80" s="39"/>
      <c r="B80" s="40"/>
      <c r="C80" s="34"/>
      <c r="D80" s="34"/>
      <c r="E80" s="36"/>
      <c r="F80" s="36"/>
      <c r="G80" s="36"/>
      <c r="H80" s="80"/>
      <c r="I80" s="37"/>
    </row>
    <row r="81" spans="1:9" ht="30" customHeight="1" x14ac:dyDescent="0.3">
      <c r="A81" s="39"/>
      <c r="B81" s="40"/>
      <c r="C81" s="34"/>
      <c r="D81" s="34"/>
      <c r="E81" s="36"/>
      <c r="F81" s="36"/>
      <c r="G81" s="36"/>
      <c r="H81" s="80"/>
      <c r="I81" s="37"/>
    </row>
    <row r="82" spans="1:9" ht="30" customHeight="1" x14ac:dyDescent="0.3">
      <c r="A82" s="39"/>
      <c r="B82" s="40"/>
      <c r="C82" s="34"/>
      <c r="D82" s="34"/>
      <c r="E82" s="36"/>
      <c r="F82" s="36"/>
      <c r="G82" s="36"/>
      <c r="H82" s="80"/>
      <c r="I82" s="37"/>
    </row>
    <row r="83" spans="1:9" ht="30" customHeight="1" x14ac:dyDescent="0.3">
      <c r="A83" s="39"/>
      <c r="B83" s="40"/>
      <c r="C83" s="34"/>
      <c r="D83" s="34"/>
      <c r="E83" s="36"/>
      <c r="F83" s="36"/>
      <c r="G83" s="36"/>
      <c r="H83" s="80"/>
      <c r="I83" s="37"/>
    </row>
    <row r="84" spans="1:9" ht="30" customHeight="1" x14ac:dyDescent="0.3">
      <c r="A84" s="39"/>
      <c r="B84" s="40"/>
      <c r="C84" s="34"/>
      <c r="D84" s="34"/>
      <c r="E84" s="36"/>
      <c r="F84" s="36"/>
      <c r="G84" s="36"/>
      <c r="H84" s="80"/>
      <c r="I84" s="37"/>
    </row>
    <row r="85" spans="1:9" ht="30" customHeight="1" x14ac:dyDescent="0.3">
      <c r="A85" s="39"/>
      <c r="B85" s="40"/>
      <c r="C85" s="34"/>
      <c r="D85" s="34"/>
      <c r="E85" s="36"/>
      <c r="F85" s="36"/>
      <c r="G85" s="36"/>
      <c r="H85" s="80"/>
      <c r="I85" s="37"/>
    </row>
    <row r="86" spans="1:9" ht="30" customHeight="1" x14ac:dyDescent="0.3">
      <c r="A86" s="39"/>
      <c r="B86" s="40"/>
      <c r="C86" s="34"/>
      <c r="D86" s="34"/>
      <c r="E86" s="36"/>
      <c r="F86" s="36"/>
      <c r="G86" s="36"/>
      <c r="H86" s="80"/>
      <c r="I86" s="37"/>
    </row>
    <row r="87" spans="1:9" ht="30" customHeight="1" x14ac:dyDescent="0.3">
      <c r="A87" s="39"/>
      <c r="B87" s="40"/>
      <c r="C87" s="34"/>
      <c r="D87" s="34"/>
      <c r="E87" s="36"/>
      <c r="F87" s="36"/>
      <c r="G87" s="36"/>
      <c r="H87" s="80"/>
      <c r="I87" s="37"/>
    </row>
    <row r="88" spans="1:9" ht="30" customHeight="1" x14ac:dyDescent="0.3">
      <c r="A88" s="39"/>
      <c r="B88" s="40"/>
      <c r="C88" s="34"/>
      <c r="D88" s="34"/>
      <c r="E88" s="36"/>
      <c r="F88" s="36"/>
      <c r="G88" s="36"/>
      <c r="H88" s="80"/>
      <c r="I88" s="37"/>
    </row>
    <row r="89" spans="1:9" ht="30" customHeight="1" x14ac:dyDescent="0.3">
      <c r="A89" s="39"/>
      <c r="B89" s="40"/>
      <c r="C89" s="34"/>
      <c r="D89" s="34"/>
      <c r="E89" s="36"/>
      <c r="F89" s="36"/>
      <c r="G89" s="36"/>
      <c r="H89" s="80"/>
      <c r="I89" s="37"/>
    </row>
    <row r="90" spans="1:9" ht="30" customHeight="1" x14ac:dyDescent="0.3">
      <c r="A90" s="39"/>
      <c r="B90" s="40"/>
      <c r="C90" s="34"/>
      <c r="D90" s="34"/>
      <c r="E90" s="36"/>
      <c r="F90" s="36"/>
      <c r="G90" s="36"/>
      <c r="H90" s="80"/>
      <c r="I90" s="37"/>
    </row>
    <row r="91" spans="1:9" ht="30" customHeight="1" x14ac:dyDescent="0.3">
      <c r="A91" s="39"/>
      <c r="B91" s="40"/>
      <c r="C91" s="34"/>
      <c r="D91" s="34"/>
      <c r="E91" s="36"/>
      <c r="F91" s="36"/>
      <c r="G91" s="36"/>
      <c r="H91" s="80"/>
      <c r="I91" s="37"/>
    </row>
    <row r="92" spans="1:9" ht="30" customHeight="1" x14ac:dyDescent="0.3">
      <c r="A92" s="39"/>
      <c r="B92" s="40"/>
      <c r="C92" s="34"/>
      <c r="D92" s="34"/>
      <c r="E92" s="36"/>
      <c r="F92" s="36"/>
      <c r="G92" s="36"/>
      <c r="H92" s="80"/>
      <c r="I92" s="37"/>
    </row>
    <row r="93" spans="1:9" ht="30" customHeight="1" x14ac:dyDescent="0.3">
      <c r="A93" s="39"/>
      <c r="B93" s="40"/>
      <c r="C93" s="34"/>
      <c r="D93" s="34"/>
      <c r="E93" s="36"/>
      <c r="F93" s="36"/>
      <c r="G93" s="36"/>
      <c r="H93" s="80"/>
      <c r="I93" s="37"/>
    </row>
    <row r="94" spans="1:9" ht="30" customHeight="1" x14ac:dyDescent="0.3">
      <c r="A94" s="39"/>
      <c r="B94" s="40"/>
      <c r="C94" s="34"/>
      <c r="D94" s="34"/>
      <c r="E94" s="36"/>
      <c r="F94" s="36"/>
      <c r="G94" s="36"/>
      <c r="H94" s="80"/>
      <c r="I94" s="37"/>
    </row>
    <row r="95" spans="1:9" ht="30" customHeight="1" x14ac:dyDescent="0.3">
      <c r="A95" s="39"/>
      <c r="B95" s="40"/>
      <c r="C95" s="34"/>
      <c r="D95" s="34"/>
      <c r="E95" s="36"/>
      <c r="F95" s="36"/>
      <c r="G95" s="36"/>
      <c r="H95" s="80"/>
      <c r="I95" s="37"/>
    </row>
    <row r="96" spans="1:9" ht="30" customHeight="1" x14ac:dyDescent="0.3">
      <c r="A96" s="39"/>
      <c r="B96" s="40"/>
      <c r="C96" s="34"/>
      <c r="D96" s="34"/>
      <c r="E96" s="36"/>
      <c r="F96" s="36"/>
      <c r="G96" s="36"/>
      <c r="H96" s="80"/>
      <c r="I96" s="37"/>
    </row>
    <row r="97" spans="5:8" ht="30" customHeight="1" x14ac:dyDescent="0.3">
      <c r="E97" s="36"/>
      <c r="F97" s="36"/>
      <c r="G97" s="36"/>
      <c r="H97" s="80"/>
    </row>
    <row r="98" spans="5:8" ht="30" customHeight="1" x14ac:dyDescent="0.3">
      <c r="E98" s="36"/>
      <c r="F98" s="36"/>
      <c r="G98" s="36"/>
      <c r="H98" s="80"/>
    </row>
    <row r="99" spans="5:8" ht="30" customHeight="1" x14ac:dyDescent="0.3">
      <c r="E99" s="36"/>
      <c r="F99" s="36"/>
      <c r="G99" s="36"/>
      <c r="H99" s="80"/>
    </row>
    <row r="100" spans="5:8" ht="30" customHeight="1" x14ac:dyDescent="0.3">
      <c r="E100" s="36"/>
      <c r="F100" s="36"/>
      <c r="G100" s="36"/>
      <c r="H100" s="80"/>
    </row>
    <row r="101" spans="5:8" ht="30" customHeight="1" x14ac:dyDescent="0.3">
      <c r="E101" s="36"/>
      <c r="F101" s="36"/>
      <c r="G101" s="36"/>
      <c r="H101" s="80"/>
    </row>
    <row r="102" spans="5:8" ht="30" customHeight="1" x14ac:dyDescent="0.3">
      <c r="E102" s="36"/>
      <c r="F102" s="36"/>
      <c r="G102" s="36"/>
      <c r="H102" s="80"/>
    </row>
    <row r="103" spans="5:8" ht="30" customHeight="1" x14ac:dyDescent="0.3">
      <c r="E103" s="36"/>
      <c r="F103" s="36"/>
      <c r="G103" s="36"/>
      <c r="H103" s="80"/>
    </row>
    <row r="104" spans="5:8" ht="30" customHeight="1" x14ac:dyDescent="0.3">
      <c r="E104" s="36"/>
      <c r="F104" s="36"/>
      <c r="G104" s="36"/>
      <c r="H104" s="80"/>
    </row>
    <row r="105" spans="5:8" ht="30" customHeight="1" x14ac:dyDescent="0.3">
      <c r="E105" s="36"/>
      <c r="F105" s="36"/>
      <c r="G105" s="36"/>
      <c r="H105" s="80"/>
    </row>
    <row r="106" spans="5:8" ht="30" customHeight="1" x14ac:dyDescent="0.3">
      <c r="E106" s="36"/>
      <c r="F106" s="36"/>
      <c r="G106" s="36"/>
      <c r="H106" s="80"/>
    </row>
    <row r="107" spans="5:8" ht="30" customHeight="1" x14ac:dyDescent="0.3">
      <c r="E107" s="36"/>
      <c r="F107" s="36"/>
      <c r="G107" s="36"/>
      <c r="H107" s="80"/>
    </row>
    <row r="108" spans="5:8" ht="30" customHeight="1" x14ac:dyDescent="0.3">
      <c r="E108" s="36"/>
      <c r="F108" s="36"/>
      <c r="G108" s="36"/>
      <c r="H108" s="80"/>
    </row>
    <row r="109" spans="5:8" ht="30" customHeight="1" x14ac:dyDescent="0.3">
      <c r="E109" s="36"/>
      <c r="F109" s="36"/>
      <c r="G109" s="36"/>
      <c r="H109" s="80"/>
    </row>
    <row r="110" spans="5:8" ht="30" customHeight="1" x14ac:dyDescent="0.3">
      <c r="E110" s="36"/>
      <c r="F110" s="36"/>
      <c r="G110" s="36"/>
      <c r="H110" s="80"/>
    </row>
    <row r="111" spans="5:8" ht="30" customHeight="1" x14ac:dyDescent="0.3">
      <c r="E111" s="36"/>
      <c r="F111" s="36"/>
      <c r="G111" s="36"/>
      <c r="H111" s="80"/>
    </row>
    <row r="112" spans="5:8" ht="30" customHeight="1" x14ac:dyDescent="0.3">
      <c r="E112" s="36"/>
      <c r="F112" s="36"/>
      <c r="G112" s="36"/>
      <c r="H112" s="80"/>
    </row>
    <row r="113" spans="5:8" ht="30" customHeight="1" x14ac:dyDescent="0.3">
      <c r="E113" s="36"/>
      <c r="F113" s="36"/>
      <c r="G113" s="36"/>
      <c r="H113" s="80"/>
    </row>
    <row r="114" spans="5:8" ht="30" customHeight="1" x14ac:dyDescent="0.3">
      <c r="E114" s="36"/>
      <c r="F114" s="36"/>
      <c r="G114" s="36"/>
      <c r="H114" s="80"/>
    </row>
    <row r="115" spans="5:8" ht="30" customHeight="1" x14ac:dyDescent="0.3">
      <c r="E115" s="36"/>
      <c r="F115" s="36"/>
      <c r="G115" s="36"/>
      <c r="H115" s="80"/>
    </row>
    <row r="116" spans="5:8" ht="30" customHeight="1" x14ac:dyDescent="0.3">
      <c r="E116" s="36"/>
      <c r="F116" s="36"/>
      <c r="G116" s="36"/>
      <c r="H116" s="80"/>
    </row>
    <row r="117" spans="5:8" ht="30" customHeight="1" x14ac:dyDescent="0.3">
      <c r="E117" s="36"/>
      <c r="F117" s="36"/>
      <c r="G117" s="36"/>
      <c r="H117" s="80"/>
    </row>
    <row r="118" spans="5:8" ht="30" customHeight="1" x14ac:dyDescent="0.3">
      <c r="E118" s="36"/>
      <c r="F118" s="36"/>
      <c r="G118" s="36"/>
      <c r="H118" s="80"/>
    </row>
    <row r="119" spans="5:8" ht="30" customHeight="1" x14ac:dyDescent="0.3">
      <c r="E119" s="36"/>
      <c r="F119" s="36"/>
      <c r="G119" s="36"/>
      <c r="H119" s="80"/>
    </row>
    <row r="120" spans="5:8" ht="30" customHeight="1" x14ac:dyDescent="0.3">
      <c r="E120" s="36"/>
      <c r="F120" s="36"/>
      <c r="G120" s="36"/>
      <c r="H120" s="80"/>
    </row>
    <row r="121" spans="5:8" ht="30" customHeight="1" x14ac:dyDescent="0.3">
      <c r="E121" s="36"/>
      <c r="F121" s="36"/>
      <c r="G121" s="36"/>
      <c r="H121" s="80"/>
    </row>
    <row r="122" spans="5:8" ht="30" customHeight="1" x14ac:dyDescent="0.3">
      <c r="E122" s="36"/>
      <c r="F122" s="36"/>
      <c r="G122" s="36"/>
      <c r="H122" s="80"/>
    </row>
    <row r="123" spans="5:8" ht="30" customHeight="1" x14ac:dyDescent="0.3">
      <c r="E123" s="36"/>
      <c r="F123" s="36"/>
      <c r="G123" s="36"/>
      <c r="H123" s="80"/>
    </row>
    <row r="124" spans="5:8" ht="30" customHeight="1" x14ac:dyDescent="0.3">
      <c r="E124" s="36"/>
      <c r="F124" s="36"/>
      <c r="G124" s="36"/>
      <c r="H124" s="80"/>
    </row>
    <row r="125" spans="5:8" ht="30" customHeight="1" x14ac:dyDescent="0.3">
      <c r="E125" s="36"/>
      <c r="F125" s="36"/>
      <c r="G125" s="36"/>
      <c r="H125" s="80"/>
    </row>
    <row r="126" spans="5:8" ht="30" customHeight="1" x14ac:dyDescent="0.3">
      <c r="E126" s="36"/>
      <c r="F126" s="36"/>
      <c r="G126" s="36"/>
      <c r="H126" s="80"/>
    </row>
    <row r="127" spans="5:8" ht="30" customHeight="1" x14ac:dyDescent="0.3">
      <c r="E127" s="36"/>
      <c r="F127" s="36"/>
      <c r="G127" s="36"/>
      <c r="H127" s="80"/>
    </row>
    <row r="128" spans="5:8" ht="30" customHeight="1" x14ac:dyDescent="0.3">
      <c r="E128" s="36"/>
      <c r="F128" s="36"/>
      <c r="G128" s="36"/>
      <c r="H128" s="80"/>
    </row>
    <row r="129" spans="5:8" ht="30" customHeight="1" x14ac:dyDescent="0.3">
      <c r="E129" s="36"/>
      <c r="F129" s="36"/>
      <c r="G129" s="36"/>
      <c r="H129" s="80"/>
    </row>
    <row r="130" spans="5:8" ht="30" customHeight="1" x14ac:dyDescent="0.3">
      <c r="E130" s="36"/>
      <c r="F130" s="36"/>
      <c r="G130" s="36"/>
      <c r="H130" s="80"/>
    </row>
    <row r="131" spans="5:8" ht="30" customHeight="1" x14ac:dyDescent="0.3">
      <c r="E131" s="36"/>
      <c r="F131" s="36"/>
      <c r="G131" s="36"/>
      <c r="H131" s="80"/>
    </row>
    <row r="132" spans="5:8" ht="30" customHeight="1" x14ac:dyDescent="0.3">
      <c r="E132" s="36"/>
      <c r="F132" s="36"/>
      <c r="G132" s="36"/>
      <c r="H132" s="80"/>
    </row>
    <row r="133" spans="5:8" ht="30" customHeight="1" x14ac:dyDescent="0.3">
      <c r="E133" s="36"/>
      <c r="F133" s="36"/>
      <c r="G133" s="36"/>
      <c r="H133" s="80"/>
    </row>
    <row r="134" spans="5:8" ht="30" customHeight="1" x14ac:dyDescent="0.3">
      <c r="E134" s="36"/>
      <c r="F134" s="36"/>
      <c r="G134" s="36"/>
      <c r="H134" s="80"/>
    </row>
    <row r="135" spans="5:8" ht="30" customHeight="1" x14ac:dyDescent="0.3">
      <c r="E135" s="36"/>
      <c r="F135" s="36"/>
      <c r="G135" s="36"/>
      <c r="H135" s="80"/>
    </row>
    <row r="136" spans="5:8" ht="30" customHeight="1" x14ac:dyDescent="0.3">
      <c r="E136" s="36"/>
      <c r="F136" s="36"/>
      <c r="G136" s="36"/>
      <c r="H136" s="80"/>
    </row>
    <row r="137" spans="5:8" ht="30" customHeight="1" x14ac:dyDescent="0.3">
      <c r="E137" s="36"/>
      <c r="F137" s="36"/>
      <c r="G137" s="36"/>
      <c r="H137" s="80"/>
    </row>
    <row r="138" spans="5:8" ht="30" customHeight="1" x14ac:dyDescent="0.3">
      <c r="E138" s="36"/>
      <c r="F138" s="36"/>
      <c r="G138" s="36"/>
      <c r="H138" s="80"/>
    </row>
    <row r="139" spans="5:8" ht="30" customHeight="1" x14ac:dyDescent="0.3">
      <c r="E139" s="36"/>
      <c r="F139" s="36"/>
      <c r="G139" s="36"/>
      <c r="H139" s="80"/>
    </row>
    <row r="140" spans="5:8" ht="30" customHeight="1" x14ac:dyDescent="0.3">
      <c r="E140" s="36"/>
      <c r="F140" s="36"/>
      <c r="G140" s="36"/>
      <c r="H140" s="80"/>
    </row>
    <row r="141" spans="5:8" ht="30" customHeight="1" x14ac:dyDescent="0.3">
      <c r="E141" s="36"/>
      <c r="F141" s="36"/>
      <c r="G141" s="36"/>
      <c r="H141" s="80"/>
    </row>
    <row r="142" spans="5:8" ht="30" customHeight="1" x14ac:dyDescent="0.3">
      <c r="E142" s="36"/>
      <c r="F142" s="36"/>
      <c r="G142" s="36"/>
      <c r="H142" s="80"/>
    </row>
    <row r="143" spans="5:8" ht="30" customHeight="1" x14ac:dyDescent="0.3">
      <c r="E143" s="36"/>
      <c r="F143" s="36"/>
      <c r="G143" s="36"/>
      <c r="H143" s="80"/>
    </row>
    <row r="144" spans="5:8" ht="30" customHeight="1" x14ac:dyDescent="0.3">
      <c r="E144" s="36"/>
      <c r="F144" s="36"/>
      <c r="G144" s="36"/>
      <c r="H144" s="80"/>
    </row>
    <row r="145" spans="5:8" ht="30" customHeight="1" x14ac:dyDescent="0.3">
      <c r="E145" s="36"/>
      <c r="F145" s="36"/>
      <c r="G145" s="36"/>
      <c r="H145" s="80"/>
    </row>
    <row r="146" spans="5:8" ht="30" customHeight="1" x14ac:dyDescent="0.3">
      <c r="E146" s="36"/>
      <c r="F146" s="36"/>
      <c r="G146" s="36"/>
      <c r="H146" s="80"/>
    </row>
    <row r="147" spans="5:8" ht="30" customHeight="1" x14ac:dyDescent="0.3">
      <c r="E147" s="36"/>
      <c r="F147" s="36"/>
      <c r="G147" s="36"/>
      <c r="H147" s="80"/>
    </row>
    <row r="148" spans="5:8" ht="30" customHeight="1" x14ac:dyDescent="0.3">
      <c r="E148" s="36"/>
      <c r="F148" s="36"/>
      <c r="G148" s="36"/>
      <c r="H148" s="80"/>
    </row>
    <row r="149" spans="5:8" ht="30" customHeight="1" x14ac:dyDescent="0.3">
      <c r="E149" s="36"/>
      <c r="F149" s="36"/>
      <c r="G149" s="36"/>
      <c r="H149" s="80"/>
    </row>
    <row r="150" spans="5:8" ht="30" customHeight="1" x14ac:dyDescent="0.3">
      <c r="E150" s="36"/>
      <c r="F150" s="36"/>
      <c r="G150" s="36"/>
      <c r="H150" s="80"/>
    </row>
    <row r="151" spans="5:8" ht="30" customHeight="1" x14ac:dyDescent="0.3">
      <c r="E151" s="36"/>
      <c r="F151" s="36"/>
      <c r="G151" s="36"/>
      <c r="H151" s="80"/>
    </row>
    <row r="152" spans="5:8" ht="30" customHeight="1" x14ac:dyDescent="0.3">
      <c r="E152" s="36"/>
      <c r="F152" s="36"/>
      <c r="G152" s="36"/>
      <c r="H152" s="80"/>
    </row>
    <row r="153" spans="5:8" ht="30" customHeight="1" x14ac:dyDescent="0.3">
      <c r="E153" s="36"/>
      <c r="F153" s="36"/>
      <c r="G153" s="36"/>
      <c r="H153" s="80"/>
    </row>
    <row r="154" spans="5:8" ht="30" customHeight="1" x14ac:dyDescent="0.3">
      <c r="E154" s="36"/>
      <c r="F154" s="36"/>
      <c r="G154" s="36"/>
      <c r="H154" s="80"/>
    </row>
    <row r="155" spans="5:8" ht="30" customHeight="1" x14ac:dyDescent="0.3">
      <c r="E155" s="36"/>
      <c r="F155" s="36"/>
      <c r="G155" s="36"/>
      <c r="H155" s="80"/>
    </row>
    <row r="156" spans="5:8" ht="30" customHeight="1" x14ac:dyDescent="0.3">
      <c r="E156" s="36"/>
      <c r="F156" s="36"/>
      <c r="G156" s="36"/>
      <c r="H156" s="80"/>
    </row>
    <row r="157" spans="5:8" ht="30" customHeight="1" x14ac:dyDescent="0.3">
      <c r="E157" s="36"/>
      <c r="F157" s="36"/>
      <c r="G157" s="36"/>
      <c r="H157" s="80"/>
    </row>
    <row r="158" spans="5:8" ht="30" customHeight="1" x14ac:dyDescent="0.3">
      <c r="E158" s="36"/>
      <c r="F158" s="36"/>
      <c r="G158" s="36"/>
      <c r="H158" s="80"/>
    </row>
    <row r="159" spans="5:8" ht="30" customHeight="1" x14ac:dyDescent="0.3">
      <c r="E159" s="36"/>
      <c r="F159" s="36"/>
      <c r="G159" s="36"/>
      <c r="H159" s="80"/>
    </row>
    <row r="160" spans="5:8" ht="30" customHeight="1" x14ac:dyDescent="0.3">
      <c r="E160" s="36"/>
      <c r="F160" s="36"/>
      <c r="G160" s="36"/>
      <c r="H160" s="80"/>
    </row>
    <row r="161" spans="5:8" ht="30" customHeight="1" x14ac:dyDescent="0.3">
      <c r="E161" s="36"/>
      <c r="F161" s="36"/>
      <c r="G161" s="36"/>
      <c r="H161" s="80"/>
    </row>
    <row r="162" spans="5:8" ht="30" customHeight="1" x14ac:dyDescent="0.3">
      <c r="E162" s="36"/>
      <c r="F162" s="36"/>
      <c r="G162" s="36"/>
      <c r="H162" s="80"/>
    </row>
    <row r="163" spans="5:8" ht="30" customHeight="1" x14ac:dyDescent="0.3">
      <c r="E163" s="36"/>
      <c r="F163" s="36"/>
      <c r="G163" s="36"/>
      <c r="H163" s="80"/>
    </row>
    <row r="164" spans="5:8" ht="30" customHeight="1" x14ac:dyDescent="0.3">
      <c r="E164" s="36"/>
      <c r="F164" s="36"/>
      <c r="G164" s="36"/>
      <c r="H164" s="80"/>
    </row>
    <row r="165" spans="5:8" ht="30" customHeight="1" x14ac:dyDescent="0.3">
      <c r="E165" s="36"/>
      <c r="F165" s="36"/>
      <c r="G165" s="36"/>
      <c r="H165" s="80"/>
    </row>
    <row r="166" spans="5:8" ht="30" customHeight="1" x14ac:dyDescent="0.3">
      <c r="E166" s="36"/>
      <c r="F166" s="36"/>
      <c r="G166" s="36"/>
      <c r="H166" s="80"/>
    </row>
    <row r="167" spans="5:8" ht="30" customHeight="1" x14ac:dyDescent="0.3">
      <c r="E167" s="36"/>
      <c r="F167" s="36"/>
      <c r="G167" s="36"/>
      <c r="H167" s="80"/>
    </row>
    <row r="168" spans="5:8" ht="30" customHeight="1" x14ac:dyDescent="0.3">
      <c r="E168" s="36"/>
      <c r="F168" s="36"/>
      <c r="G168" s="36"/>
      <c r="H168" s="80"/>
    </row>
    <row r="169" spans="5:8" ht="30" customHeight="1" x14ac:dyDescent="0.3">
      <c r="E169" s="36"/>
      <c r="F169" s="36"/>
      <c r="G169" s="36"/>
      <c r="H169" s="80"/>
    </row>
    <row r="170" spans="5:8" ht="30" customHeight="1" x14ac:dyDescent="0.3">
      <c r="E170" s="36"/>
      <c r="F170" s="36"/>
      <c r="G170" s="36"/>
      <c r="H170" s="80"/>
    </row>
    <row r="171" spans="5:8" ht="30" customHeight="1" x14ac:dyDescent="0.3">
      <c r="E171" s="36"/>
      <c r="F171" s="36"/>
      <c r="G171" s="36"/>
      <c r="H171" s="80"/>
    </row>
    <row r="172" spans="5:8" ht="30" customHeight="1" x14ac:dyDescent="0.3">
      <c r="E172" s="36"/>
      <c r="F172" s="36"/>
      <c r="G172" s="36"/>
      <c r="H172" s="80"/>
    </row>
    <row r="173" spans="5:8" ht="30" customHeight="1" x14ac:dyDescent="0.3">
      <c r="E173" s="36"/>
      <c r="F173" s="36"/>
      <c r="G173" s="36"/>
      <c r="H173" s="80"/>
    </row>
    <row r="174" spans="5:8" ht="30" customHeight="1" x14ac:dyDescent="0.3">
      <c r="E174" s="36"/>
      <c r="F174" s="36"/>
      <c r="G174" s="36"/>
      <c r="H174" s="80"/>
    </row>
    <row r="175" spans="5:8" ht="30" customHeight="1" x14ac:dyDescent="0.3">
      <c r="E175" s="36"/>
      <c r="F175" s="36"/>
      <c r="G175" s="36"/>
      <c r="H175" s="80"/>
    </row>
    <row r="176" spans="5:8" ht="30" customHeight="1" x14ac:dyDescent="0.3">
      <c r="E176" s="36"/>
      <c r="F176" s="36"/>
      <c r="G176" s="36"/>
      <c r="H176" s="80"/>
    </row>
    <row r="177" spans="5:8" ht="30" customHeight="1" x14ac:dyDescent="0.3">
      <c r="E177" s="36"/>
      <c r="F177" s="36"/>
      <c r="G177" s="36"/>
      <c r="H177" s="80"/>
    </row>
    <row r="178" spans="5:8" ht="30" customHeight="1" x14ac:dyDescent="0.3">
      <c r="E178" s="36"/>
      <c r="F178" s="36"/>
      <c r="G178" s="36"/>
      <c r="H178" s="80"/>
    </row>
    <row r="179" spans="5:8" ht="30" customHeight="1" x14ac:dyDescent="0.3">
      <c r="E179" s="36"/>
      <c r="F179" s="36"/>
      <c r="G179" s="36"/>
      <c r="H179" s="80"/>
    </row>
    <row r="180" spans="5:8" ht="30" customHeight="1" x14ac:dyDescent="0.3">
      <c r="E180" s="36"/>
      <c r="F180" s="36"/>
      <c r="G180" s="36"/>
      <c r="H180" s="80"/>
    </row>
    <row r="181" spans="5:8" ht="30" customHeight="1" x14ac:dyDescent="0.3">
      <c r="E181" s="36"/>
      <c r="F181" s="36"/>
      <c r="G181" s="36"/>
      <c r="H181" s="80"/>
    </row>
    <row r="182" spans="5:8" ht="30" customHeight="1" x14ac:dyDescent="0.3">
      <c r="E182" s="36"/>
      <c r="F182" s="36"/>
      <c r="G182" s="36"/>
      <c r="H182" s="80"/>
    </row>
    <row r="183" spans="5:8" ht="30" customHeight="1" x14ac:dyDescent="0.3">
      <c r="E183" s="36"/>
      <c r="F183" s="36"/>
      <c r="G183" s="36"/>
      <c r="H183" s="80"/>
    </row>
    <row r="184" spans="5:8" ht="30" customHeight="1" x14ac:dyDescent="0.3">
      <c r="E184" s="36"/>
      <c r="F184" s="36"/>
      <c r="G184" s="36"/>
      <c r="H184" s="80"/>
    </row>
    <row r="185" spans="5:8" ht="30" customHeight="1" x14ac:dyDescent="0.3">
      <c r="E185" s="36"/>
      <c r="F185" s="36"/>
      <c r="G185" s="36"/>
      <c r="H185" s="80"/>
    </row>
    <row r="186" spans="5:8" ht="30" customHeight="1" x14ac:dyDescent="0.3">
      <c r="E186" s="36"/>
      <c r="F186" s="36"/>
      <c r="G186" s="36"/>
      <c r="H186" s="80"/>
    </row>
    <row r="187" spans="5:8" ht="30" customHeight="1" x14ac:dyDescent="0.3">
      <c r="E187" s="36"/>
      <c r="F187" s="36"/>
      <c r="G187" s="36"/>
      <c r="H187" s="80"/>
    </row>
    <row r="188" spans="5:8" ht="30" customHeight="1" x14ac:dyDescent="0.3">
      <c r="E188" s="36"/>
      <c r="F188" s="36"/>
      <c r="G188" s="36"/>
      <c r="H188" s="80"/>
    </row>
    <row r="189" spans="5:8" ht="30" customHeight="1" x14ac:dyDescent="0.3">
      <c r="E189" s="36"/>
      <c r="F189" s="36"/>
      <c r="G189" s="36"/>
      <c r="H189" s="80"/>
    </row>
    <row r="190" spans="5:8" ht="30" customHeight="1" x14ac:dyDescent="0.3">
      <c r="E190" s="36"/>
      <c r="F190" s="36"/>
      <c r="G190" s="36"/>
      <c r="H190" s="80"/>
    </row>
    <row r="191" spans="5:8" ht="30" customHeight="1" x14ac:dyDescent="0.3">
      <c r="E191" s="36"/>
      <c r="F191" s="36"/>
      <c r="G191" s="36"/>
      <c r="H191" s="80"/>
    </row>
    <row r="192" spans="5:8" ht="30" customHeight="1" x14ac:dyDescent="0.3">
      <c r="E192" s="36"/>
      <c r="F192" s="36"/>
      <c r="G192" s="36"/>
      <c r="H192" s="80"/>
    </row>
    <row r="193" spans="5:8" ht="30" customHeight="1" x14ac:dyDescent="0.3">
      <c r="E193" s="36"/>
      <c r="F193" s="36"/>
      <c r="G193" s="36"/>
      <c r="H193" s="80"/>
    </row>
    <row r="194" spans="5:8" ht="30" customHeight="1" x14ac:dyDescent="0.3">
      <c r="E194" s="36"/>
      <c r="F194" s="36"/>
      <c r="G194" s="36"/>
      <c r="H194" s="80"/>
    </row>
    <row r="195" spans="5:8" ht="30" customHeight="1" x14ac:dyDescent="0.3">
      <c r="E195" s="36"/>
      <c r="F195" s="36"/>
      <c r="G195" s="36"/>
      <c r="H195" s="80"/>
    </row>
    <row r="196" spans="5:8" ht="30" customHeight="1" x14ac:dyDescent="0.3">
      <c r="E196" s="36"/>
      <c r="F196" s="36"/>
      <c r="G196" s="36"/>
      <c r="H196" s="80"/>
    </row>
    <row r="197" spans="5:8" ht="30" customHeight="1" x14ac:dyDescent="0.3">
      <c r="E197" s="36"/>
      <c r="F197" s="36"/>
      <c r="G197" s="36"/>
      <c r="H197" s="80"/>
    </row>
    <row r="198" spans="5:8" ht="30" customHeight="1" x14ac:dyDescent="0.3">
      <c r="E198" s="36"/>
      <c r="F198" s="36"/>
      <c r="G198" s="36"/>
      <c r="H198" s="80"/>
    </row>
    <row r="199" spans="5:8" ht="30" customHeight="1" x14ac:dyDescent="0.3">
      <c r="E199" s="36"/>
      <c r="F199" s="36"/>
      <c r="G199" s="36"/>
      <c r="H199" s="80"/>
    </row>
    <row r="200" spans="5:8" ht="30" customHeight="1" x14ac:dyDescent="0.3">
      <c r="E200" s="36"/>
      <c r="F200" s="36"/>
      <c r="G200" s="36"/>
      <c r="H200" s="80"/>
    </row>
    <row r="201" spans="5:8" ht="30" customHeight="1" x14ac:dyDescent="0.3">
      <c r="E201" s="36"/>
      <c r="F201" s="36"/>
      <c r="G201" s="36"/>
      <c r="H201" s="80"/>
    </row>
    <row r="202" spans="5:8" ht="30" customHeight="1" x14ac:dyDescent="0.3">
      <c r="E202" s="36"/>
      <c r="F202" s="36"/>
      <c r="G202" s="36"/>
      <c r="H202" s="80"/>
    </row>
    <row r="203" spans="5:8" ht="30" customHeight="1" x14ac:dyDescent="0.3">
      <c r="E203" s="36"/>
      <c r="F203" s="36"/>
      <c r="G203" s="36"/>
      <c r="H203" s="80"/>
    </row>
    <row r="204" spans="5:8" ht="30" customHeight="1" x14ac:dyDescent="0.3">
      <c r="E204" s="36"/>
      <c r="F204" s="36"/>
      <c r="G204" s="36"/>
      <c r="H204" s="80"/>
    </row>
    <row r="205" spans="5:8" ht="30" customHeight="1" x14ac:dyDescent="0.3">
      <c r="E205" s="36"/>
      <c r="F205" s="36"/>
      <c r="G205" s="36"/>
      <c r="H205" s="80"/>
    </row>
    <row r="206" spans="5:8" ht="30" customHeight="1" x14ac:dyDescent="0.3">
      <c r="E206" s="36"/>
      <c r="F206" s="36"/>
      <c r="G206" s="36"/>
      <c r="H206" s="80"/>
    </row>
    <row r="207" spans="5:8" ht="30" customHeight="1" x14ac:dyDescent="0.3">
      <c r="E207" s="36"/>
      <c r="F207" s="36"/>
      <c r="G207" s="36"/>
      <c r="H207" s="80"/>
    </row>
    <row r="208" spans="5:8" ht="30" customHeight="1" x14ac:dyDescent="0.3">
      <c r="E208" s="36"/>
      <c r="F208" s="36"/>
      <c r="G208" s="36"/>
      <c r="H208" s="80"/>
    </row>
    <row r="209" spans="5:8" ht="30" customHeight="1" x14ac:dyDescent="0.3">
      <c r="E209" s="36"/>
      <c r="F209" s="36"/>
      <c r="G209" s="36"/>
      <c r="H209" s="80"/>
    </row>
    <row r="210" spans="5:8" ht="30" customHeight="1" x14ac:dyDescent="0.3">
      <c r="E210" s="36"/>
      <c r="F210" s="36"/>
      <c r="G210" s="36"/>
      <c r="H210" s="80"/>
    </row>
    <row r="211" spans="5:8" ht="30" customHeight="1" x14ac:dyDescent="0.3">
      <c r="E211" s="36"/>
      <c r="F211" s="36"/>
      <c r="G211" s="36"/>
      <c r="H211" s="80"/>
    </row>
    <row r="212" spans="5:8" ht="30" customHeight="1" x14ac:dyDescent="0.3">
      <c r="E212" s="36"/>
      <c r="F212" s="36"/>
      <c r="G212" s="36"/>
      <c r="H212" s="80"/>
    </row>
    <row r="213" spans="5:8" ht="30" customHeight="1" x14ac:dyDescent="0.3">
      <c r="E213" s="36"/>
      <c r="F213" s="36"/>
      <c r="G213" s="36"/>
      <c r="H213" s="80"/>
    </row>
    <row r="214" spans="5:8" ht="30" customHeight="1" x14ac:dyDescent="0.3">
      <c r="E214" s="36"/>
      <c r="F214" s="36"/>
      <c r="G214" s="36"/>
      <c r="H214" s="80"/>
    </row>
    <row r="215" spans="5:8" ht="30" customHeight="1" x14ac:dyDescent="0.3">
      <c r="E215" s="36"/>
      <c r="F215" s="36"/>
      <c r="G215" s="36"/>
      <c r="H215" s="80"/>
    </row>
    <row r="216" spans="5:8" ht="30" customHeight="1" x14ac:dyDescent="0.3">
      <c r="E216" s="36"/>
      <c r="F216" s="36"/>
      <c r="G216" s="36"/>
      <c r="H216" s="80"/>
    </row>
    <row r="217" spans="5:8" ht="30" customHeight="1" x14ac:dyDescent="0.3">
      <c r="E217" s="36"/>
      <c r="F217" s="36"/>
      <c r="G217" s="36"/>
      <c r="H217" s="80"/>
    </row>
    <row r="218" spans="5:8" ht="30" customHeight="1" x14ac:dyDescent="0.3">
      <c r="E218" s="36"/>
      <c r="F218" s="36"/>
      <c r="G218" s="36"/>
      <c r="H218" s="80"/>
    </row>
    <row r="219" spans="5:8" ht="30" customHeight="1" x14ac:dyDescent="0.3">
      <c r="E219" s="36"/>
      <c r="F219" s="36"/>
      <c r="G219" s="36"/>
      <c r="H219" s="80"/>
    </row>
    <row r="220" spans="5:8" ht="30" customHeight="1" x14ac:dyDescent="0.3">
      <c r="E220" s="36"/>
      <c r="F220" s="36"/>
      <c r="G220" s="36"/>
      <c r="H220" s="80"/>
    </row>
    <row r="221" spans="5:8" ht="30" customHeight="1" x14ac:dyDescent="0.3">
      <c r="E221" s="36"/>
      <c r="F221" s="36"/>
      <c r="G221" s="36"/>
      <c r="H221" s="80"/>
    </row>
    <row r="222" spans="5:8" ht="30" customHeight="1" x14ac:dyDescent="0.3">
      <c r="E222" s="36"/>
      <c r="F222" s="36"/>
      <c r="G222" s="36"/>
      <c r="H222" s="80"/>
    </row>
    <row r="223" spans="5:8" ht="30" customHeight="1" x14ac:dyDescent="0.3">
      <c r="E223" s="36"/>
      <c r="F223" s="36"/>
      <c r="G223" s="36"/>
      <c r="H223" s="80"/>
    </row>
    <row r="224" spans="5:8" ht="30" customHeight="1" x14ac:dyDescent="0.3">
      <c r="E224" s="36"/>
      <c r="F224" s="36"/>
      <c r="G224" s="36"/>
      <c r="H224" s="80"/>
    </row>
    <row r="225" spans="5:8" ht="30" customHeight="1" x14ac:dyDescent="0.3">
      <c r="E225" s="36"/>
      <c r="F225" s="36"/>
      <c r="G225" s="36"/>
      <c r="H225" s="80"/>
    </row>
    <row r="226" spans="5:8" ht="30" customHeight="1" x14ac:dyDescent="0.3">
      <c r="E226" s="36"/>
      <c r="F226" s="36"/>
      <c r="G226" s="36"/>
      <c r="H226" s="80"/>
    </row>
    <row r="227" spans="5:8" ht="30" customHeight="1" x14ac:dyDescent="0.3">
      <c r="E227" s="36"/>
      <c r="F227" s="36"/>
      <c r="G227" s="36"/>
      <c r="H227" s="80"/>
    </row>
    <row r="228" spans="5:8" ht="30" customHeight="1" x14ac:dyDescent="0.3">
      <c r="E228" s="36"/>
      <c r="F228" s="36"/>
      <c r="G228" s="36"/>
      <c r="H228" s="80"/>
    </row>
    <row r="229" spans="5:8" ht="30" customHeight="1" x14ac:dyDescent="0.3">
      <c r="E229" s="36"/>
      <c r="F229" s="36"/>
      <c r="G229" s="36"/>
      <c r="H229" s="80"/>
    </row>
    <row r="230" spans="5:8" ht="30" customHeight="1" x14ac:dyDescent="0.3">
      <c r="E230" s="36"/>
      <c r="F230" s="36"/>
      <c r="G230" s="36"/>
      <c r="H230" s="80"/>
    </row>
    <row r="231" spans="5:8" ht="30" customHeight="1" x14ac:dyDescent="0.3">
      <c r="E231" s="36"/>
      <c r="F231" s="36"/>
      <c r="G231" s="36"/>
      <c r="H231" s="80"/>
    </row>
    <row r="232" spans="5:8" ht="30" customHeight="1" x14ac:dyDescent="0.3">
      <c r="E232" s="36"/>
      <c r="F232" s="36"/>
      <c r="G232" s="36"/>
      <c r="H232" s="80"/>
    </row>
    <row r="233" spans="5:8" ht="30" customHeight="1" x14ac:dyDescent="0.3">
      <c r="E233" s="36"/>
      <c r="F233" s="36"/>
      <c r="G233" s="36"/>
      <c r="H233" s="80"/>
    </row>
    <row r="234" spans="5:8" ht="30" customHeight="1" x14ac:dyDescent="0.3">
      <c r="E234" s="36"/>
      <c r="F234" s="36"/>
      <c r="G234" s="36"/>
      <c r="H234" s="80"/>
    </row>
    <row r="235" spans="5:8" ht="30" customHeight="1" x14ac:dyDescent="0.3">
      <c r="E235" s="36"/>
      <c r="F235" s="36"/>
      <c r="G235" s="36"/>
      <c r="H235" s="80"/>
    </row>
    <row r="236" spans="5:8" ht="30" customHeight="1" x14ac:dyDescent="0.3">
      <c r="E236" s="36"/>
      <c r="F236" s="36"/>
      <c r="G236" s="36"/>
      <c r="H236" s="80"/>
    </row>
    <row r="237" spans="5:8" ht="30" customHeight="1" x14ac:dyDescent="0.3">
      <c r="E237" s="36"/>
      <c r="F237" s="36"/>
      <c r="G237" s="36"/>
      <c r="H237" s="80"/>
    </row>
    <row r="238" spans="5:8" ht="30" customHeight="1" x14ac:dyDescent="0.3">
      <c r="E238" s="36"/>
      <c r="F238" s="36"/>
      <c r="G238" s="36"/>
      <c r="H238" s="80"/>
    </row>
    <row r="239" spans="5:8" ht="30" customHeight="1" x14ac:dyDescent="0.3">
      <c r="E239" s="36"/>
      <c r="F239" s="36"/>
      <c r="G239" s="36"/>
      <c r="H239" s="80"/>
    </row>
    <row r="240" spans="5:8" ht="30" customHeight="1" x14ac:dyDescent="0.3">
      <c r="E240" s="36"/>
      <c r="F240" s="36"/>
      <c r="G240" s="36"/>
      <c r="H240" s="80"/>
    </row>
    <row r="241" spans="5:8" ht="30" customHeight="1" x14ac:dyDescent="0.3">
      <c r="E241" s="36"/>
      <c r="F241" s="36"/>
      <c r="G241" s="36"/>
      <c r="H241" s="80"/>
    </row>
    <row r="242" spans="5:8" ht="30" customHeight="1" x14ac:dyDescent="0.3">
      <c r="E242" s="36"/>
      <c r="F242" s="36"/>
      <c r="G242" s="36"/>
      <c r="H242" s="80"/>
    </row>
    <row r="243" spans="5:8" ht="30" customHeight="1" x14ac:dyDescent="0.3">
      <c r="E243" s="36"/>
      <c r="F243" s="36"/>
      <c r="G243" s="36"/>
      <c r="H243" s="80"/>
    </row>
    <row r="244" spans="5:8" ht="30" customHeight="1" x14ac:dyDescent="0.3">
      <c r="E244" s="36"/>
      <c r="F244" s="36"/>
      <c r="G244" s="36"/>
      <c r="H244" s="80"/>
    </row>
    <row r="245" spans="5:8" ht="30" customHeight="1" x14ac:dyDescent="0.3">
      <c r="E245" s="36"/>
      <c r="F245" s="36"/>
      <c r="G245" s="36"/>
      <c r="H245" s="80"/>
    </row>
    <row r="246" spans="5:8" ht="30" customHeight="1" x14ac:dyDescent="0.3">
      <c r="E246" s="36"/>
      <c r="F246" s="36"/>
      <c r="G246" s="36"/>
      <c r="H246" s="80"/>
    </row>
    <row r="247" spans="5:8" ht="30" customHeight="1" x14ac:dyDescent="0.3">
      <c r="E247" s="36"/>
      <c r="F247" s="36"/>
      <c r="G247" s="36"/>
      <c r="H247" s="80"/>
    </row>
    <row r="248" spans="5:8" ht="30" customHeight="1" x14ac:dyDescent="0.3">
      <c r="E248" s="36"/>
      <c r="F248" s="36"/>
      <c r="G248" s="36"/>
      <c r="H248" s="80"/>
    </row>
    <row r="249" spans="5:8" ht="30" customHeight="1" x14ac:dyDescent="0.3">
      <c r="E249" s="36"/>
      <c r="F249" s="36"/>
      <c r="G249" s="36"/>
      <c r="H249" s="80"/>
    </row>
    <row r="250" spans="5:8" ht="30" customHeight="1" x14ac:dyDescent="0.3">
      <c r="E250" s="36"/>
      <c r="F250" s="36"/>
      <c r="G250" s="36"/>
      <c r="H250" s="80"/>
    </row>
    <row r="251" spans="5:8" ht="30" customHeight="1" x14ac:dyDescent="0.3">
      <c r="E251" s="36"/>
      <c r="F251" s="36"/>
      <c r="G251" s="36"/>
      <c r="H251" s="80"/>
    </row>
    <row r="252" spans="5:8" ht="30" customHeight="1" x14ac:dyDescent="0.3">
      <c r="E252" s="36"/>
      <c r="F252" s="36"/>
      <c r="G252" s="36"/>
      <c r="H252" s="80"/>
    </row>
    <row r="253" spans="5:8" ht="30" customHeight="1" x14ac:dyDescent="0.3">
      <c r="E253" s="36"/>
      <c r="F253" s="36"/>
      <c r="G253" s="36"/>
      <c r="H253" s="80"/>
    </row>
    <row r="254" spans="5:8" ht="30" customHeight="1" x14ac:dyDescent="0.3">
      <c r="E254" s="36"/>
      <c r="F254" s="36"/>
      <c r="G254" s="36"/>
      <c r="H254" s="80"/>
    </row>
    <row r="255" spans="5:8" ht="30" customHeight="1" x14ac:dyDescent="0.3">
      <c r="E255" s="36"/>
      <c r="F255" s="36"/>
      <c r="G255" s="36"/>
      <c r="H255" s="80"/>
    </row>
    <row r="256" spans="5:8" ht="30" customHeight="1" x14ac:dyDescent="0.3">
      <c r="E256" s="36"/>
      <c r="F256" s="36"/>
      <c r="G256" s="36"/>
      <c r="H256" s="80"/>
    </row>
    <row r="257" spans="5:8" ht="30" customHeight="1" x14ac:dyDescent="0.3">
      <c r="E257" s="36"/>
      <c r="F257" s="36"/>
      <c r="G257" s="36"/>
      <c r="H257" s="80"/>
    </row>
    <row r="258" spans="5:8" ht="30" customHeight="1" x14ac:dyDescent="0.3">
      <c r="E258" s="36"/>
      <c r="F258" s="36"/>
      <c r="G258" s="36"/>
      <c r="H258" s="80"/>
    </row>
    <row r="259" spans="5:8" ht="30" customHeight="1" x14ac:dyDescent="0.3">
      <c r="E259" s="36"/>
      <c r="F259" s="36"/>
      <c r="G259" s="36"/>
      <c r="H259" s="80"/>
    </row>
    <row r="260" spans="5:8" ht="30" customHeight="1" x14ac:dyDescent="0.3">
      <c r="E260" s="36"/>
      <c r="F260" s="36"/>
      <c r="G260" s="36"/>
      <c r="H260" s="80"/>
    </row>
    <row r="261" spans="5:8" ht="30" customHeight="1" x14ac:dyDescent="0.3">
      <c r="E261" s="36"/>
      <c r="F261" s="36"/>
      <c r="G261" s="36"/>
      <c r="H261" s="80"/>
    </row>
    <row r="262" spans="5:8" ht="30" customHeight="1" x14ac:dyDescent="0.3">
      <c r="E262" s="36"/>
      <c r="F262" s="36"/>
      <c r="G262" s="36"/>
      <c r="H262" s="80"/>
    </row>
    <row r="263" spans="5:8" ht="30" customHeight="1" x14ac:dyDescent="0.3">
      <c r="E263" s="36"/>
      <c r="F263" s="36"/>
      <c r="G263" s="36"/>
      <c r="H263" s="80"/>
    </row>
    <row r="264" spans="5:8" ht="30" customHeight="1" x14ac:dyDescent="0.3">
      <c r="E264" s="36"/>
      <c r="F264" s="36"/>
      <c r="G264" s="36"/>
      <c r="H264" s="80"/>
    </row>
    <row r="265" spans="5:8" ht="30" customHeight="1" x14ac:dyDescent="0.3">
      <c r="E265" s="36"/>
      <c r="F265" s="36"/>
      <c r="G265" s="36"/>
      <c r="H265" s="80"/>
    </row>
    <row r="266" spans="5:8" ht="30" customHeight="1" x14ac:dyDescent="0.3">
      <c r="E266" s="36"/>
      <c r="F266" s="36"/>
      <c r="G266" s="36"/>
      <c r="H266" s="80"/>
    </row>
    <row r="267" spans="5:8" ht="30" customHeight="1" x14ac:dyDescent="0.3">
      <c r="E267" s="36"/>
      <c r="F267" s="36"/>
      <c r="G267" s="36"/>
      <c r="H267" s="80"/>
    </row>
    <row r="268" spans="5:8" ht="30" customHeight="1" x14ac:dyDescent="0.3">
      <c r="E268" s="36"/>
      <c r="F268" s="36"/>
      <c r="G268" s="36"/>
      <c r="H268" s="80"/>
    </row>
    <row r="269" spans="5:8" ht="30" customHeight="1" x14ac:dyDescent="0.3">
      <c r="E269" s="36"/>
      <c r="F269" s="36"/>
      <c r="G269" s="36"/>
      <c r="H269" s="80"/>
    </row>
    <row r="270" spans="5:8" ht="30" customHeight="1" x14ac:dyDescent="0.3">
      <c r="E270" s="36"/>
      <c r="F270" s="36"/>
      <c r="G270" s="36"/>
      <c r="H270" s="80"/>
    </row>
    <row r="271" spans="5:8" ht="30" customHeight="1" x14ac:dyDescent="0.3">
      <c r="E271" s="36"/>
      <c r="F271" s="36"/>
      <c r="G271" s="36"/>
      <c r="H271" s="80"/>
    </row>
    <row r="272" spans="5:8" ht="30" customHeight="1" x14ac:dyDescent="0.3">
      <c r="E272" s="36"/>
      <c r="F272" s="36"/>
      <c r="G272" s="36"/>
      <c r="H272" s="80"/>
    </row>
    <row r="273" spans="5:8" ht="30" customHeight="1" x14ac:dyDescent="0.3">
      <c r="E273" s="36"/>
      <c r="F273" s="36"/>
      <c r="G273" s="36"/>
      <c r="H273" s="80"/>
    </row>
    <row r="274" spans="5:8" ht="30" customHeight="1" x14ac:dyDescent="0.3">
      <c r="E274" s="36"/>
      <c r="F274" s="36"/>
      <c r="G274" s="36"/>
      <c r="H274" s="80"/>
    </row>
    <row r="275" spans="5:8" ht="30" customHeight="1" x14ac:dyDescent="0.3">
      <c r="E275" s="36"/>
      <c r="F275" s="36"/>
      <c r="G275" s="36"/>
      <c r="H275" s="80"/>
    </row>
    <row r="276" spans="5:8" ht="30" customHeight="1" x14ac:dyDescent="0.3">
      <c r="E276" s="36"/>
      <c r="F276" s="36"/>
      <c r="G276" s="36"/>
      <c r="H276" s="80"/>
    </row>
    <row r="277" spans="5:8" ht="30" customHeight="1" x14ac:dyDescent="0.3">
      <c r="E277" s="36"/>
      <c r="F277" s="36"/>
      <c r="G277" s="36"/>
      <c r="H277" s="80"/>
    </row>
    <row r="278" spans="5:8" ht="30" customHeight="1" x14ac:dyDescent="0.3">
      <c r="E278" s="36"/>
      <c r="F278" s="36"/>
      <c r="G278" s="36"/>
      <c r="H278" s="80"/>
    </row>
    <row r="279" spans="5:8" ht="30" customHeight="1" x14ac:dyDescent="0.3">
      <c r="E279" s="36"/>
      <c r="F279" s="36"/>
      <c r="G279" s="36"/>
      <c r="H279" s="80"/>
    </row>
    <row r="280" spans="5:8" ht="30" customHeight="1" x14ac:dyDescent="0.3">
      <c r="E280" s="36"/>
      <c r="F280" s="36"/>
      <c r="G280" s="36"/>
      <c r="H280" s="80"/>
    </row>
    <row r="281" spans="5:8" ht="30" customHeight="1" x14ac:dyDescent="0.3">
      <c r="E281" s="36"/>
      <c r="F281" s="36"/>
      <c r="G281" s="36"/>
      <c r="H281" s="80"/>
    </row>
    <row r="282" spans="5:8" ht="30" customHeight="1" x14ac:dyDescent="0.3">
      <c r="E282" s="36"/>
      <c r="F282" s="36"/>
      <c r="G282" s="36"/>
      <c r="H282" s="80"/>
    </row>
    <row r="283" spans="5:8" ht="30" customHeight="1" x14ac:dyDescent="0.3">
      <c r="E283" s="36"/>
      <c r="F283" s="36"/>
      <c r="G283" s="36"/>
      <c r="H283" s="80"/>
    </row>
    <row r="284" spans="5:8" ht="30" customHeight="1" x14ac:dyDescent="0.3">
      <c r="E284" s="36"/>
      <c r="F284" s="36"/>
      <c r="G284" s="36"/>
      <c r="H284" s="80"/>
    </row>
    <row r="285" spans="5:8" ht="30" customHeight="1" x14ac:dyDescent="0.3">
      <c r="E285" s="36"/>
      <c r="F285" s="36"/>
      <c r="G285" s="36"/>
      <c r="H285" s="80"/>
    </row>
    <row r="286" spans="5:8" ht="30" customHeight="1" x14ac:dyDescent="0.3">
      <c r="E286" s="36"/>
      <c r="F286" s="36"/>
      <c r="G286" s="36"/>
      <c r="H286" s="80"/>
    </row>
    <row r="287" spans="5:8" ht="30" customHeight="1" x14ac:dyDescent="0.3">
      <c r="E287" s="36"/>
      <c r="F287" s="36"/>
      <c r="G287" s="36"/>
      <c r="H287" s="80"/>
    </row>
    <row r="288" spans="5:8" ht="30" customHeight="1" x14ac:dyDescent="0.3">
      <c r="E288" s="36"/>
      <c r="F288" s="36"/>
      <c r="G288" s="36"/>
      <c r="H288" s="80"/>
    </row>
    <row r="289" spans="5:8" ht="30" customHeight="1" x14ac:dyDescent="0.3">
      <c r="E289" s="36"/>
      <c r="F289" s="36"/>
      <c r="G289" s="36"/>
      <c r="H289" s="80"/>
    </row>
    <row r="290" spans="5:8" ht="30" customHeight="1" x14ac:dyDescent="0.3">
      <c r="E290" s="36"/>
      <c r="F290" s="36"/>
      <c r="G290" s="36"/>
      <c r="H290" s="80"/>
    </row>
    <row r="291" spans="5:8" ht="30" customHeight="1" x14ac:dyDescent="0.3">
      <c r="E291" s="36"/>
      <c r="F291" s="36"/>
      <c r="G291" s="36"/>
      <c r="H291" s="80"/>
    </row>
    <row r="292" spans="5:8" ht="30" customHeight="1" x14ac:dyDescent="0.3">
      <c r="E292" s="36"/>
      <c r="F292" s="36"/>
      <c r="G292" s="36"/>
      <c r="H292" s="80"/>
    </row>
    <row r="293" spans="5:8" ht="30" customHeight="1" x14ac:dyDescent="0.3">
      <c r="E293" s="36"/>
      <c r="F293" s="36"/>
      <c r="G293" s="36"/>
      <c r="H293" s="80"/>
    </row>
    <row r="294" spans="5:8" ht="30" customHeight="1" x14ac:dyDescent="0.3">
      <c r="E294" s="36"/>
      <c r="F294" s="36"/>
      <c r="G294" s="36"/>
      <c r="H294" s="80"/>
    </row>
    <row r="295" spans="5:8" ht="30" customHeight="1" x14ac:dyDescent="0.3">
      <c r="E295" s="36"/>
      <c r="F295" s="36"/>
      <c r="G295" s="36"/>
      <c r="H295" s="80"/>
    </row>
    <row r="296" spans="5:8" ht="30" customHeight="1" x14ac:dyDescent="0.3">
      <c r="E296" s="36"/>
      <c r="F296" s="36"/>
      <c r="G296" s="36"/>
      <c r="H296" s="80"/>
    </row>
    <row r="297" spans="5:8" ht="30" customHeight="1" x14ac:dyDescent="0.3">
      <c r="E297" s="36"/>
      <c r="F297" s="36"/>
      <c r="G297" s="36"/>
      <c r="H297" s="80"/>
    </row>
    <row r="298" spans="5:8" ht="30" customHeight="1" x14ac:dyDescent="0.3">
      <c r="E298" s="36"/>
      <c r="F298" s="36"/>
      <c r="G298" s="36"/>
      <c r="H298" s="80"/>
    </row>
    <row r="299" spans="5:8" ht="30" customHeight="1" x14ac:dyDescent="0.3">
      <c r="E299" s="36"/>
      <c r="F299" s="36"/>
      <c r="G299" s="36"/>
      <c r="H299" s="80"/>
    </row>
    <row r="300" spans="5:8" ht="30" customHeight="1" x14ac:dyDescent="0.3">
      <c r="E300" s="36"/>
      <c r="F300" s="36"/>
      <c r="G300" s="36"/>
      <c r="H300" s="80"/>
    </row>
    <row r="301" spans="5:8" ht="30" customHeight="1" x14ac:dyDescent="0.3">
      <c r="E301" s="36"/>
      <c r="F301" s="36"/>
      <c r="G301" s="36"/>
      <c r="H301" s="80"/>
    </row>
    <row r="302" spans="5:8" ht="30" customHeight="1" x14ac:dyDescent="0.3">
      <c r="E302" s="36"/>
      <c r="F302" s="36"/>
      <c r="G302" s="36"/>
      <c r="H302" s="80"/>
    </row>
    <row r="303" spans="5:8" ht="30" customHeight="1" x14ac:dyDescent="0.3">
      <c r="E303" s="36"/>
      <c r="F303" s="36"/>
      <c r="G303" s="36"/>
      <c r="H303" s="80"/>
    </row>
    <row r="304" spans="5:8" ht="30" customHeight="1" x14ac:dyDescent="0.3">
      <c r="E304" s="36"/>
      <c r="F304" s="36"/>
      <c r="G304" s="36"/>
      <c r="H304" s="80"/>
    </row>
    <row r="305" spans="5:8" ht="30" customHeight="1" x14ac:dyDescent="0.3">
      <c r="E305" s="36"/>
      <c r="F305" s="36"/>
      <c r="G305" s="36"/>
      <c r="H305" s="80"/>
    </row>
    <row r="306" spans="5:8" ht="30" customHeight="1" x14ac:dyDescent="0.3">
      <c r="E306" s="36"/>
      <c r="F306" s="36"/>
      <c r="G306" s="36"/>
      <c r="H306" s="80"/>
    </row>
    <row r="307" spans="5:8" ht="30" customHeight="1" x14ac:dyDescent="0.3">
      <c r="E307" s="36"/>
      <c r="F307" s="36"/>
      <c r="G307" s="36"/>
      <c r="H307" s="80"/>
    </row>
    <row r="308" spans="5:8" ht="30" customHeight="1" x14ac:dyDescent="0.3">
      <c r="E308" s="36"/>
      <c r="F308" s="36"/>
      <c r="G308" s="36"/>
      <c r="H308" s="80"/>
    </row>
    <row r="309" spans="5:8" ht="30" customHeight="1" x14ac:dyDescent="0.3">
      <c r="E309" s="36"/>
      <c r="F309" s="36"/>
      <c r="G309" s="36"/>
      <c r="H309" s="80"/>
    </row>
    <row r="310" spans="5:8" ht="30" customHeight="1" x14ac:dyDescent="0.3">
      <c r="E310" s="36"/>
      <c r="F310" s="36"/>
      <c r="G310" s="36"/>
      <c r="H310" s="80"/>
    </row>
    <row r="311" spans="5:8" ht="30" customHeight="1" x14ac:dyDescent="0.3">
      <c r="E311" s="36"/>
      <c r="F311" s="36"/>
      <c r="G311" s="36"/>
      <c r="H311" s="80"/>
    </row>
    <row r="312" spans="5:8" ht="30" customHeight="1" x14ac:dyDescent="0.3">
      <c r="E312" s="36"/>
      <c r="F312" s="36"/>
      <c r="G312" s="36"/>
      <c r="H312" s="80"/>
    </row>
    <row r="313" spans="5:8" ht="30" customHeight="1" x14ac:dyDescent="0.3">
      <c r="E313" s="36"/>
      <c r="F313" s="36"/>
      <c r="G313" s="36"/>
      <c r="H313" s="80"/>
    </row>
    <row r="314" spans="5:8" ht="30" customHeight="1" x14ac:dyDescent="0.3">
      <c r="E314" s="36"/>
      <c r="F314" s="36"/>
      <c r="G314" s="36"/>
      <c r="H314" s="80"/>
    </row>
    <row r="315" spans="5:8" ht="30" customHeight="1" x14ac:dyDescent="0.3">
      <c r="E315" s="36"/>
      <c r="F315" s="36"/>
      <c r="G315" s="36"/>
      <c r="H315" s="80"/>
    </row>
    <row r="316" spans="5:8" ht="30" customHeight="1" x14ac:dyDescent="0.3">
      <c r="E316" s="36"/>
      <c r="F316" s="36"/>
      <c r="G316" s="36"/>
      <c r="H316" s="80"/>
    </row>
    <row r="317" spans="5:8" ht="30" customHeight="1" x14ac:dyDescent="0.3">
      <c r="E317" s="36"/>
      <c r="F317" s="36"/>
      <c r="G317" s="36"/>
      <c r="H317" s="80"/>
    </row>
    <row r="318" spans="5:8" ht="30" customHeight="1" x14ac:dyDescent="0.3">
      <c r="E318" s="36"/>
      <c r="F318" s="36"/>
      <c r="G318" s="36"/>
      <c r="H318" s="80"/>
    </row>
    <row r="319" spans="5:8" ht="30" customHeight="1" x14ac:dyDescent="0.3">
      <c r="E319" s="36"/>
      <c r="F319" s="36"/>
      <c r="G319" s="36"/>
      <c r="H319" s="80"/>
    </row>
    <row r="320" spans="5:8" ht="30" customHeight="1" x14ac:dyDescent="0.3">
      <c r="E320" s="36"/>
      <c r="F320" s="36"/>
      <c r="G320" s="36"/>
      <c r="H320" s="80"/>
    </row>
    <row r="321" spans="5:8" ht="30" customHeight="1" x14ac:dyDescent="0.3">
      <c r="E321" s="36"/>
      <c r="F321" s="36"/>
      <c r="G321" s="36"/>
      <c r="H321" s="80"/>
    </row>
    <row r="322" spans="5:8" ht="30" customHeight="1" x14ac:dyDescent="0.3">
      <c r="E322" s="36"/>
      <c r="F322" s="36"/>
      <c r="G322" s="36"/>
      <c r="H322" s="80"/>
    </row>
    <row r="323" spans="5:8" ht="30" customHeight="1" x14ac:dyDescent="0.3">
      <c r="E323" s="36"/>
      <c r="F323" s="36"/>
      <c r="G323" s="36"/>
      <c r="H323" s="80"/>
    </row>
    <row r="324" spans="5:8" ht="30" customHeight="1" x14ac:dyDescent="0.3">
      <c r="E324" s="36"/>
      <c r="F324" s="36"/>
      <c r="G324" s="36"/>
      <c r="H324" s="80"/>
    </row>
    <row r="325" spans="5:8" ht="30" customHeight="1" x14ac:dyDescent="0.3">
      <c r="E325" s="36"/>
      <c r="F325" s="36"/>
      <c r="G325" s="36"/>
      <c r="H325" s="80"/>
    </row>
    <row r="326" spans="5:8" ht="30" customHeight="1" x14ac:dyDescent="0.3">
      <c r="E326" s="36"/>
      <c r="F326" s="36"/>
      <c r="G326" s="36"/>
      <c r="H326" s="80"/>
    </row>
    <row r="327" spans="5:8" ht="30" customHeight="1" x14ac:dyDescent="0.3">
      <c r="E327" s="36"/>
      <c r="F327" s="36"/>
      <c r="G327" s="36"/>
      <c r="H327" s="80"/>
    </row>
    <row r="328" spans="5:8" ht="30" customHeight="1" x14ac:dyDescent="0.3">
      <c r="E328" s="36"/>
      <c r="F328" s="36"/>
      <c r="G328" s="36"/>
      <c r="H328" s="80"/>
    </row>
    <row r="329" spans="5:8" ht="30" customHeight="1" x14ac:dyDescent="0.3">
      <c r="E329" s="36"/>
      <c r="F329" s="36"/>
      <c r="G329" s="36"/>
      <c r="H329" s="80"/>
    </row>
    <row r="330" spans="5:8" ht="30" customHeight="1" x14ac:dyDescent="0.3">
      <c r="E330" s="36"/>
      <c r="F330" s="36"/>
      <c r="G330" s="36"/>
      <c r="H330" s="80"/>
    </row>
    <row r="331" spans="5:8" ht="30" customHeight="1" x14ac:dyDescent="0.3">
      <c r="E331" s="36"/>
      <c r="F331" s="36"/>
      <c r="G331" s="36"/>
      <c r="H331" s="80"/>
    </row>
    <row r="332" spans="5:8" ht="30" customHeight="1" x14ac:dyDescent="0.3">
      <c r="E332" s="36"/>
      <c r="F332" s="36"/>
      <c r="G332" s="36"/>
      <c r="H332" s="80"/>
    </row>
    <row r="333" spans="5:8" ht="30" customHeight="1" x14ac:dyDescent="0.3">
      <c r="E333" s="36"/>
      <c r="F333" s="36"/>
      <c r="G333" s="36"/>
      <c r="H333" s="80"/>
    </row>
    <row r="334" spans="5:8" ht="30" customHeight="1" x14ac:dyDescent="0.3">
      <c r="E334" s="36"/>
      <c r="F334" s="36"/>
      <c r="G334" s="36"/>
      <c r="H334" s="80"/>
    </row>
    <row r="335" spans="5:8" ht="30" customHeight="1" x14ac:dyDescent="0.3">
      <c r="E335" s="36"/>
      <c r="F335" s="36"/>
      <c r="G335" s="36"/>
      <c r="H335" s="80"/>
    </row>
    <row r="336" spans="5:8" ht="30" customHeight="1" x14ac:dyDescent="0.3">
      <c r="E336" s="36"/>
      <c r="F336" s="36"/>
      <c r="G336" s="36"/>
      <c r="H336" s="80"/>
    </row>
    <row r="337" spans="5:8" ht="30" customHeight="1" x14ac:dyDescent="0.3">
      <c r="E337" s="36"/>
      <c r="F337" s="36"/>
      <c r="G337" s="36"/>
      <c r="H337" s="80"/>
    </row>
    <row r="338" spans="5:8" ht="30" customHeight="1" x14ac:dyDescent="0.3">
      <c r="E338" s="36"/>
      <c r="F338" s="36"/>
      <c r="G338" s="36"/>
      <c r="H338" s="80"/>
    </row>
    <row r="339" spans="5:8" ht="30" customHeight="1" x14ac:dyDescent="0.3">
      <c r="E339" s="36"/>
      <c r="F339" s="36"/>
      <c r="G339" s="36"/>
      <c r="H339" s="80"/>
    </row>
    <row r="340" spans="5:8" ht="30" customHeight="1" x14ac:dyDescent="0.3">
      <c r="E340" s="36"/>
      <c r="F340" s="36"/>
      <c r="G340" s="36"/>
      <c r="H340" s="80"/>
    </row>
    <row r="341" spans="5:8" ht="30" customHeight="1" x14ac:dyDescent="0.3">
      <c r="E341" s="36"/>
      <c r="F341" s="36"/>
      <c r="G341" s="36"/>
      <c r="H341" s="80"/>
    </row>
    <row r="342" spans="5:8" ht="30" customHeight="1" x14ac:dyDescent="0.3">
      <c r="E342" s="36"/>
      <c r="F342" s="36"/>
      <c r="G342" s="36"/>
      <c r="H342" s="80"/>
    </row>
    <row r="343" spans="5:8" ht="30" customHeight="1" x14ac:dyDescent="0.3">
      <c r="E343" s="36"/>
      <c r="F343" s="36"/>
      <c r="G343" s="36"/>
      <c r="H343" s="80"/>
    </row>
    <row r="344" spans="5:8" ht="30" customHeight="1" x14ac:dyDescent="0.3">
      <c r="E344" s="36"/>
      <c r="F344" s="36"/>
      <c r="G344" s="36"/>
      <c r="H344" s="80"/>
    </row>
    <row r="345" spans="5:8" ht="30" customHeight="1" x14ac:dyDescent="0.3">
      <c r="E345" s="36"/>
      <c r="F345" s="36"/>
      <c r="G345" s="36"/>
      <c r="H345" s="80"/>
    </row>
    <row r="346" spans="5:8" ht="30" customHeight="1" x14ac:dyDescent="0.3">
      <c r="E346" s="36"/>
      <c r="F346" s="36"/>
      <c r="G346" s="36"/>
      <c r="H346" s="80"/>
    </row>
    <row r="347" spans="5:8" ht="30" customHeight="1" x14ac:dyDescent="0.3">
      <c r="E347" s="36"/>
      <c r="F347" s="36"/>
      <c r="G347" s="36"/>
      <c r="H347" s="80"/>
    </row>
    <row r="348" spans="5:8" ht="30" customHeight="1" x14ac:dyDescent="0.3">
      <c r="E348" s="36"/>
      <c r="F348" s="36"/>
      <c r="G348" s="36"/>
      <c r="H348" s="80"/>
    </row>
    <row r="349" spans="5:8" ht="30" customHeight="1" x14ac:dyDescent="0.3">
      <c r="E349" s="36"/>
      <c r="F349" s="36"/>
      <c r="G349" s="36"/>
      <c r="H349" s="80"/>
    </row>
    <row r="350" spans="5:8" ht="30" customHeight="1" x14ac:dyDescent="0.3">
      <c r="E350" s="36"/>
      <c r="F350" s="36"/>
      <c r="G350" s="36"/>
      <c r="H350" s="80"/>
    </row>
    <row r="351" spans="5:8" ht="30" customHeight="1" x14ac:dyDescent="0.3">
      <c r="E351" s="36"/>
      <c r="F351" s="36"/>
      <c r="G351" s="36"/>
      <c r="H351" s="80"/>
    </row>
    <row r="352" spans="5:8" ht="30" customHeight="1" x14ac:dyDescent="0.3">
      <c r="E352" s="36"/>
      <c r="F352" s="36"/>
      <c r="G352" s="36"/>
      <c r="H352" s="80"/>
    </row>
    <row r="353" spans="5:8" ht="30" customHeight="1" x14ac:dyDescent="0.3">
      <c r="E353" s="36"/>
      <c r="F353" s="36"/>
      <c r="G353" s="36"/>
      <c r="H353" s="80"/>
    </row>
    <row r="354" spans="5:8" ht="30" customHeight="1" x14ac:dyDescent="0.3">
      <c r="E354" s="36"/>
      <c r="F354" s="36"/>
      <c r="G354" s="36"/>
      <c r="H354" s="80"/>
    </row>
    <row r="355" spans="5:8" ht="30" customHeight="1" x14ac:dyDescent="0.3">
      <c r="E355" s="36"/>
      <c r="F355" s="36"/>
      <c r="G355" s="36"/>
      <c r="H355" s="80"/>
    </row>
    <row r="356" spans="5:8" ht="30" customHeight="1" x14ac:dyDescent="0.3">
      <c r="E356" s="36"/>
      <c r="F356" s="36"/>
      <c r="G356" s="36"/>
      <c r="H356" s="80"/>
    </row>
    <row r="357" spans="5:8" ht="30" customHeight="1" x14ac:dyDescent="0.3">
      <c r="E357" s="36"/>
      <c r="F357" s="36"/>
      <c r="G357" s="36"/>
      <c r="H357" s="80"/>
    </row>
    <row r="358" spans="5:8" ht="30" customHeight="1" x14ac:dyDescent="0.3">
      <c r="E358" s="36"/>
      <c r="F358" s="36"/>
      <c r="G358" s="36"/>
      <c r="H358" s="80"/>
    </row>
    <row r="359" spans="5:8" ht="30" customHeight="1" x14ac:dyDescent="0.3">
      <c r="E359" s="36"/>
      <c r="F359" s="36"/>
      <c r="G359" s="36"/>
      <c r="H359" s="80"/>
    </row>
    <row r="360" spans="5:8" ht="30" customHeight="1" x14ac:dyDescent="0.3">
      <c r="E360" s="36"/>
      <c r="F360" s="36"/>
      <c r="G360" s="36"/>
      <c r="H360" s="80"/>
    </row>
    <row r="361" spans="5:8" ht="30" customHeight="1" x14ac:dyDescent="0.3">
      <c r="E361" s="36"/>
      <c r="F361" s="36"/>
      <c r="G361" s="36"/>
      <c r="H361" s="80"/>
    </row>
    <row r="362" spans="5:8" ht="30" customHeight="1" x14ac:dyDescent="0.3">
      <c r="E362" s="36"/>
      <c r="F362" s="36"/>
      <c r="G362" s="36"/>
      <c r="H362" s="80"/>
    </row>
    <row r="363" spans="5:8" ht="30" customHeight="1" x14ac:dyDescent="0.3">
      <c r="E363" s="36"/>
      <c r="F363" s="36"/>
      <c r="G363" s="36"/>
      <c r="H363" s="80"/>
    </row>
    <row r="364" spans="5:8" ht="30" customHeight="1" x14ac:dyDescent="0.3">
      <c r="E364" s="36"/>
      <c r="F364" s="36"/>
      <c r="G364" s="36"/>
      <c r="H364" s="80"/>
    </row>
    <row r="365" spans="5:8" ht="30" customHeight="1" x14ac:dyDescent="0.3">
      <c r="E365" s="36"/>
      <c r="F365" s="36"/>
      <c r="G365" s="36"/>
      <c r="H365" s="80"/>
    </row>
    <row r="366" spans="5:8" ht="30" customHeight="1" x14ac:dyDescent="0.3">
      <c r="E366" s="36"/>
      <c r="F366" s="36"/>
      <c r="G366" s="36"/>
      <c r="H366" s="80"/>
    </row>
    <row r="367" spans="5:8" ht="30" customHeight="1" x14ac:dyDescent="0.3">
      <c r="E367" s="36"/>
      <c r="F367" s="36"/>
      <c r="G367" s="36"/>
      <c r="H367" s="80"/>
    </row>
    <row r="368" spans="5:8" ht="30" customHeight="1" x14ac:dyDescent="0.3">
      <c r="E368" s="36"/>
      <c r="F368" s="36"/>
      <c r="G368" s="36"/>
      <c r="H368" s="80"/>
    </row>
    <row r="369" spans="5:8" ht="30" customHeight="1" x14ac:dyDescent="0.3">
      <c r="E369" s="36"/>
      <c r="F369" s="36"/>
      <c r="G369" s="36"/>
      <c r="H369" s="80"/>
    </row>
    <row r="370" spans="5:8" ht="30" customHeight="1" x14ac:dyDescent="0.3">
      <c r="E370" s="36"/>
      <c r="F370" s="36"/>
      <c r="G370" s="36"/>
      <c r="H370" s="80"/>
    </row>
    <row r="371" spans="5:8" ht="30" customHeight="1" x14ac:dyDescent="0.3">
      <c r="E371" s="36"/>
      <c r="F371" s="36"/>
      <c r="G371" s="36"/>
      <c r="H371" s="80"/>
    </row>
    <row r="372" spans="5:8" ht="30" customHeight="1" x14ac:dyDescent="0.3">
      <c r="E372" s="36"/>
      <c r="F372" s="36"/>
      <c r="G372" s="36"/>
      <c r="H372" s="80"/>
    </row>
    <row r="373" spans="5:8" ht="30" customHeight="1" x14ac:dyDescent="0.3">
      <c r="E373" s="36"/>
      <c r="F373" s="36"/>
      <c r="G373" s="36"/>
      <c r="H373" s="80"/>
    </row>
    <row r="374" spans="5:8" ht="30" customHeight="1" x14ac:dyDescent="0.3">
      <c r="E374" s="36"/>
      <c r="F374" s="36"/>
      <c r="G374" s="36"/>
      <c r="H374" s="80"/>
    </row>
    <row r="375" spans="5:8" ht="30" customHeight="1" x14ac:dyDescent="0.3">
      <c r="E375" s="36"/>
      <c r="F375" s="36"/>
      <c r="G375" s="36"/>
      <c r="H375" s="80"/>
    </row>
    <row r="376" spans="5:8" ht="30" customHeight="1" x14ac:dyDescent="0.3">
      <c r="E376" s="36"/>
      <c r="F376" s="36"/>
      <c r="G376" s="36"/>
      <c r="H376" s="80"/>
    </row>
    <row r="377" spans="5:8" ht="30" customHeight="1" x14ac:dyDescent="0.3">
      <c r="E377" s="36"/>
      <c r="F377" s="36"/>
      <c r="G377" s="36"/>
      <c r="H377" s="80"/>
    </row>
    <row r="378" spans="5:8" ht="30" customHeight="1" x14ac:dyDescent="0.3">
      <c r="E378" s="36"/>
      <c r="F378" s="36"/>
      <c r="G378" s="36"/>
      <c r="H378" s="80"/>
    </row>
    <row r="379" spans="5:8" ht="30" customHeight="1" x14ac:dyDescent="0.3">
      <c r="E379" s="36"/>
      <c r="F379" s="36"/>
      <c r="G379" s="36"/>
      <c r="H379" s="80"/>
    </row>
    <row r="380" spans="5:8" ht="30" customHeight="1" x14ac:dyDescent="0.3">
      <c r="E380" s="36"/>
      <c r="F380" s="36"/>
      <c r="G380" s="36"/>
      <c r="H380" s="80"/>
    </row>
    <row r="381" spans="5:8" ht="30" customHeight="1" x14ac:dyDescent="0.3">
      <c r="E381" s="36"/>
      <c r="F381" s="36"/>
      <c r="G381" s="36"/>
      <c r="H381" s="80"/>
    </row>
    <row r="382" spans="5:8" ht="30" customHeight="1" x14ac:dyDescent="0.3">
      <c r="E382" s="36"/>
      <c r="F382" s="36"/>
      <c r="G382" s="36"/>
      <c r="H382" s="80"/>
    </row>
    <row r="383" spans="5:8" ht="30" customHeight="1" x14ac:dyDescent="0.3">
      <c r="E383" s="36"/>
      <c r="F383" s="36"/>
      <c r="G383" s="36"/>
      <c r="H383" s="80"/>
    </row>
    <row r="384" spans="5:8" ht="30" customHeight="1" x14ac:dyDescent="0.3">
      <c r="E384" s="36"/>
      <c r="F384" s="36"/>
      <c r="G384" s="36"/>
      <c r="H384" s="80"/>
    </row>
    <row r="385" spans="5:8" ht="30" customHeight="1" x14ac:dyDescent="0.3">
      <c r="E385" s="36"/>
      <c r="F385" s="36"/>
      <c r="G385" s="36"/>
      <c r="H385" s="80"/>
    </row>
    <row r="386" spans="5:8" ht="30" customHeight="1" x14ac:dyDescent="0.3">
      <c r="E386" s="36"/>
      <c r="F386" s="36"/>
      <c r="G386" s="36"/>
      <c r="H386" s="80"/>
    </row>
    <row r="387" spans="5:8" ht="30" customHeight="1" x14ac:dyDescent="0.3">
      <c r="E387" s="36"/>
      <c r="F387" s="36"/>
      <c r="G387" s="36"/>
      <c r="H387" s="80"/>
    </row>
    <row r="388" spans="5:8" ht="30" customHeight="1" x14ac:dyDescent="0.3">
      <c r="E388" s="36"/>
      <c r="F388" s="36"/>
      <c r="G388" s="36"/>
      <c r="H388" s="80"/>
    </row>
    <row r="389" spans="5:8" ht="30" customHeight="1" x14ac:dyDescent="0.3">
      <c r="E389" s="36"/>
      <c r="F389" s="36"/>
      <c r="G389" s="36"/>
      <c r="H389" s="80"/>
    </row>
    <row r="390" spans="5:8" ht="30" customHeight="1" x14ac:dyDescent="0.3">
      <c r="E390" s="36"/>
      <c r="F390" s="36"/>
      <c r="G390" s="36"/>
      <c r="H390" s="80"/>
    </row>
    <row r="391" spans="5:8" ht="30" customHeight="1" x14ac:dyDescent="0.3">
      <c r="E391" s="36"/>
      <c r="F391" s="36"/>
      <c r="G391" s="36"/>
      <c r="H391" s="80"/>
    </row>
    <row r="392" spans="5:8" ht="30" customHeight="1" x14ac:dyDescent="0.3">
      <c r="E392" s="36"/>
      <c r="F392" s="36"/>
      <c r="G392" s="36"/>
      <c r="H392" s="80"/>
    </row>
    <row r="393" spans="5:8" ht="30" customHeight="1" x14ac:dyDescent="0.3">
      <c r="E393" s="36"/>
      <c r="F393" s="36"/>
      <c r="G393" s="36"/>
      <c r="H393" s="80"/>
    </row>
    <row r="394" spans="5:8" ht="30" customHeight="1" x14ac:dyDescent="0.3">
      <c r="E394" s="36"/>
      <c r="F394" s="36"/>
      <c r="G394" s="36"/>
      <c r="H394" s="80"/>
    </row>
    <row r="395" spans="5:8" ht="30" customHeight="1" x14ac:dyDescent="0.3">
      <c r="E395" s="36"/>
      <c r="F395" s="36"/>
      <c r="G395" s="36"/>
      <c r="H395" s="80"/>
    </row>
    <row r="396" spans="5:8" ht="30" customHeight="1" x14ac:dyDescent="0.3">
      <c r="E396" s="36"/>
      <c r="F396" s="36"/>
      <c r="G396" s="36"/>
      <c r="H396" s="80"/>
    </row>
    <row r="397" spans="5:8" ht="30" customHeight="1" x14ac:dyDescent="0.3">
      <c r="E397" s="36"/>
      <c r="F397" s="36"/>
      <c r="G397" s="36"/>
      <c r="H397" s="80"/>
    </row>
    <row r="398" spans="5:8" ht="30" customHeight="1" x14ac:dyDescent="0.3">
      <c r="E398" s="36"/>
      <c r="F398" s="36"/>
      <c r="G398" s="36"/>
      <c r="H398" s="80"/>
    </row>
    <row r="399" spans="5:8" ht="30" customHeight="1" x14ac:dyDescent="0.3">
      <c r="E399" s="36"/>
      <c r="F399" s="36"/>
      <c r="G399" s="36"/>
      <c r="H399" s="80"/>
    </row>
    <row r="400" spans="5:8" ht="30" customHeight="1" x14ac:dyDescent="0.3">
      <c r="E400" s="36"/>
      <c r="F400" s="36"/>
      <c r="G400" s="36"/>
      <c r="H400" s="80"/>
    </row>
    <row r="401" spans="5:8" ht="30" customHeight="1" x14ac:dyDescent="0.3">
      <c r="E401" s="36"/>
      <c r="F401" s="36"/>
      <c r="G401" s="36"/>
      <c r="H401" s="80"/>
    </row>
    <row r="402" spans="5:8" ht="30" customHeight="1" x14ac:dyDescent="0.3">
      <c r="E402" s="36"/>
      <c r="F402" s="36"/>
      <c r="G402" s="36"/>
      <c r="H402" s="80"/>
    </row>
    <row r="403" spans="5:8" ht="30" customHeight="1" x14ac:dyDescent="0.3">
      <c r="E403" s="36"/>
      <c r="F403" s="36"/>
      <c r="G403" s="36"/>
      <c r="H403" s="80"/>
    </row>
    <row r="404" spans="5:8" ht="30" customHeight="1" x14ac:dyDescent="0.3">
      <c r="E404" s="36"/>
      <c r="F404" s="36"/>
      <c r="G404" s="36"/>
      <c r="H404" s="80"/>
    </row>
    <row r="405" spans="5:8" ht="30" customHeight="1" x14ac:dyDescent="0.3">
      <c r="E405" s="36"/>
      <c r="F405" s="36"/>
      <c r="G405" s="36"/>
      <c r="H405" s="80"/>
    </row>
    <row r="406" spans="5:8" ht="30" customHeight="1" x14ac:dyDescent="0.3">
      <c r="E406" s="36"/>
      <c r="F406" s="36"/>
      <c r="G406" s="36"/>
      <c r="H406" s="80"/>
    </row>
    <row r="407" spans="5:8" ht="30" customHeight="1" x14ac:dyDescent="0.3">
      <c r="E407" s="36"/>
      <c r="F407" s="36"/>
      <c r="G407" s="36"/>
      <c r="H407" s="80"/>
    </row>
    <row r="408" spans="5:8" ht="30" customHeight="1" x14ac:dyDescent="0.3">
      <c r="E408" s="36"/>
      <c r="F408" s="36"/>
      <c r="G408" s="36"/>
      <c r="H408" s="80"/>
    </row>
    <row r="409" spans="5:8" ht="30" customHeight="1" x14ac:dyDescent="0.3">
      <c r="E409" s="36"/>
      <c r="F409" s="36"/>
      <c r="G409" s="36"/>
      <c r="H409" s="80"/>
    </row>
    <row r="410" spans="5:8" ht="30" customHeight="1" x14ac:dyDescent="0.3">
      <c r="E410" s="36"/>
      <c r="F410" s="36"/>
      <c r="G410" s="36"/>
      <c r="H410" s="80"/>
    </row>
    <row r="411" spans="5:8" ht="30" customHeight="1" x14ac:dyDescent="0.3">
      <c r="E411" s="36"/>
      <c r="F411" s="36"/>
      <c r="G411" s="36"/>
      <c r="H411" s="80"/>
    </row>
    <row r="412" spans="5:8" ht="30" customHeight="1" x14ac:dyDescent="0.3">
      <c r="E412" s="36"/>
      <c r="F412" s="36"/>
      <c r="G412" s="36"/>
      <c r="H412" s="80"/>
    </row>
    <row r="413" spans="5:8" ht="30" customHeight="1" x14ac:dyDescent="0.3">
      <c r="E413" s="36"/>
      <c r="F413" s="36"/>
      <c r="G413" s="36"/>
      <c r="H413" s="80"/>
    </row>
    <row r="414" spans="5:8" ht="30" customHeight="1" x14ac:dyDescent="0.3">
      <c r="E414" s="36"/>
      <c r="F414" s="36"/>
      <c r="G414" s="36"/>
      <c r="H414" s="80"/>
    </row>
    <row r="415" spans="5:8" ht="30" customHeight="1" x14ac:dyDescent="0.3">
      <c r="E415" s="36"/>
      <c r="F415" s="36"/>
      <c r="G415" s="36"/>
      <c r="H415" s="80"/>
    </row>
    <row r="416" spans="5:8" ht="30" customHeight="1" x14ac:dyDescent="0.3">
      <c r="E416" s="36"/>
      <c r="F416" s="36"/>
      <c r="G416" s="36"/>
      <c r="H416" s="80"/>
    </row>
    <row r="417" spans="5:8" ht="30" customHeight="1" x14ac:dyDescent="0.3">
      <c r="E417" s="36"/>
      <c r="F417" s="36"/>
      <c r="G417" s="36"/>
      <c r="H417" s="80"/>
    </row>
    <row r="418" spans="5:8" ht="30" customHeight="1" x14ac:dyDescent="0.3">
      <c r="E418" s="36"/>
      <c r="F418" s="36"/>
      <c r="G418" s="36"/>
      <c r="H418" s="80"/>
    </row>
    <row r="419" spans="5:8" ht="30" customHeight="1" x14ac:dyDescent="0.3">
      <c r="E419" s="36"/>
      <c r="F419" s="36"/>
      <c r="G419" s="36"/>
      <c r="H419" s="80"/>
    </row>
    <row r="420" spans="5:8" ht="30" customHeight="1" x14ac:dyDescent="0.3">
      <c r="E420" s="36"/>
      <c r="F420" s="36"/>
      <c r="G420" s="36"/>
      <c r="H420" s="80"/>
    </row>
    <row r="421" spans="5:8" ht="30" customHeight="1" x14ac:dyDescent="0.3">
      <c r="E421" s="36"/>
      <c r="F421" s="36"/>
      <c r="G421" s="36"/>
      <c r="H421" s="80"/>
    </row>
    <row r="422" spans="5:8" ht="30" customHeight="1" x14ac:dyDescent="0.3">
      <c r="E422" s="36"/>
      <c r="F422" s="36"/>
      <c r="G422" s="36"/>
      <c r="H422" s="80"/>
    </row>
    <row r="423" spans="5:8" ht="30" customHeight="1" x14ac:dyDescent="0.3">
      <c r="E423" s="36"/>
      <c r="F423" s="36"/>
      <c r="G423" s="36"/>
      <c r="H423" s="80"/>
    </row>
    <row r="424" spans="5:8" ht="30" customHeight="1" x14ac:dyDescent="0.3">
      <c r="E424" s="36"/>
      <c r="F424" s="36"/>
      <c r="G424" s="36"/>
      <c r="H424" s="80"/>
    </row>
    <row r="425" spans="5:8" ht="30" customHeight="1" x14ac:dyDescent="0.3">
      <c r="E425" s="36"/>
      <c r="F425" s="36"/>
      <c r="G425" s="36"/>
      <c r="H425" s="80"/>
    </row>
    <row r="426" spans="5:8" ht="30" customHeight="1" x14ac:dyDescent="0.3">
      <c r="E426" s="36"/>
      <c r="F426" s="36"/>
      <c r="G426" s="36"/>
      <c r="H426" s="80"/>
    </row>
    <row r="427" spans="5:8" ht="30" customHeight="1" x14ac:dyDescent="0.3">
      <c r="E427" s="36"/>
      <c r="F427" s="36"/>
      <c r="G427" s="36"/>
      <c r="H427" s="80"/>
    </row>
    <row r="428" spans="5:8" ht="30" customHeight="1" x14ac:dyDescent="0.3">
      <c r="E428" s="36"/>
      <c r="F428" s="36"/>
      <c r="G428" s="36"/>
      <c r="H428" s="80"/>
    </row>
    <row r="429" spans="5:8" ht="30" customHeight="1" x14ac:dyDescent="0.3">
      <c r="E429" s="36"/>
      <c r="F429" s="36"/>
      <c r="G429" s="36"/>
      <c r="H429" s="80"/>
    </row>
    <row r="430" spans="5:8" ht="30" customHeight="1" x14ac:dyDescent="0.3">
      <c r="E430" s="36"/>
      <c r="F430" s="36"/>
      <c r="G430" s="36"/>
      <c r="H430" s="80"/>
    </row>
    <row r="431" spans="5:8" ht="30" customHeight="1" x14ac:dyDescent="0.3">
      <c r="E431" s="36"/>
      <c r="F431" s="36"/>
      <c r="G431" s="36"/>
      <c r="H431" s="80"/>
    </row>
    <row r="432" spans="5:8" ht="30" customHeight="1" x14ac:dyDescent="0.3">
      <c r="E432" s="36"/>
      <c r="F432" s="36"/>
      <c r="G432" s="36"/>
      <c r="H432" s="80"/>
    </row>
    <row r="433" spans="5:8" ht="30" customHeight="1" x14ac:dyDescent="0.3">
      <c r="E433" s="36"/>
      <c r="F433" s="36"/>
      <c r="G433" s="36"/>
      <c r="H433" s="80"/>
    </row>
    <row r="434" spans="5:8" ht="30" customHeight="1" x14ac:dyDescent="0.3">
      <c r="E434" s="36"/>
      <c r="F434" s="36"/>
      <c r="G434" s="36"/>
      <c r="H434" s="80"/>
    </row>
    <row r="435" spans="5:8" ht="30" customHeight="1" x14ac:dyDescent="0.3">
      <c r="E435" s="36"/>
      <c r="F435" s="36"/>
      <c r="G435" s="36"/>
      <c r="H435" s="80"/>
    </row>
    <row r="436" spans="5:8" ht="30" customHeight="1" x14ac:dyDescent="0.3">
      <c r="E436" s="36"/>
      <c r="F436" s="36"/>
      <c r="G436" s="36"/>
      <c r="H436" s="80"/>
    </row>
    <row r="437" spans="5:8" ht="30" customHeight="1" x14ac:dyDescent="0.3">
      <c r="E437" s="36"/>
      <c r="F437" s="36"/>
      <c r="G437" s="36"/>
      <c r="H437" s="80"/>
    </row>
    <row r="438" spans="5:8" ht="30" customHeight="1" x14ac:dyDescent="0.3">
      <c r="E438" s="36"/>
      <c r="F438" s="36"/>
      <c r="G438" s="36"/>
      <c r="H438" s="80"/>
    </row>
    <row r="439" spans="5:8" ht="30" customHeight="1" x14ac:dyDescent="0.3">
      <c r="E439" s="36"/>
      <c r="F439" s="36"/>
      <c r="G439" s="36"/>
      <c r="H439" s="80"/>
    </row>
    <row r="440" spans="5:8" ht="30" customHeight="1" x14ac:dyDescent="0.3">
      <c r="E440" s="36"/>
      <c r="F440" s="36"/>
      <c r="G440" s="36"/>
      <c r="H440" s="80"/>
    </row>
    <row r="441" spans="5:8" ht="30" customHeight="1" x14ac:dyDescent="0.3">
      <c r="E441" s="36"/>
      <c r="F441" s="36"/>
      <c r="G441" s="36"/>
      <c r="H441" s="80"/>
    </row>
    <row r="442" spans="5:8" ht="30" customHeight="1" x14ac:dyDescent="0.3">
      <c r="E442" s="36"/>
      <c r="F442" s="36"/>
      <c r="G442" s="36"/>
      <c r="H442" s="80"/>
    </row>
    <row r="443" spans="5:8" ht="30" customHeight="1" x14ac:dyDescent="0.3">
      <c r="E443" s="36"/>
      <c r="F443" s="36"/>
      <c r="G443" s="36"/>
      <c r="H443" s="80"/>
    </row>
    <row r="444" spans="5:8" ht="30" customHeight="1" x14ac:dyDescent="0.3">
      <c r="E444" s="36"/>
      <c r="F444" s="36"/>
      <c r="G444" s="36"/>
      <c r="H444" s="80"/>
    </row>
    <row r="445" spans="5:8" ht="30" customHeight="1" x14ac:dyDescent="0.3">
      <c r="E445" s="36"/>
      <c r="F445" s="36"/>
      <c r="G445" s="36"/>
      <c r="H445" s="80"/>
    </row>
    <row r="446" spans="5:8" ht="30" customHeight="1" x14ac:dyDescent="0.3">
      <c r="E446" s="36"/>
      <c r="F446" s="36"/>
      <c r="G446" s="36"/>
      <c r="H446" s="80"/>
    </row>
    <row r="447" spans="5:8" ht="30" customHeight="1" x14ac:dyDescent="0.3">
      <c r="E447" s="36"/>
      <c r="F447" s="36"/>
      <c r="G447" s="36"/>
      <c r="H447" s="80"/>
    </row>
    <row r="448" spans="5:8" ht="30" customHeight="1" x14ac:dyDescent="0.3">
      <c r="E448" s="36"/>
      <c r="F448" s="36"/>
      <c r="G448" s="36"/>
      <c r="H448" s="80"/>
    </row>
    <row r="449" spans="5:8" ht="30" customHeight="1" x14ac:dyDescent="0.3">
      <c r="E449" s="36"/>
      <c r="F449" s="36"/>
      <c r="G449" s="36"/>
      <c r="H449" s="80"/>
    </row>
    <row r="450" spans="5:8" ht="30" customHeight="1" x14ac:dyDescent="0.3">
      <c r="E450" s="36"/>
      <c r="F450" s="36"/>
      <c r="G450" s="36"/>
      <c r="H450" s="80"/>
    </row>
    <row r="451" spans="5:8" ht="30" customHeight="1" x14ac:dyDescent="0.3">
      <c r="E451" s="36"/>
      <c r="F451" s="36"/>
      <c r="G451" s="36"/>
      <c r="H451" s="80"/>
    </row>
    <row r="452" spans="5:8" ht="30" customHeight="1" x14ac:dyDescent="0.3">
      <c r="E452" s="36"/>
      <c r="F452" s="36"/>
      <c r="G452" s="36"/>
      <c r="H452" s="80"/>
    </row>
    <row r="453" spans="5:8" ht="30" customHeight="1" x14ac:dyDescent="0.3">
      <c r="E453" s="36"/>
      <c r="F453" s="36"/>
      <c r="G453" s="36"/>
      <c r="H453" s="80"/>
    </row>
    <row r="454" spans="5:8" ht="30" customHeight="1" x14ac:dyDescent="0.3">
      <c r="E454" s="36"/>
      <c r="F454" s="36"/>
      <c r="G454" s="36"/>
      <c r="H454" s="80"/>
    </row>
    <row r="455" spans="5:8" ht="30" customHeight="1" x14ac:dyDescent="0.3">
      <c r="E455" s="36"/>
      <c r="F455" s="36"/>
      <c r="G455" s="36"/>
      <c r="H455" s="80"/>
    </row>
    <row r="456" spans="5:8" ht="30" customHeight="1" x14ac:dyDescent="0.3">
      <c r="E456" s="36"/>
      <c r="F456" s="36"/>
      <c r="G456" s="36"/>
      <c r="H456" s="80"/>
    </row>
    <row r="457" spans="5:8" ht="30" customHeight="1" x14ac:dyDescent="0.3">
      <c r="E457" s="36"/>
      <c r="F457" s="36"/>
      <c r="G457" s="36"/>
      <c r="H457" s="80"/>
    </row>
    <row r="458" spans="5:8" ht="30" customHeight="1" x14ac:dyDescent="0.3">
      <c r="E458" s="36"/>
      <c r="F458" s="36"/>
      <c r="G458" s="36"/>
      <c r="H458" s="80"/>
    </row>
    <row r="459" spans="5:8" ht="30" customHeight="1" x14ac:dyDescent="0.3">
      <c r="E459" s="36"/>
      <c r="F459" s="36"/>
      <c r="G459" s="36"/>
      <c r="H459" s="80"/>
    </row>
    <row r="460" spans="5:8" ht="30" customHeight="1" x14ac:dyDescent="0.3">
      <c r="E460" s="36"/>
      <c r="F460" s="36"/>
      <c r="G460" s="36"/>
      <c r="H460" s="80"/>
    </row>
    <row r="461" spans="5:8" ht="30" customHeight="1" x14ac:dyDescent="0.3">
      <c r="E461" s="36"/>
      <c r="F461" s="36"/>
      <c r="G461" s="36"/>
      <c r="H461" s="80"/>
    </row>
    <row r="462" spans="5:8" ht="30" customHeight="1" x14ac:dyDescent="0.3">
      <c r="E462" s="36"/>
      <c r="F462" s="36"/>
      <c r="G462" s="36"/>
      <c r="H462" s="80"/>
    </row>
    <row r="463" spans="5:8" ht="30" customHeight="1" x14ac:dyDescent="0.3">
      <c r="E463" s="36"/>
      <c r="F463" s="36"/>
      <c r="G463" s="36"/>
      <c r="H463" s="80"/>
    </row>
    <row r="464" spans="5:8" ht="30" customHeight="1" x14ac:dyDescent="0.3">
      <c r="E464" s="36"/>
      <c r="F464" s="36"/>
      <c r="G464" s="36"/>
      <c r="H464" s="80"/>
    </row>
    <row r="465" spans="5:8" ht="30" customHeight="1" x14ac:dyDescent="0.3">
      <c r="E465" s="36"/>
      <c r="F465" s="36"/>
      <c r="G465" s="36"/>
      <c r="H465" s="80"/>
    </row>
    <row r="466" spans="5:8" ht="30" customHeight="1" x14ac:dyDescent="0.3">
      <c r="E466" s="36"/>
      <c r="F466" s="36"/>
      <c r="G466" s="36"/>
      <c r="H466" s="80"/>
    </row>
    <row r="467" spans="5:8" ht="30" customHeight="1" x14ac:dyDescent="0.3">
      <c r="E467" s="36"/>
      <c r="F467" s="36"/>
      <c r="G467" s="36"/>
      <c r="H467" s="80"/>
    </row>
    <row r="468" spans="5:8" ht="30" customHeight="1" x14ac:dyDescent="0.3">
      <c r="E468" s="36"/>
      <c r="F468" s="36"/>
      <c r="G468" s="36"/>
      <c r="H468" s="80"/>
    </row>
    <row r="469" spans="5:8" ht="30" customHeight="1" x14ac:dyDescent="0.3">
      <c r="E469" s="36"/>
      <c r="F469" s="36"/>
      <c r="G469" s="36"/>
      <c r="H469" s="80"/>
    </row>
    <row r="470" spans="5:8" ht="30" customHeight="1" x14ac:dyDescent="0.3">
      <c r="E470" s="36"/>
      <c r="F470" s="36"/>
      <c r="G470" s="36"/>
      <c r="H470" s="80"/>
    </row>
    <row r="471" spans="5:8" ht="30" customHeight="1" x14ac:dyDescent="0.3">
      <c r="E471" s="36"/>
      <c r="F471" s="36"/>
      <c r="G471" s="36"/>
      <c r="H471" s="80"/>
    </row>
    <row r="472" spans="5:8" ht="30" customHeight="1" x14ac:dyDescent="0.3">
      <c r="E472" s="36"/>
      <c r="F472" s="36"/>
      <c r="G472" s="36"/>
      <c r="H472" s="80"/>
    </row>
    <row r="473" spans="5:8" ht="30" customHeight="1" x14ac:dyDescent="0.3">
      <c r="E473" s="36"/>
      <c r="F473" s="36"/>
      <c r="G473" s="36"/>
      <c r="H473" s="80"/>
    </row>
    <row r="474" spans="5:8" ht="30" customHeight="1" x14ac:dyDescent="0.3">
      <c r="E474" s="36"/>
      <c r="F474" s="36"/>
      <c r="G474" s="36"/>
      <c r="H474" s="80"/>
    </row>
    <row r="475" spans="5:8" ht="30" customHeight="1" x14ac:dyDescent="0.3">
      <c r="E475" s="36"/>
      <c r="F475" s="36"/>
      <c r="G475" s="36"/>
      <c r="H475" s="80"/>
    </row>
    <row r="476" spans="5:8" ht="30" customHeight="1" x14ac:dyDescent="0.3">
      <c r="E476" s="36"/>
      <c r="F476" s="36"/>
      <c r="G476" s="36"/>
      <c r="H476" s="80"/>
    </row>
    <row r="477" spans="5:8" ht="30" customHeight="1" x14ac:dyDescent="0.3">
      <c r="E477" s="36"/>
      <c r="F477" s="36"/>
      <c r="G477" s="36"/>
      <c r="H477" s="80"/>
    </row>
    <row r="478" spans="5:8" ht="30" customHeight="1" x14ac:dyDescent="0.3">
      <c r="E478" s="36"/>
      <c r="F478" s="36"/>
      <c r="G478" s="36"/>
      <c r="H478" s="80"/>
    </row>
    <row r="479" spans="5:8" ht="30" customHeight="1" x14ac:dyDescent="0.3">
      <c r="E479" s="36"/>
      <c r="F479" s="36"/>
      <c r="G479" s="36"/>
      <c r="H479" s="80"/>
    </row>
    <row r="480" spans="5:8" ht="30" customHeight="1" x14ac:dyDescent="0.3">
      <c r="E480" s="36"/>
      <c r="F480" s="36"/>
      <c r="G480" s="36"/>
      <c r="H480" s="80"/>
    </row>
    <row r="481" spans="5:8" ht="30" customHeight="1" x14ac:dyDescent="0.3">
      <c r="E481" s="36"/>
      <c r="F481" s="36"/>
      <c r="G481" s="36"/>
      <c r="H481" s="80"/>
    </row>
    <row r="482" spans="5:8" ht="30" customHeight="1" x14ac:dyDescent="0.3">
      <c r="E482" s="36"/>
      <c r="F482" s="36"/>
      <c r="G482" s="36"/>
      <c r="H482" s="80"/>
    </row>
    <row r="483" spans="5:8" ht="30" customHeight="1" x14ac:dyDescent="0.3">
      <c r="E483" s="36"/>
      <c r="F483" s="36"/>
      <c r="G483" s="36"/>
      <c r="H483" s="80"/>
    </row>
    <row r="484" spans="5:8" ht="30" customHeight="1" x14ac:dyDescent="0.3">
      <c r="E484" s="36"/>
      <c r="F484" s="36"/>
      <c r="G484" s="36"/>
      <c r="H484" s="80"/>
    </row>
    <row r="485" spans="5:8" ht="30" customHeight="1" x14ac:dyDescent="0.3">
      <c r="E485" s="36"/>
      <c r="F485" s="36"/>
      <c r="G485" s="36"/>
      <c r="H485" s="80"/>
    </row>
    <row r="486" spans="5:8" ht="30" customHeight="1" x14ac:dyDescent="0.3">
      <c r="E486" s="36"/>
      <c r="F486" s="36"/>
      <c r="G486" s="36"/>
      <c r="H486" s="80"/>
    </row>
    <row r="487" spans="5:8" ht="30" customHeight="1" x14ac:dyDescent="0.3">
      <c r="E487" s="36"/>
      <c r="F487" s="36"/>
      <c r="G487" s="36"/>
      <c r="H487" s="80"/>
    </row>
    <row r="488" spans="5:8" ht="30" customHeight="1" x14ac:dyDescent="0.3">
      <c r="E488" s="36"/>
      <c r="F488" s="36"/>
      <c r="G488" s="36"/>
      <c r="H488" s="80"/>
    </row>
    <row r="489" spans="5:8" ht="30" customHeight="1" x14ac:dyDescent="0.3">
      <c r="E489" s="36"/>
      <c r="F489" s="36"/>
      <c r="G489" s="36"/>
      <c r="H489" s="80"/>
    </row>
    <row r="490" spans="5:8" ht="30" customHeight="1" x14ac:dyDescent="0.3">
      <c r="E490" s="36"/>
      <c r="F490" s="36"/>
      <c r="G490" s="36"/>
      <c r="H490" s="80"/>
    </row>
    <row r="491" spans="5:8" ht="30" customHeight="1" x14ac:dyDescent="0.3">
      <c r="E491" s="36"/>
      <c r="F491" s="36"/>
      <c r="G491" s="36"/>
      <c r="H491" s="80"/>
    </row>
    <row r="492" spans="5:8" ht="30" customHeight="1" x14ac:dyDescent="0.3">
      <c r="E492" s="36"/>
      <c r="F492" s="36"/>
      <c r="G492" s="36"/>
      <c r="H492" s="80"/>
    </row>
    <row r="493" spans="5:8" ht="30" customHeight="1" x14ac:dyDescent="0.3">
      <c r="E493" s="36"/>
      <c r="F493" s="36"/>
      <c r="G493" s="36"/>
      <c r="H493" s="80"/>
    </row>
    <row r="494" spans="5:8" ht="30" customHeight="1" x14ac:dyDescent="0.3">
      <c r="E494" s="36"/>
      <c r="F494" s="36"/>
      <c r="G494" s="36"/>
      <c r="H494" s="80"/>
    </row>
    <row r="495" spans="5:8" ht="30" customHeight="1" x14ac:dyDescent="0.3">
      <c r="E495" s="36"/>
      <c r="F495" s="36"/>
      <c r="G495" s="36"/>
      <c r="H495" s="80"/>
    </row>
    <row r="496" spans="5:8" ht="30" customHeight="1" x14ac:dyDescent="0.3">
      <c r="E496" s="36"/>
      <c r="F496" s="36"/>
      <c r="G496" s="36"/>
      <c r="H496" s="80"/>
    </row>
    <row r="497" spans="5:8" ht="30" customHeight="1" x14ac:dyDescent="0.3">
      <c r="E497" s="36"/>
      <c r="F497" s="36"/>
      <c r="G497" s="36"/>
      <c r="H497" s="80"/>
    </row>
    <row r="498" spans="5:8" ht="30" customHeight="1" x14ac:dyDescent="0.3">
      <c r="E498" s="36"/>
      <c r="F498" s="36"/>
      <c r="G498" s="36"/>
      <c r="H498" s="80"/>
    </row>
    <row r="499" spans="5:8" ht="30" customHeight="1" x14ac:dyDescent="0.3">
      <c r="E499" s="36"/>
      <c r="F499" s="36"/>
      <c r="G499" s="36"/>
      <c r="H499" s="80"/>
    </row>
    <row r="500" spans="5:8" ht="30" customHeight="1" x14ac:dyDescent="0.3">
      <c r="E500" s="36"/>
      <c r="F500" s="36"/>
      <c r="G500" s="36"/>
      <c r="H500" s="80"/>
    </row>
    <row r="501" spans="5:8" ht="30" customHeight="1" x14ac:dyDescent="0.3">
      <c r="E501" s="36"/>
      <c r="F501" s="36"/>
      <c r="G501" s="36"/>
      <c r="H501" s="80"/>
    </row>
    <row r="502" spans="5:8" ht="30" customHeight="1" x14ac:dyDescent="0.3">
      <c r="E502" s="36"/>
      <c r="F502" s="36"/>
      <c r="G502" s="36"/>
      <c r="H502" s="80"/>
    </row>
    <row r="503" spans="5:8" ht="30" customHeight="1" x14ac:dyDescent="0.3">
      <c r="E503" s="36"/>
      <c r="F503" s="36"/>
      <c r="G503" s="36"/>
      <c r="H503" s="80"/>
    </row>
    <row r="504" spans="5:8" ht="30" customHeight="1" x14ac:dyDescent="0.3">
      <c r="E504" s="36"/>
      <c r="F504" s="36"/>
      <c r="G504" s="36"/>
      <c r="H504" s="80"/>
    </row>
    <row r="505" spans="5:8" ht="30" customHeight="1" x14ac:dyDescent="0.3">
      <c r="E505" s="36"/>
      <c r="F505" s="36"/>
      <c r="G505" s="36"/>
      <c r="H505" s="80"/>
    </row>
    <row r="506" spans="5:8" ht="30" customHeight="1" x14ac:dyDescent="0.3">
      <c r="E506" s="36"/>
      <c r="F506" s="36"/>
      <c r="G506" s="36"/>
      <c r="H506" s="80"/>
    </row>
    <row r="507" spans="5:8" ht="30" customHeight="1" x14ac:dyDescent="0.3">
      <c r="E507" s="36"/>
      <c r="F507" s="36"/>
      <c r="G507" s="36"/>
      <c r="H507" s="80"/>
    </row>
    <row r="508" spans="5:8" ht="30" customHeight="1" x14ac:dyDescent="0.3">
      <c r="E508" s="36"/>
      <c r="F508" s="36"/>
      <c r="G508" s="36"/>
      <c r="H508" s="80"/>
    </row>
    <row r="509" spans="5:8" ht="30" customHeight="1" x14ac:dyDescent="0.3">
      <c r="E509" s="36"/>
      <c r="F509" s="36"/>
      <c r="G509" s="36"/>
      <c r="H509" s="80"/>
    </row>
    <row r="510" spans="5:8" ht="30" customHeight="1" x14ac:dyDescent="0.3">
      <c r="E510" s="36"/>
      <c r="F510" s="36"/>
      <c r="G510" s="36"/>
      <c r="H510" s="80"/>
    </row>
    <row r="511" spans="5:8" ht="30" customHeight="1" x14ac:dyDescent="0.3">
      <c r="E511" s="36"/>
      <c r="F511" s="36"/>
      <c r="G511" s="36"/>
      <c r="H511" s="80"/>
    </row>
    <row r="512" spans="5:8" ht="30" customHeight="1" x14ac:dyDescent="0.3">
      <c r="E512" s="36"/>
      <c r="F512" s="36"/>
      <c r="G512" s="36"/>
      <c r="H512" s="80"/>
    </row>
    <row r="513" spans="5:8" ht="30" customHeight="1" x14ac:dyDescent="0.3">
      <c r="E513" s="36"/>
      <c r="F513" s="36"/>
      <c r="G513" s="36"/>
      <c r="H513" s="80"/>
    </row>
    <row r="514" spans="5:8" ht="30" customHeight="1" x14ac:dyDescent="0.3">
      <c r="E514" s="36"/>
      <c r="F514" s="36"/>
      <c r="G514" s="36"/>
      <c r="H514" s="80"/>
    </row>
    <row r="515" spans="5:8" ht="30" customHeight="1" x14ac:dyDescent="0.3">
      <c r="E515" s="36"/>
      <c r="F515" s="36"/>
      <c r="G515" s="36"/>
      <c r="H515" s="80"/>
    </row>
    <row r="516" spans="5:8" ht="30" customHeight="1" x14ac:dyDescent="0.3">
      <c r="E516" s="36"/>
      <c r="F516" s="36"/>
      <c r="G516" s="36"/>
      <c r="H516" s="80"/>
    </row>
    <row r="517" spans="5:8" ht="30" customHeight="1" x14ac:dyDescent="0.3">
      <c r="E517" s="36"/>
      <c r="F517" s="36"/>
      <c r="G517" s="36"/>
      <c r="H517" s="80"/>
    </row>
    <row r="518" spans="5:8" ht="30" customHeight="1" x14ac:dyDescent="0.3">
      <c r="E518" s="36"/>
      <c r="F518" s="36"/>
      <c r="G518" s="36"/>
      <c r="H518" s="80"/>
    </row>
    <row r="519" spans="5:8" ht="30" customHeight="1" x14ac:dyDescent="0.3">
      <c r="E519" s="36"/>
      <c r="F519" s="36"/>
      <c r="G519" s="36"/>
      <c r="H519" s="80"/>
    </row>
    <row r="520" spans="5:8" ht="30" customHeight="1" x14ac:dyDescent="0.3">
      <c r="E520" s="36"/>
      <c r="F520" s="36"/>
      <c r="G520" s="36"/>
      <c r="H520" s="80"/>
    </row>
    <row r="521" spans="5:8" ht="30" customHeight="1" x14ac:dyDescent="0.3">
      <c r="E521" s="36"/>
      <c r="F521" s="36"/>
      <c r="G521" s="36"/>
      <c r="H521" s="80"/>
    </row>
    <row r="522" spans="5:8" ht="30" customHeight="1" x14ac:dyDescent="0.3">
      <c r="E522" s="36"/>
      <c r="F522" s="36"/>
      <c r="G522" s="36"/>
      <c r="H522" s="80"/>
    </row>
    <row r="523" spans="5:8" ht="30" customHeight="1" x14ac:dyDescent="0.3">
      <c r="E523" s="36"/>
      <c r="F523" s="36"/>
      <c r="G523" s="36"/>
      <c r="H523" s="80"/>
    </row>
    <row r="524" spans="5:8" ht="30" customHeight="1" x14ac:dyDescent="0.3">
      <c r="E524" s="36"/>
      <c r="F524" s="36"/>
      <c r="G524" s="36"/>
      <c r="H524" s="80"/>
    </row>
    <row r="525" spans="5:8" ht="30" customHeight="1" x14ac:dyDescent="0.3">
      <c r="E525" s="36"/>
      <c r="F525" s="36"/>
      <c r="G525" s="36"/>
      <c r="H525" s="80">
        <f t="shared" ref="H525:H588" si="1">H524-G525-F525+E525</f>
        <v>0</v>
      </c>
    </row>
    <row r="526" spans="5:8" ht="30" customHeight="1" x14ac:dyDescent="0.3">
      <c r="E526" s="36"/>
      <c r="F526" s="36"/>
      <c r="G526" s="36"/>
      <c r="H526" s="80">
        <f t="shared" si="1"/>
        <v>0</v>
      </c>
    </row>
    <row r="527" spans="5:8" ht="30" customHeight="1" x14ac:dyDescent="0.3">
      <c r="E527" s="36"/>
      <c r="F527" s="36"/>
      <c r="G527" s="36"/>
      <c r="H527" s="80">
        <f t="shared" si="1"/>
        <v>0</v>
      </c>
    </row>
    <row r="528" spans="5:8" ht="30" customHeight="1" x14ac:dyDescent="0.3">
      <c r="E528" s="36"/>
      <c r="F528" s="36"/>
      <c r="G528" s="36"/>
      <c r="H528" s="80">
        <f t="shared" si="1"/>
        <v>0</v>
      </c>
    </row>
    <row r="529" spans="5:8" ht="30" customHeight="1" x14ac:dyDescent="0.3">
      <c r="E529" s="36"/>
      <c r="F529" s="36"/>
      <c r="G529" s="36"/>
      <c r="H529" s="80">
        <f t="shared" si="1"/>
        <v>0</v>
      </c>
    </row>
    <row r="530" spans="5:8" ht="30" customHeight="1" x14ac:dyDescent="0.3">
      <c r="E530" s="36"/>
      <c r="F530" s="36"/>
      <c r="G530" s="36"/>
      <c r="H530" s="80">
        <f t="shared" si="1"/>
        <v>0</v>
      </c>
    </row>
    <row r="531" spans="5:8" ht="30" customHeight="1" x14ac:dyDescent="0.3">
      <c r="E531" s="36"/>
      <c r="F531" s="36"/>
      <c r="G531" s="36"/>
      <c r="H531" s="80">
        <f t="shared" si="1"/>
        <v>0</v>
      </c>
    </row>
    <row r="532" spans="5:8" ht="30" customHeight="1" x14ac:dyDescent="0.3">
      <c r="E532" s="36"/>
      <c r="F532" s="36"/>
      <c r="G532" s="36"/>
      <c r="H532" s="80">
        <f t="shared" si="1"/>
        <v>0</v>
      </c>
    </row>
    <row r="533" spans="5:8" ht="30" customHeight="1" x14ac:dyDescent="0.3">
      <c r="E533" s="36"/>
      <c r="F533" s="36"/>
      <c r="G533" s="36"/>
      <c r="H533" s="80">
        <f t="shared" si="1"/>
        <v>0</v>
      </c>
    </row>
    <row r="534" spans="5:8" ht="30" customHeight="1" x14ac:dyDescent="0.3">
      <c r="E534" s="36"/>
      <c r="F534" s="36"/>
      <c r="G534" s="36"/>
      <c r="H534" s="80">
        <f t="shared" si="1"/>
        <v>0</v>
      </c>
    </row>
    <row r="535" spans="5:8" ht="30" customHeight="1" x14ac:dyDescent="0.3">
      <c r="E535" s="36"/>
      <c r="F535" s="36"/>
      <c r="G535" s="36"/>
      <c r="H535" s="80">
        <f t="shared" si="1"/>
        <v>0</v>
      </c>
    </row>
    <row r="536" spans="5:8" ht="30" customHeight="1" x14ac:dyDescent="0.3">
      <c r="E536" s="36"/>
      <c r="F536" s="36"/>
      <c r="G536" s="36"/>
      <c r="H536" s="80">
        <f t="shared" si="1"/>
        <v>0</v>
      </c>
    </row>
    <row r="537" spans="5:8" ht="30" customHeight="1" x14ac:dyDescent="0.3">
      <c r="E537" s="36"/>
      <c r="F537" s="36"/>
      <c r="G537" s="36"/>
      <c r="H537" s="80">
        <f t="shared" si="1"/>
        <v>0</v>
      </c>
    </row>
    <row r="538" spans="5:8" ht="30" customHeight="1" x14ac:dyDescent="0.3">
      <c r="E538" s="36"/>
      <c r="F538" s="36"/>
      <c r="G538" s="36"/>
      <c r="H538" s="80">
        <f t="shared" si="1"/>
        <v>0</v>
      </c>
    </row>
    <row r="539" spans="5:8" ht="30" customHeight="1" x14ac:dyDescent="0.3">
      <c r="E539" s="36"/>
      <c r="F539" s="36"/>
      <c r="G539" s="36"/>
      <c r="H539" s="80">
        <f t="shared" si="1"/>
        <v>0</v>
      </c>
    </row>
    <row r="540" spans="5:8" ht="30" customHeight="1" x14ac:dyDescent="0.3">
      <c r="E540" s="36"/>
      <c r="F540" s="36"/>
      <c r="G540" s="36"/>
      <c r="H540" s="80">
        <f t="shared" si="1"/>
        <v>0</v>
      </c>
    </row>
    <row r="541" spans="5:8" ht="30" customHeight="1" x14ac:dyDescent="0.3">
      <c r="E541" s="36"/>
      <c r="F541" s="36"/>
      <c r="G541" s="36"/>
      <c r="H541" s="80">
        <f t="shared" si="1"/>
        <v>0</v>
      </c>
    </row>
    <row r="542" spans="5:8" ht="30" customHeight="1" x14ac:dyDescent="0.3">
      <c r="E542" s="36"/>
      <c r="F542" s="36"/>
      <c r="G542" s="36"/>
      <c r="H542" s="80">
        <f t="shared" si="1"/>
        <v>0</v>
      </c>
    </row>
    <row r="543" spans="5:8" ht="30" customHeight="1" x14ac:dyDescent="0.3">
      <c r="E543" s="36"/>
      <c r="F543" s="36"/>
      <c r="G543" s="36"/>
      <c r="H543" s="80">
        <f t="shared" si="1"/>
        <v>0</v>
      </c>
    </row>
    <row r="544" spans="5:8" ht="30" customHeight="1" x14ac:dyDescent="0.3">
      <c r="E544" s="36"/>
      <c r="F544" s="36"/>
      <c r="G544" s="36"/>
      <c r="H544" s="80">
        <f t="shared" si="1"/>
        <v>0</v>
      </c>
    </row>
    <row r="545" spans="5:8" ht="30" customHeight="1" x14ac:dyDescent="0.3">
      <c r="E545" s="36"/>
      <c r="F545" s="36"/>
      <c r="G545" s="36"/>
      <c r="H545" s="80">
        <f t="shared" si="1"/>
        <v>0</v>
      </c>
    </row>
    <row r="546" spans="5:8" ht="30" customHeight="1" x14ac:dyDescent="0.3">
      <c r="E546" s="36"/>
      <c r="F546" s="36"/>
      <c r="G546" s="36"/>
      <c r="H546" s="80">
        <f t="shared" si="1"/>
        <v>0</v>
      </c>
    </row>
    <row r="547" spans="5:8" ht="30" customHeight="1" x14ac:dyDescent="0.3">
      <c r="E547" s="36"/>
      <c r="F547" s="36"/>
      <c r="G547" s="36"/>
      <c r="H547" s="80">
        <f t="shared" si="1"/>
        <v>0</v>
      </c>
    </row>
    <row r="548" spans="5:8" ht="30" customHeight="1" x14ac:dyDescent="0.3">
      <c r="E548" s="36"/>
      <c r="F548" s="36"/>
      <c r="G548" s="36"/>
      <c r="H548" s="80">
        <f t="shared" si="1"/>
        <v>0</v>
      </c>
    </row>
    <row r="549" spans="5:8" ht="30" customHeight="1" x14ac:dyDescent="0.3">
      <c r="E549" s="36"/>
      <c r="F549" s="36"/>
      <c r="G549" s="36"/>
      <c r="H549" s="80">
        <f t="shared" si="1"/>
        <v>0</v>
      </c>
    </row>
    <row r="550" spans="5:8" ht="30" customHeight="1" x14ac:dyDescent="0.3">
      <c r="E550" s="36"/>
      <c r="F550" s="36"/>
      <c r="G550" s="36"/>
      <c r="H550" s="80">
        <f t="shared" si="1"/>
        <v>0</v>
      </c>
    </row>
    <row r="551" spans="5:8" ht="30" customHeight="1" x14ac:dyDescent="0.3">
      <c r="E551" s="36"/>
      <c r="F551" s="36"/>
      <c r="G551" s="36"/>
      <c r="H551" s="80">
        <f t="shared" si="1"/>
        <v>0</v>
      </c>
    </row>
    <row r="552" spans="5:8" ht="30" customHeight="1" x14ac:dyDescent="0.3">
      <c r="E552" s="36"/>
      <c r="F552" s="36"/>
      <c r="G552" s="36"/>
      <c r="H552" s="80">
        <f t="shared" si="1"/>
        <v>0</v>
      </c>
    </row>
    <row r="553" spans="5:8" ht="30" customHeight="1" x14ac:dyDescent="0.3">
      <c r="E553" s="36"/>
      <c r="F553" s="36"/>
      <c r="G553" s="36"/>
      <c r="H553" s="80">
        <f t="shared" si="1"/>
        <v>0</v>
      </c>
    </row>
    <row r="554" spans="5:8" ht="30" customHeight="1" x14ac:dyDescent="0.3">
      <c r="E554" s="36"/>
      <c r="F554" s="36"/>
      <c r="G554" s="36"/>
      <c r="H554" s="80">
        <f t="shared" si="1"/>
        <v>0</v>
      </c>
    </row>
    <row r="555" spans="5:8" ht="30" customHeight="1" x14ac:dyDescent="0.3">
      <c r="E555" s="36"/>
      <c r="F555" s="36"/>
      <c r="G555" s="36"/>
      <c r="H555" s="80">
        <f t="shared" si="1"/>
        <v>0</v>
      </c>
    </row>
    <row r="556" spans="5:8" ht="30" customHeight="1" x14ac:dyDescent="0.3">
      <c r="E556" s="36"/>
      <c r="F556" s="36"/>
      <c r="G556" s="36"/>
      <c r="H556" s="80">
        <f t="shared" si="1"/>
        <v>0</v>
      </c>
    </row>
    <row r="557" spans="5:8" ht="30" customHeight="1" x14ac:dyDescent="0.3">
      <c r="E557" s="36"/>
      <c r="F557" s="36"/>
      <c r="G557" s="36"/>
      <c r="H557" s="80">
        <f t="shared" si="1"/>
        <v>0</v>
      </c>
    </row>
    <row r="558" spans="5:8" ht="30" customHeight="1" x14ac:dyDescent="0.3">
      <c r="E558" s="36"/>
      <c r="F558" s="36"/>
      <c r="G558" s="36"/>
      <c r="H558" s="80">
        <f t="shared" si="1"/>
        <v>0</v>
      </c>
    </row>
    <row r="559" spans="5:8" ht="30" customHeight="1" x14ac:dyDescent="0.3">
      <c r="E559" s="36"/>
      <c r="F559" s="36"/>
      <c r="G559" s="36"/>
      <c r="H559" s="80">
        <f t="shared" si="1"/>
        <v>0</v>
      </c>
    </row>
    <row r="560" spans="5:8" ht="30" customHeight="1" x14ac:dyDescent="0.3">
      <c r="E560" s="36"/>
      <c r="F560" s="36"/>
      <c r="G560" s="36"/>
      <c r="H560" s="80">
        <f t="shared" si="1"/>
        <v>0</v>
      </c>
    </row>
    <row r="561" spans="5:8" ht="30" customHeight="1" x14ac:dyDescent="0.3">
      <c r="E561" s="36"/>
      <c r="F561" s="36"/>
      <c r="G561" s="36"/>
      <c r="H561" s="80">
        <f t="shared" si="1"/>
        <v>0</v>
      </c>
    </row>
    <row r="562" spans="5:8" ht="30" customHeight="1" x14ac:dyDescent="0.3">
      <c r="E562" s="36"/>
      <c r="F562" s="36"/>
      <c r="G562" s="36"/>
      <c r="H562" s="80">
        <f t="shared" si="1"/>
        <v>0</v>
      </c>
    </row>
    <row r="563" spans="5:8" ht="30" customHeight="1" x14ac:dyDescent="0.3">
      <c r="E563" s="36"/>
      <c r="F563" s="36"/>
      <c r="G563" s="36"/>
      <c r="H563" s="80">
        <f t="shared" si="1"/>
        <v>0</v>
      </c>
    </row>
    <row r="564" spans="5:8" ht="30" customHeight="1" x14ac:dyDescent="0.3">
      <c r="E564" s="36"/>
      <c r="F564" s="36"/>
      <c r="G564" s="36"/>
      <c r="H564" s="80">
        <f t="shared" si="1"/>
        <v>0</v>
      </c>
    </row>
    <row r="565" spans="5:8" ht="30" customHeight="1" x14ac:dyDescent="0.3">
      <c r="E565" s="36"/>
      <c r="F565" s="36"/>
      <c r="G565" s="36"/>
      <c r="H565" s="80">
        <f t="shared" si="1"/>
        <v>0</v>
      </c>
    </row>
    <row r="566" spans="5:8" ht="30" customHeight="1" x14ac:dyDescent="0.3">
      <c r="E566" s="36"/>
      <c r="F566" s="36"/>
      <c r="G566" s="36"/>
      <c r="H566" s="80">
        <f t="shared" si="1"/>
        <v>0</v>
      </c>
    </row>
    <row r="567" spans="5:8" ht="30" customHeight="1" x14ac:dyDescent="0.3">
      <c r="E567" s="36"/>
      <c r="F567" s="36"/>
      <c r="G567" s="36"/>
      <c r="H567" s="80">
        <f t="shared" si="1"/>
        <v>0</v>
      </c>
    </row>
    <row r="568" spans="5:8" ht="30" customHeight="1" x14ac:dyDescent="0.3">
      <c r="E568" s="36"/>
      <c r="F568" s="36"/>
      <c r="G568" s="36"/>
      <c r="H568" s="80">
        <f t="shared" si="1"/>
        <v>0</v>
      </c>
    </row>
    <row r="569" spans="5:8" ht="30" customHeight="1" x14ac:dyDescent="0.3">
      <c r="E569" s="36"/>
      <c r="F569" s="36"/>
      <c r="G569" s="36"/>
      <c r="H569" s="80">
        <f t="shared" si="1"/>
        <v>0</v>
      </c>
    </row>
    <row r="570" spans="5:8" ht="30" customHeight="1" x14ac:dyDescent="0.3">
      <c r="E570" s="36"/>
      <c r="F570" s="36"/>
      <c r="G570" s="36"/>
      <c r="H570" s="80">
        <f t="shared" si="1"/>
        <v>0</v>
      </c>
    </row>
    <row r="571" spans="5:8" ht="30" customHeight="1" x14ac:dyDescent="0.3">
      <c r="E571" s="36"/>
      <c r="F571" s="36"/>
      <c r="G571" s="36"/>
      <c r="H571" s="80">
        <f t="shared" si="1"/>
        <v>0</v>
      </c>
    </row>
    <row r="572" spans="5:8" ht="30" customHeight="1" x14ac:dyDescent="0.3">
      <c r="E572" s="36"/>
      <c r="F572" s="36"/>
      <c r="G572" s="36"/>
      <c r="H572" s="80">
        <f t="shared" si="1"/>
        <v>0</v>
      </c>
    </row>
    <row r="573" spans="5:8" ht="30" customHeight="1" x14ac:dyDescent="0.3">
      <c r="E573" s="36"/>
      <c r="F573" s="36"/>
      <c r="G573" s="36"/>
      <c r="H573" s="80">
        <f t="shared" si="1"/>
        <v>0</v>
      </c>
    </row>
    <row r="574" spans="5:8" ht="30" customHeight="1" x14ac:dyDescent="0.3">
      <c r="E574" s="36"/>
      <c r="F574" s="36"/>
      <c r="G574" s="36"/>
      <c r="H574" s="80">
        <f t="shared" si="1"/>
        <v>0</v>
      </c>
    </row>
    <row r="575" spans="5:8" ht="30" customHeight="1" x14ac:dyDescent="0.3">
      <c r="E575" s="36"/>
      <c r="F575" s="36"/>
      <c r="G575" s="36"/>
      <c r="H575" s="80">
        <f t="shared" si="1"/>
        <v>0</v>
      </c>
    </row>
    <row r="576" spans="5:8" ht="30" customHeight="1" x14ac:dyDescent="0.3">
      <c r="E576" s="36"/>
      <c r="F576" s="36"/>
      <c r="G576" s="36"/>
      <c r="H576" s="80">
        <f t="shared" si="1"/>
        <v>0</v>
      </c>
    </row>
    <row r="577" spans="5:8" ht="30" customHeight="1" x14ac:dyDescent="0.3">
      <c r="E577" s="36"/>
      <c r="F577" s="36"/>
      <c r="G577" s="36"/>
      <c r="H577" s="80">
        <f t="shared" si="1"/>
        <v>0</v>
      </c>
    </row>
    <row r="578" spans="5:8" ht="30" customHeight="1" x14ac:dyDescent="0.3">
      <c r="E578" s="36"/>
      <c r="F578" s="36"/>
      <c r="G578" s="36"/>
      <c r="H578" s="80">
        <f t="shared" si="1"/>
        <v>0</v>
      </c>
    </row>
    <row r="579" spans="5:8" ht="30" customHeight="1" x14ac:dyDescent="0.3">
      <c r="E579" s="36"/>
      <c r="F579" s="36"/>
      <c r="G579" s="36"/>
      <c r="H579" s="80">
        <f t="shared" si="1"/>
        <v>0</v>
      </c>
    </row>
    <row r="580" spans="5:8" ht="30" customHeight="1" x14ac:dyDescent="0.3">
      <c r="E580" s="36"/>
      <c r="F580" s="36"/>
      <c r="G580" s="36"/>
      <c r="H580" s="80">
        <f t="shared" si="1"/>
        <v>0</v>
      </c>
    </row>
    <row r="581" spans="5:8" ht="30" customHeight="1" x14ac:dyDescent="0.3">
      <c r="E581" s="36"/>
      <c r="F581" s="36"/>
      <c r="G581" s="36"/>
      <c r="H581" s="80">
        <f t="shared" si="1"/>
        <v>0</v>
      </c>
    </row>
    <row r="582" spans="5:8" ht="30" customHeight="1" x14ac:dyDescent="0.3">
      <c r="E582" s="36"/>
      <c r="F582" s="36"/>
      <c r="G582" s="36"/>
      <c r="H582" s="80">
        <f t="shared" si="1"/>
        <v>0</v>
      </c>
    </row>
    <row r="583" spans="5:8" ht="30" customHeight="1" x14ac:dyDescent="0.3">
      <c r="E583" s="36"/>
      <c r="F583" s="36"/>
      <c r="G583" s="36"/>
      <c r="H583" s="80">
        <f t="shared" si="1"/>
        <v>0</v>
      </c>
    </row>
    <row r="584" spans="5:8" ht="30" customHeight="1" x14ac:dyDescent="0.3">
      <c r="E584" s="36"/>
      <c r="F584" s="36"/>
      <c r="G584" s="36"/>
      <c r="H584" s="80">
        <f t="shared" si="1"/>
        <v>0</v>
      </c>
    </row>
    <row r="585" spans="5:8" ht="30" customHeight="1" x14ac:dyDescent="0.3">
      <c r="E585" s="36"/>
      <c r="F585" s="36"/>
      <c r="G585" s="36"/>
      <c r="H585" s="80">
        <f t="shared" si="1"/>
        <v>0</v>
      </c>
    </row>
    <row r="586" spans="5:8" ht="30" customHeight="1" x14ac:dyDescent="0.3">
      <c r="E586" s="36"/>
      <c r="F586" s="36"/>
      <c r="G586" s="36"/>
      <c r="H586" s="80">
        <f t="shared" si="1"/>
        <v>0</v>
      </c>
    </row>
    <row r="587" spans="5:8" ht="30" customHeight="1" x14ac:dyDescent="0.3">
      <c r="E587" s="36"/>
      <c r="F587" s="36"/>
      <c r="G587" s="36"/>
      <c r="H587" s="80">
        <f t="shared" si="1"/>
        <v>0</v>
      </c>
    </row>
    <row r="588" spans="5:8" ht="30" customHeight="1" x14ac:dyDescent="0.3">
      <c r="E588" s="36"/>
      <c r="F588" s="36"/>
      <c r="G588" s="36"/>
      <c r="H588" s="80">
        <f t="shared" si="1"/>
        <v>0</v>
      </c>
    </row>
    <row r="589" spans="5:8" ht="30" customHeight="1" x14ac:dyDescent="0.3">
      <c r="E589" s="36"/>
      <c r="F589" s="36"/>
      <c r="G589" s="36"/>
      <c r="H589" s="80">
        <f t="shared" ref="H589:H652" si="2">H588-G589-F589+E589</f>
        <v>0</v>
      </c>
    </row>
    <row r="590" spans="5:8" ht="30" customHeight="1" x14ac:dyDescent="0.3">
      <c r="E590" s="36"/>
      <c r="F590" s="36"/>
      <c r="G590" s="36"/>
      <c r="H590" s="80">
        <f t="shared" si="2"/>
        <v>0</v>
      </c>
    </row>
    <row r="591" spans="5:8" ht="30" customHeight="1" x14ac:dyDescent="0.3">
      <c r="E591" s="36"/>
      <c r="F591" s="36"/>
      <c r="G591" s="36"/>
      <c r="H591" s="80">
        <f t="shared" si="2"/>
        <v>0</v>
      </c>
    </row>
    <row r="592" spans="5:8" ht="30" customHeight="1" x14ac:dyDescent="0.3">
      <c r="E592" s="36"/>
      <c r="F592" s="36"/>
      <c r="G592" s="36"/>
      <c r="H592" s="80">
        <f t="shared" si="2"/>
        <v>0</v>
      </c>
    </row>
    <row r="593" spans="5:8" ht="30" customHeight="1" x14ac:dyDescent="0.3">
      <c r="E593" s="36"/>
      <c r="F593" s="36"/>
      <c r="G593" s="36"/>
      <c r="H593" s="80">
        <f t="shared" si="2"/>
        <v>0</v>
      </c>
    </row>
    <row r="594" spans="5:8" ht="30" customHeight="1" x14ac:dyDescent="0.3">
      <c r="E594" s="36"/>
      <c r="F594" s="36"/>
      <c r="G594" s="36"/>
      <c r="H594" s="80">
        <f t="shared" si="2"/>
        <v>0</v>
      </c>
    </row>
    <row r="595" spans="5:8" ht="30" customHeight="1" x14ac:dyDescent="0.3">
      <c r="E595" s="36"/>
      <c r="F595" s="36"/>
      <c r="G595" s="36"/>
      <c r="H595" s="80">
        <f t="shared" si="2"/>
        <v>0</v>
      </c>
    </row>
    <row r="596" spans="5:8" ht="30" customHeight="1" x14ac:dyDescent="0.3">
      <c r="E596" s="36"/>
      <c r="F596" s="36"/>
      <c r="G596" s="36"/>
      <c r="H596" s="80">
        <f t="shared" si="2"/>
        <v>0</v>
      </c>
    </row>
    <row r="597" spans="5:8" ht="30" customHeight="1" x14ac:dyDescent="0.3">
      <c r="E597" s="36"/>
      <c r="F597" s="36"/>
      <c r="G597" s="36"/>
      <c r="H597" s="80">
        <f t="shared" si="2"/>
        <v>0</v>
      </c>
    </row>
    <row r="598" spans="5:8" ht="30" customHeight="1" x14ac:dyDescent="0.3">
      <c r="E598" s="36"/>
      <c r="F598" s="36"/>
      <c r="G598" s="36"/>
      <c r="H598" s="80">
        <f t="shared" si="2"/>
        <v>0</v>
      </c>
    </row>
    <row r="599" spans="5:8" ht="30" customHeight="1" x14ac:dyDescent="0.3">
      <c r="E599" s="36"/>
      <c r="F599" s="36"/>
      <c r="G599" s="36"/>
      <c r="H599" s="80">
        <f t="shared" si="2"/>
        <v>0</v>
      </c>
    </row>
    <row r="600" spans="5:8" ht="30" customHeight="1" x14ac:dyDescent="0.3">
      <c r="E600" s="36"/>
      <c r="F600" s="36"/>
      <c r="G600" s="36"/>
      <c r="H600" s="80">
        <f t="shared" si="2"/>
        <v>0</v>
      </c>
    </row>
    <row r="601" spans="5:8" ht="30" customHeight="1" x14ac:dyDescent="0.3">
      <c r="E601" s="36"/>
      <c r="F601" s="36"/>
      <c r="G601" s="36"/>
      <c r="H601" s="80">
        <f t="shared" si="2"/>
        <v>0</v>
      </c>
    </row>
    <row r="602" spans="5:8" ht="30" customHeight="1" x14ac:dyDescent="0.3">
      <c r="E602" s="36"/>
      <c r="F602" s="36"/>
      <c r="G602" s="36"/>
      <c r="H602" s="80">
        <f t="shared" si="2"/>
        <v>0</v>
      </c>
    </row>
    <row r="603" spans="5:8" ht="30" customHeight="1" x14ac:dyDescent="0.3">
      <c r="E603" s="36"/>
      <c r="F603" s="36"/>
      <c r="G603" s="36"/>
      <c r="H603" s="80">
        <f t="shared" si="2"/>
        <v>0</v>
      </c>
    </row>
    <row r="604" spans="5:8" ht="30" customHeight="1" x14ac:dyDescent="0.3">
      <c r="E604" s="36"/>
      <c r="F604" s="36"/>
      <c r="G604" s="36"/>
      <c r="H604" s="80">
        <f t="shared" si="2"/>
        <v>0</v>
      </c>
    </row>
    <row r="605" spans="5:8" ht="30" customHeight="1" x14ac:dyDescent="0.3">
      <c r="E605" s="36"/>
      <c r="F605" s="36"/>
      <c r="G605" s="36"/>
      <c r="H605" s="80">
        <f t="shared" si="2"/>
        <v>0</v>
      </c>
    </row>
    <row r="606" spans="5:8" ht="30" customHeight="1" x14ac:dyDescent="0.3">
      <c r="E606" s="36"/>
      <c r="F606" s="36"/>
      <c r="G606" s="36"/>
      <c r="H606" s="80">
        <f t="shared" si="2"/>
        <v>0</v>
      </c>
    </row>
    <row r="607" spans="5:8" ht="30" customHeight="1" x14ac:dyDescent="0.3">
      <c r="E607" s="36"/>
      <c r="F607" s="36"/>
      <c r="G607" s="36"/>
      <c r="H607" s="80">
        <f t="shared" si="2"/>
        <v>0</v>
      </c>
    </row>
    <row r="608" spans="5:8" ht="30" customHeight="1" x14ac:dyDescent="0.3">
      <c r="E608" s="36"/>
      <c r="F608" s="36"/>
      <c r="G608" s="36"/>
      <c r="H608" s="80">
        <f t="shared" si="2"/>
        <v>0</v>
      </c>
    </row>
    <row r="609" spans="5:8" ht="30" customHeight="1" x14ac:dyDescent="0.3">
      <c r="E609" s="36"/>
      <c r="F609" s="36"/>
      <c r="G609" s="36"/>
      <c r="H609" s="80">
        <f t="shared" si="2"/>
        <v>0</v>
      </c>
    </row>
    <row r="610" spans="5:8" ht="30" customHeight="1" x14ac:dyDescent="0.3">
      <c r="E610" s="36"/>
      <c r="F610" s="36"/>
      <c r="G610" s="36"/>
      <c r="H610" s="80">
        <f t="shared" si="2"/>
        <v>0</v>
      </c>
    </row>
    <row r="611" spans="5:8" ht="30" customHeight="1" x14ac:dyDescent="0.3">
      <c r="E611" s="36"/>
      <c r="F611" s="36"/>
      <c r="G611" s="36"/>
      <c r="H611" s="80">
        <f t="shared" si="2"/>
        <v>0</v>
      </c>
    </row>
    <row r="612" spans="5:8" ht="30" customHeight="1" x14ac:dyDescent="0.3">
      <c r="E612" s="36"/>
      <c r="F612" s="36"/>
      <c r="G612" s="36"/>
      <c r="H612" s="80">
        <f t="shared" si="2"/>
        <v>0</v>
      </c>
    </row>
    <row r="613" spans="5:8" ht="30" customHeight="1" x14ac:dyDescent="0.3">
      <c r="E613" s="36"/>
      <c r="F613" s="36"/>
      <c r="G613" s="36"/>
      <c r="H613" s="80">
        <f t="shared" si="2"/>
        <v>0</v>
      </c>
    </row>
    <row r="614" spans="5:8" ht="30" customHeight="1" x14ac:dyDescent="0.3">
      <c r="E614" s="36"/>
      <c r="F614" s="36"/>
      <c r="G614" s="36"/>
      <c r="H614" s="80">
        <f t="shared" si="2"/>
        <v>0</v>
      </c>
    </row>
    <row r="615" spans="5:8" ht="30" customHeight="1" x14ac:dyDescent="0.3">
      <c r="E615" s="36"/>
      <c r="F615" s="36"/>
      <c r="G615" s="36"/>
      <c r="H615" s="80">
        <f t="shared" si="2"/>
        <v>0</v>
      </c>
    </row>
    <row r="616" spans="5:8" ht="30" customHeight="1" x14ac:dyDescent="0.3">
      <c r="E616" s="36"/>
      <c r="F616" s="36"/>
      <c r="G616" s="36"/>
      <c r="H616" s="80">
        <f t="shared" si="2"/>
        <v>0</v>
      </c>
    </row>
    <row r="617" spans="5:8" ht="30" customHeight="1" x14ac:dyDescent="0.3">
      <c r="E617" s="36"/>
      <c r="F617" s="36"/>
      <c r="G617" s="36"/>
      <c r="H617" s="80">
        <f t="shared" si="2"/>
        <v>0</v>
      </c>
    </row>
    <row r="618" spans="5:8" ht="30" customHeight="1" x14ac:dyDescent="0.3">
      <c r="E618" s="36"/>
      <c r="F618" s="36"/>
      <c r="G618" s="36"/>
      <c r="H618" s="80">
        <f t="shared" si="2"/>
        <v>0</v>
      </c>
    </row>
    <row r="619" spans="5:8" ht="30" customHeight="1" x14ac:dyDescent="0.3">
      <c r="E619" s="36"/>
      <c r="F619" s="36"/>
      <c r="G619" s="36"/>
      <c r="H619" s="80">
        <f t="shared" si="2"/>
        <v>0</v>
      </c>
    </row>
    <row r="620" spans="5:8" ht="30" customHeight="1" x14ac:dyDescent="0.3">
      <c r="E620" s="36"/>
      <c r="F620" s="36"/>
      <c r="G620" s="36"/>
      <c r="H620" s="80">
        <f t="shared" si="2"/>
        <v>0</v>
      </c>
    </row>
    <row r="621" spans="5:8" ht="30" customHeight="1" x14ac:dyDescent="0.3">
      <c r="E621" s="36"/>
      <c r="F621" s="36"/>
      <c r="G621" s="36"/>
      <c r="H621" s="80">
        <f t="shared" si="2"/>
        <v>0</v>
      </c>
    </row>
    <row r="622" spans="5:8" ht="30" customHeight="1" x14ac:dyDescent="0.3">
      <c r="E622" s="36"/>
      <c r="F622" s="36"/>
      <c r="G622" s="36"/>
      <c r="H622" s="80">
        <f t="shared" si="2"/>
        <v>0</v>
      </c>
    </row>
    <row r="623" spans="5:8" ht="30" customHeight="1" x14ac:dyDescent="0.3">
      <c r="E623" s="36"/>
      <c r="F623" s="36"/>
      <c r="G623" s="36"/>
      <c r="H623" s="80">
        <f t="shared" si="2"/>
        <v>0</v>
      </c>
    </row>
    <row r="624" spans="5:8" ht="30" customHeight="1" x14ac:dyDescent="0.3">
      <c r="E624" s="36"/>
      <c r="F624" s="36"/>
      <c r="G624" s="36"/>
      <c r="H624" s="80">
        <f t="shared" si="2"/>
        <v>0</v>
      </c>
    </row>
    <row r="625" spans="5:8" ht="30" customHeight="1" x14ac:dyDescent="0.3">
      <c r="E625" s="36"/>
      <c r="F625" s="36"/>
      <c r="G625" s="36"/>
      <c r="H625" s="80">
        <f t="shared" si="2"/>
        <v>0</v>
      </c>
    </row>
    <row r="626" spans="5:8" ht="30" customHeight="1" x14ac:dyDescent="0.3">
      <c r="E626" s="36"/>
      <c r="F626" s="36"/>
      <c r="G626" s="36"/>
      <c r="H626" s="80">
        <f t="shared" si="2"/>
        <v>0</v>
      </c>
    </row>
    <row r="627" spans="5:8" ht="30" customHeight="1" x14ac:dyDescent="0.3">
      <c r="E627" s="36"/>
      <c r="F627" s="36"/>
      <c r="G627" s="36"/>
      <c r="H627" s="80">
        <f t="shared" si="2"/>
        <v>0</v>
      </c>
    </row>
    <row r="628" spans="5:8" ht="30" customHeight="1" x14ac:dyDescent="0.3">
      <c r="E628" s="36"/>
      <c r="F628" s="36"/>
      <c r="G628" s="36"/>
      <c r="H628" s="80">
        <f t="shared" si="2"/>
        <v>0</v>
      </c>
    </row>
    <row r="629" spans="5:8" ht="30" customHeight="1" x14ac:dyDescent="0.3">
      <c r="E629" s="36"/>
      <c r="F629" s="36"/>
      <c r="G629" s="36"/>
      <c r="H629" s="80">
        <f t="shared" si="2"/>
        <v>0</v>
      </c>
    </row>
    <row r="630" spans="5:8" ht="30" customHeight="1" x14ac:dyDescent="0.3">
      <c r="E630" s="36"/>
      <c r="F630" s="36"/>
      <c r="G630" s="36"/>
      <c r="H630" s="80">
        <f t="shared" si="2"/>
        <v>0</v>
      </c>
    </row>
    <row r="631" spans="5:8" ht="30" customHeight="1" x14ac:dyDescent="0.3">
      <c r="E631" s="36"/>
      <c r="F631" s="36"/>
      <c r="G631" s="36"/>
      <c r="H631" s="80">
        <f t="shared" si="2"/>
        <v>0</v>
      </c>
    </row>
    <row r="632" spans="5:8" ht="30" customHeight="1" x14ac:dyDescent="0.3">
      <c r="E632" s="36"/>
      <c r="F632" s="36"/>
      <c r="G632" s="36"/>
      <c r="H632" s="80">
        <f t="shared" si="2"/>
        <v>0</v>
      </c>
    </row>
    <row r="633" spans="5:8" ht="30" customHeight="1" x14ac:dyDescent="0.3">
      <c r="E633" s="36"/>
      <c r="F633" s="36"/>
      <c r="G633" s="36"/>
      <c r="H633" s="80">
        <f t="shared" si="2"/>
        <v>0</v>
      </c>
    </row>
    <row r="634" spans="5:8" ht="30" customHeight="1" x14ac:dyDescent="0.3">
      <c r="E634" s="36"/>
      <c r="F634" s="36"/>
      <c r="G634" s="36"/>
      <c r="H634" s="80">
        <f t="shared" si="2"/>
        <v>0</v>
      </c>
    </row>
    <row r="635" spans="5:8" ht="30" customHeight="1" x14ac:dyDescent="0.3">
      <c r="E635" s="36"/>
      <c r="F635" s="36"/>
      <c r="G635" s="36"/>
      <c r="H635" s="80">
        <f t="shared" si="2"/>
        <v>0</v>
      </c>
    </row>
    <row r="636" spans="5:8" ht="30" customHeight="1" x14ac:dyDescent="0.3">
      <c r="E636" s="36"/>
      <c r="F636" s="36"/>
      <c r="G636" s="36"/>
      <c r="H636" s="80">
        <f t="shared" si="2"/>
        <v>0</v>
      </c>
    </row>
    <row r="637" spans="5:8" ht="30" customHeight="1" x14ac:dyDescent="0.3">
      <c r="E637" s="36"/>
      <c r="F637" s="36"/>
      <c r="G637" s="36"/>
      <c r="H637" s="80">
        <f t="shared" si="2"/>
        <v>0</v>
      </c>
    </row>
    <row r="638" spans="5:8" ht="30" customHeight="1" x14ac:dyDescent="0.3">
      <c r="E638" s="36"/>
      <c r="F638" s="36"/>
      <c r="G638" s="36"/>
      <c r="H638" s="80">
        <f t="shared" si="2"/>
        <v>0</v>
      </c>
    </row>
    <row r="639" spans="5:8" ht="30" customHeight="1" x14ac:dyDescent="0.3">
      <c r="E639" s="36"/>
      <c r="F639" s="36"/>
      <c r="G639" s="36"/>
      <c r="H639" s="80">
        <f t="shared" si="2"/>
        <v>0</v>
      </c>
    </row>
    <row r="640" spans="5:8" ht="30" customHeight="1" x14ac:dyDescent="0.3">
      <c r="E640" s="36"/>
      <c r="F640" s="36"/>
      <c r="G640" s="36"/>
      <c r="H640" s="80">
        <f t="shared" si="2"/>
        <v>0</v>
      </c>
    </row>
    <row r="641" spans="5:8" ht="30" customHeight="1" x14ac:dyDescent="0.3">
      <c r="E641" s="36"/>
      <c r="F641" s="36"/>
      <c r="G641" s="36"/>
      <c r="H641" s="80">
        <f t="shared" si="2"/>
        <v>0</v>
      </c>
    </row>
    <row r="642" spans="5:8" ht="30" customHeight="1" x14ac:dyDescent="0.3">
      <c r="E642" s="36"/>
      <c r="F642" s="36"/>
      <c r="G642" s="36"/>
      <c r="H642" s="80">
        <f t="shared" si="2"/>
        <v>0</v>
      </c>
    </row>
    <row r="643" spans="5:8" ht="30" customHeight="1" x14ac:dyDescent="0.3">
      <c r="E643" s="36"/>
      <c r="F643" s="36"/>
      <c r="G643" s="36"/>
      <c r="H643" s="80">
        <f t="shared" si="2"/>
        <v>0</v>
      </c>
    </row>
    <row r="644" spans="5:8" ht="30" customHeight="1" x14ac:dyDescent="0.3">
      <c r="E644" s="36"/>
      <c r="F644" s="36"/>
      <c r="G644" s="36"/>
      <c r="H644" s="80">
        <f t="shared" si="2"/>
        <v>0</v>
      </c>
    </row>
    <row r="645" spans="5:8" ht="30" customHeight="1" x14ac:dyDescent="0.3">
      <c r="E645" s="36"/>
      <c r="F645" s="36"/>
      <c r="G645" s="36"/>
      <c r="H645" s="80">
        <f t="shared" si="2"/>
        <v>0</v>
      </c>
    </row>
    <row r="646" spans="5:8" ht="30" customHeight="1" x14ac:dyDescent="0.3">
      <c r="E646" s="36"/>
      <c r="F646" s="36"/>
      <c r="G646" s="36"/>
      <c r="H646" s="80">
        <f t="shared" si="2"/>
        <v>0</v>
      </c>
    </row>
    <row r="647" spans="5:8" ht="30" customHeight="1" x14ac:dyDescent="0.3">
      <c r="E647" s="36"/>
      <c r="F647" s="36"/>
      <c r="G647" s="36"/>
      <c r="H647" s="80">
        <f t="shared" si="2"/>
        <v>0</v>
      </c>
    </row>
    <row r="648" spans="5:8" ht="30" customHeight="1" x14ac:dyDescent="0.3">
      <c r="E648" s="36"/>
      <c r="F648" s="36"/>
      <c r="G648" s="36"/>
      <c r="H648" s="80">
        <f t="shared" si="2"/>
        <v>0</v>
      </c>
    </row>
    <row r="649" spans="5:8" ht="30" customHeight="1" x14ac:dyDescent="0.3">
      <c r="E649" s="36"/>
      <c r="F649" s="36"/>
      <c r="G649" s="36"/>
      <c r="H649" s="80">
        <f t="shared" si="2"/>
        <v>0</v>
      </c>
    </row>
    <row r="650" spans="5:8" ht="30" customHeight="1" x14ac:dyDescent="0.3">
      <c r="E650" s="36"/>
      <c r="F650" s="36"/>
      <c r="G650" s="36"/>
      <c r="H650" s="80">
        <f t="shared" si="2"/>
        <v>0</v>
      </c>
    </row>
    <row r="651" spans="5:8" ht="30" customHeight="1" x14ac:dyDescent="0.3">
      <c r="E651" s="36"/>
      <c r="F651" s="36"/>
      <c r="G651" s="36"/>
      <c r="H651" s="80">
        <f t="shared" si="2"/>
        <v>0</v>
      </c>
    </row>
    <row r="652" spans="5:8" ht="30" customHeight="1" x14ac:dyDescent="0.3">
      <c r="E652" s="36"/>
      <c r="F652" s="36"/>
      <c r="G652" s="36"/>
      <c r="H652" s="80">
        <f t="shared" si="2"/>
        <v>0</v>
      </c>
    </row>
    <row r="653" spans="5:8" ht="30" customHeight="1" x14ac:dyDescent="0.3">
      <c r="E653" s="36"/>
      <c r="F653" s="36"/>
      <c r="G653" s="36"/>
      <c r="H653" s="80">
        <f t="shared" ref="H653:H677" si="3">H652-G653-F653+E653</f>
        <v>0</v>
      </c>
    </row>
    <row r="654" spans="5:8" ht="30" customHeight="1" x14ac:dyDescent="0.3">
      <c r="E654" s="36"/>
      <c r="F654" s="36"/>
      <c r="G654" s="36"/>
      <c r="H654" s="80">
        <f t="shared" si="3"/>
        <v>0</v>
      </c>
    </row>
    <row r="655" spans="5:8" ht="30" customHeight="1" x14ac:dyDescent="0.3">
      <c r="E655" s="36"/>
      <c r="F655" s="36"/>
      <c r="G655" s="36"/>
      <c r="H655" s="80">
        <f t="shared" si="3"/>
        <v>0</v>
      </c>
    </row>
    <row r="656" spans="5:8" ht="30" customHeight="1" x14ac:dyDescent="0.3">
      <c r="E656" s="36"/>
      <c r="F656" s="36"/>
      <c r="G656" s="36"/>
      <c r="H656" s="80">
        <f t="shared" si="3"/>
        <v>0</v>
      </c>
    </row>
    <row r="657" spans="5:8" ht="30" customHeight="1" x14ac:dyDescent="0.3">
      <c r="E657" s="36"/>
      <c r="F657" s="36"/>
      <c r="G657" s="36"/>
      <c r="H657" s="80">
        <f t="shared" si="3"/>
        <v>0</v>
      </c>
    </row>
    <row r="658" spans="5:8" ht="30" customHeight="1" x14ac:dyDescent="0.3">
      <c r="E658" s="36"/>
      <c r="F658" s="36"/>
      <c r="G658" s="36"/>
      <c r="H658" s="80">
        <f t="shared" si="3"/>
        <v>0</v>
      </c>
    </row>
    <row r="659" spans="5:8" ht="30" customHeight="1" x14ac:dyDescent="0.3">
      <c r="E659" s="36"/>
      <c r="F659" s="36"/>
      <c r="G659" s="36"/>
      <c r="H659" s="80">
        <f t="shared" si="3"/>
        <v>0</v>
      </c>
    </row>
    <row r="660" spans="5:8" ht="30" customHeight="1" x14ac:dyDescent="0.3">
      <c r="E660" s="36"/>
      <c r="F660" s="36"/>
      <c r="G660" s="36"/>
      <c r="H660" s="80">
        <f t="shared" si="3"/>
        <v>0</v>
      </c>
    </row>
    <row r="661" spans="5:8" ht="30" customHeight="1" x14ac:dyDescent="0.3">
      <c r="E661" s="36"/>
      <c r="F661" s="36"/>
      <c r="G661" s="36"/>
      <c r="H661" s="80">
        <f t="shared" si="3"/>
        <v>0</v>
      </c>
    </row>
    <row r="662" spans="5:8" ht="30" customHeight="1" x14ac:dyDescent="0.3">
      <c r="E662" s="36"/>
      <c r="F662" s="36"/>
      <c r="G662" s="36"/>
      <c r="H662" s="80">
        <f t="shared" si="3"/>
        <v>0</v>
      </c>
    </row>
    <row r="663" spans="5:8" ht="30" customHeight="1" x14ac:dyDescent="0.3">
      <c r="E663" s="36"/>
      <c r="F663" s="36"/>
      <c r="G663" s="36"/>
      <c r="H663" s="80">
        <f t="shared" si="3"/>
        <v>0</v>
      </c>
    </row>
    <row r="664" spans="5:8" ht="30" customHeight="1" x14ac:dyDescent="0.3">
      <c r="E664" s="36"/>
      <c r="F664" s="36"/>
      <c r="G664" s="36"/>
      <c r="H664" s="80">
        <f t="shared" si="3"/>
        <v>0</v>
      </c>
    </row>
    <row r="665" spans="5:8" ht="30" customHeight="1" x14ac:dyDescent="0.3">
      <c r="E665" s="36"/>
      <c r="F665" s="36"/>
      <c r="G665" s="36"/>
      <c r="H665" s="80">
        <f t="shared" si="3"/>
        <v>0</v>
      </c>
    </row>
    <row r="666" spans="5:8" ht="30" customHeight="1" x14ac:dyDescent="0.3">
      <c r="E666" s="36"/>
      <c r="F666" s="36"/>
      <c r="G666" s="36"/>
      <c r="H666" s="80">
        <f t="shared" si="3"/>
        <v>0</v>
      </c>
    </row>
    <row r="667" spans="5:8" ht="30" customHeight="1" x14ac:dyDescent="0.3">
      <c r="E667" s="36"/>
      <c r="F667" s="36"/>
      <c r="G667" s="36"/>
      <c r="H667" s="80">
        <f t="shared" si="3"/>
        <v>0</v>
      </c>
    </row>
    <row r="668" spans="5:8" ht="30" customHeight="1" x14ac:dyDescent="0.3">
      <c r="E668" s="36"/>
      <c r="F668" s="36"/>
      <c r="G668" s="36"/>
      <c r="H668" s="80">
        <f t="shared" si="3"/>
        <v>0</v>
      </c>
    </row>
    <row r="669" spans="5:8" ht="30" customHeight="1" x14ac:dyDescent="0.3">
      <c r="E669" s="36"/>
      <c r="F669" s="36"/>
      <c r="G669" s="36"/>
      <c r="H669" s="80">
        <f t="shared" si="3"/>
        <v>0</v>
      </c>
    </row>
    <row r="670" spans="5:8" ht="30" customHeight="1" x14ac:dyDescent="0.3">
      <c r="E670" s="36"/>
      <c r="F670" s="36"/>
      <c r="G670" s="36"/>
      <c r="H670" s="80">
        <f t="shared" si="3"/>
        <v>0</v>
      </c>
    </row>
    <row r="671" spans="5:8" ht="30" customHeight="1" x14ac:dyDescent="0.3">
      <c r="E671" s="36"/>
      <c r="F671" s="36"/>
      <c r="G671" s="36"/>
      <c r="H671" s="80">
        <f t="shared" si="3"/>
        <v>0</v>
      </c>
    </row>
    <row r="672" spans="5:8" ht="30" customHeight="1" x14ac:dyDescent="0.3">
      <c r="E672" s="36"/>
      <c r="F672" s="36"/>
      <c r="G672" s="36"/>
      <c r="H672" s="80">
        <f t="shared" si="3"/>
        <v>0</v>
      </c>
    </row>
    <row r="673" spans="5:8" ht="30" customHeight="1" x14ac:dyDescent="0.3">
      <c r="E673" s="36"/>
      <c r="F673" s="36"/>
      <c r="G673" s="36"/>
      <c r="H673" s="80">
        <f t="shared" si="3"/>
        <v>0</v>
      </c>
    </row>
    <row r="674" spans="5:8" ht="30" customHeight="1" x14ac:dyDescent="0.3">
      <c r="E674" s="36"/>
      <c r="F674" s="36"/>
      <c r="G674" s="36"/>
      <c r="H674" s="80">
        <f t="shared" si="3"/>
        <v>0</v>
      </c>
    </row>
    <row r="675" spans="5:8" ht="30" customHeight="1" x14ac:dyDescent="0.3">
      <c r="E675" s="36"/>
      <c r="F675" s="36"/>
      <c r="G675" s="36"/>
      <c r="H675" s="80">
        <f t="shared" si="3"/>
        <v>0</v>
      </c>
    </row>
    <row r="676" spans="5:8" ht="30" customHeight="1" x14ac:dyDescent="0.3">
      <c r="E676" s="36"/>
      <c r="F676" s="36"/>
      <c r="G676" s="36"/>
      <c r="H676" s="80">
        <f t="shared" si="3"/>
        <v>0</v>
      </c>
    </row>
    <row r="677" spans="5:8" ht="30" customHeight="1" x14ac:dyDescent="0.3">
      <c r="E677" s="36"/>
      <c r="F677" s="36"/>
      <c r="G677" s="36"/>
      <c r="H677" s="80">
        <f t="shared" si="3"/>
        <v>0</v>
      </c>
    </row>
    <row r="1048542" spans="8:8" ht="30" customHeight="1" x14ac:dyDescent="0.3">
      <c r="H1048542" s="65"/>
    </row>
    <row r="1048575" spans="5:5" ht="30" customHeight="1" x14ac:dyDescent="0.3">
      <c r="E1048575" s="66">
        <v>2</v>
      </c>
    </row>
  </sheetData>
  <protectedRanges>
    <protectedRange algorithmName="SHA-512" hashValue="Ghppvt4Szj4OeUtsjSkEALUPTAMSn0gKCe/f0XhCFPxY/iFBSt8Xo2TtKOz8L6Tpoauti3kX7P9oIj0P8EbqKA==" saltValue="BoKnsiOQcZkujUQ6ykbPog==" spinCount="100000" sqref="A52:G52 A54:G54 A56:G56 A66:G66 C67 A64:G64 A58:G58 C51 C53 C55 C57 C59 A60:G62 A63 C63 A65 C65 A12:G42 A43 A44:G44 A45 A68:G1048576 A46:G46 C47 A48:G50 A10:A11 C10:G11" name="Range1"/>
  </protectedRanges>
  <mergeCells count="11">
    <mergeCell ref="B1:I1"/>
    <mergeCell ref="A4:A5"/>
    <mergeCell ref="B4:B5"/>
    <mergeCell ref="C4:C5"/>
    <mergeCell ref="D4:D5"/>
    <mergeCell ref="I4:I5"/>
    <mergeCell ref="K2:L2"/>
    <mergeCell ref="A2:C2"/>
    <mergeCell ref="E2:G2"/>
    <mergeCell ref="A3:C3"/>
    <mergeCell ref="E3:H3"/>
  </mergeCells>
  <conditionalFormatting sqref="E51:E69">
    <cfRule type="cellIs" dxfId="50" priority="4" operator="between">
      <formula>0.1</formula>
      <formula>999999999</formula>
    </cfRule>
  </conditionalFormatting>
  <conditionalFormatting sqref="E48:F50 H48:H677 F52 F54 F56 F58 E70:G72">
    <cfRule type="cellIs" dxfId="49" priority="5" operator="between">
      <formula>0.1</formula>
      <formula>999999999</formula>
    </cfRule>
  </conditionalFormatting>
  <conditionalFormatting sqref="E7:H47">
    <cfRule type="cellIs" dxfId="48" priority="1" operator="between">
      <formula>0.1</formula>
      <formula>999999999</formula>
    </cfRule>
  </conditionalFormatting>
  <conditionalFormatting sqref="F60:F69">
    <cfRule type="cellIs" dxfId="47" priority="3" operator="between">
      <formula>0.1</formula>
      <formula>999999999</formula>
    </cfRule>
  </conditionalFormatting>
  <conditionalFormatting sqref="G48:G69">
    <cfRule type="cellIs" dxfId="46" priority="2" operator="between">
      <formula>0.1</formula>
      <formula>999999999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2FDE-D005-412D-999D-13E92BA7B327}">
  <dimension ref="A1:M1048547"/>
  <sheetViews>
    <sheetView workbookViewId="0">
      <selection activeCell="H11" sqref="H11"/>
    </sheetView>
  </sheetViews>
  <sheetFormatPr defaultRowHeight="30" customHeight="1" x14ac:dyDescent="0.3"/>
  <cols>
    <col min="1" max="1" width="18.42578125" style="63" customWidth="1"/>
    <col min="2" max="2" width="19.5703125" style="41" customWidth="1"/>
    <col min="3" max="3" width="32.85546875" style="41" customWidth="1"/>
    <col min="4" max="4" width="22.42578125" style="41" customWidth="1"/>
    <col min="5" max="6" width="17.7109375" style="64" customWidth="1"/>
    <col min="7" max="7" width="15.28515625" style="64" customWidth="1"/>
    <col min="8" max="8" width="21.28515625" style="67" customWidth="1"/>
    <col min="9" max="9" width="19.42578125" style="41" customWidth="1"/>
    <col min="10" max="10" width="20.28515625" style="41" customWidth="1"/>
    <col min="11" max="11" width="10.7109375" style="14" customWidth="1"/>
    <col min="12" max="12" width="12.28515625" style="14" customWidth="1"/>
    <col min="13" max="16384" width="9.140625" style="14"/>
  </cols>
  <sheetData>
    <row r="1" spans="1:13" ht="72" customHeight="1" x14ac:dyDescent="0.3">
      <c r="A1" s="46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4</v>
      </c>
      <c r="E2" s="108" t="s">
        <v>30</v>
      </c>
      <c r="F2" s="108"/>
      <c r="G2" s="108"/>
      <c r="H2" s="17"/>
      <c r="I2" s="16" t="s">
        <v>31</v>
      </c>
      <c r="J2" s="17"/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84" t="s">
        <v>112</v>
      </c>
      <c r="E3" s="112" t="s">
        <v>33</v>
      </c>
      <c r="F3" s="112"/>
      <c r="G3" s="112"/>
      <c r="H3" s="112"/>
      <c r="I3" s="17">
        <v>3011</v>
      </c>
      <c r="J3" s="21"/>
    </row>
    <row r="4" spans="1:13" ht="45" customHeight="1" x14ac:dyDescent="0.3">
      <c r="A4" s="117" t="s">
        <v>72</v>
      </c>
      <c r="B4" s="115" t="s">
        <v>35</v>
      </c>
      <c r="C4" s="117" t="s">
        <v>73</v>
      </c>
      <c r="D4" s="117" t="s">
        <v>74</v>
      </c>
      <c r="E4" s="48" t="s">
        <v>8</v>
      </c>
      <c r="F4" s="49" t="s">
        <v>9</v>
      </c>
      <c r="G4" s="49" t="s">
        <v>10</v>
      </c>
      <c r="H4" s="48" t="s">
        <v>11</v>
      </c>
      <c r="I4" s="119" t="s">
        <v>75</v>
      </c>
      <c r="J4" s="119"/>
    </row>
    <row r="5" spans="1:13" s="25" customFormat="1" ht="96.75" customHeight="1" x14ac:dyDescent="0.25">
      <c r="A5" s="118"/>
      <c r="B5" s="118"/>
      <c r="C5" s="118"/>
      <c r="D5" s="118"/>
      <c r="E5" s="50" t="s">
        <v>76</v>
      </c>
      <c r="F5" s="50" t="s">
        <v>77</v>
      </c>
      <c r="G5" s="50" t="s">
        <v>77</v>
      </c>
      <c r="H5" s="50" t="s">
        <v>77</v>
      </c>
      <c r="I5" s="119"/>
      <c r="J5" s="119"/>
    </row>
    <row r="6" spans="1:13" s="25" customFormat="1" ht="49.5" customHeight="1" x14ac:dyDescent="0.25">
      <c r="A6" s="26"/>
      <c r="B6" s="26"/>
      <c r="C6" s="26"/>
      <c r="D6" s="26"/>
      <c r="E6" s="27">
        <f>SUM(E7:E975)</f>
        <v>150</v>
      </c>
      <c r="F6" s="28">
        <f>SUM(F7:F975)</f>
        <v>0</v>
      </c>
      <c r="G6" s="28">
        <f>SUM(G7:G975)</f>
        <v>123</v>
      </c>
      <c r="H6" s="27">
        <f>SUM(E6-F6-G6)</f>
        <v>27</v>
      </c>
      <c r="I6" s="29"/>
      <c r="J6" s="30"/>
    </row>
    <row r="7" spans="1:13" ht="56.25" x14ac:dyDescent="0.3">
      <c r="A7" s="39" t="s">
        <v>113</v>
      </c>
      <c r="B7" s="32" t="s">
        <v>114</v>
      </c>
      <c r="C7" s="33" t="s">
        <v>115</v>
      </c>
      <c r="D7" s="33" t="s">
        <v>116</v>
      </c>
      <c r="E7" s="36">
        <v>150</v>
      </c>
      <c r="F7" s="36">
        <v>0</v>
      </c>
      <c r="G7" s="36">
        <v>0</v>
      </c>
      <c r="H7" s="58">
        <f t="shared" ref="H7" si="0">SUM(E7:G7)</f>
        <v>150</v>
      </c>
      <c r="I7" s="110"/>
      <c r="J7" s="111"/>
    </row>
    <row r="8" spans="1:13" ht="57.75" customHeight="1" x14ac:dyDescent="0.3">
      <c r="A8" s="39" t="s">
        <v>117</v>
      </c>
      <c r="B8" s="32" t="s">
        <v>118</v>
      </c>
      <c r="C8" s="33" t="s">
        <v>119</v>
      </c>
      <c r="D8" s="33" t="s">
        <v>120</v>
      </c>
      <c r="E8" s="36">
        <v>0</v>
      </c>
      <c r="F8" s="36">
        <v>0</v>
      </c>
      <c r="G8" s="36">
        <v>75</v>
      </c>
      <c r="H8" s="58">
        <f>H7-G8-F8+E8</f>
        <v>75</v>
      </c>
      <c r="I8" s="110"/>
      <c r="J8" s="111"/>
    </row>
    <row r="9" spans="1:13" ht="56.25" x14ac:dyDescent="0.3">
      <c r="A9" s="39" t="s">
        <v>55</v>
      </c>
      <c r="B9" s="32" t="s">
        <v>121</v>
      </c>
      <c r="C9" s="33" t="s">
        <v>122</v>
      </c>
      <c r="D9" s="33" t="s">
        <v>123</v>
      </c>
      <c r="E9" s="36">
        <v>0</v>
      </c>
      <c r="F9" s="36">
        <v>0</v>
      </c>
      <c r="G9" s="36">
        <v>11</v>
      </c>
      <c r="H9" s="58">
        <f t="shared" ref="H9:H10" si="1">H8-G9-F9+E9</f>
        <v>64</v>
      </c>
      <c r="I9" s="110"/>
      <c r="J9" s="111"/>
    </row>
    <row r="10" spans="1:13" ht="56.25" x14ac:dyDescent="0.3">
      <c r="A10" s="39" t="s">
        <v>55</v>
      </c>
      <c r="B10" s="32" t="s">
        <v>124</v>
      </c>
      <c r="C10" s="33" t="s">
        <v>125</v>
      </c>
      <c r="D10" s="33" t="s">
        <v>123</v>
      </c>
      <c r="E10" s="36">
        <v>0</v>
      </c>
      <c r="F10" s="36">
        <v>0</v>
      </c>
      <c r="G10" s="36">
        <v>10</v>
      </c>
      <c r="H10" s="58">
        <f t="shared" si="1"/>
        <v>54</v>
      </c>
      <c r="I10" s="110"/>
      <c r="J10" s="111"/>
    </row>
    <row r="11" spans="1:13" ht="76.5" customHeight="1" x14ac:dyDescent="0.3">
      <c r="A11" s="39" t="s">
        <v>126</v>
      </c>
      <c r="B11" s="32" t="s">
        <v>127</v>
      </c>
      <c r="C11" s="33" t="s">
        <v>128</v>
      </c>
      <c r="D11" s="33" t="s">
        <v>123</v>
      </c>
      <c r="E11" s="36">
        <v>0</v>
      </c>
      <c r="F11" s="36">
        <v>0</v>
      </c>
      <c r="G11" s="85">
        <v>27</v>
      </c>
      <c r="H11" s="58">
        <v>27</v>
      </c>
      <c r="I11" s="110"/>
      <c r="J11" s="111"/>
    </row>
    <row r="12" spans="1:13" ht="20.25" x14ac:dyDescent="0.3">
      <c r="A12" s="39"/>
      <c r="B12" s="40"/>
      <c r="C12" s="33"/>
      <c r="D12" s="33"/>
      <c r="E12" s="36"/>
      <c r="F12" s="36"/>
      <c r="G12" s="85"/>
      <c r="H12" s="58"/>
      <c r="I12" s="110"/>
      <c r="J12" s="111"/>
    </row>
    <row r="13" spans="1:13" ht="20.25" x14ac:dyDescent="0.3">
      <c r="A13" s="39"/>
      <c r="B13" s="40"/>
      <c r="C13" s="33"/>
      <c r="D13" s="33"/>
      <c r="E13" s="36"/>
      <c r="F13" s="36"/>
      <c r="G13" s="85"/>
      <c r="H13" s="86"/>
      <c r="I13" s="110"/>
      <c r="J13" s="111"/>
    </row>
    <row r="14" spans="1:13" ht="20.25" x14ac:dyDescent="0.3">
      <c r="A14" s="39"/>
      <c r="B14" s="40"/>
      <c r="C14" s="33"/>
      <c r="D14" s="33"/>
      <c r="E14" s="36"/>
      <c r="F14" s="36"/>
      <c r="G14" s="85"/>
      <c r="H14" s="58"/>
      <c r="I14" s="110"/>
      <c r="J14" s="111"/>
    </row>
    <row r="15" spans="1:13" ht="20.25" x14ac:dyDescent="0.3">
      <c r="A15" s="39"/>
      <c r="B15" s="40"/>
      <c r="C15" s="33"/>
      <c r="D15" s="33"/>
      <c r="E15" s="36"/>
      <c r="F15" s="36"/>
      <c r="G15" s="36"/>
      <c r="H15" s="58"/>
      <c r="I15" s="110"/>
      <c r="J15" s="111"/>
    </row>
    <row r="16" spans="1:13" ht="30" customHeight="1" x14ac:dyDescent="0.3">
      <c r="A16" s="39"/>
      <c r="B16" s="40"/>
      <c r="C16" s="33"/>
      <c r="D16" s="33"/>
      <c r="E16" s="36"/>
      <c r="F16" s="36"/>
      <c r="G16" s="36"/>
      <c r="H16" s="58"/>
      <c r="I16" s="110"/>
      <c r="J16" s="111"/>
    </row>
    <row r="17" spans="1:10" ht="30" customHeight="1" x14ac:dyDescent="0.3">
      <c r="A17" s="39"/>
      <c r="B17" s="40"/>
      <c r="C17" s="33"/>
      <c r="D17" s="33"/>
      <c r="E17" s="36"/>
      <c r="F17" s="36"/>
      <c r="G17" s="36"/>
      <c r="H17" s="58"/>
      <c r="I17" s="110"/>
      <c r="J17" s="111"/>
    </row>
    <row r="18" spans="1:10" ht="30" customHeight="1" x14ac:dyDescent="0.3">
      <c r="A18" s="39"/>
      <c r="B18" s="40"/>
      <c r="C18" s="33"/>
      <c r="D18" s="33"/>
      <c r="E18" s="36"/>
      <c r="F18" s="36"/>
      <c r="G18" s="36"/>
      <c r="H18" s="58"/>
      <c r="I18" s="110"/>
      <c r="J18" s="111"/>
    </row>
    <row r="19" spans="1:10" ht="30" customHeight="1" x14ac:dyDescent="0.3">
      <c r="A19" s="39"/>
      <c r="B19" s="87"/>
      <c r="C19" s="33"/>
      <c r="D19" s="33"/>
      <c r="E19" s="36"/>
      <c r="F19" s="36"/>
      <c r="G19" s="36"/>
      <c r="H19" s="58"/>
      <c r="I19" s="110"/>
      <c r="J19" s="111"/>
    </row>
    <row r="20" spans="1:10" ht="30" customHeight="1" x14ac:dyDescent="0.3">
      <c r="A20" s="39"/>
      <c r="B20" s="40"/>
      <c r="C20" s="33"/>
      <c r="D20" s="33"/>
      <c r="E20" s="36"/>
      <c r="F20" s="36"/>
      <c r="G20" s="36"/>
      <c r="H20" s="58"/>
      <c r="I20" s="110"/>
      <c r="J20" s="111"/>
    </row>
    <row r="21" spans="1:10" ht="30" customHeight="1" x14ac:dyDescent="0.3">
      <c r="A21" s="39"/>
      <c r="B21" s="40"/>
      <c r="C21" s="34"/>
      <c r="D21" s="33"/>
      <c r="E21" s="36"/>
      <c r="F21" s="36"/>
      <c r="G21" s="36"/>
      <c r="H21" s="58"/>
      <c r="I21" s="110"/>
      <c r="J21" s="111"/>
    </row>
    <row r="22" spans="1:10" ht="41.25" customHeight="1" x14ac:dyDescent="0.3">
      <c r="A22" s="39"/>
      <c r="B22" s="40"/>
      <c r="C22" s="33"/>
      <c r="D22" s="33"/>
      <c r="E22" s="36"/>
      <c r="F22" s="36"/>
      <c r="G22" s="36"/>
      <c r="H22" s="58"/>
      <c r="I22" s="110"/>
      <c r="J22" s="111"/>
    </row>
    <row r="23" spans="1:10" ht="41.25" customHeight="1" x14ac:dyDescent="0.3">
      <c r="A23" s="39"/>
      <c r="B23" s="40"/>
      <c r="C23" s="34"/>
      <c r="D23" s="34"/>
      <c r="E23" s="36"/>
      <c r="F23" s="36"/>
      <c r="G23" s="36"/>
      <c r="H23" s="58"/>
      <c r="I23" s="110"/>
      <c r="J23" s="111"/>
    </row>
    <row r="24" spans="1:10" ht="41.25" customHeight="1" x14ac:dyDescent="0.3">
      <c r="A24" s="39"/>
      <c r="B24" s="40"/>
      <c r="C24" s="33"/>
      <c r="D24" s="33"/>
      <c r="E24" s="36"/>
      <c r="F24" s="36"/>
      <c r="G24" s="36"/>
      <c r="H24" s="58"/>
      <c r="I24" s="110"/>
      <c r="J24" s="111"/>
    </row>
    <row r="25" spans="1:10" ht="41.25" customHeight="1" x14ac:dyDescent="0.3">
      <c r="A25" s="39"/>
      <c r="B25" s="40"/>
      <c r="C25" s="33"/>
      <c r="D25" s="33"/>
      <c r="E25" s="36"/>
      <c r="F25" s="36"/>
      <c r="G25" s="36"/>
      <c r="H25" s="58"/>
      <c r="I25" s="37"/>
      <c r="J25" s="38"/>
    </row>
    <row r="26" spans="1:10" ht="41.25" customHeight="1" x14ac:dyDescent="0.3">
      <c r="A26" s="39"/>
      <c r="B26" s="40"/>
      <c r="C26" s="33"/>
      <c r="D26" s="33"/>
      <c r="E26" s="36"/>
      <c r="F26" s="36"/>
      <c r="G26" s="36"/>
      <c r="H26" s="58"/>
      <c r="I26" s="37"/>
      <c r="J26" s="38"/>
    </row>
    <row r="27" spans="1:10" ht="41.25" customHeight="1" x14ac:dyDescent="0.3">
      <c r="A27" s="39"/>
      <c r="B27" s="40"/>
      <c r="C27" s="33"/>
      <c r="D27" s="33"/>
      <c r="E27" s="36"/>
      <c r="F27" s="36"/>
      <c r="G27" s="61"/>
      <c r="H27" s="58"/>
      <c r="I27" s="110"/>
      <c r="J27" s="111"/>
    </row>
    <row r="28" spans="1:10" ht="41.25" customHeight="1" x14ac:dyDescent="0.3">
      <c r="A28" s="88"/>
      <c r="B28" s="89"/>
      <c r="C28" s="33"/>
      <c r="D28" s="90"/>
      <c r="E28" s="36"/>
      <c r="F28" s="36"/>
      <c r="G28" s="61"/>
      <c r="H28" s="58"/>
      <c r="I28" s="37"/>
      <c r="J28" s="38"/>
    </row>
    <row r="29" spans="1:10" ht="41.25" customHeight="1" x14ac:dyDescent="0.3">
      <c r="A29" s="88"/>
      <c r="B29" s="40"/>
      <c r="C29" s="33"/>
      <c r="D29" s="34"/>
      <c r="E29" s="36"/>
      <c r="F29" s="36"/>
      <c r="G29" s="36"/>
      <c r="H29" s="58"/>
      <c r="I29" s="110"/>
      <c r="J29" s="111"/>
    </row>
    <row r="30" spans="1:10" ht="30" customHeight="1" x14ac:dyDescent="0.3">
      <c r="A30" s="39"/>
      <c r="B30" s="40"/>
      <c r="C30" s="34"/>
      <c r="D30" s="34"/>
      <c r="E30" s="36"/>
      <c r="F30" s="36"/>
      <c r="G30" s="36"/>
      <c r="H30" s="58"/>
      <c r="I30" s="110"/>
      <c r="J30" s="111"/>
    </row>
    <row r="31" spans="1:10" ht="30" customHeight="1" x14ac:dyDescent="0.3">
      <c r="A31" s="39"/>
      <c r="B31" s="40"/>
      <c r="C31" s="34"/>
      <c r="D31" s="34"/>
      <c r="E31" s="36"/>
      <c r="F31" s="36"/>
      <c r="G31" s="36"/>
      <c r="H31" s="58"/>
      <c r="I31" s="110"/>
      <c r="J31" s="111"/>
    </row>
    <row r="32" spans="1:10" ht="30" customHeight="1" x14ac:dyDescent="0.3">
      <c r="A32" s="39"/>
      <c r="B32" s="40"/>
      <c r="C32" s="34"/>
      <c r="D32" s="34"/>
      <c r="E32" s="36"/>
      <c r="F32" s="36"/>
      <c r="G32" s="36"/>
      <c r="H32" s="58"/>
      <c r="I32" s="110"/>
      <c r="J32" s="111"/>
    </row>
    <row r="33" spans="1:10" ht="30" customHeight="1" x14ac:dyDescent="0.3">
      <c r="A33" s="39"/>
      <c r="B33" s="40"/>
      <c r="C33" s="34"/>
      <c r="D33" s="34"/>
      <c r="E33" s="36"/>
      <c r="F33" s="36"/>
      <c r="G33" s="36"/>
      <c r="H33" s="58"/>
      <c r="I33" s="110"/>
      <c r="J33" s="111"/>
    </row>
    <row r="34" spans="1:10" ht="30" customHeight="1" x14ac:dyDescent="0.3">
      <c r="A34" s="39"/>
      <c r="B34" s="40"/>
      <c r="C34" s="34"/>
      <c r="D34" s="34"/>
      <c r="E34" s="36"/>
      <c r="F34" s="36"/>
      <c r="G34" s="36"/>
      <c r="H34" s="58"/>
      <c r="I34" s="110"/>
      <c r="J34" s="111"/>
    </row>
    <row r="35" spans="1:10" ht="30" customHeight="1" x14ac:dyDescent="0.3">
      <c r="A35" s="39"/>
      <c r="B35" s="40"/>
      <c r="C35" s="34"/>
      <c r="D35" s="34"/>
      <c r="E35" s="36"/>
      <c r="F35" s="36"/>
      <c r="G35" s="36"/>
      <c r="H35" s="58"/>
      <c r="I35" s="110"/>
      <c r="J35" s="111"/>
    </row>
    <row r="36" spans="1:10" ht="30" customHeight="1" x14ac:dyDescent="0.3">
      <c r="A36" s="39"/>
      <c r="B36" s="40"/>
      <c r="C36" s="34"/>
      <c r="D36" s="34"/>
      <c r="E36" s="36"/>
      <c r="F36" s="36"/>
      <c r="G36" s="36"/>
      <c r="H36" s="58"/>
      <c r="I36" s="110"/>
      <c r="J36" s="111"/>
    </row>
    <row r="37" spans="1:10" ht="30" customHeight="1" x14ac:dyDescent="0.3">
      <c r="A37" s="39"/>
      <c r="B37" s="40"/>
      <c r="C37" s="34"/>
      <c r="D37" s="34"/>
      <c r="E37" s="36"/>
      <c r="F37" s="36"/>
      <c r="G37" s="36"/>
      <c r="H37" s="58"/>
      <c r="I37" s="110"/>
      <c r="J37" s="111"/>
    </row>
    <row r="38" spans="1:10" ht="30" customHeight="1" x14ac:dyDescent="0.3">
      <c r="A38" s="39"/>
      <c r="B38" s="40"/>
      <c r="C38" s="34"/>
      <c r="D38" s="34"/>
      <c r="E38" s="36"/>
      <c r="F38" s="36"/>
      <c r="G38" s="36"/>
      <c r="H38" s="58"/>
      <c r="I38" s="110"/>
      <c r="J38" s="111"/>
    </row>
    <row r="39" spans="1:10" ht="30" customHeight="1" x14ac:dyDescent="0.3">
      <c r="A39" s="39"/>
      <c r="B39" s="40"/>
      <c r="C39" s="34"/>
      <c r="D39" s="34"/>
      <c r="E39" s="36"/>
      <c r="F39" s="36"/>
      <c r="G39" s="36"/>
      <c r="H39" s="58"/>
      <c r="I39" s="110"/>
      <c r="J39" s="111"/>
    </row>
    <row r="40" spans="1:10" ht="30" customHeight="1" x14ac:dyDescent="0.3">
      <c r="A40" s="39"/>
      <c r="B40" s="40"/>
      <c r="C40" s="34"/>
      <c r="D40" s="34"/>
      <c r="E40" s="36"/>
      <c r="F40" s="36"/>
      <c r="G40" s="36"/>
      <c r="H40" s="58"/>
      <c r="I40" s="110"/>
      <c r="J40" s="111"/>
    </row>
    <row r="41" spans="1:10" ht="30" customHeight="1" x14ac:dyDescent="0.3">
      <c r="A41" s="39"/>
      <c r="B41" s="40"/>
      <c r="C41" s="34"/>
      <c r="D41" s="34"/>
      <c r="E41" s="36"/>
      <c r="F41" s="36"/>
      <c r="G41" s="36"/>
      <c r="H41" s="58"/>
      <c r="I41" s="110"/>
      <c r="J41" s="111"/>
    </row>
    <row r="42" spans="1:10" ht="30" customHeight="1" x14ac:dyDescent="0.3">
      <c r="A42" s="39"/>
      <c r="B42" s="40"/>
      <c r="C42" s="34"/>
      <c r="D42" s="34"/>
      <c r="E42" s="36"/>
      <c r="F42" s="36"/>
      <c r="G42" s="36"/>
      <c r="H42" s="58"/>
      <c r="I42" s="110"/>
      <c r="J42" s="111"/>
    </row>
    <row r="43" spans="1:10" ht="30" customHeight="1" x14ac:dyDescent="0.3">
      <c r="A43" s="39"/>
      <c r="B43" s="40"/>
      <c r="C43" s="34"/>
      <c r="D43" s="34"/>
      <c r="E43" s="36"/>
      <c r="F43" s="36"/>
      <c r="G43" s="36"/>
      <c r="H43" s="58"/>
      <c r="I43" s="110"/>
      <c r="J43" s="111"/>
    </row>
    <row r="44" spans="1:10" ht="30" customHeight="1" x14ac:dyDescent="0.3">
      <c r="A44" s="39"/>
      <c r="B44" s="40"/>
      <c r="C44" s="34"/>
      <c r="D44" s="34"/>
      <c r="E44" s="36"/>
      <c r="F44" s="36"/>
      <c r="G44" s="36"/>
      <c r="H44" s="58"/>
      <c r="I44" s="110"/>
      <c r="J44" s="111"/>
    </row>
    <row r="45" spans="1:10" ht="30" customHeight="1" x14ac:dyDescent="0.3">
      <c r="A45" s="39"/>
      <c r="B45" s="40"/>
      <c r="C45" s="34"/>
      <c r="D45" s="34"/>
      <c r="E45" s="36"/>
      <c r="F45" s="36"/>
      <c r="G45" s="36"/>
      <c r="H45" s="58"/>
      <c r="I45" s="110"/>
      <c r="J45" s="111"/>
    </row>
    <row r="46" spans="1:10" ht="30" customHeight="1" x14ac:dyDescent="0.3">
      <c r="A46" s="39"/>
      <c r="B46" s="40"/>
      <c r="C46" s="34"/>
      <c r="D46" s="34"/>
      <c r="E46" s="36"/>
      <c r="F46" s="36"/>
      <c r="G46" s="36"/>
      <c r="H46" s="58"/>
      <c r="I46" s="110"/>
      <c r="J46" s="111"/>
    </row>
    <row r="47" spans="1:10" ht="30" customHeight="1" x14ac:dyDescent="0.3">
      <c r="A47" s="39"/>
      <c r="B47" s="40"/>
      <c r="C47" s="34"/>
      <c r="D47" s="34"/>
      <c r="E47" s="36"/>
      <c r="F47" s="36"/>
      <c r="G47" s="36"/>
      <c r="H47" s="58"/>
      <c r="I47" s="110"/>
      <c r="J47" s="111"/>
    </row>
    <row r="48" spans="1:10" ht="30" customHeight="1" x14ac:dyDescent="0.3">
      <c r="A48" s="39"/>
      <c r="B48" s="40"/>
      <c r="C48" s="34"/>
      <c r="D48" s="34"/>
      <c r="E48" s="36"/>
      <c r="F48" s="36"/>
      <c r="G48" s="36"/>
      <c r="H48" s="58"/>
      <c r="I48" s="110"/>
      <c r="J48" s="111"/>
    </row>
    <row r="49" spans="1:10" ht="30" customHeight="1" x14ac:dyDescent="0.3">
      <c r="A49" s="39"/>
      <c r="B49" s="40"/>
      <c r="C49" s="34"/>
      <c r="D49" s="34"/>
      <c r="E49" s="36"/>
      <c r="F49" s="36"/>
      <c r="G49" s="36"/>
      <c r="H49" s="58"/>
      <c r="I49" s="110"/>
      <c r="J49" s="111"/>
    </row>
    <row r="50" spans="1:10" ht="30" customHeight="1" x14ac:dyDescent="0.3">
      <c r="A50" s="39"/>
      <c r="B50" s="40"/>
      <c r="C50" s="34"/>
      <c r="D50" s="34"/>
      <c r="E50" s="36"/>
      <c r="F50" s="36"/>
      <c r="G50" s="36"/>
      <c r="H50" s="58"/>
      <c r="I50" s="110"/>
      <c r="J50" s="111"/>
    </row>
    <row r="51" spans="1:10" ht="30" customHeight="1" x14ac:dyDescent="0.3">
      <c r="A51" s="39"/>
      <c r="B51" s="40"/>
      <c r="C51" s="34"/>
      <c r="D51" s="34"/>
      <c r="E51" s="36"/>
      <c r="F51" s="36"/>
      <c r="G51" s="36"/>
      <c r="H51" s="58"/>
      <c r="I51" s="110"/>
      <c r="J51" s="111"/>
    </row>
    <row r="52" spans="1:10" ht="30" customHeight="1" x14ac:dyDescent="0.3">
      <c r="A52" s="39"/>
      <c r="B52" s="40"/>
      <c r="C52" s="34"/>
      <c r="D52" s="34"/>
      <c r="E52" s="36"/>
      <c r="F52" s="36"/>
      <c r="G52" s="36"/>
      <c r="H52" s="58"/>
      <c r="I52" s="110"/>
      <c r="J52" s="111"/>
    </row>
    <row r="53" spans="1:10" ht="30" customHeight="1" x14ac:dyDescent="0.3">
      <c r="A53" s="39"/>
      <c r="B53" s="40"/>
      <c r="C53" s="34"/>
      <c r="D53" s="34"/>
      <c r="E53" s="36"/>
      <c r="F53" s="36"/>
      <c r="G53" s="36"/>
      <c r="H53" s="58"/>
      <c r="I53" s="110"/>
      <c r="J53" s="111"/>
    </row>
    <row r="54" spans="1:10" ht="30" customHeight="1" x14ac:dyDescent="0.3">
      <c r="A54" s="39"/>
      <c r="B54" s="40"/>
      <c r="C54" s="34"/>
      <c r="D54" s="34"/>
      <c r="E54" s="36"/>
      <c r="F54" s="36"/>
      <c r="G54" s="36"/>
      <c r="H54" s="58"/>
      <c r="I54" s="110"/>
      <c r="J54" s="111"/>
    </row>
    <row r="55" spans="1:10" ht="30" customHeight="1" x14ac:dyDescent="0.3">
      <c r="A55" s="39"/>
      <c r="B55" s="40"/>
      <c r="C55" s="34"/>
      <c r="D55" s="34"/>
      <c r="E55" s="36"/>
      <c r="F55" s="36"/>
      <c r="G55" s="36"/>
      <c r="H55" s="58"/>
      <c r="I55" s="110"/>
      <c r="J55" s="111"/>
    </row>
    <row r="56" spans="1:10" ht="30" customHeight="1" x14ac:dyDescent="0.3">
      <c r="A56" s="39"/>
      <c r="B56" s="40"/>
      <c r="C56" s="34"/>
      <c r="D56" s="34"/>
      <c r="E56" s="36"/>
      <c r="F56" s="36"/>
      <c r="G56" s="36"/>
      <c r="H56" s="58">
        <f t="shared" ref="H56:H119" si="2">H55-G56-F56+E56</f>
        <v>0</v>
      </c>
      <c r="I56" s="110"/>
      <c r="J56" s="111"/>
    </row>
    <row r="57" spans="1:10" ht="30" customHeight="1" x14ac:dyDescent="0.3">
      <c r="A57" s="39"/>
      <c r="B57" s="40"/>
      <c r="C57" s="34"/>
      <c r="D57" s="34"/>
      <c r="E57" s="36"/>
      <c r="F57" s="36"/>
      <c r="G57" s="36"/>
      <c r="H57" s="58">
        <f t="shared" si="2"/>
        <v>0</v>
      </c>
      <c r="I57" s="110"/>
      <c r="J57" s="111"/>
    </row>
    <row r="58" spans="1:10" ht="30" customHeight="1" x14ac:dyDescent="0.3">
      <c r="A58" s="39"/>
      <c r="B58" s="40"/>
      <c r="C58" s="34"/>
      <c r="D58" s="34"/>
      <c r="E58" s="36"/>
      <c r="F58" s="36"/>
      <c r="G58" s="36"/>
      <c r="H58" s="58">
        <f t="shared" si="2"/>
        <v>0</v>
      </c>
      <c r="I58" s="110"/>
      <c r="J58" s="111"/>
    </row>
    <row r="59" spans="1:10" ht="30" customHeight="1" x14ac:dyDescent="0.3">
      <c r="A59" s="39"/>
      <c r="B59" s="40"/>
      <c r="C59" s="34"/>
      <c r="D59" s="34"/>
      <c r="E59" s="36"/>
      <c r="F59" s="36"/>
      <c r="G59" s="36"/>
      <c r="H59" s="58">
        <f t="shared" si="2"/>
        <v>0</v>
      </c>
      <c r="I59" s="110"/>
      <c r="J59" s="111"/>
    </row>
    <row r="60" spans="1:10" ht="30" customHeight="1" x14ac:dyDescent="0.3">
      <c r="A60" s="39"/>
      <c r="B60" s="40"/>
      <c r="C60" s="34"/>
      <c r="D60" s="34"/>
      <c r="E60" s="36"/>
      <c r="F60" s="36"/>
      <c r="G60" s="36"/>
      <c r="H60" s="58">
        <f t="shared" si="2"/>
        <v>0</v>
      </c>
      <c r="I60" s="110"/>
      <c r="J60" s="111"/>
    </row>
    <row r="61" spans="1:10" ht="30" customHeight="1" x14ac:dyDescent="0.3">
      <c r="A61" s="39"/>
      <c r="B61" s="40"/>
      <c r="C61" s="34"/>
      <c r="D61" s="34"/>
      <c r="E61" s="36"/>
      <c r="F61" s="36"/>
      <c r="G61" s="36"/>
      <c r="H61" s="58">
        <f t="shared" si="2"/>
        <v>0</v>
      </c>
      <c r="I61" s="110"/>
      <c r="J61" s="111"/>
    </row>
    <row r="62" spans="1:10" ht="30" customHeight="1" x14ac:dyDescent="0.3">
      <c r="A62" s="39"/>
      <c r="B62" s="40"/>
      <c r="C62" s="34"/>
      <c r="D62" s="34"/>
      <c r="E62" s="36"/>
      <c r="F62" s="36"/>
      <c r="G62" s="36"/>
      <c r="H62" s="58">
        <f t="shared" si="2"/>
        <v>0</v>
      </c>
      <c r="I62" s="110"/>
      <c r="J62" s="111"/>
    </row>
    <row r="63" spans="1:10" ht="30" customHeight="1" x14ac:dyDescent="0.3">
      <c r="A63" s="39"/>
      <c r="B63" s="40"/>
      <c r="C63" s="34"/>
      <c r="D63" s="34"/>
      <c r="E63" s="36"/>
      <c r="F63" s="36"/>
      <c r="G63" s="36"/>
      <c r="H63" s="58">
        <f t="shared" si="2"/>
        <v>0</v>
      </c>
      <c r="I63" s="110"/>
      <c r="J63" s="111"/>
    </row>
    <row r="64" spans="1:10" ht="30" customHeight="1" x14ac:dyDescent="0.3">
      <c r="A64" s="39"/>
      <c r="B64" s="40"/>
      <c r="C64" s="34"/>
      <c r="D64" s="34"/>
      <c r="E64" s="36"/>
      <c r="F64" s="36"/>
      <c r="G64" s="36"/>
      <c r="H64" s="58">
        <f t="shared" si="2"/>
        <v>0</v>
      </c>
      <c r="I64" s="110"/>
      <c r="J64" s="111"/>
    </row>
    <row r="65" spans="1:13" ht="30" customHeight="1" x14ac:dyDescent="0.3">
      <c r="A65" s="39"/>
      <c r="B65" s="40"/>
      <c r="C65" s="34"/>
      <c r="D65" s="34"/>
      <c r="E65" s="36"/>
      <c r="F65" s="36"/>
      <c r="G65" s="36"/>
      <c r="H65" s="58">
        <f t="shared" si="2"/>
        <v>0</v>
      </c>
      <c r="I65" s="110"/>
      <c r="J65" s="111"/>
    </row>
    <row r="66" spans="1:13" ht="30" customHeight="1" x14ac:dyDescent="0.3">
      <c r="A66" s="39"/>
      <c r="B66" s="40"/>
      <c r="C66" s="34"/>
      <c r="D66" s="34"/>
      <c r="E66" s="36"/>
      <c r="F66" s="36"/>
      <c r="G66" s="36"/>
      <c r="H66" s="58">
        <f t="shared" si="2"/>
        <v>0</v>
      </c>
      <c r="I66" s="110"/>
      <c r="J66" s="111"/>
    </row>
    <row r="67" spans="1:13" ht="30" customHeight="1" x14ac:dyDescent="0.3">
      <c r="A67" s="39"/>
      <c r="B67" s="40"/>
      <c r="C67" s="34"/>
      <c r="D67" s="34"/>
      <c r="E67" s="36"/>
      <c r="F67" s="36"/>
      <c r="G67" s="36"/>
      <c r="H67" s="58">
        <f t="shared" si="2"/>
        <v>0</v>
      </c>
      <c r="I67" s="110"/>
      <c r="J67" s="111"/>
    </row>
    <row r="68" spans="1:13" ht="30" customHeight="1" x14ac:dyDescent="0.3">
      <c r="B68" s="75"/>
      <c r="E68" s="36"/>
      <c r="F68" s="36"/>
      <c r="G68" s="36"/>
      <c r="H68" s="58">
        <f t="shared" si="2"/>
        <v>0</v>
      </c>
      <c r="I68" s="110"/>
      <c r="J68" s="111"/>
    </row>
    <row r="69" spans="1:13" ht="30" customHeight="1" x14ac:dyDescent="0.3">
      <c r="B69" s="75"/>
      <c r="E69" s="36"/>
      <c r="F69" s="36"/>
      <c r="G69" s="36"/>
      <c r="H69" s="58">
        <f t="shared" si="2"/>
        <v>0</v>
      </c>
    </row>
    <row r="70" spans="1:13" ht="30" customHeight="1" x14ac:dyDescent="0.3">
      <c r="B70" s="75"/>
      <c r="E70" s="36"/>
      <c r="F70" s="36"/>
      <c r="G70" s="36"/>
      <c r="H70" s="58">
        <f t="shared" si="2"/>
        <v>0</v>
      </c>
    </row>
    <row r="71" spans="1:13" ht="30" customHeight="1" x14ac:dyDescent="0.3">
      <c r="B71" s="75"/>
      <c r="E71" s="36"/>
      <c r="F71" s="36"/>
      <c r="G71" s="36"/>
      <c r="H71" s="58">
        <f t="shared" si="2"/>
        <v>0</v>
      </c>
    </row>
    <row r="72" spans="1:13" ht="30" customHeight="1" x14ac:dyDescent="0.3">
      <c r="B72" s="75"/>
      <c r="E72" s="36"/>
      <c r="F72" s="36"/>
      <c r="G72" s="36"/>
      <c r="H72" s="58">
        <f t="shared" si="2"/>
        <v>0</v>
      </c>
    </row>
    <row r="73" spans="1:13" s="41" customFormat="1" ht="30" customHeight="1" x14ac:dyDescent="0.3">
      <c r="A73" s="63"/>
      <c r="B73" s="75"/>
      <c r="E73" s="36"/>
      <c r="F73" s="36"/>
      <c r="G73" s="36"/>
      <c r="H73" s="58">
        <f t="shared" si="2"/>
        <v>0</v>
      </c>
      <c r="K73" s="14"/>
      <c r="L73" s="14"/>
      <c r="M73" s="14"/>
    </row>
    <row r="74" spans="1:13" s="41" customFormat="1" ht="30" customHeight="1" x14ac:dyDescent="0.3">
      <c r="A74" s="63"/>
      <c r="B74" s="75"/>
      <c r="E74" s="36"/>
      <c r="F74" s="36"/>
      <c r="G74" s="36"/>
      <c r="H74" s="58">
        <f t="shared" si="2"/>
        <v>0</v>
      </c>
      <c r="K74" s="14"/>
      <c r="L74" s="14"/>
      <c r="M74" s="14"/>
    </row>
    <row r="75" spans="1:13" s="41" customFormat="1" ht="30" customHeight="1" x14ac:dyDescent="0.3">
      <c r="A75" s="63"/>
      <c r="B75" s="75"/>
      <c r="E75" s="36"/>
      <c r="F75" s="36"/>
      <c r="G75" s="36"/>
      <c r="H75" s="58">
        <f t="shared" si="2"/>
        <v>0</v>
      </c>
      <c r="K75" s="14"/>
      <c r="L75" s="14"/>
      <c r="M75" s="14"/>
    </row>
    <row r="76" spans="1:13" s="41" customFormat="1" ht="30" customHeight="1" x14ac:dyDescent="0.3">
      <c r="A76" s="63"/>
      <c r="B76" s="75"/>
      <c r="E76" s="36"/>
      <c r="F76" s="36"/>
      <c r="G76" s="36"/>
      <c r="H76" s="58">
        <f t="shared" si="2"/>
        <v>0</v>
      </c>
      <c r="K76" s="14"/>
      <c r="L76" s="14"/>
      <c r="M76" s="14"/>
    </row>
    <row r="77" spans="1:13" s="41" customFormat="1" ht="30" customHeight="1" x14ac:dyDescent="0.3">
      <c r="A77" s="63"/>
      <c r="B77" s="75"/>
      <c r="E77" s="36"/>
      <c r="F77" s="36"/>
      <c r="G77" s="36"/>
      <c r="H77" s="58">
        <f t="shared" si="2"/>
        <v>0</v>
      </c>
      <c r="K77" s="14"/>
      <c r="L77" s="14"/>
      <c r="M77" s="14"/>
    </row>
    <row r="78" spans="1:13" s="41" customFormat="1" ht="30" customHeight="1" x14ac:dyDescent="0.3">
      <c r="A78" s="63"/>
      <c r="B78" s="75"/>
      <c r="E78" s="36"/>
      <c r="F78" s="36"/>
      <c r="G78" s="36"/>
      <c r="H78" s="58">
        <f t="shared" si="2"/>
        <v>0</v>
      </c>
      <c r="K78" s="14"/>
      <c r="L78" s="14"/>
      <c r="M78" s="14"/>
    </row>
    <row r="79" spans="1:13" s="41" customFormat="1" ht="30" customHeight="1" x14ac:dyDescent="0.3">
      <c r="A79" s="63"/>
      <c r="B79" s="75"/>
      <c r="E79" s="36"/>
      <c r="F79" s="36"/>
      <c r="G79" s="36"/>
      <c r="H79" s="58">
        <f t="shared" si="2"/>
        <v>0</v>
      </c>
      <c r="K79" s="14"/>
      <c r="L79" s="14"/>
      <c r="M79" s="14"/>
    </row>
    <row r="80" spans="1:13" s="41" customFormat="1" ht="30" customHeight="1" x14ac:dyDescent="0.3">
      <c r="A80" s="63"/>
      <c r="B80" s="75"/>
      <c r="E80" s="36"/>
      <c r="F80" s="36"/>
      <c r="G80" s="36"/>
      <c r="H80" s="58">
        <f t="shared" si="2"/>
        <v>0</v>
      </c>
      <c r="K80" s="14"/>
      <c r="L80" s="14"/>
      <c r="M80" s="14"/>
    </row>
    <row r="81" spans="1:13" s="41" customFormat="1" ht="30" customHeight="1" x14ac:dyDescent="0.3">
      <c r="A81" s="63"/>
      <c r="B81" s="75"/>
      <c r="E81" s="36"/>
      <c r="F81" s="36"/>
      <c r="G81" s="36"/>
      <c r="H81" s="58">
        <f t="shared" si="2"/>
        <v>0</v>
      </c>
      <c r="K81" s="14"/>
      <c r="L81" s="14"/>
      <c r="M81" s="14"/>
    </row>
    <row r="82" spans="1:13" s="41" customFormat="1" ht="30" customHeight="1" x14ac:dyDescent="0.3">
      <c r="A82" s="63"/>
      <c r="B82" s="75"/>
      <c r="E82" s="36"/>
      <c r="F82" s="36"/>
      <c r="G82" s="36"/>
      <c r="H82" s="58">
        <f t="shared" si="2"/>
        <v>0</v>
      </c>
      <c r="K82" s="14"/>
      <c r="L82" s="14"/>
      <c r="M82" s="14"/>
    </row>
    <row r="83" spans="1:13" s="41" customFormat="1" ht="30" customHeight="1" x14ac:dyDescent="0.3">
      <c r="A83" s="63"/>
      <c r="B83" s="75"/>
      <c r="E83" s="36"/>
      <c r="F83" s="36"/>
      <c r="G83" s="36"/>
      <c r="H83" s="58">
        <f t="shared" si="2"/>
        <v>0</v>
      </c>
      <c r="K83" s="14"/>
      <c r="L83" s="14"/>
      <c r="M83" s="14"/>
    </row>
    <row r="84" spans="1:13" s="41" customFormat="1" ht="30" customHeight="1" x14ac:dyDescent="0.3">
      <c r="A84" s="63"/>
      <c r="B84" s="75"/>
      <c r="E84" s="36"/>
      <c r="F84" s="36"/>
      <c r="G84" s="36"/>
      <c r="H84" s="58">
        <f t="shared" si="2"/>
        <v>0</v>
      </c>
      <c r="K84" s="14"/>
      <c r="L84" s="14"/>
      <c r="M84" s="14"/>
    </row>
    <row r="85" spans="1:13" s="41" customFormat="1" ht="30" customHeight="1" x14ac:dyDescent="0.3">
      <c r="A85" s="63"/>
      <c r="B85" s="75"/>
      <c r="E85" s="36"/>
      <c r="F85" s="36"/>
      <c r="G85" s="36"/>
      <c r="H85" s="58">
        <f t="shared" si="2"/>
        <v>0</v>
      </c>
      <c r="K85" s="14"/>
      <c r="L85" s="14"/>
      <c r="M85" s="14"/>
    </row>
    <row r="86" spans="1:13" s="41" customFormat="1" ht="30" customHeight="1" x14ac:dyDescent="0.3">
      <c r="A86" s="63"/>
      <c r="B86" s="75"/>
      <c r="E86" s="36"/>
      <c r="F86" s="36"/>
      <c r="G86" s="36"/>
      <c r="H86" s="58">
        <f t="shared" si="2"/>
        <v>0</v>
      </c>
      <c r="K86" s="14"/>
      <c r="L86" s="14"/>
      <c r="M86" s="14"/>
    </row>
    <row r="87" spans="1:13" s="41" customFormat="1" ht="30" customHeight="1" x14ac:dyDescent="0.3">
      <c r="A87" s="63"/>
      <c r="B87" s="75"/>
      <c r="E87" s="36"/>
      <c r="F87" s="36"/>
      <c r="G87" s="36"/>
      <c r="H87" s="58">
        <f t="shared" si="2"/>
        <v>0</v>
      </c>
      <c r="K87" s="14"/>
      <c r="L87" s="14"/>
      <c r="M87" s="14"/>
    </row>
    <row r="88" spans="1:13" s="41" customFormat="1" ht="30" customHeight="1" x14ac:dyDescent="0.3">
      <c r="A88" s="63"/>
      <c r="B88" s="75"/>
      <c r="E88" s="36"/>
      <c r="F88" s="36"/>
      <c r="G88" s="36"/>
      <c r="H88" s="58">
        <f t="shared" si="2"/>
        <v>0</v>
      </c>
      <c r="K88" s="14"/>
      <c r="L88" s="14"/>
      <c r="M88" s="14"/>
    </row>
    <row r="89" spans="1:13" s="41" customFormat="1" ht="30" customHeight="1" x14ac:dyDescent="0.3">
      <c r="A89" s="63"/>
      <c r="B89" s="75"/>
      <c r="E89" s="36"/>
      <c r="F89" s="36"/>
      <c r="G89" s="36"/>
      <c r="H89" s="58">
        <f t="shared" si="2"/>
        <v>0</v>
      </c>
      <c r="K89" s="14"/>
      <c r="L89" s="14"/>
      <c r="M89" s="14"/>
    </row>
    <row r="90" spans="1:13" s="41" customFormat="1" ht="30" customHeight="1" x14ac:dyDescent="0.3">
      <c r="A90" s="63"/>
      <c r="B90" s="75"/>
      <c r="E90" s="36"/>
      <c r="F90" s="36"/>
      <c r="G90" s="36"/>
      <c r="H90" s="58">
        <f t="shared" si="2"/>
        <v>0</v>
      </c>
      <c r="K90" s="14"/>
      <c r="L90" s="14"/>
      <c r="M90" s="14"/>
    </row>
    <row r="91" spans="1:13" s="41" customFormat="1" ht="30" customHeight="1" x14ac:dyDescent="0.3">
      <c r="A91" s="63"/>
      <c r="B91" s="75"/>
      <c r="E91" s="36"/>
      <c r="F91" s="36"/>
      <c r="G91" s="36"/>
      <c r="H91" s="58">
        <f t="shared" si="2"/>
        <v>0</v>
      </c>
      <c r="K91" s="14"/>
      <c r="L91" s="14"/>
      <c r="M91" s="14"/>
    </row>
    <row r="92" spans="1:13" s="41" customFormat="1" ht="30" customHeight="1" x14ac:dyDescent="0.3">
      <c r="A92" s="63"/>
      <c r="B92" s="75"/>
      <c r="E92" s="36"/>
      <c r="F92" s="36"/>
      <c r="G92" s="36"/>
      <c r="H92" s="58">
        <f t="shared" si="2"/>
        <v>0</v>
      </c>
      <c r="K92" s="14"/>
      <c r="L92" s="14"/>
      <c r="M92" s="14"/>
    </row>
    <row r="93" spans="1:13" s="41" customFormat="1" ht="30" customHeight="1" x14ac:dyDescent="0.3">
      <c r="A93" s="63"/>
      <c r="B93" s="75"/>
      <c r="E93" s="36"/>
      <c r="F93" s="36"/>
      <c r="G93" s="36"/>
      <c r="H93" s="58">
        <f t="shared" si="2"/>
        <v>0</v>
      </c>
      <c r="K93" s="14"/>
      <c r="L93" s="14"/>
      <c r="M93" s="14"/>
    </row>
    <row r="94" spans="1:13" s="41" customFormat="1" ht="30" customHeight="1" x14ac:dyDescent="0.3">
      <c r="A94" s="63"/>
      <c r="B94" s="75"/>
      <c r="E94" s="36"/>
      <c r="F94" s="36"/>
      <c r="G94" s="36"/>
      <c r="H94" s="58">
        <f t="shared" si="2"/>
        <v>0</v>
      </c>
      <c r="K94" s="14"/>
      <c r="L94" s="14"/>
      <c r="M94" s="14"/>
    </row>
    <row r="95" spans="1:13" s="41" customFormat="1" ht="30" customHeight="1" x14ac:dyDescent="0.3">
      <c r="A95" s="63"/>
      <c r="B95" s="75"/>
      <c r="E95" s="36"/>
      <c r="F95" s="36"/>
      <c r="G95" s="36"/>
      <c r="H95" s="58">
        <f t="shared" si="2"/>
        <v>0</v>
      </c>
      <c r="K95" s="14"/>
      <c r="L95" s="14"/>
      <c r="M95" s="14"/>
    </row>
    <row r="96" spans="1:13" s="41" customFormat="1" ht="30" customHeight="1" x14ac:dyDescent="0.3">
      <c r="A96" s="63"/>
      <c r="B96" s="75"/>
      <c r="E96" s="36"/>
      <c r="F96" s="36"/>
      <c r="G96" s="36"/>
      <c r="H96" s="58">
        <f t="shared" si="2"/>
        <v>0</v>
      </c>
      <c r="K96" s="14"/>
      <c r="L96" s="14"/>
      <c r="M96" s="14"/>
    </row>
    <row r="97" spans="1:13" s="41" customFormat="1" ht="30" customHeight="1" x14ac:dyDescent="0.3">
      <c r="A97" s="63"/>
      <c r="B97" s="75"/>
      <c r="E97" s="36"/>
      <c r="F97" s="36"/>
      <c r="G97" s="36"/>
      <c r="H97" s="58">
        <f t="shared" si="2"/>
        <v>0</v>
      </c>
      <c r="K97" s="14"/>
      <c r="L97" s="14"/>
      <c r="M97" s="14"/>
    </row>
    <row r="98" spans="1:13" s="41" customFormat="1" ht="30" customHeight="1" x14ac:dyDescent="0.3">
      <c r="A98" s="63"/>
      <c r="B98" s="75"/>
      <c r="E98" s="36"/>
      <c r="F98" s="36"/>
      <c r="G98" s="36"/>
      <c r="H98" s="58">
        <f t="shared" si="2"/>
        <v>0</v>
      </c>
      <c r="K98" s="14"/>
      <c r="L98" s="14"/>
      <c r="M98" s="14"/>
    </row>
    <row r="99" spans="1:13" s="41" customFormat="1" ht="30" customHeight="1" x14ac:dyDescent="0.3">
      <c r="A99" s="63"/>
      <c r="B99" s="75"/>
      <c r="E99" s="36"/>
      <c r="F99" s="36"/>
      <c r="G99" s="36"/>
      <c r="H99" s="58">
        <f t="shared" si="2"/>
        <v>0</v>
      </c>
      <c r="K99" s="14"/>
      <c r="L99" s="14"/>
      <c r="M99" s="14"/>
    </row>
    <row r="100" spans="1:13" s="41" customFormat="1" ht="30" customHeight="1" x14ac:dyDescent="0.3">
      <c r="A100" s="63"/>
      <c r="B100" s="75"/>
      <c r="E100" s="36"/>
      <c r="F100" s="36"/>
      <c r="G100" s="36"/>
      <c r="H100" s="58">
        <f t="shared" si="2"/>
        <v>0</v>
      </c>
      <c r="K100" s="14"/>
      <c r="L100" s="14"/>
      <c r="M100" s="14"/>
    </row>
    <row r="101" spans="1:13" s="41" customFormat="1" ht="30" customHeight="1" x14ac:dyDescent="0.3">
      <c r="A101" s="63"/>
      <c r="B101" s="75"/>
      <c r="E101" s="36"/>
      <c r="F101" s="36"/>
      <c r="G101" s="36"/>
      <c r="H101" s="58">
        <f t="shared" si="2"/>
        <v>0</v>
      </c>
      <c r="K101" s="14"/>
      <c r="L101" s="14"/>
      <c r="M101" s="14"/>
    </row>
    <row r="102" spans="1:13" s="41" customFormat="1" ht="30" customHeight="1" x14ac:dyDescent="0.3">
      <c r="A102" s="63"/>
      <c r="B102" s="75"/>
      <c r="E102" s="36"/>
      <c r="F102" s="36"/>
      <c r="G102" s="36"/>
      <c r="H102" s="58">
        <f t="shared" si="2"/>
        <v>0</v>
      </c>
      <c r="K102" s="14"/>
      <c r="L102" s="14"/>
      <c r="M102" s="14"/>
    </row>
    <row r="103" spans="1:13" s="41" customFormat="1" ht="30" customHeight="1" x14ac:dyDescent="0.3">
      <c r="A103" s="63"/>
      <c r="B103" s="75"/>
      <c r="E103" s="36"/>
      <c r="F103" s="36"/>
      <c r="G103" s="36"/>
      <c r="H103" s="58">
        <f t="shared" si="2"/>
        <v>0</v>
      </c>
      <c r="K103" s="14"/>
      <c r="L103" s="14"/>
      <c r="M103" s="14"/>
    </row>
    <row r="104" spans="1:13" s="41" customFormat="1" ht="30" customHeight="1" x14ac:dyDescent="0.3">
      <c r="A104" s="63"/>
      <c r="B104" s="75"/>
      <c r="E104" s="36"/>
      <c r="F104" s="36"/>
      <c r="G104" s="36"/>
      <c r="H104" s="58">
        <f t="shared" si="2"/>
        <v>0</v>
      </c>
      <c r="K104" s="14"/>
      <c r="L104" s="14"/>
      <c r="M104" s="14"/>
    </row>
    <row r="105" spans="1:13" s="41" customFormat="1" ht="30" customHeight="1" x14ac:dyDescent="0.3">
      <c r="A105" s="63"/>
      <c r="B105" s="75"/>
      <c r="E105" s="36"/>
      <c r="F105" s="36"/>
      <c r="G105" s="36"/>
      <c r="H105" s="58">
        <f t="shared" si="2"/>
        <v>0</v>
      </c>
      <c r="K105" s="14"/>
      <c r="L105" s="14"/>
      <c r="M105" s="14"/>
    </row>
    <row r="106" spans="1:13" s="41" customFormat="1" ht="30" customHeight="1" x14ac:dyDescent="0.3">
      <c r="A106" s="63"/>
      <c r="B106" s="75"/>
      <c r="E106" s="36"/>
      <c r="F106" s="36"/>
      <c r="G106" s="36"/>
      <c r="H106" s="58">
        <f t="shared" si="2"/>
        <v>0</v>
      </c>
      <c r="K106" s="14"/>
      <c r="L106" s="14"/>
      <c r="M106" s="14"/>
    </row>
    <row r="107" spans="1:13" s="41" customFormat="1" ht="30" customHeight="1" x14ac:dyDescent="0.3">
      <c r="A107" s="63"/>
      <c r="B107" s="75"/>
      <c r="E107" s="36"/>
      <c r="F107" s="36"/>
      <c r="G107" s="36"/>
      <c r="H107" s="58">
        <f t="shared" si="2"/>
        <v>0</v>
      </c>
      <c r="K107" s="14"/>
      <c r="L107" s="14"/>
      <c r="M107" s="14"/>
    </row>
    <row r="108" spans="1:13" s="41" customFormat="1" ht="30" customHeight="1" x14ac:dyDescent="0.3">
      <c r="A108" s="63"/>
      <c r="B108" s="75"/>
      <c r="E108" s="36"/>
      <c r="F108" s="36"/>
      <c r="G108" s="36"/>
      <c r="H108" s="58">
        <f t="shared" si="2"/>
        <v>0</v>
      </c>
      <c r="K108" s="14"/>
      <c r="L108" s="14"/>
      <c r="M108" s="14"/>
    </row>
    <row r="109" spans="1:13" s="41" customFormat="1" ht="30" customHeight="1" x14ac:dyDescent="0.3">
      <c r="A109" s="63"/>
      <c r="B109" s="75"/>
      <c r="E109" s="36"/>
      <c r="F109" s="36"/>
      <c r="G109" s="36"/>
      <c r="H109" s="58">
        <f t="shared" si="2"/>
        <v>0</v>
      </c>
      <c r="K109" s="14"/>
      <c r="L109" s="14"/>
      <c r="M109" s="14"/>
    </row>
    <row r="110" spans="1:13" s="41" customFormat="1" ht="30" customHeight="1" x14ac:dyDescent="0.3">
      <c r="A110" s="63"/>
      <c r="B110" s="75"/>
      <c r="E110" s="36"/>
      <c r="F110" s="36"/>
      <c r="G110" s="36"/>
      <c r="H110" s="58">
        <f t="shared" si="2"/>
        <v>0</v>
      </c>
      <c r="K110" s="14"/>
      <c r="L110" s="14"/>
      <c r="M110" s="14"/>
    </row>
    <row r="111" spans="1:13" s="41" customFormat="1" ht="30" customHeight="1" x14ac:dyDescent="0.3">
      <c r="A111" s="63"/>
      <c r="B111" s="75"/>
      <c r="E111" s="36"/>
      <c r="F111" s="36"/>
      <c r="G111" s="36"/>
      <c r="H111" s="58">
        <f t="shared" si="2"/>
        <v>0</v>
      </c>
      <c r="K111" s="14"/>
      <c r="L111" s="14"/>
      <c r="M111" s="14"/>
    </row>
    <row r="112" spans="1:13" s="41" customFormat="1" ht="30" customHeight="1" x14ac:dyDescent="0.3">
      <c r="A112" s="63"/>
      <c r="B112" s="75"/>
      <c r="E112" s="36"/>
      <c r="F112" s="36"/>
      <c r="G112" s="36"/>
      <c r="H112" s="58">
        <f t="shared" si="2"/>
        <v>0</v>
      </c>
      <c r="K112" s="14"/>
      <c r="L112" s="14"/>
      <c r="M112" s="14"/>
    </row>
    <row r="113" spans="1:13" s="41" customFormat="1" ht="30" customHeight="1" x14ac:dyDescent="0.3">
      <c r="A113" s="63"/>
      <c r="B113" s="75"/>
      <c r="E113" s="36"/>
      <c r="F113" s="36"/>
      <c r="G113" s="36"/>
      <c r="H113" s="58">
        <f t="shared" si="2"/>
        <v>0</v>
      </c>
      <c r="K113" s="14"/>
      <c r="L113" s="14"/>
      <c r="M113" s="14"/>
    </row>
    <row r="114" spans="1:13" s="41" customFormat="1" ht="30" customHeight="1" x14ac:dyDescent="0.3">
      <c r="A114" s="63"/>
      <c r="B114" s="75"/>
      <c r="E114" s="36"/>
      <c r="F114" s="36"/>
      <c r="G114" s="36"/>
      <c r="H114" s="58">
        <f t="shared" si="2"/>
        <v>0</v>
      </c>
      <c r="K114" s="14"/>
      <c r="L114" s="14"/>
      <c r="M114" s="14"/>
    </row>
    <row r="115" spans="1:13" s="41" customFormat="1" ht="30" customHeight="1" x14ac:dyDescent="0.3">
      <c r="A115" s="63"/>
      <c r="B115" s="75"/>
      <c r="E115" s="36"/>
      <c r="F115" s="36"/>
      <c r="G115" s="36"/>
      <c r="H115" s="58">
        <f t="shared" si="2"/>
        <v>0</v>
      </c>
      <c r="K115" s="14"/>
      <c r="L115" s="14"/>
      <c r="M115" s="14"/>
    </row>
    <row r="116" spans="1:13" s="41" customFormat="1" ht="30" customHeight="1" x14ac:dyDescent="0.3">
      <c r="A116" s="63"/>
      <c r="B116" s="75"/>
      <c r="E116" s="36"/>
      <c r="F116" s="36"/>
      <c r="G116" s="36"/>
      <c r="H116" s="58">
        <f t="shared" si="2"/>
        <v>0</v>
      </c>
      <c r="K116" s="14"/>
      <c r="L116" s="14"/>
      <c r="M116" s="14"/>
    </row>
    <row r="117" spans="1:13" s="41" customFormat="1" ht="30" customHeight="1" x14ac:dyDescent="0.3">
      <c r="A117" s="63"/>
      <c r="B117" s="75"/>
      <c r="E117" s="36"/>
      <c r="F117" s="36"/>
      <c r="G117" s="36"/>
      <c r="H117" s="58">
        <f t="shared" si="2"/>
        <v>0</v>
      </c>
      <c r="K117" s="14"/>
      <c r="L117" s="14"/>
      <c r="M117" s="14"/>
    </row>
    <row r="118" spans="1:13" s="41" customFormat="1" ht="30" customHeight="1" x14ac:dyDescent="0.3">
      <c r="A118" s="63"/>
      <c r="B118" s="75"/>
      <c r="E118" s="36"/>
      <c r="F118" s="36"/>
      <c r="G118" s="36"/>
      <c r="H118" s="58">
        <f t="shared" si="2"/>
        <v>0</v>
      </c>
      <c r="K118" s="14"/>
      <c r="L118" s="14"/>
      <c r="M118" s="14"/>
    </row>
    <row r="119" spans="1:13" s="41" customFormat="1" ht="30" customHeight="1" x14ac:dyDescent="0.3">
      <c r="A119" s="63"/>
      <c r="B119" s="75"/>
      <c r="E119" s="36"/>
      <c r="F119" s="36"/>
      <c r="G119" s="36"/>
      <c r="H119" s="58">
        <f t="shared" si="2"/>
        <v>0</v>
      </c>
      <c r="K119" s="14"/>
      <c r="L119" s="14"/>
      <c r="M119" s="14"/>
    </row>
    <row r="120" spans="1:13" s="41" customFormat="1" ht="30" customHeight="1" x14ac:dyDescent="0.3">
      <c r="A120" s="63"/>
      <c r="B120" s="75"/>
      <c r="E120" s="36"/>
      <c r="F120" s="36"/>
      <c r="G120" s="36"/>
      <c r="H120" s="58">
        <f t="shared" ref="H120:H183" si="3">H119-G120-F120+E120</f>
        <v>0</v>
      </c>
      <c r="K120" s="14"/>
      <c r="L120" s="14"/>
      <c r="M120" s="14"/>
    </row>
    <row r="121" spans="1:13" s="41" customFormat="1" ht="30" customHeight="1" x14ac:dyDescent="0.3">
      <c r="A121" s="63"/>
      <c r="B121" s="75"/>
      <c r="E121" s="36"/>
      <c r="F121" s="36"/>
      <c r="G121" s="36"/>
      <c r="H121" s="58">
        <f t="shared" si="3"/>
        <v>0</v>
      </c>
      <c r="K121" s="14"/>
      <c r="L121" s="14"/>
      <c r="M121" s="14"/>
    </row>
    <row r="122" spans="1:13" s="41" customFormat="1" ht="30" customHeight="1" x14ac:dyDescent="0.3">
      <c r="A122" s="63"/>
      <c r="B122" s="75"/>
      <c r="E122" s="36"/>
      <c r="F122" s="36"/>
      <c r="G122" s="36"/>
      <c r="H122" s="58">
        <f t="shared" si="3"/>
        <v>0</v>
      </c>
      <c r="K122" s="14"/>
      <c r="L122" s="14"/>
      <c r="M122" s="14"/>
    </row>
    <row r="123" spans="1:13" s="41" customFormat="1" ht="30" customHeight="1" x14ac:dyDescent="0.3">
      <c r="A123" s="63"/>
      <c r="B123" s="75"/>
      <c r="E123" s="36"/>
      <c r="F123" s="36"/>
      <c r="G123" s="36"/>
      <c r="H123" s="58">
        <f t="shared" si="3"/>
        <v>0</v>
      </c>
      <c r="K123" s="14"/>
      <c r="L123" s="14"/>
      <c r="M123" s="14"/>
    </row>
    <row r="124" spans="1:13" s="41" customFormat="1" ht="30" customHeight="1" x14ac:dyDescent="0.3">
      <c r="A124" s="63"/>
      <c r="B124" s="75"/>
      <c r="E124" s="36"/>
      <c r="F124" s="36"/>
      <c r="G124" s="36"/>
      <c r="H124" s="58">
        <f t="shared" si="3"/>
        <v>0</v>
      </c>
      <c r="K124" s="14"/>
      <c r="L124" s="14"/>
      <c r="M124" s="14"/>
    </row>
    <row r="125" spans="1:13" s="41" customFormat="1" ht="30" customHeight="1" x14ac:dyDescent="0.3">
      <c r="A125" s="63"/>
      <c r="B125" s="75"/>
      <c r="E125" s="36"/>
      <c r="F125" s="36"/>
      <c r="G125" s="36"/>
      <c r="H125" s="58">
        <f t="shared" si="3"/>
        <v>0</v>
      </c>
      <c r="K125" s="14"/>
      <c r="L125" s="14"/>
      <c r="M125" s="14"/>
    </row>
    <row r="126" spans="1:13" s="41" customFormat="1" ht="30" customHeight="1" x14ac:dyDescent="0.3">
      <c r="A126" s="63"/>
      <c r="B126" s="75"/>
      <c r="E126" s="36"/>
      <c r="F126" s="36"/>
      <c r="G126" s="36"/>
      <c r="H126" s="58">
        <f t="shared" si="3"/>
        <v>0</v>
      </c>
      <c r="K126" s="14"/>
      <c r="L126" s="14"/>
      <c r="M126" s="14"/>
    </row>
    <row r="127" spans="1:13" s="41" customFormat="1" ht="30" customHeight="1" x14ac:dyDescent="0.3">
      <c r="A127" s="63"/>
      <c r="B127" s="75"/>
      <c r="E127" s="36"/>
      <c r="F127" s="36"/>
      <c r="G127" s="36"/>
      <c r="H127" s="58">
        <f t="shared" si="3"/>
        <v>0</v>
      </c>
      <c r="K127" s="14"/>
      <c r="L127" s="14"/>
      <c r="M127" s="14"/>
    </row>
    <row r="128" spans="1:13" s="41" customFormat="1" ht="30" customHeight="1" x14ac:dyDescent="0.3">
      <c r="A128" s="63"/>
      <c r="B128" s="75"/>
      <c r="E128" s="36"/>
      <c r="F128" s="36"/>
      <c r="G128" s="36"/>
      <c r="H128" s="58">
        <f t="shared" si="3"/>
        <v>0</v>
      </c>
      <c r="K128" s="14"/>
      <c r="L128" s="14"/>
      <c r="M128" s="14"/>
    </row>
    <row r="129" spans="1:13" s="41" customFormat="1" ht="30" customHeight="1" x14ac:dyDescent="0.3">
      <c r="A129" s="63"/>
      <c r="B129" s="75"/>
      <c r="E129" s="36"/>
      <c r="F129" s="36"/>
      <c r="G129" s="36"/>
      <c r="H129" s="58">
        <f t="shared" si="3"/>
        <v>0</v>
      </c>
      <c r="K129" s="14"/>
      <c r="L129" s="14"/>
      <c r="M129" s="14"/>
    </row>
    <row r="130" spans="1:13" s="41" customFormat="1" ht="30" customHeight="1" x14ac:dyDescent="0.3">
      <c r="A130" s="63"/>
      <c r="B130" s="75"/>
      <c r="E130" s="36"/>
      <c r="F130" s="36"/>
      <c r="G130" s="36"/>
      <c r="H130" s="58">
        <f t="shared" si="3"/>
        <v>0</v>
      </c>
      <c r="K130" s="14"/>
      <c r="L130" s="14"/>
      <c r="M130" s="14"/>
    </row>
    <row r="131" spans="1:13" s="41" customFormat="1" ht="30" customHeight="1" x14ac:dyDescent="0.3">
      <c r="A131" s="63"/>
      <c r="B131" s="75"/>
      <c r="E131" s="36"/>
      <c r="F131" s="36"/>
      <c r="G131" s="36"/>
      <c r="H131" s="58">
        <f t="shared" si="3"/>
        <v>0</v>
      </c>
      <c r="K131" s="14"/>
      <c r="L131" s="14"/>
      <c r="M131" s="14"/>
    </row>
    <row r="132" spans="1:13" s="41" customFormat="1" ht="30" customHeight="1" x14ac:dyDescent="0.3">
      <c r="A132" s="63"/>
      <c r="B132" s="75"/>
      <c r="E132" s="36"/>
      <c r="F132" s="36"/>
      <c r="G132" s="36"/>
      <c r="H132" s="58">
        <f t="shared" si="3"/>
        <v>0</v>
      </c>
      <c r="K132" s="14"/>
      <c r="L132" s="14"/>
      <c r="M132" s="14"/>
    </row>
    <row r="133" spans="1:13" s="41" customFormat="1" ht="30" customHeight="1" x14ac:dyDescent="0.3">
      <c r="A133" s="63"/>
      <c r="B133" s="75"/>
      <c r="E133" s="36"/>
      <c r="F133" s="36"/>
      <c r="G133" s="36"/>
      <c r="H133" s="58">
        <f t="shared" si="3"/>
        <v>0</v>
      </c>
      <c r="K133" s="14"/>
      <c r="L133" s="14"/>
      <c r="M133" s="14"/>
    </row>
    <row r="134" spans="1:13" s="41" customFormat="1" ht="30" customHeight="1" x14ac:dyDescent="0.3">
      <c r="A134" s="63"/>
      <c r="B134" s="75"/>
      <c r="E134" s="36"/>
      <c r="F134" s="36"/>
      <c r="G134" s="36"/>
      <c r="H134" s="58">
        <f t="shared" si="3"/>
        <v>0</v>
      </c>
      <c r="K134" s="14"/>
      <c r="L134" s="14"/>
      <c r="M134" s="14"/>
    </row>
    <row r="135" spans="1:13" s="41" customFormat="1" ht="30" customHeight="1" x14ac:dyDescent="0.3">
      <c r="A135" s="63"/>
      <c r="B135" s="75"/>
      <c r="E135" s="36"/>
      <c r="F135" s="36"/>
      <c r="G135" s="36"/>
      <c r="H135" s="58">
        <f t="shared" si="3"/>
        <v>0</v>
      </c>
      <c r="K135" s="14"/>
      <c r="L135" s="14"/>
      <c r="M135" s="14"/>
    </row>
    <row r="136" spans="1:13" s="41" customFormat="1" ht="30" customHeight="1" x14ac:dyDescent="0.3">
      <c r="A136" s="63"/>
      <c r="B136" s="75"/>
      <c r="E136" s="36"/>
      <c r="F136" s="36"/>
      <c r="G136" s="36"/>
      <c r="H136" s="58">
        <f t="shared" si="3"/>
        <v>0</v>
      </c>
      <c r="K136" s="14"/>
      <c r="L136" s="14"/>
      <c r="M136" s="14"/>
    </row>
    <row r="137" spans="1:13" s="41" customFormat="1" ht="30" customHeight="1" x14ac:dyDescent="0.3">
      <c r="A137" s="63"/>
      <c r="B137" s="75"/>
      <c r="E137" s="36"/>
      <c r="F137" s="36"/>
      <c r="G137" s="36"/>
      <c r="H137" s="58">
        <f t="shared" si="3"/>
        <v>0</v>
      </c>
      <c r="K137" s="14"/>
      <c r="L137" s="14"/>
      <c r="M137" s="14"/>
    </row>
    <row r="138" spans="1:13" s="41" customFormat="1" ht="30" customHeight="1" x14ac:dyDescent="0.3">
      <c r="A138" s="63"/>
      <c r="B138" s="75"/>
      <c r="E138" s="36"/>
      <c r="F138" s="36"/>
      <c r="G138" s="36"/>
      <c r="H138" s="58">
        <f t="shared" si="3"/>
        <v>0</v>
      </c>
      <c r="K138" s="14"/>
      <c r="L138" s="14"/>
      <c r="M138" s="14"/>
    </row>
    <row r="139" spans="1:13" s="41" customFormat="1" ht="30" customHeight="1" x14ac:dyDescent="0.3">
      <c r="A139" s="63"/>
      <c r="B139" s="75"/>
      <c r="E139" s="36"/>
      <c r="F139" s="36"/>
      <c r="G139" s="36"/>
      <c r="H139" s="58">
        <f t="shared" si="3"/>
        <v>0</v>
      </c>
      <c r="K139" s="14"/>
      <c r="L139" s="14"/>
      <c r="M139" s="14"/>
    </row>
    <row r="140" spans="1:13" s="41" customFormat="1" ht="30" customHeight="1" x14ac:dyDescent="0.3">
      <c r="A140" s="63"/>
      <c r="B140" s="75"/>
      <c r="E140" s="36"/>
      <c r="F140" s="36"/>
      <c r="G140" s="36"/>
      <c r="H140" s="58">
        <f t="shared" si="3"/>
        <v>0</v>
      </c>
      <c r="K140" s="14"/>
      <c r="L140" s="14"/>
      <c r="M140" s="14"/>
    </row>
    <row r="141" spans="1:13" s="41" customFormat="1" ht="30" customHeight="1" x14ac:dyDescent="0.3">
      <c r="A141" s="63"/>
      <c r="B141" s="75"/>
      <c r="E141" s="36"/>
      <c r="F141" s="36"/>
      <c r="G141" s="36"/>
      <c r="H141" s="58">
        <f t="shared" si="3"/>
        <v>0</v>
      </c>
      <c r="K141" s="14"/>
      <c r="L141" s="14"/>
      <c r="M141" s="14"/>
    </row>
    <row r="142" spans="1:13" s="41" customFormat="1" ht="30" customHeight="1" x14ac:dyDescent="0.3">
      <c r="A142" s="63"/>
      <c r="B142" s="75"/>
      <c r="E142" s="36"/>
      <c r="F142" s="36"/>
      <c r="G142" s="36"/>
      <c r="H142" s="58">
        <f t="shared" si="3"/>
        <v>0</v>
      </c>
      <c r="K142" s="14"/>
      <c r="L142" s="14"/>
      <c r="M142" s="14"/>
    </row>
    <row r="143" spans="1:13" s="41" customFormat="1" ht="30" customHeight="1" x14ac:dyDescent="0.3">
      <c r="A143" s="63"/>
      <c r="B143" s="75"/>
      <c r="E143" s="36"/>
      <c r="F143" s="36"/>
      <c r="G143" s="36"/>
      <c r="H143" s="58">
        <f t="shared" si="3"/>
        <v>0</v>
      </c>
      <c r="K143" s="14"/>
      <c r="L143" s="14"/>
      <c r="M143" s="14"/>
    </row>
    <row r="144" spans="1:13" s="41" customFormat="1" ht="30" customHeight="1" x14ac:dyDescent="0.3">
      <c r="A144" s="63"/>
      <c r="B144" s="75"/>
      <c r="E144" s="36"/>
      <c r="F144" s="36"/>
      <c r="G144" s="36"/>
      <c r="H144" s="58">
        <f t="shared" si="3"/>
        <v>0</v>
      </c>
      <c r="K144" s="14"/>
      <c r="L144" s="14"/>
      <c r="M144" s="14"/>
    </row>
    <row r="145" spans="1:13" s="41" customFormat="1" ht="30" customHeight="1" x14ac:dyDescent="0.3">
      <c r="A145" s="63"/>
      <c r="B145" s="75"/>
      <c r="E145" s="36"/>
      <c r="F145" s="36"/>
      <c r="G145" s="36"/>
      <c r="H145" s="58">
        <f t="shared" si="3"/>
        <v>0</v>
      </c>
      <c r="K145" s="14"/>
      <c r="L145" s="14"/>
      <c r="M145" s="14"/>
    </row>
    <row r="146" spans="1:13" s="41" customFormat="1" ht="30" customHeight="1" x14ac:dyDescent="0.3">
      <c r="A146" s="63"/>
      <c r="B146" s="75"/>
      <c r="E146" s="36"/>
      <c r="F146" s="36"/>
      <c r="G146" s="36"/>
      <c r="H146" s="58">
        <f t="shared" si="3"/>
        <v>0</v>
      </c>
      <c r="K146" s="14"/>
      <c r="L146" s="14"/>
      <c r="M146" s="14"/>
    </row>
    <row r="147" spans="1:13" s="41" customFormat="1" ht="30" customHeight="1" x14ac:dyDescent="0.3">
      <c r="A147" s="63"/>
      <c r="B147" s="75"/>
      <c r="E147" s="36"/>
      <c r="F147" s="36"/>
      <c r="G147" s="36"/>
      <c r="H147" s="58">
        <f t="shared" si="3"/>
        <v>0</v>
      </c>
      <c r="K147" s="14"/>
      <c r="L147" s="14"/>
      <c r="M147" s="14"/>
    </row>
    <row r="148" spans="1:13" s="41" customFormat="1" ht="30" customHeight="1" x14ac:dyDescent="0.3">
      <c r="A148" s="63"/>
      <c r="B148" s="75"/>
      <c r="E148" s="36"/>
      <c r="F148" s="36"/>
      <c r="G148" s="36"/>
      <c r="H148" s="58">
        <f t="shared" si="3"/>
        <v>0</v>
      </c>
      <c r="K148" s="14"/>
      <c r="L148" s="14"/>
      <c r="M148" s="14"/>
    </row>
    <row r="149" spans="1:13" s="41" customFormat="1" ht="30" customHeight="1" x14ac:dyDescent="0.3">
      <c r="A149" s="63"/>
      <c r="B149" s="75"/>
      <c r="E149" s="36"/>
      <c r="F149" s="36"/>
      <c r="G149" s="36"/>
      <c r="H149" s="58">
        <f t="shared" si="3"/>
        <v>0</v>
      </c>
      <c r="K149" s="14"/>
      <c r="L149" s="14"/>
      <c r="M149" s="14"/>
    </row>
    <row r="150" spans="1:13" s="41" customFormat="1" ht="30" customHeight="1" x14ac:dyDescent="0.3">
      <c r="A150" s="63"/>
      <c r="B150" s="75"/>
      <c r="E150" s="36"/>
      <c r="F150" s="36"/>
      <c r="G150" s="36"/>
      <c r="H150" s="58">
        <f t="shared" si="3"/>
        <v>0</v>
      </c>
      <c r="K150" s="14"/>
      <c r="L150" s="14"/>
      <c r="M150" s="14"/>
    </row>
    <row r="151" spans="1:13" s="41" customFormat="1" ht="30" customHeight="1" x14ac:dyDescent="0.3">
      <c r="A151" s="63"/>
      <c r="B151" s="75"/>
      <c r="E151" s="36"/>
      <c r="F151" s="36"/>
      <c r="G151" s="36"/>
      <c r="H151" s="58">
        <f t="shared" si="3"/>
        <v>0</v>
      </c>
      <c r="K151" s="14"/>
      <c r="L151" s="14"/>
      <c r="M151" s="14"/>
    </row>
    <row r="152" spans="1:13" s="41" customFormat="1" ht="30" customHeight="1" x14ac:dyDescent="0.3">
      <c r="A152" s="63"/>
      <c r="B152" s="75"/>
      <c r="E152" s="36"/>
      <c r="F152" s="36"/>
      <c r="G152" s="36"/>
      <c r="H152" s="58">
        <f t="shared" si="3"/>
        <v>0</v>
      </c>
      <c r="K152" s="14"/>
      <c r="L152" s="14"/>
      <c r="M152" s="14"/>
    </row>
    <row r="153" spans="1:13" s="41" customFormat="1" ht="30" customHeight="1" x14ac:dyDescent="0.3">
      <c r="A153" s="63"/>
      <c r="B153" s="75"/>
      <c r="E153" s="36"/>
      <c r="F153" s="36"/>
      <c r="G153" s="36"/>
      <c r="H153" s="58">
        <f t="shared" si="3"/>
        <v>0</v>
      </c>
      <c r="K153" s="14"/>
      <c r="L153" s="14"/>
      <c r="M153" s="14"/>
    </row>
    <row r="154" spans="1:13" s="41" customFormat="1" ht="30" customHeight="1" x14ac:dyDescent="0.3">
      <c r="A154" s="63"/>
      <c r="B154" s="75"/>
      <c r="E154" s="36"/>
      <c r="F154" s="36"/>
      <c r="G154" s="36"/>
      <c r="H154" s="58">
        <f t="shared" si="3"/>
        <v>0</v>
      </c>
      <c r="K154" s="14"/>
      <c r="L154" s="14"/>
      <c r="M154" s="14"/>
    </row>
    <row r="155" spans="1:13" s="41" customFormat="1" ht="30" customHeight="1" x14ac:dyDescent="0.3">
      <c r="A155" s="63"/>
      <c r="B155" s="75"/>
      <c r="E155" s="36"/>
      <c r="F155" s="36"/>
      <c r="G155" s="36"/>
      <c r="H155" s="58">
        <f t="shared" si="3"/>
        <v>0</v>
      </c>
      <c r="K155" s="14"/>
      <c r="L155" s="14"/>
      <c r="M155" s="14"/>
    </row>
    <row r="156" spans="1:13" s="41" customFormat="1" ht="30" customHeight="1" x14ac:dyDescent="0.3">
      <c r="A156" s="63"/>
      <c r="B156" s="75"/>
      <c r="E156" s="36"/>
      <c r="F156" s="36"/>
      <c r="G156" s="36"/>
      <c r="H156" s="58">
        <f t="shared" si="3"/>
        <v>0</v>
      </c>
      <c r="K156" s="14"/>
      <c r="L156" s="14"/>
      <c r="M156" s="14"/>
    </row>
    <row r="157" spans="1:13" s="41" customFormat="1" ht="30" customHeight="1" x14ac:dyDescent="0.3">
      <c r="A157" s="63"/>
      <c r="B157" s="75"/>
      <c r="E157" s="36"/>
      <c r="F157" s="36"/>
      <c r="G157" s="36"/>
      <c r="H157" s="58">
        <f t="shared" si="3"/>
        <v>0</v>
      </c>
      <c r="K157" s="14"/>
      <c r="L157" s="14"/>
      <c r="M157" s="14"/>
    </row>
    <row r="158" spans="1:13" s="41" customFormat="1" ht="30" customHeight="1" x14ac:dyDescent="0.3">
      <c r="A158" s="63"/>
      <c r="B158" s="75"/>
      <c r="E158" s="36"/>
      <c r="F158" s="36"/>
      <c r="G158" s="36"/>
      <c r="H158" s="58">
        <f t="shared" si="3"/>
        <v>0</v>
      </c>
      <c r="K158" s="14"/>
      <c r="L158" s="14"/>
      <c r="M158" s="14"/>
    </row>
    <row r="159" spans="1:13" s="41" customFormat="1" ht="30" customHeight="1" x14ac:dyDescent="0.3">
      <c r="A159" s="63"/>
      <c r="B159" s="75"/>
      <c r="E159" s="36"/>
      <c r="F159" s="36"/>
      <c r="G159" s="36"/>
      <c r="H159" s="58">
        <f t="shared" si="3"/>
        <v>0</v>
      </c>
      <c r="K159" s="14"/>
      <c r="L159" s="14"/>
      <c r="M159" s="14"/>
    </row>
    <row r="160" spans="1:13" s="41" customFormat="1" ht="30" customHeight="1" x14ac:dyDescent="0.3">
      <c r="A160" s="63"/>
      <c r="B160" s="75"/>
      <c r="E160" s="36"/>
      <c r="F160" s="36"/>
      <c r="G160" s="36"/>
      <c r="H160" s="58">
        <f t="shared" si="3"/>
        <v>0</v>
      </c>
      <c r="K160" s="14"/>
      <c r="L160" s="14"/>
      <c r="M160" s="14"/>
    </row>
    <row r="161" spans="1:13" s="41" customFormat="1" ht="30" customHeight="1" x14ac:dyDescent="0.3">
      <c r="A161" s="63"/>
      <c r="B161" s="75"/>
      <c r="E161" s="36"/>
      <c r="F161" s="36"/>
      <c r="G161" s="36"/>
      <c r="H161" s="58">
        <f t="shared" si="3"/>
        <v>0</v>
      </c>
      <c r="K161" s="14"/>
      <c r="L161" s="14"/>
      <c r="M161" s="14"/>
    </row>
    <row r="162" spans="1:13" s="41" customFormat="1" ht="30" customHeight="1" x14ac:dyDescent="0.3">
      <c r="A162" s="63"/>
      <c r="B162" s="75"/>
      <c r="E162" s="36"/>
      <c r="F162" s="36"/>
      <c r="G162" s="36"/>
      <c r="H162" s="58">
        <f t="shared" si="3"/>
        <v>0</v>
      </c>
      <c r="K162" s="14"/>
      <c r="L162" s="14"/>
      <c r="M162" s="14"/>
    </row>
    <row r="163" spans="1:13" s="41" customFormat="1" ht="30" customHeight="1" x14ac:dyDescent="0.3">
      <c r="A163" s="63"/>
      <c r="B163" s="75"/>
      <c r="E163" s="36"/>
      <c r="F163" s="36"/>
      <c r="G163" s="36"/>
      <c r="H163" s="58">
        <f t="shared" si="3"/>
        <v>0</v>
      </c>
      <c r="K163" s="14"/>
      <c r="L163" s="14"/>
      <c r="M163" s="14"/>
    </row>
    <row r="164" spans="1:13" s="41" customFormat="1" ht="30" customHeight="1" x14ac:dyDescent="0.3">
      <c r="A164" s="63"/>
      <c r="B164" s="75"/>
      <c r="E164" s="36"/>
      <c r="F164" s="36"/>
      <c r="G164" s="36"/>
      <c r="H164" s="58">
        <f t="shared" si="3"/>
        <v>0</v>
      </c>
      <c r="K164" s="14"/>
      <c r="L164" s="14"/>
      <c r="M164" s="14"/>
    </row>
    <row r="165" spans="1:13" s="41" customFormat="1" ht="30" customHeight="1" x14ac:dyDescent="0.3">
      <c r="A165" s="63"/>
      <c r="B165" s="75"/>
      <c r="E165" s="36"/>
      <c r="F165" s="36"/>
      <c r="G165" s="36"/>
      <c r="H165" s="58">
        <f t="shared" si="3"/>
        <v>0</v>
      </c>
      <c r="K165" s="14"/>
      <c r="L165" s="14"/>
      <c r="M165" s="14"/>
    </row>
    <row r="166" spans="1:13" s="41" customFormat="1" ht="30" customHeight="1" x14ac:dyDescent="0.3">
      <c r="A166" s="63"/>
      <c r="B166" s="75"/>
      <c r="E166" s="36"/>
      <c r="F166" s="36"/>
      <c r="G166" s="36"/>
      <c r="H166" s="58">
        <f t="shared" si="3"/>
        <v>0</v>
      </c>
      <c r="K166" s="14"/>
      <c r="L166" s="14"/>
      <c r="M166" s="14"/>
    </row>
    <row r="167" spans="1:13" s="41" customFormat="1" ht="30" customHeight="1" x14ac:dyDescent="0.3">
      <c r="A167" s="63"/>
      <c r="B167" s="75"/>
      <c r="E167" s="36"/>
      <c r="F167" s="36"/>
      <c r="G167" s="36"/>
      <c r="H167" s="58">
        <f t="shared" si="3"/>
        <v>0</v>
      </c>
      <c r="K167" s="14"/>
      <c r="L167" s="14"/>
      <c r="M167" s="14"/>
    </row>
    <row r="168" spans="1:13" s="41" customFormat="1" ht="30" customHeight="1" x14ac:dyDescent="0.3">
      <c r="A168" s="63"/>
      <c r="B168" s="75"/>
      <c r="E168" s="36"/>
      <c r="F168" s="36"/>
      <c r="G168" s="36"/>
      <c r="H168" s="58">
        <f t="shared" si="3"/>
        <v>0</v>
      </c>
      <c r="K168" s="14"/>
      <c r="L168" s="14"/>
      <c r="M168" s="14"/>
    </row>
    <row r="169" spans="1:13" s="41" customFormat="1" ht="30" customHeight="1" x14ac:dyDescent="0.3">
      <c r="A169" s="63"/>
      <c r="B169" s="75"/>
      <c r="E169" s="36"/>
      <c r="F169" s="36"/>
      <c r="G169" s="36"/>
      <c r="H169" s="58">
        <f t="shared" si="3"/>
        <v>0</v>
      </c>
      <c r="K169" s="14"/>
      <c r="L169" s="14"/>
      <c r="M169" s="14"/>
    </row>
    <row r="170" spans="1:13" s="41" customFormat="1" ht="30" customHeight="1" x14ac:dyDescent="0.3">
      <c r="A170" s="63"/>
      <c r="B170" s="75"/>
      <c r="E170" s="36"/>
      <c r="F170" s="36"/>
      <c r="G170" s="36"/>
      <c r="H170" s="58">
        <f t="shared" si="3"/>
        <v>0</v>
      </c>
      <c r="K170" s="14"/>
      <c r="L170" s="14"/>
      <c r="M170" s="14"/>
    </row>
    <row r="171" spans="1:13" s="41" customFormat="1" ht="30" customHeight="1" x14ac:dyDescent="0.3">
      <c r="A171" s="63"/>
      <c r="B171" s="75"/>
      <c r="E171" s="36"/>
      <c r="F171" s="36"/>
      <c r="G171" s="36"/>
      <c r="H171" s="58">
        <f t="shared" si="3"/>
        <v>0</v>
      </c>
      <c r="K171" s="14"/>
      <c r="L171" s="14"/>
      <c r="M171" s="14"/>
    </row>
    <row r="172" spans="1:13" s="41" customFormat="1" ht="30" customHeight="1" x14ac:dyDescent="0.3">
      <c r="A172" s="63"/>
      <c r="E172" s="36"/>
      <c r="F172" s="36"/>
      <c r="G172" s="36"/>
      <c r="H172" s="58">
        <f t="shared" si="3"/>
        <v>0</v>
      </c>
      <c r="K172" s="14"/>
      <c r="L172" s="14"/>
      <c r="M172" s="14"/>
    </row>
    <row r="173" spans="1:13" s="41" customFormat="1" ht="30" customHeight="1" x14ac:dyDescent="0.3">
      <c r="A173" s="63"/>
      <c r="E173" s="36"/>
      <c r="F173" s="36"/>
      <c r="G173" s="36"/>
      <c r="H173" s="58">
        <f t="shared" si="3"/>
        <v>0</v>
      </c>
      <c r="K173" s="14"/>
      <c r="L173" s="14"/>
      <c r="M173" s="14"/>
    </row>
    <row r="174" spans="1:13" s="41" customFormat="1" ht="30" customHeight="1" x14ac:dyDescent="0.3">
      <c r="A174" s="63"/>
      <c r="E174" s="36"/>
      <c r="F174" s="36"/>
      <c r="G174" s="36"/>
      <c r="H174" s="58">
        <f t="shared" si="3"/>
        <v>0</v>
      </c>
      <c r="K174" s="14"/>
      <c r="L174" s="14"/>
      <c r="M174" s="14"/>
    </row>
    <row r="175" spans="1:13" s="41" customFormat="1" ht="30" customHeight="1" x14ac:dyDescent="0.3">
      <c r="A175" s="63"/>
      <c r="E175" s="36"/>
      <c r="F175" s="36"/>
      <c r="G175" s="36"/>
      <c r="H175" s="58">
        <f t="shared" si="3"/>
        <v>0</v>
      </c>
      <c r="K175" s="14"/>
      <c r="L175" s="14"/>
      <c r="M175" s="14"/>
    </row>
    <row r="176" spans="1:13" s="41" customFormat="1" ht="30" customHeight="1" x14ac:dyDescent="0.3">
      <c r="A176" s="63"/>
      <c r="E176" s="36"/>
      <c r="F176" s="36"/>
      <c r="G176" s="36"/>
      <c r="H176" s="58">
        <f t="shared" si="3"/>
        <v>0</v>
      </c>
      <c r="K176" s="14"/>
      <c r="L176" s="14"/>
      <c r="M176" s="14"/>
    </row>
    <row r="177" spans="1:13" s="41" customFormat="1" ht="30" customHeight="1" x14ac:dyDescent="0.3">
      <c r="A177" s="63"/>
      <c r="E177" s="36"/>
      <c r="F177" s="36"/>
      <c r="G177" s="36"/>
      <c r="H177" s="58">
        <f t="shared" si="3"/>
        <v>0</v>
      </c>
      <c r="K177" s="14"/>
      <c r="L177" s="14"/>
      <c r="M177" s="14"/>
    </row>
    <row r="178" spans="1:13" s="41" customFormat="1" ht="30" customHeight="1" x14ac:dyDescent="0.3">
      <c r="A178" s="63"/>
      <c r="E178" s="36"/>
      <c r="F178" s="36"/>
      <c r="G178" s="36"/>
      <c r="H178" s="58">
        <f t="shared" si="3"/>
        <v>0</v>
      </c>
      <c r="K178" s="14"/>
      <c r="L178" s="14"/>
      <c r="M178" s="14"/>
    </row>
    <row r="179" spans="1:13" s="41" customFormat="1" ht="30" customHeight="1" x14ac:dyDescent="0.3">
      <c r="A179" s="63"/>
      <c r="E179" s="36"/>
      <c r="F179" s="36"/>
      <c r="G179" s="36"/>
      <c r="H179" s="58">
        <f t="shared" si="3"/>
        <v>0</v>
      </c>
      <c r="K179" s="14"/>
      <c r="L179" s="14"/>
      <c r="M179" s="14"/>
    </row>
    <row r="180" spans="1:13" s="41" customFormat="1" ht="30" customHeight="1" x14ac:dyDescent="0.3">
      <c r="A180" s="63"/>
      <c r="E180" s="36"/>
      <c r="F180" s="36"/>
      <c r="G180" s="36"/>
      <c r="H180" s="58">
        <f t="shared" si="3"/>
        <v>0</v>
      </c>
      <c r="K180" s="14"/>
      <c r="L180" s="14"/>
      <c r="M180" s="14"/>
    </row>
    <row r="181" spans="1:13" s="41" customFormat="1" ht="30" customHeight="1" x14ac:dyDescent="0.3">
      <c r="A181" s="63"/>
      <c r="E181" s="36"/>
      <c r="F181" s="36"/>
      <c r="G181" s="36"/>
      <c r="H181" s="58">
        <f t="shared" si="3"/>
        <v>0</v>
      </c>
      <c r="K181" s="14"/>
      <c r="L181" s="14"/>
      <c r="M181" s="14"/>
    </row>
    <row r="182" spans="1:13" s="41" customFormat="1" ht="30" customHeight="1" x14ac:dyDescent="0.3">
      <c r="A182" s="63"/>
      <c r="E182" s="36"/>
      <c r="F182" s="36"/>
      <c r="G182" s="36"/>
      <c r="H182" s="58">
        <f t="shared" si="3"/>
        <v>0</v>
      </c>
      <c r="K182" s="14"/>
      <c r="L182" s="14"/>
      <c r="M182" s="14"/>
    </row>
    <row r="183" spans="1:13" s="41" customFormat="1" ht="30" customHeight="1" x14ac:dyDescent="0.3">
      <c r="A183" s="63"/>
      <c r="E183" s="36"/>
      <c r="F183" s="36"/>
      <c r="G183" s="36"/>
      <c r="H183" s="58">
        <f t="shared" si="3"/>
        <v>0</v>
      </c>
      <c r="K183" s="14"/>
      <c r="L183" s="14"/>
      <c r="M183" s="14"/>
    </row>
    <row r="184" spans="1:13" s="41" customFormat="1" ht="30" customHeight="1" x14ac:dyDescent="0.3">
      <c r="A184" s="63"/>
      <c r="E184" s="36"/>
      <c r="F184" s="36"/>
      <c r="G184" s="36"/>
      <c r="H184" s="58">
        <f t="shared" ref="H184:H247" si="4">H183-G184-F184+E184</f>
        <v>0</v>
      </c>
      <c r="K184" s="14"/>
      <c r="L184" s="14"/>
      <c r="M184" s="14"/>
    </row>
    <row r="185" spans="1:13" s="41" customFormat="1" ht="30" customHeight="1" x14ac:dyDescent="0.3">
      <c r="A185" s="63"/>
      <c r="E185" s="36"/>
      <c r="F185" s="36"/>
      <c r="G185" s="36"/>
      <c r="H185" s="58">
        <f t="shared" si="4"/>
        <v>0</v>
      </c>
      <c r="K185" s="14"/>
      <c r="L185" s="14"/>
      <c r="M185" s="14"/>
    </row>
    <row r="186" spans="1:13" s="41" customFormat="1" ht="30" customHeight="1" x14ac:dyDescent="0.3">
      <c r="A186" s="63"/>
      <c r="E186" s="36"/>
      <c r="F186" s="36"/>
      <c r="G186" s="36"/>
      <c r="H186" s="58">
        <f t="shared" si="4"/>
        <v>0</v>
      </c>
      <c r="K186" s="14"/>
      <c r="L186" s="14"/>
      <c r="M186" s="14"/>
    </row>
    <row r="187" spans="1:13" s="41" customFormat="1" ht="30" customHeight="1" x14ac:dyDescent="0.3">
      <c r="A187" s="63"/>
      <c r="E187" s="36"/>
      <c r="F187" s="36"/>
      <c r="G187" s="36"/>
      <c r="H187" s="58">
        <f t="shared" si="4"/>
        <v>0</v>
      </c>
      <c r="K187" s="14"/>
      <c r="L187" s="14"/>
      <c r="M187" s="14"/>
    </row>
    <row r="188" spans="1:13" s="41" customFormat="1" ht="30" customHeight="1" x14ac:dyDescent="0.3">
      <c r="A188" s="63"/>
      <c r="E188" s="36"/>
      <c r="F188" s="36"/>
      <c r="G188" s="36"/>
      <c r="H188" s="58">
        <f t="shared" si="4"/>
        <v>0</v>
      </c>
      <c r="K188" s="14"/>
      <c r="L188" s="14"/>
      <c r="M188" s="14"/>
    </row>
    <row r="189" spans="1:13" s="41" customFormat="1" ht="30" customHeight="1" x14ac:dyDescent="0.3">
      <c r="A189" s="63"/>
      <c r="E189" s="36"/>
      <c r="F189" s="36"/>
      <c r="G189" s="36"/>
      <c r="H189" s="58">
        <f t="shared" si="4"/>
        <v>0</v>
      </c>
      <c r="K189" s="14"/>
      <c r="L189" s="14"/>
      <c r="M189" s="14"/>
    </row>
    <row r="190" spans="1:13" s="41" customFormat="1" ht="30" customHeight="1" x14ac:dyDescent="0.3">
      <c r="A190" s="63"/>
      <c r="E190" s="36"/>
      <c r="F190" s="36"/>
      <c r="G190" s="36"/>
      <c r="H190" s="58">
        <f t="shared" si="4"/>
        <v>0</v>
      </c>
      <c r="K190" s="14"/>
      <c r="L190" s="14"/>
      <c r="M190" s="14"/>
    </row>
    <row r="191" spans="1:13" s="41" customFormat="1" ht="30" customHeight="1" x14ac:dyDescent="0.3">
      <c r="A191" s="63"/>
      <c r="E191" s="36"/>
      <c r="F191" s="36"/>
      <c r="G191" s="36"/>
      <c r="H191" s="58">
        <f t="shared" si="4"/>
        <v>0</v>
      </c>
      <c r="K191" s="14"/>
      <c r="L191" s="14"/>
      <c r="M191" s="14"/>
    </row>
    <row r="192" spans="1:13" s="41" customFormat="1" ht="30" customHeight="1" x14ac:dyDescent="0.3">
      <c r="A192" s="63"/>
      <c r="E192" s="36"/>
      <c r="F192" s="36"/>
      <c r="G192" s="36"/>
      <c r="H192" s="58">
        <f t="shared" si="4"/>
        <v>0</v>
      </c>
      <c r="K192" s="14"/>
      <c r="L192" s="14"/>
      <c r="M192" s="14"/>
    </row>
    <row r="193" spans="1:13" s="41" customFormat="1" ht="30" customHeight="1" x14ac:dyDescent="0.3">
      <c r="A193" s="63"/>
      <c r="E193" s="36"/>
      <c r="F193" s="36"/>
      <c r="G193" s="36"/>
      <c r="H193" s="58">
        <f t="shared" si="4"/>
        <v>0</v>
      </c>
      <c r="K193" s="14"/>
      <c r="L193" s="14"/>
      <c r="M193" s="14"/>
    </row>
    <row r="194" spans="1:13" s="41" customFormat="1" ht="30" customHeight="1" x14ac:dyDescent="0.3">
      <c r="A194" s="63"/>
      <c r="E194" s="36"/>
      <c r="F194" s="36"/>
      <c r="G194" s="36"/>
      <c r="H194" s="58">
        <f t="shared" si="4"/>
        <v>0</v>
      </c>
      <c r="K194" s="14"/>
      <c r="L194" s="14"/>
      <c r="M194" s="14"/>
    </row>
    <row r="195" spans="1:13" s="41" customFormat="1" ht="30" customHeight="1" x14ac:dyDescent="0.3">
      <c r="A195" s="63"/>
      <c r="E195" s="36"/>
      <c r="F195" s="36"/>
      <c r="G195" s="36"/>
      <c r="H195" s="58">
        <f t="shared" si="4"/>
        <v>0</v>
      </c>
      <c r="K195" s="14"/>
      <c r="L195" s="14"/>
      <c r="M195" s="14"/>
    </row>
    <row r="196" spans="1:13" s="41" customFormat="1" ht="30" customHeight="1" x14ac:dyDescent="0.3">
      <c r="A196" s="63"/>
      <c r="E196" s="36"/>
      <c r="F196" s="36"/>
      <c r="G196" s="36"/>
      <c r="H196" s="58">
        <f t="shared" si="4"/>
        <v>0</v>
      </c>
      <c r="K196" s="14"/>
      <c r="L196" s="14"/>
      <c r="M196" s="14"/>
    </row>
    <row r="197" spans="1:13" s="41" customFormat="1" ht="30" customHeight="1" x14ac:dyDescent="0.3">
      <c r="A197" s="63"/>
      <c r="E197" s="36"/>
      <c r="F197" s="36"/>
      <c r="G197" s="36"/>
      <c r="H197" s="58">
        <f t="shared" si="4"/>
        <v>0</v>
      </c>
      <c r="K197" s="14"/>
      <c r="L197" s="14"/>
      <c r="M197" s="14"/>
    </row>
    <row r="198" spans="1:13" s="41" customFormat="1" ht="30" customHeight="1" x14ac:dyDescent="0.3">
      <c r="A198" s="63"/>
      <c r="E198" s="36"/>
      <c r="F198" s="36"/>
      <c r="G198" s="36"/>
      <c r="H198" s="58">
        <f t="shared" si="4"/>
        <v>0</v>
      </c>
      <c r="K198" s="14"/>
      <c r="L198" s="14"/>
      <c r="M198" s="14"/>
    </row>
    <row r="199" spans="1:13" s="41" customFormat="1" ht="30" customHeight="1" x14ac:dyDescent="0.3">
      <c r="A199" s="63"/>
      <c r="E199" s="36"/>
      <c r="F199" s="36"/>
      <c r="G199" s="36"/>
      <c r="H199" s="58">
        <f t="shared" si="4"/>
        <v>0</v>
      </c>
      <c r="K199" s="14"/>
      <c r="L199" s="14"/>
      <c r="M199" s="14"/>
    </row>
    <row r="200" spans="1:13" s="41" customFormat="1" ht="30" customHeight="1" x14ac:dyDescent="0.3">
      <c r="A200" s="63"/>
      <c r="E200" s="36"/>
      <c r="F200" s="36"/>
      <c r="G200" s="36"/>
      <c r="H200" s="58">
        <f t="shared" si="4"/>
        <v>0</v>
      </c>
      <c r="K200" s="14"/>
      <c r="L200" s="14"/>
      <c r="M200" s="14"/>
    </row>
    <row r="201" spans="1:13" s="41" customFormat="1" ht="30" customHeight="1" x14ac:dyDescent="0.3">
      <c r="A201" s="63"/>
      <c r="E201" s="36"/>
      <c r="F201" s="36"/>
      <c r="G201" s="36"/>
      <c r="H201" s="58">
        <f t="shared" si="4"/>
        <v>0</v>
      </c>
      <c r="K201" s="14"/>
      <c r="L201" s="14"/>
      <c r="M201" s="14"/>
    </row>
    <row r="202" spans="1:13" s="41" customFormat="1" ht="30" customHeight="1" x14ac:dyDescent="0.3">
      <c r="A202" s="63"/>
      <c r="E202" s="36"/>
      <c r="F202" s="36"/>
      <c r="G202" s="36"/>
      <c r="H202" s="58">
        <f t="shared" si="4"/>
        <v>0</v>
      </c>
      <c r="K202" s="14"/>
      <c r="L202" s="14"/>
      <c r="M202" s="14"/>
    </row>
    <row r="203" spans="1:13" s="41" customFormat="1" ht="30" customHeight="1" x14ac:dyDescent="0.3">
      <c r="A203" s="63"/>
      <c r="E203" s="36"/>
      <c r="F203" s="36"/>
      <c r="G203" s="36"/>
      <c r="H203" s="58">
        <f t="shared" si="4"/>
        <v>0</v>
      </c>
      <c r="K203" s="14"/>
      <c r="L203" s="14"/>
      <c r="M203" s="14"/>
    </row>
    <row r="204" spans="1:13" s="41" customFormat="1" ht="30" customHeight="1" x14ac:dyDescent="0.3">
      <c r="A204" s="63"/>
      <c r="E204" s="36"/>
      <c r="F204" s="36"/>
      <c r="G204" s="36"/>
      <c r="H204" s="58">
        <f t="shared" si="4"/>
        <v>0</v>
      </c>
      <c r="K204" s="14"/>
      <c r="L204" s="14"/>
      <c r="M204" s="14"/>
    </row>
    <row r="205" spans="1:13" s="41" customFormat="1" ht="30" customHeight="1" x14ac:dyDescent="0.3">
      <c r="A205" s="63"/>
      <c r="E205" s="36"/>
      <c r="F205" s="36"/>
      <c r="G205" s="36"/>
      <c r="H205" s="58">
        <f t="shared" si="4"/>
        <v>0</v>
      </c>
      <c r="K205" s="14"/>
      <c r="L205" s="14"/>
      <c r="M205" s="14"/>
    </row>
    <row r="206" spans="1:13" s="41" customFormat="1" ht="30" customHeight="1" x14ac:dyDescent="0.3">
      <c r="A206" s="63"/>
      <c r="E206" s="36"/>
      <c r="F206" s="36"/>
      <c r="G206" s="36"/>
      <c r="H206" s="58">
        <f t="shared" si="4"/>
        <v>0</v>
      </c>
      <c r="K206" s="14"/>
      <c r="L206" s="14"/>
      <c r="M206" s="14"/>
    </row>
    <row r="207" spans="1:13" s="41" customFormat="1" ht="30" customHeight="1" x14ac:dyDescent="0.3">
      <c r="A207" s="63"/>
      <c r="E207" s="36"/>
      <c r="F207" s="36"/>
      <c r="G207" s="36"/>
      <c r="H207" s="58">
        <f t="shared" si="4"/>
        <v>0</v>
      </c>
      <c r="K207" s="14"/>
      <c r="L207" s="14"/>
      <c r="M207" s="14"/>
    </row>
    <row r="208" spans="1:13" s="41" customFormat="1" ht="30" customHeight="1" x14ac:dyDescent="0.3">
      <c r="A208" s="63"/>
      <c r="E208" s="36"/>
      <c r="F208" s="36"/>
      <c r="G208" s="36"/>
      <c r="H208" s="58">
        <f t="shared" si="4"/>
        <v>0</v>
      </c>
      <c r="K208" s="14"/>
      <c r="L208" s="14"/>
      <c r="M208" s="14"/>
    </row>
    <row r="209" spans="1:13" s="41" customFormat="1" ht="30" customHeight="1" x14ac:dyDescent="0.3">
      <c r="A209" s="63"/>
      <c r="E209" s="36"/>
      <c r="F209" s="36"/>
      <c r="G209" s="36"/>
      <c r="H209" s="58">
        <f t="shared" si="4"/>
        <v>0</v>
      </c>
      <c r="K209" s="14"/>
      <c r="L209" s="14"/>
      <c r="M209" s="14"/>
    </row>
    <row r="210" spans="1:13" s="41" customFormat="1" ht="30" customHeight="1" x14ac:dyDescent="0.3">
      <c r="A210" s="63"/>
      <c r="E210" s="36"/>
      <c r="F210" s="36"/>
      <c r="G210" s="36"/>
      <c r="H210" s="58">
        <f t="shared" si="4"/>
        <v>0</v>
      </c>
      <c r="K210" s="14"/>
      <c r="L210" s="14"/>
      <c r="M210" s="14"/>
    </row>
    <row r="211" spans="1:13" s="41" customFormat="1" ht="30" customHeight="1" x14ac:dyDescent="0.3">
      <c r="A211" s="63"/>
      <c r="E211" s="36"/>
      <c r="F211" s="36"/>
      <c r="G211" s="36"/>
      <c r="H211" s="58">
        <f t="shared" si="4"/>
        <v>0</v>
      </c>
      <c r="K211" s="14"/>
      <c r="L211" s="14"/>
      <c r="M211" s="14"/>
    </row>
    <row r="212" spans="1:13" s="41" customFormat="1" ht="30" customHeight="1" x14ac:dyDescent="0.3">
      <c r="A212" s="63"/>
      <c r="E212" s="36"/>
      <c r="F212" s="36"/>
      <c r="G212" s="36"/>
      <c r="H212" s="58">
        <f t="shared" si="4"/>
        <v>0</v>
      </c>
      <c r="K212" s="14"/>
      <c r="L212" s="14"/>
      <c r="M212" s="14"/>
    </row>
    <row r="213" spans="1:13" s="41" customFormat="1" ht="30" customHeight="1" x14ac:dyDescent="0.3">
      <c r="A213" s="63"/>
      <c r="E213" s="36"/>
      <c r="F213" s="36"/>
      <c r="G213" s="36"/>
      <c r="H213" s="58">
        <f t="shared" si="4"/>
        <v>0</v>
      </c>
      <c r="K213" s="14"/>
      <c r="L213" s="14"/>
      <c r="M213" s="14"/>
    </row>
    <row r="214" spans="1:13" s="41" customFormat="1" ht="30" customHeight="1" x14ac:dyDescent="0.3">
      <c r="A214" s="63"/>
      <c r="E214" s="36"/>
      <c r="F214" s="36"/>
      <c r="G214" s="36"/>
      <c r="H214" s="58">
        <f t="shared" si="4"/>
        <v>0</v>
      </c>
      <c r="K214" s="14"/>
      <c r="L214" s="14"/>
      <c r="M214" s="14"/>
    </row>
    <row r="215" spans="1:13" s="41" customFormat="1" ht="30" customHeight="1" x14ac:dyDescent="0.3">
      <c r="A215" s="63"/>
      <c r="E215" s="36"/>
      <c r="F215" s="36"/>
      <c r="G215" s="36"/>
      <c r="H215" s="58">
        <f t="shared" si="4"/>
        <v>0</v>
      </c>
      <c r="K215" s="14"/>
      <c r="L215" s="14"/>
      <c r="M215" s="14"/>
    </row>
    <row r="216" spans="1:13" s="41" customFormat="1" ht="30" customHeight="1" x14ac:dyDescent="0.3">
      <c r="A216" s="63"/>
      <c r="E216" s="36"/>
      <c r="F216" s="36"/>
      <c r="G216" s="36"/>
      <c r="H216" s="58">
        <f t="shared" si="4"/>
        <v>0</v>
      </c>
      <c r="K216" s="14"/>
      <c r="L216" s="14"/>
      <c r="M216" s="14"/>
    </row>
    <row r="217" spans="1:13" s="41" customFormat="1" ht="30" customHeight="1" x14ac:dyDescent="0.3">
      <c r="A217" s="63"/>
      <c r="E217" s="36"/>
      <c r="F217" s="36"/>
      <c r="G217" s="36"/>
      <c r="H217" s="58">
        <f t="shared" si="4"/>
        <v>0</v>
      </c>
      <c r="K217" s="14"/>
      <c r="L217" s="14"/>
      <c r="M217" s="14"/>
    </row>
    <row r="218" spans="1:13" s="41" customFormat="1" ht="30" customHeight="1" x14ac:dyDescent="0.3">
      <c r="A218" s="63"/>
      <c r="E218" s="36"/>
      <c r="F218" s="36"/>
      <c r="G218" s="36"/>
      <c r="H218" s="58">
        <f t="shared" si="4"/>
        <v>0</v>
      </c>
      <c r="K218" s="14"/>
      <c r="L218" s="14"/>
      <c r="M218" s="14"/>
    </row>
    <row r="219" spans="1:13" s="41" customFormat="1" ht="30" customHeight="1" x14ac:dyDescent="0.3">
      <c r="A219" s="63"/>
      <c r="E219" s="36"/>
      <c r="F219" s="36"/>
      <c r="G219" s="36"/>
      <c r="H219" s="58">
        <f t="shared" si="4"/>
        <v>0</v>
      </c>
      <c r="K219" s="14"/>
      <c r="L219" s="14"/>
      <c r="M219" s="14"/>
    </row>
    <row r="220" spans="1:13" s="41" customFormat="1" ht="30" customHeight="1" x14ac:dyDescent="0.3">
      <c r="A220" s="63"/>
      <c r="E220" s="36"/>
      <c r="F220" s="36"/>
      <c r="G220" s="36"/>
      <c r="H220" s="58">
        <f t="shared" si="4"/>
        <v>0</v>
      </c>
      <c r="K220" s="14"/>
      <c r="L220" s="14"/>
      <c r="M220" s="14"/>
    </row>
    <row r="221" spans="1:13" s="41" customFormat="1" ht="30" customHeight="1" x14ac:dyDescent="0.3">
      <c r="A221" s="63"/>
      <c r="E221" s="36"/>
      <c r="F221" s="36"/>
      <c r="G221" s="36"/>
      <c r="H221" s="58">
        <f t="shared" si="4"/>
        <v>0</v>
      </c>
      <c r="K221" s="14"/>
      <c r="L221" s="14"/>
      <c r="M221" s="14"/>
    </row>
    <row r="222" spans="1:13" s="41" customFormat="1" ht="30" customHeight="1" x14ac:dyDescent="0.3">
      <c r="A222" s="63"/>
      <c r="E222" s="36"/>
      <c r="F222" s="36"/>
      <c r="G222" s="36"/>
      <c r="H222" s="58">
        <f t="shared" si="4"/>
        <v>0</v>
      </c>
      <c r="K222" s="14"/>
      <c r="L222" s="14"/>
      <c r="M222" s="14"/>
    </row>
    <row r="223" spans="1:13" s="41" customFormat="1" ht="30" customHeight="1" x14ac:dyDescent="0.3">
      <c r="A223" s="63"/>
      <c r="E223" s="36"/>
      <c r="F223" s="36"/>
      <c r="G223" s="36"/>
      <c r="H223" s="58">
        <f t="shared" si="4"/>
        <v>0</v>
      </c>
      <c r="K223" s="14"/>
      <c r="L223" s="14"/>
      <c r="M223" s="14"/>
    </row>
    <row r="224" spans="1:13" s="41" customFormat="1" ht="30" customHeight="1" x14ac:dyDescent="0.3">
      <c r="A224" s="63"/>
      <c r="E224" s="36"/>
      <c r="F224" s="36"/>
      <c r="G224" s="36"/>
      <c r="H224" s="58">
        <f t="shared" si="4"/>
        <v>0</v>
      </c>
      <c r="K224" s="14"/>
      <c r="L224" s="14"/>
      <c r="M224" s="14"/>
    </row>
    <row r="225" spans="1:13" s="41" customFormat="1" ht="30" customHeight="1" x14ac:dyDescent="0.3">
      <c r="A225" s="63"/>
      <c r="E225" s="36"/>
      <c r="F225" s="36"/>
      <c r="G225" s="36"/>
      <c r="H225" s="58">
        <f t="shared" si="4"/>
        <v>0</v>
      </c>
      <c r="K225" s="14"/>
      <c r="L225" s="14"/>
      <c r="M225" s="14"/>
    </row>
    <row r="226" spans="1:13" s="41" customFormat="1" ht="30" customHeight="1" x14ac:dyDescent="0.3">
      <c r="A226" s="63"/>
      <c r="E226" s="36"/>
      <c r="F226" s="36"/>
      <c r="G226" s="36"/>
      <c r="H226" s="58">
        <f t="shared" si="4"/>
        <v>0</v>
      </c>
      <c r="K226" s="14"/>
      <c r="L226" s="14"/>
      <c r="M226" s="14"/>
    </row>
    <row r="227" spans="1:13" s="41" customFormat="1" ht="30" customHeight="1" x14ac:dyDescent="0.3">
      <c r="A227" s="63"/>
      <c r="E227" s="36"/>
      <c r="F227" s="36"/>
      <c r="G227" s="36"/>
      <c r="H227" s="58">
        <f t="shared" si="4"/>
        <v>0</v>
      </c>
      <c r="K227" s="14"/>
      <c r="L227" s="14"/>
      <c r="M227" s="14"/>
    </row>
    <row r="228" spans="1:13" s="41" customFormat="1" ht="30" customHeight="1" x14ac:dyDescent="0.3">
      <c r="A228" s="63"/>
      <c r="E228" s="36"/>
      <c r="F228" s="36"/>
      <c r="G228" s="36"/>
      <c r="H228" s="58">
        <f t="shared" si="4"/>
        <v>0</v>
      </c>
      <c r="K228" s="14"/>
      <c r="L228" s="14"/>
      <c r="M228" s="14"/>
    </row>
    <row r="229" spans="1:13" s="41" customFormat="1" ht="30" customHeight="1" x14ac:dyDescent="0.3">
      <c r="A229" s="63"/>
      <c r="E229" s="36"/>
      <c r="F229" s="36"/>
      <c r="G229" s="36"/>
      <c r="H229" s="58">
        <f t="shared" si="4"/>
        <v>0</v>
      </c>
      <c r="K229" s="14"/>
      <c r="L229" s="14"/>
      <c r="M229" s="14"/>
    </row>
    <row r="230" spans="1:13" s="41" customFormat="1" ht="30" customHeight="1" x14ac:dyDescent="0.3">
      <c r="A230" s="63"/>
      <c r="E230" s="36"/>
      <c r="F230" s="36"/>
      <c r="G230" s="36"/>
      <c r="H230" s="58">
        <f t="shared" si="4"/>
        <v>0</v>
      </c>
      <c r="K230" s="14"/>
      <c r="L230" s="14"/>
      <c r="M230" s="14"/>
    </row>
    <row r="231" spans="1:13" s="41" customFormat="1" ht="30" customHeight="1" x14ac:dyDescent="0.3">
      <c r="A231" s="63"/>
      <c r="E231" s="36"/>
      <c r="F231" s="36"/>
      <c r="G231" s="36"/>
      <c r="H231" s="58">
        <f t="shared" si="4"/>
        <v>0</v>
      </c>
      <c r="K231" s="14"/>
      <c r="L231" s="14"/>
      <c r="M231" s="14"/>
    </row>
    <row r="232" spans="1:13" s="41" customFormat="1" ht="30" customHeight="1" x14ac:dyDescent="0.3">
      <c r="A232" s="63"/>
      <c r="E232" s="36"/>
      <c r="F232" s="36"/>
      <c r="G232" s="36"/>
      <c r="H232" s="58">
        <f t="shared" si="4"/>
        <v>0</v>
      </c>
      <c r="K232" s="14"/>
      <c r="L232" s="14"/>
      <c r="M232" s="14"/>
    </row>
    <row r="233" spans="1:13" s="41" customFormat="1" ht="30" customHeight="1" x14ac:dyDescent="0.3">
      <c r="A233" s="63"/>
      <c r="E233" s="36"/>
      <c r="F233" s="36"/>
      <c r="G233" s="36"/>
      <c r="H233" s="58">
        <f t="shared" si="4"/>
        <v>0</v>
      </c>
      <c r="K233" s="14"/>
      <c r="L233" s="14"/>
      <c r="M233" s="14"/>
    </row>
    <row r="234" spans="1:13" s="41" customFormat="1" ht="30" customHeight="1" x14ac:dyDescent="0.3">
      <c r="A234" s="63"/>
      <c r="E234" s="36"/>
      <c r="F234" s="36"/>
      <c r="G234" s="36"/>
      <c r="H234" s="58">
        <f t="shared" si="4"/>
        <v>0</v>
      </c>
      <c r="K234" s="14"/>
      <c r="L234" s="14"/>
      <c r="M234" s="14"/>
    </row>
    <row r="235" spans="1:13" s="41" customFormat="1" ht="30" customHeight="1" x14ac:dyDescent="0.3">
      <c r="A235" s="63"/>
      <c r="E235" s="36"/>
      <c r="F235" s="36"/>
      <c r="G235" s="36"/>
      <c r="H235" s="58">
        <f t="shared" si="4"/>
        <v>0</v>
      </c>
      <c r="K235" s="14"/>
      <c r="L235" s="14"/>
      <c r="M235" s="14"/>
    </row>
    <row r="236" spans="1:13" s="41" customFormat="1" ht="30" customHeight="1" x14ac:dyDescent="0.3">
      <c r="A236" s="63"/>
      <c r="E236" s="36"/>
      <c r="F236" s="36"/>
      <c r="G236" s="36"/>
      <c r="H236" s="58">
        <f t="shared" si="4"/>
        <v>0</v>
      </c>
      <c r="K236" s="14"/>
      <c r="L236" s="14"/>
      <c r="M236" s="14"/>
    </row>
    <row r="237" spans="1:13" s="41" customFormat="1" ht="30" customHeight="1" x14ac:dyDescent="0.3">
      <c r="A237" s="63"/>
      <c r="E237" s="36"/>
      <c r="F237" s="36"/>
      <c r="G237" s="36"/>
      <c r="H237" s="58">
        <f t="shared" si="4"/>
        <v>0</v>
      </c>
      <c r="K237" s="14"/>
      <c r="L237" s="14"/>
      <c r="M237" s="14"/>
    </row>
    <row r="238" spans="1:13" s="41" customFormat="1" ht="30" customHeight="1" x14ac:dyDescent="0.3">
      <c r="A238" s="63"/>
      <c r="E238" s="36"/>
      <c r="F238" s="36"/>
      <c r="G238" s="36"/>
      <c r="H238" s="58">
        <f t="shared" si="4"/>
        <v>0</v>
      </c>
      <c r="K238" s="14"/>
      <c r="L238" s="14"/>
      <c r="M238" s="14"/>
    </row>
    <row r="239" spans="1:13" s="41" customFormat="1" ht="30" customHeight="1" x14ac:dyDescent="0.3">
      <c r="A239" s="63"/>
      <c r="E239" s="36"/>
      <c r="F239" s="36"/>
      <c r="G239" s="36"/>
      <c r="H239" s="58">
        <f t="shared" si="4"/>
        <v>0</v>
      </c>
      <c r="K239" s="14"/>
      <c r="L239" s="14"/>
      <c r="M239" s="14"/>
    </row>
    <row r="240" spans="1:13" s="41" customFormat="1" ht="30" customHeight="1" x14ac:dyDescent="0.3">
      <c r="A240" s="63"/>
      <c r="E240" s="36"/>
      <c r="F240" s="36"/>
      <c r="G240" s="36"/>
      <c r="H240" s="58">
        <f t="shared" si="4"/>
        <v>0</v>
      </c>
      <c r="K240" s="14"/>
      <c r="L240" s="14"/>
      <c r="M240" s="14"/>
    </row>
    <row r="241" spans="1:13" s="41" customFormat="1" ht="30" customHeight="1" x14ac:dyDescent="0.3">
      <c r="A241" s="63"/>
      <c r="E241" s="36"/>
      <c r="F241" s="36"/>
      <c r="G241" s="36"/>
      <c r="H241" s="58">
        <f t="shared" si="4"/>
        <v>0</v>
      </c>
      <c r="K241" s="14"/>
      <c r="L241" s="14"/>
      <c r="M241" s="14"/>
    </row>
    <row r="242" spans="1:13" s="41" customFormat="1" ht="30" customHeight="1" x14ac:dyDescent="0.3">
      <c r="A242" s="63"/>
      <c r="E242" s="36"/>
      <c r="F242" s="36"/>
      <c r="G242" s="36"/>
      <c r="H242" s="58">
        <f t="shared" si="4"/>
        <v>0</v>
      </c>
      <c r="K242" s="14"/>
      <c r="L242" s="14"/>
      <c r="M242" s="14"/>
    </row>
    <row r="243" spans="1:13" s="41" customFormat="1" ht="30" customHeight="1" x14ac:dyDescent="0.3">
      <c r="A243" s="63"/>
      <c r="E243" s="36"/>
      <c r="F243" s="36"/>
      <c r="G243" s="36"/>
      <c r="H243" s="58">
        <f t="shared" si="4"/>
        <v>0</v>
      </c>
      <c r="K243" s="14"/>
      <c r="L243" s="14"/>
      <c r="M243" s="14"/>
    </row>
    <row r="244" spans="1:13" s="41" customFormat="1" ht="30" customHeight="1" x14ac:dyDescent="0.3">
      <c r="A244" s="63"/>
      <c r="E244" s="36"/>
      <c r="F244" s="36"/>
      <c r="G244" s="36"/>
      <c r="H244" s="58">
        <f t="shared" si="4"/>
        <v>0</v>
      </c>
      <c r="K244" s="14"/>
      <c r="L244" s="14"/>
      <c r="M244" s="14"/>
    </row>
    <row r="245" spans="1:13" s="41" customFormat="1" ht="30" customHeight="1" x14ac:dyDescent="0.3">
      <c r="A245" s="63"/>
      <c r="E245" s="36"/>
      <c r="F245" s="36"/>
      <c r="G245" s="36"/>
      <c r="H245" s="58">
        <f t="shared" si="4"/>
        <v>0</v>
      </c>
      <c r="K245" s="14"/>
      <c r="L245" s="14"/>
      <c r="M245" s="14"/>
    </row>
    <row r="246" spans="1:13" s="41" customFormat="1" ht="30" customHeight="1" x14ac:dyDescent="0.3">
      <c r="A246" s="63"/>
      <c r="E246" s="36"/>
      <c r="F246" s="36"/>
      <c r="G246" s="36"/>
      <c r="H246" s="58">
        <f t="shared" si="4"/>
        <v>0</v>
      </c>
      <c r="K246" s="14"/>
      <c r="L246" s="14"/>
      <c r="M246" s="14"/>
    </row>
    <row r="247" spans="1:13" s="41" customFormat="1" ht="30" customHeight="1" x14ac:dyDescent="0.3">
      <c r="A247" s="63"/>
      <c r="E247" s="36"/>
      <c r="F247" s="36"/>
      <c r="G247" s="36"/>
      <c r="H247" s="58">
        <f t="shared" si="4"/>
        <v>0</v>
      </c>
      <c r="K247" s="14"/>
      <c r="L247" s="14"/>
      <c r="M247" s="14"/>
    </row>
    <row r="248" spans="1:13" s="41" customFormat="1" ht="30" customHeight="1" x14ac:dyDescent="0.3">
      <c r="A248" s="63"/>
      <c r="E248" s="36"/>
      <c r="F248" s="36"/>
      <c r="G248" s="36"/>
      <c r="H248" s="58">
        <f t="shared" ref="H248:H311" si="5">H247-G248-F248+E248</f>
        <v>0</v>
      </c>
      <c r="K248" s="14"/>
      <c r="L248" s="14"/>
      <c r="M248" s="14"/>
    </row>
    <row r="249" spans="1:13" s="41" customFormat="1" ht="30" customHeight="1" x14ac:dyDescent="0.3">
      <c r="A249" s="63"/>
      <c r="E249" s="36"/>
      <c r="F249" s="36"/>
      <c r="G249" s="36"/>
      <c r="H249" s="58">
        <f t="shared" si="5"/>
        <v>0</v>
      </c>
      <c r="K249" s="14"/>
      <c r="L249" s="14"/>
      <c r="M249" s="14"/>
    </row>
    <row r="250" spans="1:13" s="41" customFormat="1" ht="30" customHeight="1" x14ac:dyDescent="0.3">
      <c r="A250" s="63"/>
      <c r="E250" s="36"/>
      <c r="F250" s="36"/>
      <c r="G250" s="36"/>
      <c r="H250" s="58">
        <f t="shared" si="5"/>
        <v>0</v>
      </c>
      <c r="K250" s="14"/>
      <c r="L250" s="14"/>
      <c r="M250" s="14"/>
    </row>
    <row r="251" spans="1:13" s="41" customFormat="1" ht="30" customHeight="1" x14ac:dyDescent="0.3">
      <c r="A251" s="63"/>
      <c r="E251" s="36"/>
      <c r="F251" s="36"/>
      <c r="G251" s="36"/>
      <c r="H251" s="58">
        <f t="shared" si="5"/>
        <v>0</v>
      </c>
      <c r="K251" s="14"/>
      <c r="L251" s="14"/>
      <c r="M251" s="14"/>
    </row>
    <row r="252" spans="1:13" s="41" customFormat="1" ht="30" customHeight="1" x14ac:dyDescent="0.3">
      <c r="A252" s="63"/>
      <c r="E252" s="36"/>
      <c r="F252" s="36"/>
      <c r="G252" s="36"/>
      <c r="H252" s="58">
        <f t="shared" si="5"/>
        <v>0</v>
      </c>
      <c r="K252" s="14"/>
      <c r="L252" s="14"/>
      <c r="M252" s="14"/>
    </row>
    <row r="253" spans="1:13" s="41" customFormat="1" ht="30" customHeight="1" x14ac:dyDescent="0.3">
      <c r="A253" s="63"/>
      <c r="E253" s="36"/>
      <c r="F253" s="36"/>
      <c r="G253" s="36"/>
      <c r="H253" s="58">
        <f t="shared" si="5"/>
        <v>0</v>
      </c>
      <c r="K253" s="14"/>
      <c r="L253" s="14"/>
      <c r="M253" s="14"/>
    </row>
    <row r="254" spans="1:13" s="41" customFormat="1" ht="30" customHeight="1" x14ac:dyDescent="0.3">
      <c r="A254" s="63"/>
      <c r="E254" s="36"/>
      <c r="F254" s="36"/>
      <c r="G254" s="36"/>
      <c r="H254" s="58">
        <f t="shared" si="5"/>
        <v>0</v>
      </c>
      <c r="K254" s="14"/>
      <c r="L254" s="14"/>
      <c r="M254" s="14"/>
    </row>
    <row r="255" spans="1:13" s="41" customFormat="1" ht="30" customHeight="1" x14ac:dyDescent="0.3">
      <c r="A255" s="63"/>
      <c r="E255" s="36"/>
      <c r="F255" s="36"/>
      <c r="G255" s="36"/>
      <c r="H255" s="58">
        <f t="shared" si="5"/>
        <v>0</v>
      </c>
      <c r="K255" s="14"/>
      <c r="L255" s="14"/>
      <c r="M255" s="14"/>
    </row>
    <row r="256" spans="1:13" s="41" customFormat="1" ht="30" customHeight="1" x14ac:dyDescent="0.3">
      <c r="A256" s="63"/>
      <c r="E256" s="36"/>
      <c r="F256" s="36"/>
      <c r="G256" s="36"/>
      <c r="H256" s="58">
        <f t="shared" si="5"/>
        <v>0</v>
      </c>
      <c r="K256" s="14"/>
      <c r="L256" s="14"/>
      <c r="M256" s="14"/>
    </row>
    <row r="257" spans="1:13" s="41" customFormat="1" ht="30" customHeight="1" x14ac:dyDescent="0.3">
      <c r="A257" s="63"/>
      <c r="E257" s="36"/>
      <c r="F257" s="36"/>
      <c r="G257" s="36"/>
      <c r="H257" s="58">
        <f t="shared" si="5"/>
        <v>0</v>
      </c>
      <c r="K257" s="14"/>
      <c r="L257" s="14"/>
      <c r="M257" s="14"/>
    </row>
    <row r="258" spans="1:13" s="41" customFormat="1" ht="30" customHeight="1" x14ac:dyDescent="0.3">
      <c r="A258" s="63"/>
      <c r="E258" s="36"/>
      <c r="F258" s="36"/>
      <c r="G258" s="36"/>
      <c r="H258" s="58">
        <f t="shared" si="5"/>
        <v>0</v>
      </c>
      <c r="K258" s="14"/>
      <c r="L258" s="14"/>
      <c r="M258" s="14"/>
    </row>
    <row r="259" spans="1:13" s="41" customFormat="1" ht="30" customHeight="1" x14ac:dyDescent="0.3">
      <c r="A259" s="63"/>
      <c r="E259" s="36"/>
      <c r="F259" s="36"/>
      <c r="G259" s="36"/>
      <c r="H259" s="58">
        <f t="shared" si="5"/>
        <v>0</v>
      </c>
      <c r="K259" s="14"/>
      <c r="L259" s="14"/>
      <c r="M259" s="14"/>
    </row>
    <row r="260" spans="1:13" s="41" customFormat="1" ht="30" customHeight="1" x14ac:dyDescent="0.3">
      <c r="A260" s="63"/>
      <c r="E260" s="36"/>
      <c r="F260" s="36"/>
      <c r="G260" s="36"/>
      <c r="H260" s="58">
        <f t="shared" si="5"/>
        <v>0</v>
      </c>
      <c r="K260" s="14"/>
      <c r="L260" s="14"/>
      <c r="M260" s="14"/>
    </row>
    <row r="261" spans="1:13" s="41" customFormat="1" ht="30" customHeight="1" x14ac:dyDescent="0.3">
      <c r="A261" s="63"/>
      <c r="E261" s="36"/>
      <c r="F261" s="36"/>
      <c r="G261" s="36"/>
      <c r="H261" s="58">
        <f t="shared" si="5"/>
        <v>0</v>
      </c>
      <c r="K261" s="14"/>
      <c r="L261" s="14"/>
      <c r="M261" s="14"/>
    </row>
    <row r="262" spans="1:13" s="41" customFormat="1" ht="30" customHeight="1" x14ac:dyDescent="0.3">
      <c r="A262" s="63"/>
      <c r="E262" s="36"/>
      <c r="F262" s="36"/>
      <c r="G262" s="36"/>
      <c r="H262" s="58">
        <f t="shared" si="5"/>
        <v>0</v>
      </c>
      <c r="K262" s="14"/>
      <c r="L262" s="14"/>
      <c r="M262" s="14"/>
    </row>
    <row r="263" spans="1:13" s="41" customFormat="1" ht="30" customHeight="1" x14ac:dyDescent="0.3">
      <c r="A263" s="63"/>
      <c r="E263" s="36"/>
      <c r="F263" s="36"/>
      <c r="G263" s="36"/>
      <c r="H263" s="58">
        <f t="shared" si="5"/>
        <v>0</v>
      </c>
      <c r="K263" s="14"/>
      <c r="L263" s="14"/>
      <c r="M263" s="14"/>
    </row>
    <row r="264" spans="1:13" s="41" customFormat="1" ht="30" customHeight="1" x14ac:dyDescent="0.3">
      <c r="A264" s="63"/>
      <c r="E264" s="36"/>
      <c r="F264" s="36"/>
      <c r="G264" s="36"/>
      <c r="H264" s="58">
        <f t="shared" si="5"/>
        <v>0</v>
      </c>
      <c r="K264" s="14"/>
      <c r="L264" s="14"/>
      <c r="M264" s="14"/>
    </row>
    <row r="265" spans="1:13" s="41" customFormat="1" ht="30" customHeight="1" x14ac:dyDescent="0.3">
      <c r="A265" s="63"/>
      <c r="E265" s="36"/>
      <c r="F265" s="36"/>
      <c r="G265" s="36"/>
      <c r="H265" s="58">
        <f t="shared" si="5"/>
        <v>0</v>
      </c>
      <c r="K265" s="14"/>
      <c r="L265" s="14"/>
      <c r="M265" s="14"/>
    </row>
    <row r="266" spans="1:13" s="41" customFormat="1" ht="30" customHeight="1" x14ac:dyDescent="0.3">
      <c r="A266" s="63"/>
      <c r="E266" s="36"/>
      <c r="F266" s="36"/>
      <c r="G266" s="36"/>
      <c r="H266" s="58">
        <f t="shared" si="5"/>
        <v>0</v>
      </c>
      <c r="K266" s="14"/>
      <c r="L266" s="14"/>
      <c r="M266" s="14"/>
    </row>
    <row r="267" spans="1:13" s="41" customFormat="1" ht="30" customHeight="1" x14ac:dyDescent="0.3">
      <c r="A267" s="63"/>
      <c r="E267" s="36"/>
      <c r="F267" s="36"/>
      <c r="G267" s="36"/>
      <c r="H267" s="58">
        <f t="shared" si="5"/>
        <v>0</v>
      </c>
      <c r="K267" s="14"/>
      <c r="L267" s="14"/>
      <c r="M267" s="14"/>
    </row>
    <row r="268" spans="1:13" s="41" customFormat="1" ht="30" customHeight="1" x14ac:dyDescent="0.3">
      <c r="A268" s="63"/>
      <c r="E268" s="36"/>
      <c r="F268" s="36"/>
      <c r="G268" s="36"/>
      <c r="H268" s="58">
        <f t="shared" si="5"/>
        <v>0</v>
      </c>
      <c r="K268" s="14"/>
      <c r="L268" s="14"/>
      <c r="M268" s="14"/>
    </row>
    <row r="269" spans="1:13" s="41" customFormat="1" ht="30" customHeight="1" x14ac:dyDescent="0.3">
      <c r="A269" s="63"/>
      <c r="E269" s="36"/>
      <c r="F269" s="36"/>
      <c r="G269" s="36"/>
      <c r="H269" s="58">
        <f t="shared" si="5"/>
        <v>0</v>
      </c>
      <c r="K269" s="14"/>
      <c r="L269" s="14"/>
      <c r="M269" s="14"/>
    </row>
    <row r="270" spans="1:13" s="41" customFormat="1" ht="30" customHeight="1" x14ac:dyDescent="0.3">
      <c r="A270" s="63"/>
      <c r="E270" s="36"/>
      <c r="F270" s="36"/>
      <c r="G270" s="36"/>
      <c r="H270" s="58">
        <f t="shared" si="5"/>
        <v>0</v>
      </c>
      <c r="K270" s="14"/>
      <c r="L270" s="14"/>
      <c r="M270" s="14"/>
    </row>
    <row r="271" spans="1:13" s="41" customFormat="1" ht="30" customHeight="1" x14ac:dyDescent="0.3">
      <c r="A271" s="63"/>
      <c r="E271" s="36"/>
      <c r="F271" s="36"/>
      <c r="G271" s="36"/>
      <c r="H271" s="58">
        <f t="shared" si="5"/>
        <v>0</v>
      </c>
      <c r="K271" s="14"/>
      <c r="L271" s="14"/>
      <c r="M271" s="14"/>
    </row>
    <row r="272" spans="1:13" s="41" customFormat="1" ht="30" customHeight="1" x14ac:dyDescent="0.3">
      <c r="A272" s="63"/>
      <c r="E272" s="36"/>
      <c r="F272" s="36"/>
      <c r="G272" s="36"/>
      <c r="H272" s="58">
        <f t="shared" si="5"/>
        <v>0</v>
      </c>
      <c r="K272" s="14"/>
      <c r="L272" s="14"/>
      <c r="M272" s="14"/>
    </row>
    <row r="273" spans="1:13" s="41" customFormat="1" ht="30" customHeight="1" x14ac:dyDescent="0.3">
      <c r="A273" s="63"/>
      <c r="E273" s="36"/>
      <c r="F273" s="36"/>
      <c r="G273" s="36"/>
      <c r="H273" s="58">
        <f t="shared" si="5"/>
        <v>0</v>
      </c>
      <c r="K273" s="14"/>
      <c r="L273" s="14"/>
      <c r="M273" s="14"/>
    </row>
    <row r="274" spans="1:13" s="41" customFormat="1" ht="30" customHeight="1" x14ac:dyDescent="0.3">
      <c r="A274" s="63"/>
      <c r="E274" s="36"/>
      <c r="F274" s="36"/>
      <c r="G274" s="36"/>
      <c r="H274" s="58">
        <f t="shared" si="5"/>
        <v>0</v>
      </c>
      <c r="K274" s="14"/>
      <c r="L274" s="14"/>
      <c r="M274" s="14"/>
    </row>
    <row r="275" spans="1:13" s="41" customFormat="1" ht="30" customHeight="1" x14ac:dyDescent="0.3">
      <c r="A275" s="63"/>
      <c r="E275" s="36"/>
      <c r="F275" s="36"/>
      <c r="G275" s="36"/>
      <c r="H275" s="58">
        <f t="shared" si="5"/>
        <v>0</v>
      </c>
      <c r="K275" s="14"/>
      <c r="L275" s="14"/>
      <c r="M275" s="14"/>
    </row>
    <row r="276" spans="1:13" s="41" customFormat="1" ht="30" customHeight="1" x14ac:dyDescent="0.3">
      <c r="A276" s="63"/>
      <c r="E276" s="36"/>
      <c r="F276" s="36"/>
      <c r="G276" s="36"/>
      <c r="H276" s="58">
        <f t="shared" si="5"/>
        <v>0</v>
      </c>
      <c r="K276" s="14"/>
      <c r="L276" s="14"/>
      <c r="M276" s="14"/>
    </row>
    <row r="277" spans="1:13" s="41" customFormat="1" ht="30" customHeight="1" x14ac:dyDescent="0.3">
      <c r="A277" s="63"/>
      <c r="E277" s="36"/>
      <c r="F277" s="36"/>
      <c r="G277" s="36"/>
      <c r="H277" s="58">
        <f t="shared" si="5"/>
        <v>0</v>
      </c>
      <c r="K277" s="14"/>
      <c r="L277" s="14"/>
      <c r="M277" s="14"/>
    </row>
    <row r="278" spans="1:13" s="41" customFormat="1" ht="30" customHeight="1" x14ac:dyDescent="0.3">
      <c r="A278" s="63"/>
      <c r="E278" s="36"/>
      <c r="F278" s="36"/>
      <c r="G278" s="36"/>
      <c r="H278" s="58">
        <f t="shared" si="5"/>
        <v>0</v>
      </c>
      <c r="K278" s="14"/>
      <c r="L278" s="14"/>
      <c r="M278" s="14"/>
    </row>
    <row r="279" spans="1:13" s="41" customFormat="1" ht="30" customHeight="1" x14ac:dyDescent="0.3">
      <c r="A279" s="63"/>
      <c r="E279" s="36"/>
      <c r="F279" s="36"/>
      <c r="G279" s="36"/>
      <c r="H279" s="58">
        <f t="shared" si="5"/>
        <v>0</v>
      </c>
      <c r="K279" s="14"/>
      <c r="L279" s="14"/>
      <c r="M279" s="14"/>
    </row>
    <row r="280" spans="1:13" s="41" customFormat="1" ht="30" customHeight="1" x14ac:dyDescent="0.3">
      <c r="A280" s="63"/>
      <c r="E280" s="36"/>
      <c r="F280" s="36"/>
      <c r="G280" s="36"/>
      <c r="H280" s="58">
        <f t="shared" si="5"/>
        <v>0</v>
      </c>
      <c r="K280" s="14"/>
      <c r="L280" s="14"/>
      <c r="M280" s="14"/>
    </row>
    <row r="281" spans="1:13" s="41" customFormat="1" ht="30" customHeight="1" x14ac:dyDescent="0.3">
      <c r="A281" s="63"/>
      <c r="E281" s="36"/>
      <c r="F281" s="36"/>
      <c r="G281" s="36"/>
      <c r="H281" s="58">
        <f t="shared" si="5"/>
        <v>0</v>
      </c>
      <c r="K281" s="14"/>
      <c r="L281" s="14"/>
      <c r="M281" s="14"/>
    </row>
    <row r="282" spans="1:13" s="41" customFormat="1" ht="30" customHeight="1" x14ac:dyDescent="0.3">
      <c r="A282" s="63"/>
      <c r="E282" s="36"/>
      <c r="F282" s="36"/>
      <c r="G282" s="36"/>
      <c r="H282" s="58">
        <f t="shared" si="5"/>
        <v>0</v>
      </c>
      <c r="K282" s="14"/>
      <c r="L282" s="14"/>
      <c r="M282" s="14"/>
    </row>
    <row r="283" spans="1:13" s="41" customFormat="1" ht="30" customHeight="1" x14ac:dyDescent="0.3">
      <c r="A283" s="63"/>
      <c r="E283" s="36"/>
      <c r="F283" s="36"/>
      <c r="G283" s="36"/>
      <c r="H283" s="58">
        <f t="shared" si="5"/>
        <v>0</v>
      </c>
      <c r="K283" s="14"/>
      <c r="L283" s="14"/>
      <c r="M283" s="14"/>
    </row>
    <row r="284" spans="1:13" s="41" customFormat="1" ht="30" customHeight="1" x14ac:dyDescent="0.3">
      <c r="A284" s="63"/>
      <c r="E284" s="36"/>
      <c r="F284" s="36"/>
      <c r="G284" s="36"/>
      <c r="H284" s="58">
        <f t="shared" si="5"/>
        <v>0</v>
      </c>
      <c r="K284" s="14"/>
      <c r="L284" s="14"/>
      <c r="M284" s="14"/>
    </row>
    <row r="285" spans="1:13" s="41" customFormat="1" ht="30" customHeight="1" x14ac:dyDescent="0.3">
      <c r="A285" s="63"/>
      <c r="E285" s="36"/>
      <c r="F285" s="36"/>
      <c r="G285" s="36"/>
      <c r="H285" s="58">
        <f t="shared" si="5"/>
        <v>0</v>
      </c>
      <c r="K285" s="14"/>
      <c r="L285" s="14"/>
      <c r="M285" s="14"/>
    </row>
    <row r="286" spans="1:13" s="41" customFormat="1" ht="30" customHeight="1" x14ac:dyDescent="0.3">
      <c r="A286" s="63"/>
      <c r="E286" s="36"/>
      <c r="F286" s="36"/>
      <c r="G286" s="36"/>
      <c r="H286" s="58">
        <f t="shared" si="5"/>
        <v>0</v>
      </c>
      <c r="K286" s="14"/>
      <c r="L286" s="14"/>
      <c r="M286" s="14"/>
    </row>
    <row r="287" spans="1:13" s="41" customFormat="1" ht="30" customHeight="1" x14ac:dyDescent="0.3">
      <c r="A287" s="63"/>
      <c r="E287" s="36"/>
      <c r="F287" s="36"/>
      <c r="G287" s="36"/>
      <c r="H287" s="58">
        <f t="shared" si="5"/>
        <v>0</v>
      </c>
      <c r="K287" s="14"/>
      <c r="L287" s="14"/>
      <c r="M287" s="14"/>
    </row>
    <row r="288" spans="1:13" s="41" customFormat="1" ht="30" customHeight="1" x14ac:dyDescent="0.3">
      <c r="A288" s="63"/>
      <c r="E288" s="36"/>
      <c r="F288" s="36"/>
      <c r="G288" s="36"/>
      <c r="H288" s="58">
        <f t="shared" si="5"/>
        <v>0</v>
      </c>
      <c r="K288" s="14"/>
      <c r="L288" s="14"/>
      <c r="M288" s="14"/>
    </row>
    <row r="289" spans="1:13" s="41" customFormat="1" ht="30" customHeight="1" x14ac:dyDescent="0.3">
      <c r="A289" s="63"/>
      <c r="E289" s="36"/>
      <c r="F289" s="36"/>
      <c r="G289" s="36"/>
      <c r="H289" s="58">
        <f t="shared" si="5"/>
        <v>0</v>
      </c>
      <c r="K289" s="14"/>
      <c r="L289" s="14"/>
      <c r="M289" s="14"/>
    </row>
    <row r="290" spans="1:13" s="41" customFormat="1" ht="30" customHeight="1" x14ac:dyDescent="0.3">
      <c r="A290" s="63"/>
      <c r="E290" s="36"/>
      <c r="F290" s="36"/>
      <c r="G290" s="36"/>
      <c r="H290" s="58">
        <f t="shared" si="5"/>
        <v>0</v>
      </c>
      <c r="K290" s="14"/>
      <c r="L290" s="14"/>
      <c r="M290" s="14"/>
    </row>
    <row r="291" spans="1:13" s="41" customFormat="1" ht="30" customHeight="1" x14ac:dyDescent="0.3">
      <c r="A291" s="63"/>
      <c r="E291" s="36"/>
      <c r="F291" s="36"/>
      <c r="G291" s="36"/>
      <c r="H291" s="58">
        <f t="shared" si="5"/>
        <v>0</v>
      </c>
      <c r="K291" s="14"/>
      <c r="L291" s="14"/>
      <c r="M291" s="14"/>
    </row>
    <row r="292" spans="1:13" s="41" customFormat="1" ht="30" customHeight="1" x14ac:dyDescent="0.3">
      <c r="A292" s="63"/>
      <c r="E292" s="36"/>
      <c r="F292" s="36"/>
      <c r="G292" s="36"/>
      <c r="H292" s="58">
        <f t="shared" si="5"/>
        <v>0</v>
      </c>
      <c r="K292" s="14"/>
      <c r="L292" s="14"/>
      <c r="M292" s="14"/>
    </row>
    <row r="293" spans="1:13" s="41" customFormat="1" ht="30" customHeight="1" x14ac:dyDescent="0.3">
      <c r="A293" s="63"/>
      <c r="E293" s="36"/>
      <c r="F293" s="36"/>
      <c r="G293" s="36"/>
      <c r="H293" s="58">
        <f t="shared" si="5"/>
        <v>0</v>
      </c>
      <c r="K293" s="14"/>
      <c r="L293" s="14"/>
      <c r="M293" s="14"/>
    </row>
    <row r="294" spans="1:13" s="41" customFormat="1" ht="30" customHeight="1" x14ac:dyDescent="0.3">
      <c r="A294" s="63"/>
      <c r="E294" s="36"/>
      <c r="F294" s="36"/>
      <c r="G294" s="36"/>
      <c r="H294" s="58">
        <f t="shared" si="5"/>
        <v>0</v>
      </c>
      <c r="K294" s="14"/>
      <c r="L294" s="14"/>
      <c r="M294" s="14"/>
    </row>
    <row r="295" spans="1:13" s="41" customFormat="1" ht="30" customHeight="1" x14ac:dyDescent="0.3">
      <c r="A295" s="63"/>
      <c r="E295" s="36"/>
      <c r="F295" s="36"/>
      <c r="G295" s="36"/>
      <c r="H295" s="58">
        <f t="shared" si="5"/>
        <v>0</v>
      </c>
      <c r="K295" s="14"/>
      <c r="L295" s="14"/>
      <c r="M295" s="14"/>
    </row>
    <row r="296" spans="1:13" s="41" customFormat="1" ht="30" customHeight="1" x14ac:dyDescent="0.3">
      <c r="A296" s="63"/>
      <c r="E296" s="36"/>
      <c r="F296" s="36"/>
      <c r="G296" s="36"/>
      <c r="H296" s="58">
        <f t="shared" si="5"/>
        <v>0</v>
      </c>
      <c r="K296" s="14"/>
      <c r="L296" s="14"/>
      <c r="M296" s="14"/>
    </row>
    <row r="297" spans="1:13" s="41" customFormat="1" ht="30" customHeight="1" x14ac:dyDescent="0.3">
      <c r="A297" s="63"/>
      <c r="E297" s="36"/>
      <c r="F297" s="36"/>
      <c r="G297" s="36"/>
      <c r="H297" s="58">
        <f t="shared" si="5"/>
        <v>0</v>
      </c>
      <c r="K297" s="14"/>
      <c r="L297" s="14"/>
      <c r="M297" s="14"/>
    </row>
    <row r="298" spans="1:13" s="41" customFormat="1" ht="30" customHeight="1" x14ac:dyDescent="0.3">
      <c r="A298" s="63"/>
      <c r="E298" s="36"/>
      <c r="F298" s="36"/>
      <c r="G298" s="36"/>
      <c r="H298" s="58">
        <f t="shared" si="5"/>
        <v>0</v>
      </c>
      <c r="K298" s="14"/>
      <c r="L298" s="14"/>
      <c r="M298" s="14"/>
    </row>
    <row r="299" spans="1:13" s="41" customFormat="1" ht="30" customHeight="1" x14ac:dyDescent="0.3">
      <c r="A299" s="63"/>
      <c r="E299" s="36"/>
      <c r="F299" s="36"/>
      <c r="G299" s="36"/>
      <c r="H299" s="58">
        <f t="shared" si="5"/>
        <v>0</v>
      </c>
      <c r="K299" s="14"/>
      <c r="L299" s="14"/>
      <c r="M299" s="14"/>
    </row>
    <row r="300" spans="1:13" s="41" customFormat="1" ht="30" customHeight="1" x14ac:dyDescent="0.3">
      <c r="A300" s="63"/>
      <c r="E300" s="36"/>
      <c r="F300" s="36"/>
      <c r="G300" s="36"/>
      <c r="H300" s="58">
        <f t="shared" si="5"/>
        <v>0</v>
      </c>
      <c r="K300" s="14"/>
      <c r="L300" s="14"/>
      <c r="M300" s="14"/>
    </row>
    <row r="301" spans="1:13" s="41" customFormat="1" ht="30" customHeight="1" x14ac:dyDescent="0.3">
      <c r="A301" s="63"/>
      <c r="E301" s="36"/>
      <c r="F301" s="36"/>
      <c r="G301" s="36"/>
      <c r="H301" s="58">
        <f t="shared" si="5"/>
        <v>0</v>
      </c>
      <c r="K301" s="14"/>
      <c r="L301" s="14"/>
      <c r="M301" s="14"/>
    </row>
    <row r="302" spans="1:13" s="41" customFormat="1" ht="30" customHeight="1" x14ac:dyDescent="0.3">
      <c r="A302" s="63"/>
      <c r="E302" s="36"/>
      <c r="F302" s="36"/>
      <c r="G302" s="36"/>
      <c r="H302" s="58">
        <f t="shared" si="5"/>
        <v>0</v>
      </c>
      <c r="K302" s="14"/>
      <c r="L302" s="14"/>
      <c r="M302" s="14"/>
    </row>
    <row r="303" spans="1:13" s="41" customFormat="1" ht="30" customHeight="1" x14ac:dyDescent="0.3">
      <c r="A303" s="63"/>
      <c r="E303" s="36"/>
      <c r="F303" s="36"/>
      <c r="G303" s="36"/>
      <c r="H303" s="58">
        <f t="shared" si="5"/>
        <v>0</v>
      </c>
      <c r="K303" s="14"/>
      <c r="L303" s="14"/>
      <c r="M303" s="14"/>
    </row>
    <row r="304" spans="1:13" s="41" customFormat="1" ht="30" customHeight="1" x14ac:dyDescent="0.3">
      <c r="A304" s="63"/>
      <c r="E304" s="36"/>
      <c r="F304" s="36"/>
      <c r="G304" s="36"/>
      <c r="H304" s="58">
        <f t="shared" si="5"/>
        <v>0</v>
      </c>
      <c r="K304" s="14"/>
      <c r="L304" s="14"/>
      <c r="M304" s="14"/>
    </row>
    <row r="305" spans="1:13" s="41" customFormat="1" ht="30" customHeight="1" x14ac:dyDescent="0.3">
      <c r="A305" s="63"/>
      <c r="E305" s="36"/>
      <c r="F305" s="36"/>
      <c r="G305" s="36"/>
      <c r="H305" s="58">
        <f t="shared" si="5"/>
        <v>0</v>
      </c>
      <c r="K305" s="14"/>
      <c r="L305" s="14"/>
      <c r="M305" s="14"/>
    </row>
    <row r="306" spans="1:13" s="41" customFormat="1" ht="30" customHeight="1" x14ac:dyDescent="0.3">
      <c r="A306" s="63"/>
      <c r="E306" s="36"/>
      <c r="F306" s="36"/>
      <c r="G306" s="36"/>
      <c r="H306" s="58">
        <f t="shared" si="5"/>
        <v>0</v>
      </c>
      <c r="K306" s="14"/>
      <c r="L306" s="14"/>
      <c r="M306" s="14"/>
    </row>
    <row r="307" spans="1:13" s="41" customFormat="1" ht="30" customHeight="1" x14ac:dyDescent="0.3">
      <c r="A307" s="63"/>
      <c r="E307" s="36"/>
      <c r="F307" s="36"/>
      <c r="G307" s="36"/>
      <c r="H307" s="58">
        <f t="shared" si="5"/>
        <v>0</v>
      </c>
      <c r="K307" s="14"/>
      <c r="L307" s="14"/>
      <c r="M307" s="14"/>
    </row>
    <row r="308" spans="1:13" s="41" customFormat="1" ht="30" customHeight="1" x14ac:dyDescent="0.3">
      <c r="A308" s="63"/>
      <c r="E308" s="36"/>
      <c r="F308" s="36"/>
      <c r="G308" s="36"/>
      <c r="H308" s="58">
        <f t="shared" si="5"/>
        <v>0</v>
      </c>
      <c r="K308" s="14"/>
      <c r="L308" s="14"/>
      <c r="M308" s="14"/>
    </row>
    <row r="309" spans="1:13" s="41" customFormat="1" ht="30" customHeight="1" x14ac:dyDescent="0.3">
      <c r="A309" s="63"/>
      <c r="E309" s="36"/>
      <c r="F309" s="36"/>
      <c r="G309" s="36"/>
      <c r="H309" s="58">
        <f t="shared" si="5"/>
        <v>0</v>
      </c>
      <c r="K309" s="14"/>
      <c r="L309" s="14"/>
      <c r="M309" s="14"/>
    </row>
    <row r="310" spans="1:13" s="41" customFormat="1" ht="30" customHeight="1" x14ac:dyDescent="0.3">
      <c r="A310" s="63"/>
      <c r="E310" s="36"/>
      <c r="F310" s="36"/>
      <c r="G310" s="36"/>
      <c r="H310" s="58">
        <f t="shared" si="5"/>
        <v>0</v>
      </c>
      <c r="K310" s="14"/>
      <c r="L310" s="14"/>
      <c r="M310" s="14"/>
    </row>
    <row r="311" spans="1:13" s="41" customFormat="1" ht="30" customHeight="1" x14ac:dyDescent="0.3">
      <c r="A311" s="63"/>
      <c r="E311" s="36"/>
      <c r="F311" s="36"/>
      <c r="G311" s="36"/>
      <c r="H311" s="58">
        <f t="shared" si="5"/>
        <v>0</v>
      </c>
      <c r="K311" s="14"/>
      <c r="L311" s="14"/>
      <c r="M311" s="14"/>
    </row>
    <row r="312" spans="1:13" s="41" customFormat="1" ht="30" customHeight="1" x14ac:dyDescent="0.3">
      <c r="A312" s="63"/>
      <c r="E312" s="36"/>
      <c r="F312" s="36"/>
      <c r="G312" s="36"/>
      <c r="H312" s="58">
        <f t="shared" ref="H312:H375" si="6">H311-G312-F312+E312</f>
        <v>0</v>
      </c>
      <c r="K312" s="14"/>
      <c r="L312" s="14"/>
      <c r="M312" s="14"/>
    </row>
    <row r="313" spans="1:13" s="41" customFormat="1" ht="30" customHeight="1" x14ac:dyDescent="0.3">
      <c r="A313" s="63"/>
      <c r="E313" s="36"/>
      <c r="F313" s="36"/>
      <c r="G313" s="36"/>
      <c r="H313" s="58">
        <f t="shared" si="6"/>
        <v>0</v>
      </c>
      <c r="K313" s="14"/>
      <c r="L313" s="14"/>
      <c r="M313" s="14"/>
    </row>
    <row r="314" spans="1:13" s="41" customFormat="1" ht="30" customHeight="1" x14ac:dyDescent="0.3">
      <c r="A314" s="63"/>
      <c r="E314" s="36"/>
      <c r="F314" s="36"/>
      <c r="G314" s="36"/>
      <c r="H314" s="58">
        <f t="shared" si="6"/>
        <v>0</v>
      </c>
      <c r="K314" s="14"/>
      <c r="L314" s="14"/>
      <c r="M314" s="14"/>
    </row>
    <row r="315" spans="1:13" s="41" customFormat="1" ht="30" customHeight="1" x14ac:dyDescent="0.3">
      <c r="A315" s="63"/>
      <c r="E315" s="36"/>
      <c r="F315" s="36"/>
      <c r="G315" s="36"/>
      <c r="H315" s="58">
        <f t="shared" si="6"/>
        <v>0</v>
      </c>
      <c r="K315" s="14"/>
      <c r="L315" s="14"/>
      <c r="M315" s="14"/>
    </row>
    <row r="316" spans="1:13" s="41" customFormat="1" ht="30" customHeight="1" x14ac:dyDescent="0.3">
      <c r="A316" s="63"/>
      <c r="E316" s="36"/>
      <c r="F316" s="36"/>
      <c r="G316" s="36"/>
      <c r="H316" s="58">
        <f t="shared" si="6"/>
        <v>0</v>
      </c>
      <c r="K316" s="14"/>
      <c r="L316" s="14"/>
      <c r="M316" s="14"/>
    </row>
    <row r="317" spans="1:13" s="41" customFormat="1" ht="30" customHeight="1" x14ac:dyDescent="0.3">
      <c r="A317" s="63"/>
      <c r="E317" s="36"/>
      <c r="F317" s="36"/>
      <c r="G317" s="36"/>
      <c r="H317" s="58">
        <f t="shared" si="6"/>
        <v>0</v>
      </c>
      <c r="K317" s="14"/>
      <c r="L317" s="14"/>
      <c r="M317" s="14"/>
    </row>
    <row r="318" spans="1:13" s="41" customFormat="1" ht="30" customHeight="1" x14ac:dyDescent="0.3">
      <c r="A318" s="63"/>
      <c r="E318" s="36"/>
      <c r="F318" s="36"/>
      <c r="G318" s="36"/>
      <c r="H318" s="58">
        <f t="shared" si="6"/>
        <v>0</v>
      </c>
      <c r="K318" s="14"/>
      <c r="L318" s="14"/>
      <c r="M318" s="14"/>
    </row>
    <row r="319" spans="1:13" s="41" customFormat="1" ht="30" customHeight="1" x14ac:dyDescent="0.3">
      <c r="A319" s="63"/>
      <c r="E319" s="36"/>
      <c r="F319" s="36"/>
      <c r="G319" s="36"/>
      <c r="H319" s="58">
        <f t="shared" si="6"/>
        <v>0</v>
      </c>
      <c r="K319" s="14"/>
      <c r="L319" s="14"/>
      <c r="M319" s="14"/>
    </row>
    <row r="320" spans="1:13" s="41" customFormat="1" ht="30" customHeight="1" x14ac:dyDescent="0.3">
      <c r="A320" s="63"/>
      <c r="E320" s="36"/>
      <c r="F320" s="36"/>
      <c r="G320" s="36"/>
      <c r="H320" s="58">
        <f t="shared" si="6"/>
        <v>0</v>
      </c>
      <c r="K320" s="14"/>
      <c r="L320" s="14"/>
      <c r="M320" s="14"/>
    </row>
    <row r="321" spans="1:13" s="41" customFormat="1" ht="30" customHeight="1" x14ac:dyDescent="0.3">
      <c r="A321" s="63"/>
      <c r="E321" s="36"/>
      <c r="F321" s="36"/>
      <c r="G321" s="36"/>
      <c r="H321" s="58">
        <f t="shared" si="6"/>
        <v>0</v>
      </c>
      <c r="K321" s="14"/>
      <c r="L321" s="14"/>
      <c r="M321" s="14"/>
    </row>
    <row r="322" spans="1:13" s="41" customFormat="1" ht="30" customHeight="1" x14ac:dyDescent="0.3">
      <c r="A322" s="63"/>
      <c r="E322" s="36"/>
      <c r="F322" s="36"/>
      <c r="G322" s="36"/>
      <c r="H322" s="58">
        <f t="shared" si="6"/>
        <v>0</v>
      </c>
      <c r="K322" s="14"/>
      <c r="L322" s="14"/>
      <c r="M322" s="14"/>
    </row>
    <row r="323" spans="1:13" s="41" customFormat="1" ht="30" customHeight="1" x14ac:dyDescent="0.3">
      <c r="A323" s="63"/>
      <c r="E323" s="36"/>
      <c r="F323" s="36"/>
      <c r="G323" s="36"/>
      <c r="H323" s="58">
        <f t="shared" si="6"/>
        <v>0</v>
      </c>
      <c r="K323" s="14"/>
      <c r="L323" s="14"/>
      <c r="M323" s="14"/>
    </row>
    <row r="324" spans="1:13" s="41" customFormat="1" ht="30" customHeight="1" x14ac:dyDescent="0.3">
      <c r="A324" s="63"/>
      <c r="E324" s="36"/>
      <c r="F324" s="36"/>
      <c r="G324" s="36"/>
      <c r="H324" s="58">
        <f t="shared" si="6"/>
        <v>0</v>
      </c>
      <c r="K324" s="14"/>
      <c r="L324" s="14"/>
      <c r="M324" s="14"/>
    </row>
    <row r="325" spans="1:13" s="41" customFormat="1" ht="30" customHeight="1" x14ac:dyDescent="0.3">
      <c r="A325" s="63"/>
      <c r="E325" s="36"/>
      <c r="F325" s="36"/>
      <c r="G325" s="36"/>
      <c r="H325" s="58">
        <f t="shared" si="6"/>
        <v>0</v>
      </c>
      <c r="K325" s="14"/>
      <c r="L325" s="14"/>
      <c r="M325" s="14"/>
    </row>
    <row r="326" spans="1:13" s="41" customFormat="1" ht="30" customHeight="1" x14ac:dyDescent="0.3">
      <c r="A326" s="63"/>
      <c r="E326" s="36"/>
      <c r="F326" s="36"/>
      <c r="G326" s="36"/>
      <c r="H326" s="58">
        <f t="shared" si="6"/>
        <v>0</v>
      </c>
      <c r="K326" s="14"/>
      <c r="L326" s="14"/>
      <c r="M326" s="14"/>
    </row>
    <row r="327" spans="1:13" s="41" customFormat="1" ht="30" customHeight="1" x14ac:dyDescent="0.3">
      <c r="A327" s="63"/>
      <c r="E327" s="36"/>
      <c r="F327" s="36"/>
      <c r="G327" s="36"/>
      <c r="H327" s="58">
        <f t="shared" si="6"/>
        <v>0</v>
      </c>
      <c r="K327" s="14"/>
      <c r="L327" s="14"/>
      <c r="M327" s="14"/>
    </row>
    <row r="328" spans="1:13" s="41" customFormat="1" ht="30" customHeight="1" x14ac:dyDescent="0.3">
      <c r="A328" s="63"/>
      <c r="E328" s="36"/>
      <c r="F328" s="36"/>
      <c r="G328" s="36"/>
      <c r="H328" s="58">
        <f t="shared" si="6"/>
        <v>0</v>
      </c>
      <c r="K328" s="14"/>
      <c r="L328" s="14"/>
      <c r="M328" s="14"/>
    </row>
    <row r="329" spans="1:13" s="41" customFormat="1" ht="30" customHeight="1" x14ac:dyDescent="0.3">
      <c r="A329" s="63"/>
      <c r="E329" s="36"/>
      <c r="F329" s="36"/>
      <c r="G329" s="36"/>
      <c r="H329" s="58">
        <f t="shared" si="6"/>
        <v>0</v>
      </c>
      <c r="K329" s="14"/>
      <c r="L329" s="14"/>
      <c r="M329" s="14"/>
    </row>
    <row r="330" spans="1:13" s="41" customFormat="1" ht="30" customHeight="1" x14ac:dyDescent="0.3">
      <c r="A330" s="63"/>
      <c r="E330" s="36"/>
      <c r="F330" s="36"/>
      <c r="G330" s="36"/>
      <c r="H330" s="58">
        <f t="shared" si="6"/>
        <v>0</v>
      </c>
      <c r="K330" s="14"/>
      <c r="L330" s="14"/>
      <c r="M330" s="14"/>
    </row>
    <row r="331" spans="1:13" s="41" customFormat="1" ht="30" customHeight="1" x14ac:dyDescent="0.3">
      <c r="A331" s="63"/>
      <c r="E331" s="36"/>
      <c r="F331" s="36"/>
      <c r="G331" s="36"/>
      <c r="H331" s="58">
        <f t="shared" si="6"/>
        <v>0</v>
      </c>
      <c r="K331" s="14"/>
      <c r="L331" s="14"/>
      <c r="M331" s="14"/>
    </row>
    <row r="332" spans="1:13" s="41" customFormat="1" ht="30" customHeight="1" x14ac:dyDescent="0.3">
      <c r="A332" s="63"/>
      <c r="E332" s="36"/>
      <c r="F332" s="36"/>
      <c r="G332" s="36"/>
      <c r="H332" s="58">
        <f t="shared" si="6"/>
        <v>0</v>
      </c>
      <c r="K332" s="14"/>
      <c r="L332" s="14"/>
      <c r="M332" s="14"/>
    </row>
    <row r="333" spans="1:13" s="41" customFormat="1" ht="30" customHeight="1" x14ac:dyDescent="0.3">
      <c r="A333" s="63"/>
      <c r="E333" s="36"/>
      <c r="F333" s="36"/>
      <c r="G333" s="36"/>
      <c r="H333" s="58">
        <f t="shared" si="6"/>
        <v>0</v>
      </c>
      <c r="K333" s="14"/>
      <c r="L333" s="14"/>
      <c r="M333" s="14"/>
    </row>
    <row r="334" spans="1:13" s="41" customFormat="1" ht="30" customHeight="1" x14ac:dyDescent="0.3">
      <c r="A334" s="63"/>
      <c r="E334" s="36"/>
      <c r="F334" s="36"/>
      <c r="G334" s="36"/>
      <c r="H334" s="58">
        <f t="shared" si="6"/>
        <v>0</v>
      </c>
      <c r="K334" s="14"/>
      <c r="L334" s="14"/>
      <c r="M334" s="14"/>
    </row>
    <row r="335" spans="1:13" s="41" customFormat="1" ht="30" customHeight="1" x14ac:dyDescent="0.3">
      <c r="A335" s="63"/>
      <c r="E335" s="36"/>
      <c r="F335" s="36"/>
      <c r="G335" s="36"/>
      <c r="H335" s="58">
        <f t="shared" si="6"/>
        <v>0</v>
      </c>
      <c r="K335" s="14"/>
      <c r="L335" s="14"/>
      <c r="M335" s="14"/>
    </row>
    <row r="336" spans="1:13" s="41" customFormat="1" ht="30" customHeight="1" x14ac:dyDescent="0.3">
      <c r="A336" s="63"/>
      <c r="E336" s="36"/>
      <c r="F336" s="36"/>
      <c r="G336" s="36"/>
      <c r="H336" s="58">
        <f t="shared" si="6"/>
        <v>0</v>
      </c>
      <c r="K336" s="14"/>
      <c r="L336" s="14"/>
      <c r="M336" s="14"/>
    </row>
    <row r="337" spans="1:13" s="41" customFormat="1" ht="30" customHeight="1" x14ac:dyDescent="0.3">
      <c r="A337" s="63"/>
      <c r="E337" s="36"/>
      <c r="F337" s="36"/>
      <c r="G337" s="36"/>
      <c r="H337" s="58">
        <f t="shared" si="6"/>
        <v>0</v>
      </c>
      <c r="K337" s="14"/>
      <c r="L337" s="14"/>
      <c r="M337" s="14"/>
    </row>
    <row r="338" spans="1:13" s="41" customFormat="1" ht="30" customHeight="1" x14ac:dyDescent="0.3">
      <c r="A338" s="63"/>
      <c r="E338" s="36"/>
      <c r="F338" s="36"/>
      <c r="G338" s="36"/>
      <c r="H338" s="58">
        <f t="shared" si="6"/>
        <v>0</v>
      </c>
      <c r="K338" s="14"/>
      <c r="L338" s="14"/>
      <c r="M338" s="14"/>
    </row>
    <row r="339" spans="1:13" s="41" customFormat="1" ht="30" customHeight="1" x14ac:dyDescent="0.3">
      <c r="A339" s="63"/>
      <c r="E339" s="36"/>
      <c r="F339" s="36"/>
      <c r="G339" s="36"/>
      <c r="H339" s="58">
        <f t="shared" si="6"/>
        <v>0</v>
      </c>
      <c r="K339" s="14"/>
      <c r="L339" s="14"/>
      <c r="M339" s="14"/>
    </row>
    <row r="340" spans="1:13" s="41" customFormat="1" ht="30" customHeight="1" x14ac:dyDescent="0.3">
      <c r="A340" s="63"/>
      <c r="E340" s="36"/>
      <c r="F340" s="36"/>
      <c r="G340" s="36"/>
      <c r="H340" s="58">
        <f t="shared" si="6"/>
        <v>0</v>
      </c>
      <c r="K340" s="14"/>
      <c r="L340" s="14"/>
      <c r="M340" s="14"/>
    </row>
    <row r="341" spans="1:13" s="41" customFormat="1" ht="30" customHeight="1" x14ac:dyDescent="0.3">
      <c r="A341" s="63"/>
      <c r="E341" s="36"/>
      <c r="F341" s="36"/>
      <c r="G341" s="36"/>
      <c r="H341" s="58">
        <f t="shared" si="6"/>
        <v>0</v>
      </c>
      <c r="K341" s="14"/>
      <c r="L341" s="14"/>
      <c r="M341" s="14"/>
    </row>
    <row r="342" spans="1:13" s="41" customFormat="1" ht="30" customHeight="1" x14ac:dyDescent="0.3">
      <c r="A342" s="63"/>
      <c r="E342" s="36"/>
      <c r="F342" s="36"/>
      <c r="G342" s="36"/>
      <c r="H342" s="58">
        <f t="shared" si="6"/>
        <v>0</v>
      </c>
      <c r="K342" s="14"/>
      <c r="L342" s="14"/>
      <c r="M342" s="14"/>
    </row>
    <row r="343" spans="1:13" s="41" customFormat="1" ht="30" customHeight="1" x14ac:dyDescent="0.3">
      <c r="A343" s="63"/>
      <c r="E343" s="36"/>
      <c r="F343" s="36"/>
      <c r="G343" s="36"/>
      <c r="H343" s="58">
        <f t="shared" si="6"/>
        <v>0</v>
      </c>
      <c r="K343" s="14"/>
      <c r="L343" s="14"/>
      <c r="M343" s="14"/>
    </row>
    <row r="344" spans="1:13" s="41" customFormat="1" ht="30" customHeight="1" x14ac:dyDescent="0.3">
      <c r="A344" s="63"/>
      <c r="E344" s="36"/>
      <c r="F344" s="36"/>
      <c r="G344" s="36"/>
      <c r="H344" s="58">
        <f t="shared" si="6"/>
        <v>0</v>
      </c>
      <c r="K344" s="14"/>
      <c r="L344" s="14"/>
      <c r="M344" s="14"/>
    </row>
    <row r="345" spans="1:13" s="41" customFormat="1" ht="30" customHeight="1" x14ac:dyDescent="0.3">
      <c r="A345" s="63"/>
      <c r="E345" s="36"/>
      <c r="F345" s="36"/>
      <c r="G345" s="36"/>
      <c r="H345" s="58">
        <f t="shared" si="6"/>
        <v>0</v>
      </c>
      <c r="K345" s="14"/>
      <c r="L345" s="14"/>
      <c r="M345" s="14"/>
    </row>
    <row r="346" spans="1:13" s="41" customFormat="1" ht="30" customHeight="1" x14ac:dyDescent="0.3">
      <c r="A346" s="63"/>
      <c r="E346" s="36"/>
      <c r="F346" s="36"/>
      <c r="G346" s="36"/>
      <c r="H346" s="58">
        <f t="shared" si="6"/>
        <v>0</v>
      </c>
      <c r="K346" s="14"/>
      <c r="L346" s="14"/>
      <c r="M346" s="14"/>
    </row>
    <row r="347" spans="1:13" s="41" customFormat="1" ht="30" customHeight="1" x14ac:dyDescent="0.3">
      <c r="A347" s="63"/>
      <c r="E347" s="36"/>
      <c r="F347" s="36"/>
      <c r="G347" s="36"/>
      <c r="H347" s="58">
        <f t="shared" si="6"/>
        <v>0</v>
      </c>
      <c r="K347" s="14"/>
      <c r="L347" s="14"/>
      <c r="M347" s="14"/>
    </row>
    <row r="348" spans="1:13" s="41" customFormat="1" ht="30" customHeight="1" x14ac:dyDescent="0.3">
      <c r="A348" s="63"/>
      <c r="E348" s="36"/>
      <c r="F348" s="36"/>
      <c r="G348" s="36"/>
      <c r="H348" s="58">
        <f t="shared" si="6"/>
        <v>0</v>
      </c>
      <c r="K348" s="14"/>
      <c r="L348" s="14"/>
      <c r="M348" s="14"/>
    </row>
    <row r="349" spans="1:13" s="41" customFormat="1" ht="30" customHeight="1" x14ac:dyDescent="0.3">
      <c r="A349" s="63"/>
      <c r="E349" s="36"/>
      <c r="F349" s="36"/>
      <c r="G349" s="36"/>
      <c r="H349" s="58">
        <f t="shared" si="6"/>
        <v>0</v>
      </c>
      <c r="K349" s="14"/>
      <c r="L349" s="14"/>
      <c r="M349" s="14"/>
    </row>
    <row r="350" spans="1:13" s="41" customFormat="1" ht="30" customHeight="1" x14ac:dyDescent="0.3">
      <c r="A350" s="63"/>
      <c r="E350" s="36"/>
      <c r="F350" s="36"/>
      <c r="G350" s="36"/>
      <c r="H350" s="58">
        <f t="shared" si="6"/>
        <v>0</v>
      </c>
      <c r="K350" s="14"/>
      <c r="L350" s="14"/>
      <c r="M350" s="14"/>
    </row>
    <row r="351" spans="1:13" s="41" customFormat="1" ht="30" customHeight="1" x14ac:dyDescent="0.3">
      <c r="A351" s="63"/>
      <c r="E351" s="36"/>
      <c r="F351" s="36"/>
      <c r="G351" s="36"/>
      <c r="H351" s="58">
        <f t="shared" si="6"/>
        <v>0</v>
      </c>
      <c r="K351" s="14"/>
      <c r="L351" s="14"/>
      <c r="M351" s="14"/>
    </row>
    <row r="352" spans="1:13" s="41" customFormat="1" ht="30" customHeight="1" x14ac:dyDescent="0.3">
      <c r="A352" s="63"/>
      <c r="E352" s="36"/>
      <c r="F352" s="36"/>
      <c r="G352" s="36"/>
      <c r="H352" s="58">
        <f t="shared" si="6"/>
        <v>0</v>
      </c>
      <c r="K352" s="14"/>
      <c r="L352" s="14"/>
      <c r="M352" s="14"/>
    </row>
    <row r="353" spans="1:13" s="41" customFormat="1" ht="30" customHeight="1" x14ac:dyDescent="0.3">
      <c r="A353" s="63"/>
      <c r="E353" s="36"/>
      <c r="F353" s="36"/>
      <c r="G353" s="36"/>
      <c r="H353" s="58">
        <f t="shared" si="6"/>
        <v>0</v>
      </c>
      <c r="K353" s="14"/>
      <c r="L353" s="14"/>
      <c r="M353" s="14"/>
    </row>
    <row r="354" spans="1:13" s="41" customFormat="1" ht="30" customHeight="1" x14ac:dyDescent="0.3">
      <c r="A354" s="63"/>
      <c r="E354" s="36"/>
      <c r="F354" s="36"/>
      <c r="G354" s="36"/>
      <c r="H354" s="58">
        <f t="shared" si="6"/>
        <v>0</v>
      </c>
      <c r="K354" s="14"/>
      <c r="L354" s="14"/>
      <c r="M354" s="14"/>
    </row>
    <row r="355" spans="1:13" s="41" customFormat="1" ht="30" customHeight="1" x14ac:dyDescent="0.3">
      <c r="A355" s="63"/>
      <c r="E355" s="36"/>
      <c r="F355" s="36"/>
      <c r="G355" s="36"/>
      <c r="H355" s="58">
        <f t="shared" si="6"/>
        <v>0</v>
      </c>
      <c r="K355" s="14"/>
      <c r="L355" s="14"/>
      <c r="M355" s="14"/>
    </row>
    <row r="356" spans="1:13" s="41" customFormat="1" ht="30" customHeight="1" x14ac:dyDescent="0.3">
      <c r="A356" s="63"/>
      <c r="E356" s="36"/>
      <c r="F356" s="36"/>
      <c r="G356" s="36"/>
      <c r="H356" s="58">
        <f t="shared" si="6"/>
        <v>0</v>
      </c>
      <c r="K356" s="14"/>
      <c r="L356" s="14"/>
      <c r="M356" s="14"/>
    </row>
    <row r="357" spans="1:13" s="41" customFormat="1" ht="30" customHeight="1" x14ac:dyDescent="0.3">
      <c r="A357" s="63"/>
      <c r="E357" s="36"/>
      <c r="F357" s="36"/>
      <c r="G357" s="36"/>
      <c r="H357" s="58">
        <f t="shared" si="6"/>
        <v>0</v>
      </c>
      <c r="K357" s="14"/>
      <c r="L357" s="14"/>
      <c r="M357" s="14"/>
    </row>
    <row r="358" spans="1:13" s="41" customFormat="1" ht="30" customHeight="1" x14ac:dyDescent="0.3">
      <c r="A358" s="63"/>
      <c r="E358" s="36"/>
      <c r="F358" s="36"/>
      <c r="G358" s="36"/>
      <c r="H358" s="58">
        <f t="shared" si="6"/>
        <v>0</v>
      </c>
      <c r="K358" s="14"/>
      <c r="L358" s="14"/>
      <c r="M358" s="14"/>
    </row>
    <row r="359" spans="1:13" s="41" customFormat="1" ht="30" customHeight="1" x14ac:dyDescent="0.3">
      <c r="A359" s="63"/>
      <c r="E359" s="36"/>
      <c r="F359" s="36"/>
      <c r="G359" s="36"/>
      <c r="H359" s="58">
        <f t="shared" si="6"/>
        <v>0</v>
      </c>
      <c r="K359" s="14"/>
      <c r="L359" s="14"/>
      <c r="M359" s="14"/>
    </row>
    <row r="360" spans="1:13" s="41" customFormat="1" ht="30" customHeight="1" x14ac:dyDescent="0.3">
      <c r="A360" s="63"/>
      <c r="E360" s="36"/>
      <c r="F360" s="36"/>
      <c r="G360" s="36"/>
      <c r="H360" s="58">
        <f t="shared" si="6"/>
        <v>0</v>
      </c>
      <c r="K360" s="14"/>
      <c r="L360" s="14"/>
      <c r="M360" s="14"/>
    </row>
    <row r="361" spans="1:13" s="41" customFormat="1" ht="30" customHeight="1" x14ac:dyDescent="0.3">
      <c r="A361" s="63"/>
      <c r="E361" s="36"/>
      <c r="F361" s="36"/>
      <c r="G361" s="36"/>
      <c r="H361" s="58">
        <f t="shared" si="6"/>
        <v>0</v>
      </c>
      <c r="K361" s="14"/>
      <c r="L361" s="14"/>
      <c r="M361" s="14"/>
    </row>
    <row r="362" spans="1:13" s="41" customFormat="1" ht="30" customHeight="1" x14ac:dyDescent="0.3">
      <c r="A362" s="63"/>
      <c r="E362" s="36"/>
      <c r="F362" s="36"/>
      <c r="G362" s="36"/>
      <c r="H362" s="58">
        <f t="shared" si="6"/>
        <v>0</v>
      </c>
      <c r="K362" s="14"/>
      <c r="L362" s="14"/>
      <c r="M362" s="14"/>
    </row>
    <row r="363" spans="1:13" s="41" customFormat="1" ht="30" customHeight="1" x14ac:dyDescent="0.3">
      <c r="A363" s="63"/>
      <c r="E363" s="36"/>
      <c r="F363" s="36"/>
      <c r="G363" s="36"/>
      <c r="H363" s="58">
        <f t="shared" si="6"/>
        <v>0</v>
      </c>
      <c r="K363" s="14"/>
      <c r="L363" s="14"/>
      <c r="M363" s="14"/>
    </row>
    <row r="364" spans="1:13" s="41" customFormat="1" ht="30" customHeight="1" x14ac:dyDescent="0.3">
      <c r="A364" s="63"/>
      <c r="E364" s="36"/>
      <c r="F364" s="36"/>
      <c r="G364" s="36"/>
      <c r="H364" s="58">
        <f t="shared" si="6"/>
        <v>0</v>
      </c>
      <c r="K364" s="14"/>
      <c r="L364" s="14"/>
      <c r="M364" s="14"/>
    </row>
    <row r="365" spans="1:13" s="41" customFormat="1" ht="30" customHeight="1" x14ac:dyDescent="0.3">
      <c r="A365" s="63"/>
      <c r="E365" s="36"/>
      <c r="F365" s="36"/>
      <c r="G365" s="36"/>
      <c r="H365" s="58">
        <f t="shared" si="6"/>
        <v>0</v>
      </c>
      <c r="K365" s="14"/>
      <c r="L365" s="14"/>
      <c r="M365" s="14"/>
    </row>
    <row r="366" spans="1:13" s="41" customFormat="1" ht="30" customHeight="1" x14ac:dyDescent="0.3">
      <c r="A366" s="63"/>
      <c r="E366" s="36"/>
      <c r="F366" s="36"/>
      <c r="G366" s="36"/>
      <c r="H366" s="58">
        <f t="shared" si="6"/>
        <v>0</v>
      </c>
      <c r="K366" s="14"/>
      <c r="L366" s="14"/>
      <c r="M366" s="14"/>
    </row>
    <row r="367" spans="1:13" s="41" customFormat="1" ht="30" customHeight="1" x14ac:dyDescent="0.3">
      <c r="A367" s="63"/>
      <c r="E367" s="36"/>
      <c r="F367" s="36"/>
      <c r="G367" s="36"/>
      <c r="H367" s="58">
        <f t="shared" si="6"/>
        <v>0</v>
      </c>
      <c r="K367" s="14"/>
      <c r="L367" s="14"/>
      <c r="M367" s="14"/>
    </row>
    <row r="368" spans="1:13" s="41" customFormat="1" ht="30" customHeight="1" x14ac:dyDescent="0.3">
      <c r="A368" s="63"/>
      <c r="E368" s="36"/>
      <c r="F368" s="36"/>
      <c r="G368" s="36"/>
      <c r="H368" s="58">
        <f t="shared" si="6"/>
        <v>0</v>
      </c>
      <c r="K368" s="14"/>
      <c r="L368" s="14"/>
      <c r="M368" s="14"/>
    </row>
    <row r="369" spans="1:13" s="41" customFormat="1" ht="30" customHeight="1" x14ac:dyDescent="0.3">
      <c r="A369" s="63"/>
      <c r="E369" s="36"/>
      <c r="F369" s="36"/>
      <c r="G369" s="36"/>
      <c r="H369" s="58">
        <f t="shared" si="6"/>
        <v>0</v>
      </c>
      <c r="K369" s="14"/>
      <c r="L369" s="14"/>
      <c r="M369" s="14"/>
    </row>
    <row r="370" spans="1:13" s="41" customFormat="1" ht="30" customHeight="1" x14ac:dyDescent="0.3">
      <c r="A370" s="63"/>
      <c r="E370" s="36"/>
      <c r="F370" s="36"/>
      <c r="G370" s="36"/>
      <c r="H370" s="58">
        <f t="shared" si="6"/>
        <v>0</v>
      </c>
      <c r="K370" s="14"/>
      <c r="L370" s="14"/>
      <c r="M370" s="14"/>
    </row>
    <row r="371" spans="1:13" s="41" customFormat="1" ht="30" customHeight="1" x14ac:dyDescent="0.3">
      <c r="A371" s="63"/>
      <c r="E371" s="36"/>
      <c r="F371" s="36"/>
      <c r="G371" s="36"/>
      <c r="H371" s="58">
        <f t="shared" si="6"/>
        <v>0</v>
      </c>
      <c r="K371" s="14"/>
      <c r="L371" s="14"/>
      <c r="M371" s="14"/>
    </row>
    <row r="372" spans="1:13" s="41" customFormat="1" ht="30" customHeight="1" x14ac:dyDescent="0.3">
      <c r="A372" s="63"/>
      <c r="E372" s="36"/>
      <c r="F372" s="36"/>
      <c r="G372" s="36"/>
      <c r="H372" s="58">
        <f t="shared" si="6"/>
        <v>0</v>
      </c>
      <c r="K372" s="14"/>
      <c r="L372" s="14"/>
      <c r="M372" s="14"/>
    </row>
    <row r="373" spans="1:13" s="41" customFormat="1" ht="30" customHeight="1" x14ac:dyDescent="0.3">
      <c r="A373" s="63"/>
      <c r="E373" s="36"/>
      <c r="F373" s="36"/>
      <c r="G373" s="36"/>
      <c r="H373" s="58">
        <f t="shared" si="6"/>
        <v>0</v>
      </c>
      <c r="K373" s="14"/>
      <c r="L373" s="14"/>
      <c r="M373" s="14"/>
    </row>
    <row r="374" spans="1:13" s="41" customFormat="1" ht="30" customHeight="1" x14ac:dyDescent="0.3">
      <c r="A374" s="63"/>
      <c r="E374" s="36"/>
      <c r="F374" s="36"/>
      <c r="G374" s="36"/>
      <c r="H374" s="58">
        <f t="shared" si="6"/>
        <v>0</v>
      </c>
      <c r="K374" s="14"/>
      <c r="L374" s="14"/>
      <c r="M374" s="14"/>
    </row>
    <row r="375" spans="1:13" s="41" customFormat="1" ht="30" customHeight="1" x14ac:dyDescent="0.3">
      <c r="A375" s="63"/>
      <c r="E375" s="36"/>
      <c r="F375" s="36"/>
      <c r="G375" s="36"/>
      <c r="H375" s="58">
        <f t="shared" si="6"/>
        <v>0</v>
      </c>
      <c r="K375" s="14"/>
      <c r="L375" s="14"/>
      <c r="M375" s="14"/>
    </row>
    <row r="376" spans="1:13" s="41" customFormat="1" ht="30" customHeight="1" x14ac:dyDescent="0.3">
      <c r="A376" s="63"/>
      <c r="E376" s="36"/>
      <c r="F376" s="36"/>
      <c r="G376" s="36"/>
      <c r="H376" s="58">
        <f t="shared" ref="H376:H439" si="7">H375-G376-F376+E376</f>
        <v>0</v>
      </c>
      <c r="K376" s="14"/>
      <c r="L376" s="14"/>
      <c r="M376" s="14"/>
    </row>
    <row r="377" spans="1:13" s="41" customFormat="1" ht="30" customHeight="1" x14ac:dyDescent="0.3">
      <c r="A377" s="63"/>
      <c r="E377" s="36"/>
      <c r="F377" s="36"/>
      <c r="G377" s="36"/>
      <c r="H377" s="58">
        <f t="shared" si="7"/>
        <v>0</v>
      </c>
      <c r="K377" s="14"/>
      <c r="L377" s="14"/>
      <c r="M377" s="14"/>
    </row>
    <row r="378" spans="1:13" s="41" customFormat="1" ht="30" customHeight="1" x14ac:dyDescent="0.3">
      <c r="A378" s="63"/>
      <c r="E378" s="36"/>
      <c r="F378" s="36"/>
      <c r="G378" s="36"/>
      <c r="H378" s="58">
        <f t="shared" si="7"/>
        <v>0</v>
      </c>
      <c r="K378" s="14"/>
      <c r="L378" s="14"/>
      <c r="M378" s="14"/>
    </row>
    <row r="379" spans="1:13" s="41" customFormat="1" ht="30" customHeight="1" x14ac:dyDescent="0.3">
      <c r="A379" s="63"/>
      <c r="E379" s="36"/>
      <c r="F379" s="36"/>
      <c r="G379" s="36"/>
      <c r="H379" s="58">
        <f t="shared" si="7"/>
        <v>0</v>
      </c>
      <c r="K379" s="14"/>
      <c r="L379" s="14"/>
      <c r="M379" s="14"/>
    </row>
    <row r="380" spans="1:13" s="41" customFormat="1" ht="30" customHeight="1" x14ac:dyDescent="0.3">
      <c r="A380" s="63"/>
      <c r="E380" s="36"/>
      <c r="F380" s="36"/>
      <c r="G380" s="36"/>
      <c r="H380" s="58">
        <f t="shared" si="7"/>
        <v>0</v>
      </c>
      <c r="K380" s="14"/>
      <c r="L380" s="14"/>
      <c r="M380" s="14"/>
    </row>
    <row r="381" spans="1:13" s="41" customFormat="1" ht="30" customHeight="1" x14ac:dyDescent="0.3">
      <c r="A381" s="63"/>
      <c r="E381" s="36"/>
      <c r="F381" s="36"/>
      <c r="G381" s="36"/>
      <c r="H381" s="58">
        <f t="shared" si="7"/>
        <v>0</v>
      </c>
      <c r="K381" s="14"/>
      <c r="L381" s="14"/>
      <c r="M381" s="14"/>
    </row>
    <row r="382" spans="1:13" s="41" customFormat="1" ht="30" customHeight="1" x14ac:dyDescent="0.3">
      <c r="A382" s="63"/>
      <c r="E382" s="36"/>
      <c r="F382" s="36"/>
      <c r="G382" s="36"/>
      <c r="H382" s="58">
        <f t="shared" si="7"/>
        <v>0</v>
      </c>
      <c r="K382" s="14"/>
      <c r="L382" s="14"/>
      <c r="M382" s="14"/>
    </row>
    <row r="383" spans="1:13" s="41" customFormat="1" ht="30" customHeight="1" x14ac:dyDescent="0.3">
      <c r="A383" s="63"/>
      <c r="E383" s="36"/>
      <c r="F383" s="36"/>
      <c r="G383" s="36"/>
      <c r="H383" s="58">
        <f t="shared" si="7"/>
        <v>0</v>
      </c>
      <c r="K383" s="14"/>
      <c r="L383" s="14"/>
      <c r="M383" s="14"/>
    </row>
    <row r="384" spans="1:13" s="41" customFormat="1" ht="30" customHeight="1" x14ac:dyDescent="0.3">
      <c r="A384" s="63"/>
      <c r="E384" s="36"/>
      <c r="F384" s="36"/>
      <c r="G384" s="36"/>
      <c r="H384" s="58">
        <f t="shared" si="7"/>
        <v>0</v>
      </c>
      <c r="K384" s="14"/>
      <c r="L384" s="14"/>
      <c r="M384" s="14"/>
    </row>
    <row r="385" spans="1:13" s="41" customFormat="1" ht="30" customHeight="1" x14ac:dyDescent="0.3">
      <c r="A385" s="63"/>
      <c r="E385" s="36"/>
      <c r="F385" s="36"/>
      <c r="G385" s="36"/>
      <c r="H385" s="58">
        <f t="shared" si="7"/>
        <v>0</v>
      </c>
      <c r="K385" s="14"/>
      <c r="L385" s="14"/>
      <c r="M385" s="14"/>
    </row>
    <row r="386" spans="1:13" s="41" customFormat="1" ht="30" customHeight="1" x14ac:dyDescent="0.3">
      <c r="A386" s="63"/>
      <c r="E386" s="36"/>
      <c r="F386" s="36"/>
      <c r="G386" s="36"/>
      <c r="H386" s="58">
        <f t="shared" si="7"/>
        <v>0</v>
      </c>
      <c r="K386" s="14"/>
      <c r="L386" s="14"/>
      <c r="M386" s="14"/>
    </row>
    <row r="387" spans="1:13" s="41" customFormat="1" ht="30" customHeight="1" x14ac:dyDescent="0.3">
      <c r="A387" s="63"/>
      <c r="E387" s="36"/>
      <c r="F387" s="36"/>
      <c r="G387" s="36"/>
      <c r="H387" s="58">
        <f t="shared" si="7"/>
        <v>0</v>
      </c>
      <c r="K387" s="14"/>
      <c r="L387" s="14"/>
      <c r="M387" s="14"/>
    </row>
    <row r="388" spans="1:13" s="41" customFormat="1" ht="30" customHeight="1" x14ac:dyDescent="0.3">
      <c r="A388" s="63"/>
      <c r="E388" s="36"/>
      <c r="F388" s="36"/>
      <c r="G388" s="36"/>
      <c r="H388" s="58">
        <f t="shared" si="7"/>
        <v>0</v>
      </c>
      <c r="K388" s="14"/>
      <c r="L388" s="14"/>
      <c r="M388" s="14"/>
    </row>
    <row r="389" spans="1:13" s="41" customFormat="1" ht="30" customHeight="1" x14ac:dyDescent="0.3">
      <c r="A389" s="63"/>
      <c r="E389" s="36"/>
      <c r="F389" s="36"/>
      <c r="G389" s="36"/>
      <c r="H389" s="58">
        <f t="shared" si="7"/>
        <v>0</v>
      </c>
      <c r="K389" s="14"/>
      <c r="L389" s="14"/>
      <c r="M389" s="14"/>
    </row>
    <row r="390" spans="1:13" s="41" customFormat="1" ht="30" customHeight="1" x14ac:dyDescent="0.3">
      <c r="A390" s="63"/>
      <c r="E390" s="36"/>
      <c r="F390" s="36"/>
      <c r="G390" s="36"/>
      <c r="H390" s="58">
        <f t="shared" si="7"/>
        <v>0</v>
      </c>
      <c r="K390" s="14"/>
      <c r="L390" s="14"/>
      <c r="M390" s="14"/>
    </row>
    <row r="391" spans="1:13" s="41" customFormat="1" ht="30" customHeight="1" x14ac:dyDescent="0.3">
      <c r="A391" s="63"/>
      <c r="E391" s="36"/>
      <c r="F391" s="36"/>
      <c r="G391" s="36"/>
      <c r="H391" s="58">
        <f t="shared" si="7"/>
        <v>0</v>
      </c>
      <c r="K391" s="14"/>
      <c r="L391" s="14"/>
      <c r="M391" s="14"/>
    </row>
    <row r="392" spans="1:13" s="41" customFormat="1" ht="30" customHeight="1" x14ac:dyDescent="0.3">
      <c r="A392" s="63"/>
      <c r="E392" s="36"/>
      <c r="F392" s="36"/>
      <c r="G392" s="36"/>
      <c r="H392" s="58">
        <f t="shared" si="7"/>
        <v>0</v>
      </c>
      <c r="K392" s="14"/>
      <c r="L392" s="14"/>
      <c r="M392" s="14"/>
    </row>
    <row r="393" spans="1:13" s="41" customFormat="1" ht="30" customHeight="1" x14ac:dyDescent="0.3">
      <c r="A393" s="63"/>
      <c r="E393" s="36"/>
      <c r="F393" s="36"/>
      <c r="G393" s="36"/>
      <c r="H393" s="58">
        <f t="shared" si="7"/>
        <v>0</v>
      </c>
      <c r="K393" s="14"/>
      <c r="L393" s="14"/>
      <c r="M393" s="14"/>
    </row>
    <row r="394" spans="1:13" s="41" customFormat="1" ht="30" customHeight="1" x14ac:dyDescent="0.3">
      <c r="A394" s="63"/>
      <c r="E394" s="36"/>
      <c r="F394" s="36"/>
      <c r="G394" s="36"/>
      <c r="H394" s="58">
        <f t="shared" si="7"/>
        <v>0</v>
      </c>
      <c r="K394" s="14"/>
      <c r="L394" s="14"/>
      <c r="M394" s="14"/>
    </row>
    <row r="395" spans="1:13" s="41" customFormat="1" ht="30" customHeight="1" x14ac:dyDescent="0.3">
      <c r="A395" s="63"/>
      <c r="E395" s="36"/>
      <c r="F395" s="36"/>
      <c r="G395" s="36"/>
      <c r="H395" s="58">
        <f t="shared" si="7"/>
        <v>0</v>
      </c>
      <c r="K395" s="14"/>
      <c r="L395" s="14"/>
      <c r="M395" s="14"/>
    </row>
    <row r="396" spans="1:13" s="41" customFormat="1" ht="30" customHeight="1" x14ac:dyDescent="0.3">
      <c r="A396" s="63"/>
      <c r="E396" s="36"/>
      <c r="F396" s="36"/>
      <c r="G396" s="36"/>
      <c r="H396" s="58">
        <f t="shared" si="7"/>
        <v>0</v>
      </c>
      <c r="K396" s="14"/>
      <c r="L396" s="14"/>
      <c r="M396" s="14"/>
    </row>
    <row r="397" spans="1:13" s="41" customFormat="1" ht="30" customHeight="1" x14ac:dyDescent="0.3">
      <c r="A397" s="63"/>
      <c r="E397" s="36"/>
      <c r="F397" s="36"/>
      <c r="G397" s="36"/>
      <c r="H397" s="58">
        <f t="shared" si="7"/>
        <v>0</v>
      </c>
      <c r="K397" s="14"/>
      <c r="L397" s="14"/>
      <c r="M397" s="14"/>
    </row>
    <row r="398" spans="1:13" s="41" customFormat="1" ht="30" customHeight="1" x14ac:dyDescent="0.3">
      <c r="A398" s="63"/>
      <c r="E398" s="36"/>
      <c r="F398" s="36"/>
      <c r="G398" s="36"/>
      <c r="H398" s="58">
        <f t="shared" si="7"/>
        <v>0</v>
      </c>
      <c r="K398" s="14"/>
      <c r="L398" s="14"/>
      <c r="M398" s="14"/>
    </row>
    <row r="399" spans="1:13" s="41" customFormat="1" ht="30" customHeight="1" x14ac:dyDescent="0.3">
      <c r="A399" s="63"/>
      <c r="E399" s="36"/>
      <c r="F399" s="36"/>
      <c r="G399" s="36"/>
      <c r="H399" s="58">
        <f t="shared" si="7"/>
        <v>0</v>
      </c>
      <c r="K399" s="14"/>
      <c r="L399" s="14"/>
      <c r="M399" s="14"/>
    </row>
    <row r="400" spans="1:13" s="41" customFormat="1" ht="30" customHeight="1" x14ac:dyDescent="0.3">
      <c r="A400" s="63"/>
      <c r="E400" s="36"/>
      <c r="F400" s="36"/>
      <c r="G400" s="36"/>
      <c r="H400" s="58">
        <f t="shared" si="7"/>
        <v>0</v>
      </c>
      <c r="K400" s="14"/>
      <c r="L400" s="14"/>
      <c r="M400" s="14"/>
    </row>
    <row r="401" spans="1:13" s="41" customFormat="1" ht="30" customHeight="1" x14ac:dyDescent="0.3">
      <c r="A401" s="63"/>
      <c r="E401" s="36"/>
      <c r="F401" s="36"/>
      <c r="G401" s="36"/>
      <c r="H401" s="58">
        <f t="shared" si="7"/>
        <v>0</v>
      </c>
      <c r="K401" s="14"/>
      <c r="L401" s="14"/>
      <c r="M401" s="14"/>
    </row>
    <row r="402" spans="1:13" s="41" customFormat="1" ht="30" customHeight="1" x14ac:dyDescent="0.3">
      <c r="A402" s="63"/>
      <c r="E402" s="36"/>
      <c r="F402" s="36"/>
      <c r="G402" s="36"/>
      <c r="H402" s="58">
        <f t="shared" si="7"/>
        <v>0</v>
      </c>
      <c r="K402" s="14"/>
      <c r="L402" s="14"/>
      <c r="M402" s="14"/>
    </row>
    <row r="403" spans="1:13" s="41" customFormat="1" ht="30" customHeight="1" x14ac:dyDescent="0.3">
      <c r="A403" s="63"/>
      <c r="E403" s="36"/>
      <c r="F403" s="36"/>
      <c r="G403" s="36"/>
      <c r="H403" s="58">
        <f t="shared" si="7"/>
        <v>0</v>
      </c>
      <c r="K403" s="14"/>
      <c r="L403" s="14"/>
      <c r="M403" s="14"/>
    </row>
    <row r="404" spans="1:13" s="41" customFormat="1" ht="30" customHeight="1" x14ac:dyDescent="0.3">
      <c r="A404" s="63"/>
      <c r="E404" s="36"/>
      <c r="F404" s="36"/>
      <c r="G404" s="36"/>
      <c r="H404" s="58">
        <f t="shared" si="7"/>
        <v>0</v>
      </c>
      <c r="K404" s="14"/>
      <c r="L404" s="14"/>
      <c r="M404" s="14"/>
    </row>
    <row r="405" spans="1:13" s="41" customFormat="1" ht="30" customHeight="1" x14ac:dyDescent="0.3">
      <c r="A405" s="63"/>
      <c r="E405" s="36"/>
      <c r="F405" s="36"/>
      <c r="G405" s="36"/>
      <c r="H405" s="58">
        <f t="shared" si="7"/>
        <v>0</v>
      </c>
      <c r="K405" s="14"/>
      <c r="L405" s="14"/>
      <c r="M405" s="14"/>
    </row>
    <row r="406" spans="1:13" s="41" customFormat="1" ht="30" customHeight="1" x14ac:dyDescent="0.3">
      <c r="A406" s="63"/>
      <c r="E406" s="36"/>
      <c r="F406" s="36"/>
      <c r="G406" s="36"/>
      <c r="H406" s="58">
        <f t="shared" si="7"/>
        <v>0</v>
      </c>
      <c r="K406" s="14"/>
      <c r="L406" s="14"/>
      <c r="M406" s="14"/>
    </row>
    <row r="407" spans="1:13" s="41" customFormat="1" ht="30" customHeight="1" x14ac:dyDescent="0.3">
      <c r="A407" s="63"/>
      <c r="E407" s="36"/>
      <c r="F407" s="36"/>
      <c r="G407" s="36"/>
      <c r="H407" s="58">
        <f t="shared" si="7"/>
        <v>0</v>
      </c>
      <c r="K407" s="14"/>
      <c r="L407" s="14"/>
      <c r="M407" s="14"/>
    </row>
    <row r="408" spans="1:13" s="41" customFormat="1" ht="30" customHeight="1" x14ac:dyDescent="0.3">
      <c r="A408" s="63"/>
      <c r="E408" s="36"/>
      <c r="F408" s="36"/>
      <c r="G408" s="36"/>
      <c r="H408" s="58">
        <f t="shared" si="7"/>
        <v>0</v>
      </c>
      <c r="K408" s="14"/>
      <c r="L408" s="14"/>
      <c r="M408" s="14"/>
    </row>
    <row r="409" spans="1:13" s="41" customFormat="1" ht="30" customHeight="1" x14ac:dyDescent="0.3">
      <c r="A409" s="63"/>
      <c r="E409" s="36"/>
      <c r="F409" s="36"/>
      <c r="G409" s="36"/>
      <c r="H409" s="58">
        <f t="shared" si="7"/>
        <v>0</v>
      </c>
      <c r="K409" s="14"/>
      <c r="L409" s="14"/>
      <c r="M409" s="14"/>
    </row>
    <row r="410" spans="1:13" s="41" customFormat="1" ht="30" customHeight="1" x14ac:dyDescent="0.3">
      <c r="A410" s="63"/>
      <c r="E410" s="36"/>
      <c r="F410" s="36"/>
      <c r="G410" s="36"/>
      <c r="H410" s="58">
        <f t="shared" si="7"/>
        <v>0</v>
      </c>
      <c r="K410" s="14"/>
      <c r="L410" s="14"/>
      <c r="M410" s="14"/>
    </row>
    <row r="411" spans="1:13" s="41" customFormat="1" ht="30" customHeight="1" x14ac:dyDescent="0.3">
      <c r="A411" s="63"/>
      <c r="E411" s="36"/>
      <c r="F411" s="36"/>
      <c r="G411" s="36"/>
      <c r="H411" s="58">
        <f t="shared" si="7"/>
        <v>0</v>
      </c>
      <c r="K411" s="14"/>
      <c r="L411" s="14"/>
      <c r="M411" s="14"/>
    </row>
    <row r="412" spans="1:13" s="41" customFormat="1" ht="30" customHeight="1" x14ac:dyDescent="0.3">
      <c r="A412" s="63"/>
      <c r="E412" s="36"/>
      <c r="F412" s="36"/>
      <c r="G412" s="36"/>
      <c r="H412" s="58">
        <f t="shared" si="7"/>
        <v>0</v>
      </c>
      <c r="K412" s="14"/>
      <c r="L412" s="14"/>
      <c r="M412" s="14"/>
    </row>
    <row r="413" spans="1:13" s="41" customFormat="1" ht="30" customHeight="1" x14ac:dyDescent="0.3">
      <c r="A413" s="63"/>
      <c r="E413" s="36"/>
      <c r="F413" s="36"/>
      <c r="G413" s="36"/>
      <c r="H413" s="58">
        <f t="shared" si="7"/>
        <v>0</v>
      </c>
      <c r="K413" s="14"/>
      <c r="L413" s="14"/>
      <c r="M413" s="14"/>
    </row>
    <row r="414" spans="1:13" s="41" customFormat="1" ht="30" customHeight="1" x14ac:dyDescent="0.3">
      <c r="A414" s="63"/>
      <c r="E414" s="36"/>
      <c r="F414" s="36"/>
      <c r="G414" s="36"/>
      <c r="H414" s="58">
        <f t="shared" si="7"/>
        <v>0</v>
      </c>
      <c r="K414" s="14"/>
      <c r="L414" s="14"/>
      <c r="M414" s="14"/>
    </row>
    <row r="415" spans="1:13" s="41" customFormat="1" ht="30" customHeight="1" x14ac:dyDescent="0.3">
      <c r="A415" s="63"/>
      <c r="E415" s="36"/>
      <c r="F415" s="36"/>
      <c r="G415" s="36"/>
      <c r="H415" s="58">
        <f t="shared" si="7"/>
        <v>0</v>
      </c>
      <c r="K415" s="14"/>
      <c r="L415" s="14"/>
      <c r="M415" s="14"/>
    </row>
    <row r="416" spans="1:13" s="41" customFormat="1" ht="30" customHeight="1" x14ac:dyDescent="0.3">
      <c r="A416" s="63"/>
      <c r="E416" s="36"/>
      <c r="F416" s="36"/>
      <c r="G416" s="36"/>
      <c r="H416" s="58">
        <f t="shared" si="7"/>
        <v>0</v>
      </c>
      <c r="K416" s="14"/>
      <c r="L416" s="14"/>
      <c r="M416" s="14"/>
    </row>
    <row r="417" spans="1:13" s="41" customFormat="1" ht="30" customHeight="1" x14ac:dyDescent="0.3">
      <c r="A417" s="63"/>
      <c r="E417" s="36"/>
      <c r="F417" s="36"/>
      <c r="G417" s="36"/>
      <c r="H417" s="58">
        <f t="shared" si="7"/>
        <v>0</v>
      </c>
      <c r="K417" s="14"/>
      <c r="L417" s="14"/>
      <c r="M417" s="14"/>
    </row>
    <row r="418" spans="1:13" s="41" customFormat="1" ht="30" customHeight="1" x14ac:dyDescent="0.3">
      <c r="A418" s="63"/>
      <c r="E418" s="36"/>
      <c r="F418" s="36"/>
      <c r="G418" s="36"/>
      <c r="H418" s="58">
        <f t="shared" si="7"/>
        <v>0</v>
      </c>
      <c r="K418" s="14"/>
      <c r="L418" s="14"/>
      <c r="M418" s="14"/>
    </row>
    <row r="419" spans="1:13" s="41" customFormat="1" ht="30" customHeight="1" x14ac:dyDescent="0.3">
      <c r="A419" s="63"/>
      <c r="E419" s="36"/>
      <c r="F419" s="36"/>
      <c r="G419" s="36"/>
      <c r="H419" s="58">
        <f t="shared" si="7"/>
        <v>0</v>
      </c>
      <c r="K419" s="14"/>
      <c r="L419" s="14"/>
      <c r="M419" s="14"/>
    </row>
    <row r="420" spans="1:13" s="41" customFormat="1" ht="30" customHeight="1" x14ac:dyDescent="0.3">
      <c r="A420" s="63"/>
      <c r="E420" s="36"/>
      <c r="F420" s="36"/>
      <c r="G420" s="36"/>
      <c r="H420" s="58">
        <f t="shared" si="7"/>
        <v>0</v>
      </c>
      <c r="K420" s="14"/>
      <c r="L420" s="14"/>
      <c r="M420" s="14"/>
    </row>
    <row r="421" spans="1:13" s="41" customFormat="1" ht="30" customHeight="1" x14ac:dyDescent="0.3">
      <c r="A421" s="63"/>
      <c r="E421" s="36"/>
      <c r="F421" s="36"/>
      <c r="G421" s="36"/>
      <c r="H421" s="58">
        <f t="shared" si="7"/>
        <v>0</v>
      </c>
      <c r="K421" s="14"/>
      <c r="L421" s="14"/>
      <c r="M421" s="14"/>
    </row>
    <row r="422" spans="1:13" s="41" customFormat="1" ht="30" customHeight="1" x14ac:dyDescent="0.3">
      <c r="A422" s="63"/>
      <c r="E422" s="36"/>
      <c r="F422" s="36"/>
      <c r="G422" s="36"/>
      <c r="H422" s="58">
        <f t="shared" si="7"/>
        <v>0</v>
      </c>
      <c r="K422" s="14"/>
      <c r="L422" s="14"/>
      <c r="M422" s="14"/>
    </row>
    <row r="423" spans="1:13" s="41" customFormat="1" ht="30" customHeight="1" x14ac:dyDescent="0.3">
      <c r="A423" s="63"/>
      <c r="E423" s="36"/>
      <c r="F423" s="36"/>
      <c r="G423" s="36"/>
      <c r="H423" s="58">
        <f t="shared" si="7"/>
        <v>0</v>
      </c>
      <c r="K423" s="14"/>
      <c r="L423" s="14"/>
      <c r="M423" s="14"/>
    </row>
    <row r="424" spans="1:13" s="41" customFormat="1" ht="30" customHeight="1" x14ac:dyDescent="0.3">
      <c r="A424" s="63"/>
      <c r="E424" s="36"/>
      <c r="F424" s="36"/>
      <c r="G424" s="36"/>
      <c r="H424" s="58">
        <f t="shared" si="7"/>
        <v>0</v>
      </c>
      <c r="K424" s="14"/>
      <c r="L424" s="14"/>
      <c r="M424" s="14"/>
    </row>
    <row r="425" spans="1:13" s="41" customFormat="1" ht="30" customHeight="1" x14ac:dyDescent="0.3">
      <c r="A425" s="63"/>
      <c r="E425" s="36"/>
      <c r="F425" s="36"/>
      <c r="G425" s="36"/>
      <c r="H425" s="58">
        <f t="shared" si="7"/>
        <v>0</v>
      </c>
      <c r="K425" s="14"/>
      <c r="L425" s="14"/>
      <c r="M425" s="14"/>
    </row>
    <row r="426" spans="1:13" s="41" customFormat="1" ht="30" customHeight="1" x14ac:dyDescent="0.3">
      <c r="A426" s="63"/>
      <c r="E426" s="36"/>
      <c r="F426" s="36"/>
      <c r="G426" s="36"/>
      <c r="H426" s="58">
        <f t="shared" si="7"/>
        <v>0</v>
      </c>
      <c r="K426" s="14"/>
      <c r="L426" s="14"/>
      <c r="M426" s="14"/>
    </row>
    <row r="427" spans="1:13" s="41" customFormat="1" ht="30" customHeight="1" x14ac:dyDescent="0.3">
      <c r="A427" s="63"/>
      <c r="E427" s="36"/>
      <c r="F427" s="36"/>
      <c r="G427" s="36"/>
      <c r="H427" s="58">
        <f t="shared" si="7"/>
        <v>0</v>
      </c>
      <c r="K427" s="14"/>
      <c r="L427" s="14"/>
      <c r="M427" s="14"/>
    </row>
    <row r="428" spans="1:13" s="41" customFormat="1" ht="30" customHeight="1" x14ac:dyDescent="0.3">
      <c r="A428" s="63"/>
      <c r="E428" s="36"/>
      <c r="F428" s="36"/>
      <c r="G428" s="36"/>
      <c r="H428" s="58">
        <f t="shared" si="7"/>
        <v>0</v>
      </c>
      <c r="K428" s="14"/>
      <c r="L428" s="14"/>
      <c r="M428" s="14"/>
    </row>
    <row r="429" spans="1:13" s="41" customFormat="1" ht="30" customHeight="1" x14ac:dyDescent="0.3">
      <c r="A429" s="63"/>
      <c r="E429" s="36"/>
      <c r="F429" s="36"/>
      <c r="G429" s="36"/>
      <c r="H429" s="58">
        <f t="shared" si="7"/>
        <v>0</v>
      </c>
      <c r="K429" s="14"/>
      <c r="L429" s="14"/>
      <c r="M429" s="14"/>
    </row>
    <row r="430" spans="1:13" s="41" customFormat="1" ht="30" customHeight="1" x14ac:dyDescent="0.3">
      <c r="A430" s="63"/>
      <c r="E430" s="36"/>
      <c r="F430" s="36"/>
      <c r="G430" s="36"/>
      <c r="H430" s="58">
        <f t="shared" si="7"/>
        <v>0</v>
      </c>
      <c r="K430" s="14"/>
      <c r="L430" s="14"/>
      <c r="M430" s="14"/>
    </row>
    <row r="431" spans="1:13" s="41" customFormat="1" ht="30" customHeight="1" x14ac:dyDescent="0.3">
      <c r="A431" s="63"/>
      <c r="E431" s="36"/>
      <c r="F431" s="36"/>
      <c r="G431" s="36"/>
      <c r="H431" s="58">
        <f t="shared" si="7"/>
        <v>0</v>
      </c>
      <c r="K431" s="14"/>
      <c r="L431" s="14"/>
      <c r="M431" s="14"/>
    </row>
    <row r="432" spans="1:13" s="41" customFormat="1" ht="30" customHeight="1" x14ac:dyDescent="0.3">
      <c r="A432" s="63"/>
      <c r="E432" s="36"/>
      <c r="F432" s="36"/>
      <c r="G432" s="36"/>
      <c r="H432" s="58">
        <f t="shared" si="7"/>
        <v>0</v>
      </c>
      <c r="K432" s="14"/>
      <c r="L432" s="14"/>
      <c r="M432" s="14"/>
    </row>
    <row r="433" spans="1:13" s="41" customFormat="1" ht="30" customHeight="1" x14ac:dyDescent="0.3">
      <c r="A433" s="63"/>
      <c r="E433" s="36"/>
      <c r="F433" s="36"/>
      <c r="G433" s="36"/>
      <c r="H433" s="58">
        <f t="shared" si="7"/>
        <v>0</v>
      </c>
      <c r="K433" s="14"/>
      <c r="L433" s="14"/>
      <c r="M433" s="14"/>
    </row>
    <row r="434" spans="1:13" s="41" customFormat="1" ht="30" customHeight="1" x14ac:dyDescent="0.3">
      <c r="A434" s="63"/>
      <c r="E434" s="36"/>
      <c r="F434" s="36"/>
      <c r="G434" s="36"/>
      <c r="H434" s="58">
        <f t="shared" si="7"/>
        <v>0</v>
      </c>
      <c r="K434" s="14"/>
      <c r="L434" s="14"/>
      <c r="M434" s="14"/>
    </row>
    <row r="435" spans="1:13" s="41" customFormat="1" ht="30" customHeight="1" x14ac:dyDescent="0.3">
      <c r="A435" s="63"/>
      <c r="E435" s="36"/>
      <c r="F435" s="36"/>
      <c r="G435" s="36"/>
      <c r="H435" s="58">
        <f t="shared" si="7"/>
        <v>0</v>
      </c>
      <c r="K435" s="14"/>
      <c r="L435" s="14"/>
      <c r="M435" s="14"/>
    </row>
    <row r="436" spans="1:13" s="41" customFormat="1" ht="30" customHeight="1" x14ac:dyDescent="0.3">
      <c r="A436" s="63"/>
      <c r="E436" s="36"/>
      <c r="F436" s="36"/>
      <c r="G436" s="36"/>
      <c r="H436" s="58">
        <f t="shared" si="7"/>
        <v>0</v>
      </c>
      <c r="K436" s="14"/>
      <c r="L436" s="14"/>
      <c r="M436" s="14"/>
    </row>
    <row r="437" spans="1:13" s="41" customFormat="1" ht="30" customHeight="1" x14ac:dyDescent="0.3">
      <c r="A437" s="63"/>
      <c r="E437" s="36"/>
      <c r="F437" s="36"/>
      <c r="G437" s="36"/>
      <c r="H437" s="58">
        <f t="shared" si="7"/>
        <v>0</v>
      </c>
      <c r="K437" s="14"/>
      <c r="L437" s="14"/>
      <c r="M437" s="14"/>
    </row>
    <row r="438" spans="1:13" s="41" customFormat="1" ht="30" customHeight="1" x14ac:dyDescent="0.3">
      <c r="A438" s="63"/>
      <c r="E438" s="36"/>
      <c r="F438" s="36"/>
      <c r="G438" s="36"/>
      <c r="H438" s="58">
        <f t="shared" si="7"/>
        <v>0</v>
      </c>
      <c r="K438" s="14"/>
      <c r="L438" s="14"/>
      <c r="M438" s="14"/>
    </row>
    <row r="439" spans="1:13" s="41" customFormat="1" ht="30" customHeight="1" x14ac:dyDescent="0.3">
      <c r="A439" s="63"/>
      <c r="E439" s="36"/>
      <c r="F439" s="36"/>
      <c r="G439" s="36"/>
      <c r="H439" s="58">
        <f t="shared" si="7"/>
        <v>0</v>
      </c>
      <c r="K439" s="14"/>
      <c r="L439" s="14"/>
      <c r="M439" s="14"/>
    </row>
    <row r="440" spans="1:13" s="41" customFormat="1" ht="30" customHeight="1" x14ac:dyDescent="0.3">
      <c r="A440" s="63"/>
      <c r="E440" s="36"/>
      <c r="F440" s="36"/>
      <c r="G440" s="36"/>
      <c r="H440" s="58">
        <f t="shared" ref="H440:H503" si="8">H439-G440-F440+E440</f>
        <v>0</v>
      </c>
      <c r="K440" s="14"/>
      <c r="L440" s="14"/>
      <c r="M440" s="14"/>
    </row>
    <row r="441" spans="1:13" s="41" customFormat="1" ht="30" customHeight="1" x14ac:dyDescent="0.3">
      <c r="A441" s="63"/>
      <c r="E441" s="36"/>
      <c r="F441" s="36"/>
      <c r="G441" s="36"/>
      <c r="H441" s="58">
        <f t="shared" si="8"/>
        <v>0</v>
      </c>
      <c r="K441" s="14"/>
      <c r="L441" s="14"/>
      <c r="M441" s="14"/>
    </row>
    <row r="442" spans="1:13" s="41" customFormat="1" ht="30" customHeight="1" x14ac:dyDescent="0.3">
      <c r="A442" s="63"/>
      <c r="E442" s="36"/>
      <c r="F442" s="36"/>
      <c r="G442" s="36"/>
      <c r="H442" s="58">
        <f t="shared" si="8"/>
        <v>0</v>
      </c>
      <c r="K442" s="14"/>
      <c r="L442" s="14"/>
      <c r="M442" s="14"/>
    </row>
    <row r="443" spans="1:13" s="41" customFormat="1" ht="30" customHeight="1" x14ac:dyDescent="0.3">
      <c r="A443" s="63"/>
      <c r="E443" s="36"/>
      <c r="F443" s="36"/>
      <c r="G443" s="36"/>
      <c r="H443" s="58">
        <f t="shared" si="8"/>
        <v>0</v>
      </c>
      <c r="K443" s="14"/>
      <c r="L443" s="14"/>
      <c r="M443" s="14"/>
    </row>
    <row r="444" spans="1:13" s="41" customFormat="1" ht="30" customHeight="1" x14ac:dyDescent="0.3">
      <c r="A444" s="63"/>
      <c r="E444" s="36"/>
      <c r="F444" s="36"/>
      <c r="G444" s="36"/>
      <c r="H444" s="58">
        <f t="shared" si="8"/>
        <v>0</v>
      </c>
      <c r="K444" s="14"/>
      <c r="L444" s="14"/>
      <c r="M444" s="14"/>
    </row>
    <row r="445" spans="1:13" s="41" customFormat="1" ht="30" customHeight="1" x14ac:dyDescent="0.3">
      <c r="A445" s="63"/>
      <c r="E445" s="36"/>
      <c r="F445" s="36"/>
      <c r="G445" s="36"/>
      <c r="H445" s="58">
        <f t="shared" si="8"/>
        <v>0</v>
      </c>
      <c r="K445" s="14"/>
      <c r="L445" s="14"/>
      <c r="M445" s="14"/>
    </row>
    <row r="446" spans="1:13" s="41" customFormat="1" ht="30" customHeight="1" x14ac:dyDescent="0.3">
      <c r="A446" s="63"/>
      <c r="E446" s="36"/>
      <c r="F446" s="36"/>
      <c r="G446" s="36"/>
      <c r="H446" s="58">
        <f t="shared" si="8"/>
        <v>0</v>
      </c>
      <c r="K446" s="14"/>
      <c r="L446" s="14"/>
      <c r="M446" s="14"/>
    </row>
    <row r="447" spans="1:13" s="41" customFormat="1" ht="30" customHeight="1" x14ac:dyDescent="0.3">
      <c r="A447" s="63"/>
      <c r="E447" s="36"/>
      <c r="F447" s="36"/>
      <c r="G447" s="36"/>
      <c r="H447" s="58">
        <f t="shared" si="8"/>
        <v>0</v>
      </c>
      <c r="K447" s="14"/>
      <c r="L447" s="14"/>
      <c r="M447" s="14"/>
    </row>
    <row r="448" spans="1:13" s="41" customFormat="1" ht="30" customHeight="1" x14ac:dyDescent="0.3">
      <c r="A448" s="63"/>
      <c r="E448" s="36"/>
      <c r="F448" s="36"/>
      <c r="G448" s="36"/>
      <c r="H448" s="58">
        <f t="shared" si="8"/>
        <v>0</v>
      </c>
      <c r="K448" s="14"/>
      <c r="L448" s="14"/>
      <c r="M448" s="14"/>
    </row>
    <row r="449" spans="1:13" s="41" customFormat="1" ht="30" customHeight="1" x14ac:dyDescent="0.3">
      <c r="A449" s="63"/>
      <c r="E449" s="36"/>
      <c r="F449" s="36"/>
      <c r="G449" s="36"/>
      <c r="H449" s="58">
        <f t="shared" si="8"/>
        <v>0</v>
      </c>
      <c r="K449" s="14"/>
      <c r="L449" s="14"/>
      <c r="M449" s="14"/>
    </row>
    <row r="450" spans="1:13" s="41" customFormat="1" ht="30" customHeight="1" x14ac:dyDescent="0.3">
      <c r="A450" s="63"/>
      <c r="E450" s="36"/>
      <c r="F450" s="36"/>
      <c r="G450" s="36"/>
      <c r="H450" s="58">
        <f t="shared" si="8"/>
        <v>0</v>
      </c>
      <c r="K450" s="14"/>
      <c r="L450" s="14"/>
      <c r="M450" s="14"/>
    </row>
    <row r="451" spans="1:13" s="41" customFormat="1" ht="30" customHeight="1" x14ac:dyDescent="0.3">
      <c r="A451" s="63"/>
      <c r="E451" s="36"/>
      <c r="F451" s="36"/>
      <c r="G451" s="36"/>
      <c r="H451" s="58">
        <f t="shared" si="8"/>
        <v>0</v>
      </c>
      <c r="K451" s="14"/>
      <c r="L451" s="14"/>
      <c r="M451" s="14"/>
    </row>
    <row r="452" spans="1:13" s="41" customFormat="1" ht="30" customHeight="1" x14ac:dyDescent="0.3">
      <c r="A452" s="63"/>
      <c r="E452" s="36"/>
      <c r="F452" s="36"/>
      <c r="G452" s="36"/>
      <c r="H452" s="58">
        <f t="shared" si="8"/>
        <v>0</v>
      </c>
      <c r="K452" s="14"/>
      <c r="L452" s="14"/>
      <c r="M452" s="14"/>
    </row>
    <row r="453" spans="1:13" s="41" customFormat="1" ht="30" customHeight="1" x14ac:dyDescent="0.3">
      <c r="A453" s="63"/>
      <c r="E453" s="36"/>
      <c r="F453" s="36"/>
      <c r="G453" s="36"/>
      <c r="H453" s="58">
        <f t="shared" si="8"/>
        <v>0</v>
      </c>
      <c r="K453" s="14"/>
      <c r="L453" s="14"/>
      <c r="M453" s="14"/>
    </row>
    <row r="454" spans="1:13" s="41" customFormat="1" ht="30" customHeight="1" x14ac:dyDescent="0.3">
      <c r="A454" s="63"/>
      <c r="E454" s="36"/>
      <c r="F454" s="36"/>
      <c r="G454" s="36"/>
      <c r="H454" s="58">
        <f t="shared" si="8"/>
        <v>0</v>
      </c>
      <c r="K454" s="14"/>
      <c r="L454" s="14"/>
      <c r="M454" s="14"/>
    </row>
    <row r="455" spans="1:13" s="41" customFormat="1" ht="30" customHeight="1" x14ac:dyDescent="0.3">
      <c r="A455" s="63"/>
      <c r="E455" s="36"/>
      <c r="F455" s="36"/>
      <c r="G455" s="36"/>
      <c r="H455" s="58">
        <f t="shared" si="8"/>
        <v>0</v>
      </c>
      <c r="K455" s="14"/>
      <c r="L455" s="14"/>
      <c r="M455" s="14"/>
    </row>
    <row r="456" spans="1:13" s="41" customFormat="1" ht="30" customHeight="1" x14ac:dyDescent="0.3">
      <c r="A456" s="63"/>
      <c r="E456" s="36"/>
      <c r="F456" s="36"/>
      <c r="G456" s="36"/>
      <c r="H456" s="58">
        <f t="shared" si="8"/>
        <v>0</v>
      </c>
      <c r="K456" s="14"/>
      <c r="L456" s="14"/>
      <c r="M456" s="14"/>
    </row>
    <row r="457" spans="1:13" s="41" customFormat="1" ht="30" customHeight="1" x14ac:dyDescent="0.3">
      <c r="A457" s="63"/>
      <c r="E457" s="36"/>
      <c r="F457" s="36"/>
      <c r="G457" s="36"/>
      <c r="H457" s="58">
        <f t="shared" si="8"/>
        <v>0</v>
      </c>
      <c r="K457" s="14"/>
      <c r="L457" s="14"/>
      <c r="M457" s="14"/>
    </row>
    <row r="458" spans="1:13" s="41" customFormat="1" ht="30" customHeight="1" x14ac:dyDescent="0.3">
      <c r="A458" s="63"/>
      <c r="E458" s="36"/>
      <c r="F458" s="36"/>
      <c r="G458" s="36"/>
      <c r="H458" s="58">
        <f t="shared" si="8"/>
        <v>0</v>
      </c>
      <c r="K458" s="14"/>
      <c r="L458" s="14"/>
      <c r="M458" s="14"/>
    </row>
    <row r="459" spans="1:13" s="41" customFormat="1" ht="30" customHeight="1" x14ac:dyDescent="0.3">
      <c r="A459" s="63"/>
      <c r="E459" s="36"/>
      <c r="F459" s="36"/>
      <c r="G459" s="36"/>
      <c r="H459" s="58">
        <f t="shared" si="8"/>
        <v>0</v>
      </c>
      <c r="K459" s="14"/>
      <c r="L459" s="14"/>
      <c r="M459" s="14"/>
    </row>
    <row r="460" spans="1:13" s="41" customFormat="1" ht="30" customHeight="1" x14ac:dyDescent="0.3">
      <c r="A460" s="63"/>
      <c r="E460" s="36"/>
      <c r="F460" s="36"/>
      <c r="G460" s="36"/>
      <c r="H460" s="58">
        <f t="shared" si="8"/>
        <v>0</v>
      </c>
      <c r="K460" s="14"/>
      <c r="L460" s="14"/>
      <c r="M460" s="14"/>
    </row>
    <row r="461" spans="1:13" s="41" customFormat="1" ht="30" customHeight="1" x14ac:dyDescent="0.3">
      <c r="A461" s="63"/>
      <c r="E461" s="36"/>
      <c r="F461" s="36"/>
      <c r="G461" s="36"/>
      <c r="H461" s="58">
        <f t="shared" si="8"/>
        <v>0</v>
      </c>
      <c r="K461" s="14"/>
      <c r="L461" s="14"/>
      <c r="M461" s="14"/>
    </row>
    <row r="462" spans="1:13" s="41" customFormat="1" ht="30" customHeight="1" x14ac:dyDescent="0.3">
      <c r="A462" s="63"/>
      <c r="E462" s="36"/>
      <c r="F462" s="36"/>
      <c r="G462" s="36"/>
      <c r="H462" s="58">
        <f t="shared" si="8"/>
        <v>0</v>
      </c>
      <c r="K462" s="14"/>
      <c r="L462" s="14"/>
      <c r="M462" s="14"/>
    </row>
    <row r="463" spans="1:13" s="41" customFormat="1" ht="30" customHeight="1" x14ac:dyDescent="0.3">
      <c r="A463" s="63"/>
      <c r="E463" s="36"/>
      <c r="F463" s="36"/>
      <c r="G463" s="36"/>
      <c r="H463" s="58">
        <f t="shared" si="8"/>
        <v>0</v>
      </c>
      <c r="K463" s="14"/>
      <c r="L463" s="14"/>
      <c r="M463" s="14"/>
    </row>
    <row r="464" spans="1:13" s="41" customFormat="1" ht="30" customHeight="1" x14ac:dyDescent="0.3">
      <c r="A464" s="63"/>
      <c r="E464" s="36"/>
      <c r="F464" s="36"/>
      <c r="G464" s="36"/>
      <c r="H464" s="58">
        <f t="shared" si="8"/>
        <v>0</v>
      </c>
      <c r="K464" s="14"/>
      <c r="L464" s="14"/>
      <c r="M464" s="14"/>
    </row>
    <row r="465" spans="1:13" s="41" customFormat="1" ht="30" customHeight="1" x14ac:dyDescent="0.3">
      <c r="A465" s="63"/>
      <c r="E465" s="36"/>
      <c r="F465" s="36"/>
      <c r="G465" s="36"/>
      <c r="H465" s="58">
        <f t="shared" si="8"/>
        <v>0</v>
      </c>
      <c r="K465" s="14"/>
      <c r="L465" s="14"/>
      <c r="M465" s="14"/>
    </row>
    <row r="466" spans="1:13" s="41" customFormat="1" ht="30" customHeight="1" x14ac:dyDescent="0.3">
      <c r="A466" s="63"/>
      <c r="E466" s="36"/>
      <c r="F466" s="36"/>
      <c r="G466" s="36"/>
      <c r="H466" s="58">
        <f t="shared" si="8"/>
        <v>0</v>
      </c>
      <c r="K466" s="14"/>
      <c r="L466" s="14"/>
      <c r="M466" s="14"/>
    </row>
    <row r="467" spans="1:13" s="41" customFormat="1" ht="30" customHeight="1" x14ac:dyDescent="0.3">
      <c r="A467" s="63"/>
      <c r="E467" s="36"/>
      <c r="F467" s="36"/>
      <c r="G467" s="36"/>
      <c r="H467" s="58">
        <f t="shared" si="8"/>
        <v>0</v>
      </c>
      <c r="K467" s="14"/>
      <c r="L467" s="14"/>
      <c r="M467" s="14"/>
    </row>
    <row r="468" spans="1:13" s="41" customFormat="1" ht="30" customHeight="1" x14ac:dyDescent="0.3">
      <c r="A468" s="63"/>
      <c r="E468" s="36"/>
      <c r="F468" s="36"/>
      <c r="G468" s="36"/>
      <c r="H468" s="58">
        <f t="shared" si="8"/>
        <v>0</v>
      </c>
      <c r="K468" s="14"/>
      <c r="L468" s="14"/>
      <c r="M468" s="14"/>
    </row>
    <row r="469" spans="1:13" s="41" customFormat="1" ht="30" customHeight="1" x14ac:dyDescent="0.3">
      <c r="A469" s="63"/>
      <c r="E469" s="36"/>
      <c r="F469" s="36"/>
      <c r="G469" s="36"/>
      <c r="H469" s="58">
        <f t="shared" si="8"/>
        <v>0</v>
      </c>
      <c r="K469" s="14"/>
      <c r="L469" s="14"/>
      <c r="M469" s="14"/>
    </row>
    <row r="470" spans="1:13" s="41" customFormat="1" ht="30" customHeight="1" x14ac:dyDescent="0.3">
      <c r="A470" s="63"/>
      <c r="E470" s="36"/>
      <c r="F470" s="36"/>
      <c r="G470" s="36"/>
      <c r="H470" s="58">
        <f t="shared" si="8"/>
        <v>0</v>
      </c>
      <c r="K470" s="14"/>
      <c r="L470" s="14"/>
      <c r="M470" s="14"/>
    </row>
    <row r="471" spans="1:13" s="41" customFormat="1" ht="30" customHeight="1" x14ac:dyDescent="0.3">
      <c r="A471" s="63"/>
      <c r="E471" s="36"/>
      <c r="F471" s="36"/>
      <c r="G471" s="36"/>
      <c r="H471" s="58">
        <f t="shared" si="8"/>
        <v>0</v>
      </c>
      <c r="K471" s="14"/>
      <c r="L471" s="14"/>
      <c r="M471" s="14"/>
    </row>
    <row r="472" spans="1:13" s="41" customFormat="1" ht="30" customHeight="1" x14ac:dyDescent="0.3">
      <c r="A472" s="63"/>
      <c r="E472" s="36"/>
      <c r="F472" s="36"/>
      <c r="G472" s="36"/>
      <c r="H472" s="58">
        <f t="shared" si="8"/>
        <v>0</v>
      </c>
      <c r="K472" s="14"/>
      <c r="L472" s="14"/>
      <c r="M472" s="14"/>
    </row>
    <row r="473" spans="1:13" s="41" customFormat="1" ht="30" customHeight="1" x14ac:dyDescent="0.3">
      <c r="A473" s="63"/>
      <c r="E473" s="36"/>
      <c r="F473" s="36"/>
      <c r="G473" s="36"/>
      <c r="H473" s="58">
        <f t="shared" si="8"/>
        <v>0</v>
      </c>
      <c r="K473" s="14"/>
      <c r="L473" s="14"/>
      <c r="M473" s="14"/>
    </row>
    <row r="474" spans="1:13" s="41" customFormat="1" ht="30" customHeight="1" x14ac:dyDescent="0.3">
      <c r="A474" s="63"/>
      <c r="E474" s="36"/>
      <c r="F474" s="36"/>
      <c r="G474" s="36"/>
      <c r="H474" s="58">
        <f t="shared" si="8"/>
        <v>0</v>
      </c>
      <c r="K474" s="14"/>
      <c r="L474" s="14"/>
      <c r="M474" s="14"/>
    </row>
    <row r="475" spans="1:13" s="41" customFormat="1" ht="30" customHeight="1" x14ac:dyDescent="0.3">
      <c r="A475" s="63"/>
      <c r="E475" s="36"/>
      <c r="F475" s="36"/>
      <c r="G475" s="36"/>
      <c r="H475" s="58">
        <f t="shared" si="8"/>
        <v>0</v>
      </c>
      <c r="K475" s="14"/>
      <c r="L475" s="14"/>
      <c r="M475" s="14"/>
    </row>
    <row r="476" spans="1:13" s="41" customFormat="1" ht="30" customHeight="1" x14ac:dyDescent="0.3">
      <c r="A476" s="63"/>
      <c r="E476" s="36"/>
      <c r="F476" s="36"/>
      <c r="G476" s="36"/>
      <c r="H476" s="58">
        <f t="shared" si="8"/>
        <v>0</v>
      </c>
      <c r="K476" s="14"/>
      <c r="L476" s="14"/>
      <c r="M476" s="14"/>
    </row>
    <row r="477" spans="1:13" s="41" customFormat="1" ht="30" customHeight="1" x14ac:dyDescent="0.3">
      <c r="A477" s="63"/>
      <c r="E477" s="36"/>
      <c r="F477" s="36"/>
      <c r="G477" s="36"/>
      <c r="H477" s="58">
        <f t="shared" si="8"/>
        <v>0</v>
      </c>
      <c r="K477" s="14"/>
      <c r="L477" s="14"/>
      <c r="M477" s="14"/>
    </row>
    <row r="478" spans="1:13" s="41" customFormat="1" ht="30" customHeight="1" x14ac:dyDescent="0.3">
      <c r="A478" s="63"/>
      <c r="E478" s="36"/>
      <c r="F478" s="36"/>
      <c r="G478" s="36"/>
      <c r="H478" s="58">
        <f t="shared" si="8"/>
        <v>0</v>
      </c>
      <c r="K478" s="14"/>
      <c r="L478" s="14"/>
      <c r="M478" s="14"/>
    </row>
    <row r="479" spans="1:13" s="41" customFormat="1" ht="30" customHeight="1" x14ac:dyDescent="0.3">
      <c r="A479" s="63"/>
      <c r="E479" s="36"/>
      <c r="F479" s="36"/>
      <c r="G479" s="36"/>
      <c r="H479" s="58">
        <f t="shared" si="8"/>
        <v>0</v>
      </c>
      <c r="K479" s="14"/>
      <c r="L479" s="14"/>
      <c r="M479" s="14"/>
    </row>
    <row r="480" spans="1:13" s="41" customFormat="1" ht="30" customHeight="1" x14ac:dyDescent="0.3">
      <c r="A480" s="63"/>
      <c r="E480" s="36"/>
      <c r="F480" s="36"/>
      <c r="G480" s="36"/>
      <c r="H480" s="58">
        <f t="shared" si="8"/>
        <v>0</v>
      </c>
      <c r="K480" s="14"/>
      <c r="L480" s="14"/>
      <c r="M480" s="14"/>
    </row>
    <row r="481" spans="1:13" s="41" customFormat="1" ht="30" customHeight="1" x14ac:dyDescent="0.3">
      <c r="A481" s="63"/>
      <c r="E481" s="36"/>
      <c r="F481" s="36"/>
      <c r="G481" s="36"/>
      <c r="H481" s="58">
        <f t="shared" si="8"/>
        <v>0</v>
      </c>
      <c r="K481" s="14"/>
      <c r="L481" s="14"/>
      <c r="M481" s="14"/>
    </row>
    <row r="482" spans="1:13" s="41" customFormat="1" ht="30" customHeight="1" x14ac:dyDescent="0.3">
      <c r="A482" s="63"/>
      <c r="E482" s="36"/>
      <c r="F482" s="36"/>
      <c r="G482" s="36"/>
      <c r="H482" s="58">
        <f t="shared" si="8"/>
        <v>0</v>
      </c>
      <c r="K482" s="14"/>
      <c r="L482" s="14"/>
      <c r="M482" s="14"/>
    </row>
    <row r="483" spans="1:13" s="41" customFormat="1" ht="30" customHeight="1" x14ac:dyDescent="0.3">
      <c r="A483" s="63"/>
      <c r="E483" s="36"/>
      <c r="F483" s="36"/>
      <c r="G483" s="36"/>
      <c r="H483" s="58">
        <f t="shared" si="8"/>
        <v>0</v>
      </c>
      <c r="K483" s="14"/>
      <c r="L483" s="14"/>
      <c r="M483" s="14"/>
    </row>
    <row r="484" spans="1:13" s="41" customFormat="1" ht="30" customHeight="1" x14ac:dyDescent="0.3">
      <c r="A484" s="63"/>
      <c r="E484" s="36"/>
      <c r="F484" s="36"/>
      <c r="G484" s="36"/>
      <c r="H484" s="58">
        <f t="shared" si="8"/>
        <v>0</v>
      </c>
      <c r="K484" s="14"/>
      <c r="L484" s="14"/>
      <c r="M484" s="14"/>
    </row>
    <row r="485" spans="1:13" s="41" customFormat="1" ht="30" customHeight="1" x14ac:dyDescent="0.3">
      <c r="A485" s="63"/>
      <c r="E485" s="36"/>
      <c r="F485" s="36"/>
      <c r="G485" s="36"/>
      <c r="H485" s="58">
        <f t="shared" si="8"/>
        <v>0</v>
      </c>
      <c r="K485" s="14"/>
      <c r="L485" s="14"/>
      <c r="M485" s="14"/>
    </row>
    <row r="486" spans="1:13" s="41" customFormat="1" ht="30" customHeight="1" x14ac:dyDescent="0.3">
      <c r="A486" s="63"/>
      <c r="E486" s="36"/>
      <c r="F486" s="36"/>
      <c r="G486" s="36"/>
      <c r="H486" s="58">
        <f t="shared" si="8"/>
        <v>0</v>
      </c>
      <c r="K486" s="14"/>
      <c r="L486" s="14"/>
      <c r="M486" s="14"/>
    </row>
    <row r="487" spans="1:13" s="41" customFormat="1" ht="30" customHeight="1" x14ac:dyDescent="0.3">
      <c r="A487" s="63"/>
      <c r="E487" s="36"/>
      <c r="F487" s="36"/>
      <c r="G487" s="36"/>
      <c r="H487" s="58">
        <f t="shared" si="8"/>
        <v>0</v>
      </c>
      <c r="K487" s="14"/>
      <c r="L487" s="14"/>
      <c r="M487" s="14"/>
    </row>
    <row r="488" spans="1:13" s="41" customFormat="1" ht="30" customHeight="1" x14ac:dyDescent="0.3">
      <c r="A488" s="63"/>
      <c r="E488" s="36"/>
      <c r="F488" s="36"/>
      <c r="G488" s="36"/>
      <c r="H488" s="58">
        <f t="shared" si="8"/>
        <v>0</v>
      </c>
      <c r="K488" s="14"/>
      <c r="L488" s="14"/>
      <c r="M488" s="14"/>
    </row>
    <row r="489" spans="1:13" s="41" customFormat="1" ht="30" customHeight="1" x14ac:dyDescent="0.3">
      <c r="A489" s="63"/>
      <c r="E489" s="36"/>
      <c r="F489" s="36"/>
      <c r="G489" s="36"/>
      <c r="H489" s="58">
        <f t="shared" si="8"/>
        <v>0</v>
      </c>
      <c r="K489" s="14"/>
      <c r="L489" s="14"/>
      <c r="M489" s="14"/>
    </row>
    <row r="490" spans="1:13" s="41" customFormat="1" ht="30" customHeight="1" x14ac:dyDescent="0.3">
      <c r="A490" s="63"/>
      <c r="E490" s="36"/>
      <c r="F490" s="36"/>
      <c r="G490" s="36"/>
      <c r="H490" s="58">
        <f t="shared" si="8"/>
        <v>0</v>
      </c>
      <c r="K490" s="14"/>
      <c r="L490" s="14"/>
      <c r="M490" s="14"/>
    </row>
    <row r="491" spans="1:13" s="41" customFormat="1" ht="30" customHeight="1" x14ac:dyDescent="0.3">
      <c r="A491" s="63"/>
      <c r="E491" s="36"/>
      <c r="F491" s="36"/>
      <c r="G491" s="36"/>
      <c r="H491" s="58">
        <f t="shared" si="8"/>
        <v>0</v>
      </c>
      <c r="K491" s="14"/>
      <c r="L491" s="14"/>
      <c r="M491" s="14"/>
    </row>
    <row r="492" spans="1:13" s="41" customFormat="1" ht="30" customHeight="1" x14ac:dyDescent="0.3">
      <c r="A492" s="63"/>
      <c r="E492" s="36"/>
      <c r="F492" s="36"/>
      <c r="G492" s="36"/>
      <c r="H492" s="58">
        <f t="shared" si="8"/>
        <v>0</v>
      </c>
      <c r="K492" s="14"/>
      <c r="L492" s="14"/>
      <c r="M492" s="14"/>
    </row>
    <row r="493" spans="1:13" s="41" customFormat="1" ht="30" customHeight="1" x14ac:dyDescent="0.3">
      <c r="A493" s="63"/>
      <c r="E493" s="36"/>
      <c r="F493" s="36"/>
      <c r="G493" s="36"/>
      <c r="H493" s="58">
        <f t="shared" si="8"/>
        <v>0</v>
      </c>
      <c r="K493" s="14"/>
      <c r="L493" s="14"/>
      <c r="M493" s="14"/>
    </row>
    <row r="494" spans="1:13" s="41" customFormat="1" ht="30" customHeight="1" x14ac:dyDescent="0.3">
      <c r="A494" s="63"/>
      <c r="E494" s="36"/>
      <c r="F494" s="36"/>
      <c r="G494" s="36"/>
      <c r="H494" s="58">
        <f t="shared" si="8"/>
        <v>0</v>
      </c>
      <c r="K494" s="14"/>
      <c r="L494" s="14"/>
      <c r="M494" s="14"/>
    </row>
    <row r="495" spans="1:13" s="41" customFormat="1" ht="30" customHeight="1" x14ac:dyDescent="0.3">
      <c r="A495" s="63"/>
      <c r="E495" s="36"/>
      <c r="F495" s="36"/>
      <c r="G495" s="36"/>
      <c r="H495" s="58">
        <f t="shared" si="8"/>
        <v>0</v>
      </c>
      <c r="K495" s="14"/>
      <c r="L495" s="14"/>
      <c r="M495" s="14"/>
    </row>
    <row r="496" spans="1:13" s="41" customFormat="1" ht="30" customHeight="1" x14ac:dyDescent="0.3">
      <c r="A496" s="63"/>
      <c r="E496" s="36"/>
      <c r="F496" s="36"/>
      <c r="G496" s="36"/>
      <c r="H496" s="58">
        <f t="shared" si="8"/>
        <v>0</v>
      </c>
      <c r="K496" s="14"/>
      <c r="L496" s="14"/>
      <c r="M496" s="14"/>
    </row>
    <row r="497" spans="1:13" s="41" customFormat="1" ht="30" customHeight="1" x14ac:dyDescent="0.3">
      <c r="A497" s="63"/>
      <c r="E497" s="36"/>
      <c r="F497" s="36"/>
      <c r="G497" s="36"/>
      <c r="H497" s="58">
        <f t="shared" si="8"/>
        <v>0</v>
      </c>
      <c r="K497" s="14"/>
      <c r="L497" s="14"/>
      <c r="M497" s="14"/>
    </row>
    <row r="498" spans="1:13" s="41" customFormat="1" ht="30" customHeight="1" x14ac:dyDescent="0.3">
      <c r="A498" s="63"/>
      <c r="E498" s="36"/>
      <c r="F498" s="36"/>
      <c r="G498" s="36"/>
      <c r="H498" s="58">
        <f t="shared" si="8"/>
        <v>0</v>
      </c>
      <c r="K498" s="14"/>
      <c r="L498" s="14"/>
      <c r="M498" s="14"/>
    </row>
    <row r="499" spans="1:13" s="41" customFormat="1" ht="30" customHeight="1" x14ac:dyDescent="0.3">
      <c r="A499" s="63"/>
      <c r="E499" s="36"/>
      <c r="F499" s="36"/>
      <c r="G499" s="36"/>
      <c r="H499" s="58">
        <f t="shared" si="8"/>
        <v>0</v>
      </c>
      <c r="K499" s="14"/>
      <c r="L499" s="14"/>
      <c r="M499" s="14"/>
    </row>
    <row r="500" spans="1:13" s="41" customFormat="1" ht="30" customHeight="1" x14ac:dyDescent="0.3">
      <c r="A500" s="63"/>
      <c r="E500" s="36"/>
      <c r="F500" s="36"/>
      <c r="G500" s="36"/>
      <c r="H500" s="58">
        <f t="shared" si="8"/>
        <v>0</v>
      </c>
      <c r="K500" s="14"/>
      <c r="L500" s="14"/>
      <c r="M500" s="14"/>
    </row>
    <row r="501" spans="1:13" s="41" customFormat="1" ht="30" customHeight="1" x14ac:dyDescent="0.3">
      <c r="A501" s="63"/>
      <c r="E501" s="36"/>
      <c r="F501" s="36"/>
      <c r="G501" s="36"/>
      <c r="H501" s="58">
        <f t="shared" si="8"/>
        <v>0</v>
      </c>
      <c r="K501" s="14"/>
      <c r="L501" s="14"/>
      <c r="M501" s="14"/>
    </row>
    <row r="502" spans="1:13" s="41" customFormat="1" ht="30" customHeight="1" x14ac:dyDescent="0.3">
      <c r="A502" s="63"/>
      <c r="E502" s="36"/>
      <c r="F502" s="36"/>
      <c r="G502" s="36"/>
      <c r="H502" s="58">
        <f t="shared" si="8"/>
        <v>0</v>
      </c>
      <c r="K502" s="14"/>
      <c r="L502" s="14"/>
      <c r="M502" s="14"/>
    </row>
    <row r="503" spans="1:13" s="41" customFormat="1" ht="30" customHeight="1" x14ac:dyDescent="0.3">
      <c r="A503" s="63"/>
      <c r="E503" s="36"/>
      <c r="F503" s="36"/>
      <c r="G503" s="36"/>
      <c r="H503" s="58">
        <f t="shared" si="8"/>
        <v>0</v>
      </c>
      <c r="K503" s="14"/>
      <c r="L503" s="14"/>
      <c r="M503" s="14"/>
    </row>
    <row r="504" spans="1:13" s="41" customFormat="1" ht="30" customHeight="1" x14ac:dyDescent="0.3">
      <c r="A504" s="63"/>
      <c r="E504" s="36"/>
      <c r="F504" s="36"/>
      <c r="G504" s="36"/>
      <c r="H504" s="58">
        <f t="shared" ref="H504:H567" si="9">H503-G504-F504+E504</f>
        <v>0</v>
      </c>
      <c r="K504" s="14"/>
      <c r="L504" s="14"/>
      <c r="M504" s="14"/>
    </row>
    <row r="505" spans="1:13" s="41" customFormat="1" ht="30" customHeight="1" x14ac:dyDescent="0.3">
      <c r="A505" s="63"/>
      <c r="E505" s="36"/>
      <c r="F505" s="36"/>
      <c r="G505" s="36"/>
      <c r="H505" s="58">
        <f t="shared" si="9"/>
        <v>0</v>
      </c>
      <c r="K505" s="14"/>
      <c r="L505" s="14"/>
      <c r="M505" s="14"/>
    </row>
    <row r="506" spans="1:13" s="41" customFormat="1" ht="30" customHeight="1" x14ac:dyDescent="0.3">
      <c r="A506" s="63"/>
      <c r="E506" s="36"/>
      <c r="F506" s="36"/>
      <c r="G506" s="36"/>
      <c r="H506" s="58">
        <f t="shared" si="9"/>
        <v>0</v>
      </c>
      <c r="K506" s="14"/>
      <c r="L506" s="14"/>
      <c r="M506" s="14"/>
    </row>
    <row r="507" spans="1:13" s="41" customFormat="1" ht="30" customHeight="1" x14ac:dyDescent="0.3">
      <c r="A507" s="63"/>
      <c r="E507" s="36"/>
      <c r="F507" s="36"/>
      <c r="G507" s="36"/>
      <c r="H507" s="58">
        <f t="shared" si="9"/>
        <v>0</v>
      </c>
      <c r="K507" s="14"/>
      <c r="L507" s="14"/>
      <c r="M507" s="14"/>
    </row>
    <row r="508" spans="1:13" s="41" customFormat="1" ht="30" customHeight="1" x14ac:dyDescent="0.3">
      <c r="A508" s="63"/>
      <c r="E508" s="36"/>
      <c r="F508" s="36"/>
      <c r="G508" s="36"/>
      <c r="H508" s="58">
        <f t="shared" si="9"/>
        <v>0</v>
      </c>
      <c r="K508" s="14"/>
      <c r="L508" s="14"/>
      <c r="M508" s="14"/>
    </row>
    <row r="509" spans="1:13" s="41" customFormat="1" ht="30" customHeight="1" x14ac:dyDescent="0.3">
      <c r="A509" s="63"/>
      <c r="E509" s="36"/>
      <c r="F509" s="36"/>
      <c r="G509" s="36"/>
      <c r="H509" s="58">
        <f t="shared" si="9"/>
        <v>0</v>
      </c>
      <c r="K509" s="14"/>
      <c r="L509" s="14"/>
      <c r="M509" s="14"/>
    </row>
    <row r="510" spans="1:13" s="41" customFormat="1" ht="30" customHeight="1" x14ac:dyDescent="0.3">
      <c r="A510" s="63"/>
      <c r="E510" s="36"/>
      <c r="F510" s="36"/>
      <c r="G510" s="36"/>
      <c r="H510" s="58">
        <f t="shared" si="9"/>
        <v>0</v>
      </c>
      <c r="K510" s="14"/>
      <c r="L510" s="14"/>
      <c r="M510" s="14"/>
    </row>
    <row r="511" spans="1:13" s="41" customFormat="1" ht="30" customHeight="1" x14ac:dyDescent="0.3">
      <c r="A511" s="63"/>
      <c r="E511" s="36"/>
      <c r="F511" s="36"/>
      <c r="G511" s="36"/>
      <c r="H511" s="58">
        <f t="shared" si="9"/>
        <v>0</v>
      </c>
      <c r="K511" s="14"/>
      <c r="L511" s="14"/>
      <c r="M511" s="14"/>
    </row>
    <row r="512" spans="1:13" s="41" customFormat="1" ht="30" customHeight="1" x14ac:dyDescent="0.3">
      <c r="A512" s="63"/>
      <c r="E512" s="36"/>
      <c r="F512" s="36"/>
      <c r="G512" s="36"/>
      <c r="H512" s="58">
        <f t="shared" si="9"/>
        <v>0</v>
      </c>
      <c r="K512" s="14"/>
      <c r="L512" s="14"/>
      <c r="M512" s="14"/>
    </row>
    <row r="513" spans="1:13" s="41" customFormat="1" ht="30" customHeight="1" x14ac:dyDescent="0.3">
      <c r="A513" s="63"/>
      <c r="E513" s="36"/>
      <c r="F513" s="36"/>
      <c r="G513" s="36"/>
      <c r="H513" s="58">
        <f t="shared" si="9"/>
        <v>0</v>
      </c>
      <c r="K513" s="14"/>
      <c r="L513" s="14"/>
      <c r="M513" s="14"/>
    </row>
    <row r="514" spans="1:13" s="41" customFormat="1" ht="30" customHeight="1" x14ac:dyDescent="0.3">
      <c r="A514" s="63"/>
      <c r="E514" s="36"/>
      <c r="F514" s="36"/>
      <c r="G514" s="36"/>
      <c r="H514" s="58">
        <f t="shared" si="9"/>
        <v>0</v>
      </c>
      <c r="K514" s="14"/>
      <c r="L514" s="14"/>
      <c r="M514" s="14"/>
    </row>
    <row r="515" spans="1:13" s="41" customFormat="1" ht="30" customHeight="1" x14ac:dyDescent="0.3">
      <c r="A515" s="63"/>
      <c r="E515" s="36"/>
      <c r="F515" s="36"/>
      <c r="G515" s="36"/>
      <c r="H515" s="58">
        <f t="shared" si="9"/>
        <v>0</v>
      </c>
      <c r="K515" s="14"/>
      <c r="L515" s="14"/>
      <c r="M515" s="14"/>
    </row>
    <row r="516" spans="1:13" s="41" customFormat="1" ht="30" customHeight="1" x14ac:dyDescent="0.3">
      <c r="A516" s="63"/>
      <c r="E516" s="36"/>
      <c r="F516" s="36"/>
      <c r="G516" s="36"/>
      <c r="H516" s="58">
        <f t="shared" si="9"/>
        <v>0</v>
      </c>
      <c r="K516" s="14"/>
      <c r="L516" s="14"/>
      <c r="M516" s="14"/>
    </row>
    <row r="517" spans="1:13" s="41" customFormat="1" ht="30" customHeight="1" x14ac:dyDescent="0.3">
      <c r="A517" s="63"/>
      <c r="E517" s="36"/>
      <c r="F517" s="36"/>
      <c r="G517" s="36"/>
      <c r="H517" s="58">
        <f t="shared" si="9"/>
        <v>0</v>
      </c>
      <c r="K517" s="14"/>
      <c r="L517" s="14"/>
      <c r="M517" s="14"/>
    </row>
    <row r="518" spans="1:13" s="41" customFormat="1" ht="30" customHeight="1" x14ac:dyDescent="0.3">
      <c r="A518" s="63"/>
      <c r="E518" s="36"/>
      <c r="F518" s="36"/>
      <c r="G518" s="36"/>
      <c r="H518" s="58">
        <f t="shared" si="9"/>
        <v>0</v>
      </c>
      <c r="K518" s="14"/>
      <c r="L518" s="14"/>
      <c r="M518" s="14"/>
    </row>
    <row r="519" spans="1:13" s="41" customFormat="1" ht="30" customHeight="1" x14ac:dyDescent="0.3">
      <c r="A519" s="63"/>
      <c r="E519" s="36"/>
      <c r="F519" s="36"/>
      <c r="G519" s="36"/>
      <c r="H519" s="58">
        <f t="shared" si="9"/>
        <v>0</v>
      </c>
      <c r="K519" s="14"/>
      <c r="L519" s="14"/>
      <c r="M519" s="14"/>
    </row>
    <row r="520" spans="1:13" s="41" customFormat="1" ht="30" customHeight="1" x14ac:dyDescent="0.3">
      <c r="A520" s="63"/>
      <c r="E520" s="36"/>
      <c r="F520" s="36"/>
      <c r="G520" s="36"/>
      <c r="H520" s="58">
        <f t="shared" si="9"/>
        <v>0</v>
      </c>
      <c r="K520" s="14"/>
      <c r="L520" s="14"/>
      <c r="M520" s="14"/>
    </row>
    <row r="521" spans="1:13" s="41" customFormat="1" ht="30" customHeight="1" x14ac:dyDescent="0.3">
      <c r="A521" s="63"/>
      <c r="E521" s="36"/>
      <c r="F521" s="36"/>
      <c r="G521" s="36"/>
      <c r="H521" s="58">
        <f t="shared" si="9"/>
        <v>0</v>
      </c>
      <c r="K521" s="14"/>
      <c r="L521" s="14"/>
      <c r="M521" s="14"/>
    </row>
    <row r="522" spans="1:13" s="41" customFormat="1" ht="30" customHeight="1" x14ac:dyDescent="0.3">
      <c r="A522" s="63"/>
      <c r="E522" s="36"/>
      <c r="F522" s="36"/>
      <c r="G522" s="36"/>
      <c r="H522" s="58">
        <f t="shared" si="9"/>
        <v>0</v>
      </c>
      <c r="K522" s="14"/>
      <c r="L522" s="14"/>
      <c r="M522" s="14"/>
    </row>
    <row r="523" spans="1:13" s="41" customFormat="1" ht="30" customHeight="1" x14ac:dyDescent="0.3">
      <c r="A523" s="63"/>
      <c r="E523" s="36"/>
      <c r="F523" s="36"/>
      <c r="G523" s="36"/>
      <c r="H523" s="58">
        <f t="shared" si="9"/>
        <v>0</v>
      </c>
      <c r="K523" s="14"/>
      <c r="L523" s="14"/>
      <c r="M523" s="14"/>
    </row>
    <row r="524" spans="1:13" s="41" customFormat="1" ht="30" customHeight="1" x14ac:dyDescent="0.3">
      <c r="A524" s="63"/>
      <c r="E524" s="36"/>
      <c r="F524" s="36"/>
      <c r="G524" s="36"/>
      <c r="H524" s="58">
        <f t="shared" si="9"/>
        <v>0</v>
      </c>
      <c r="K524" s="14"/>
      <c r="L524" s="14"/>
      <c r="M524" s="14"/>
    </row>
    <row r="525" spans="1:13" s="41" customFormat="1" ht="30" customHeight="1" x14ac:dyDescent="0.3">
      <c r="A525" s="63"/>
      <c r="E525" s="36"/>
      <c r="F525" s="36"/>
      <c r="G525" s="36"/>
      <c r="H525" s="58">
        <f t="shared" si="9"/>
        <v>0</v>
      </c>
      <c r="K525" s="14"/>
      <c r="L525" s="14"/>
      <c r="M525" s="14"/>
    </row>
    <row r="526" spans="1:13" s="41" customFormat="1" ht="30" customHeight="1" x14ac:dyDescent="0.3">
      <c r="A526" s="63"/>
      <c r="E526" s="36"/>
      <c r="F526" s="36"/>
      <c r="G526" s="36"/>
      <c r="H526" s="58">
        <f t="shared" si="9"/>
        <v>0</v>
      </c>
      <c r="K526" s="14"/>
      <c r="L526" s="14"/>
      <c r="M526" s="14"/>
    </row>
    <row r="527" spans="1:13" s="41" customFormat="1" ht="30" customHeight="1" x14ac:dyDescent="0.3">
      <c r="A527" s="63"/>
      <c r="E527" s="36"/>
      <c r="F527" s="36"/>
      <c r="G527" s="36"/>
      <c r="H527" s="58">
        <f t="shared" si="9"/>
        <v>0</v>
      </c>
      <c r="K527" s="14"/>
      <c r="L527" s="14"/>
      <c r="M527" s="14"/>
    </row>
    <row r="528" spans="1:13" s="41" customFormat="1" ht="30" customHeight="1" x14ac:dyDescent="0.3">
      <c r="A528" s="63"/>
      <c r="E528" s="36"/>
      <c r="F528" s="36"/>
      <c r="G528" s="36"/>
      <c r="H528" s="58">
        <f t="shared" si="9"/>
        <v>0</v>
      </c>
      <c r="K528" s="14"/>
      <c r="L528" s="14"/>
      <c r="M528" s="14"/>
    </row>
    <row r="529" spans="1:13" s="41" customFormat="1" ht="30" customHeight="1" x14ac:dyDescent="0.3">
      <c r="A529" s="63"/>
      <c r="E529" s="36"/>
      <c r="F529" s="36"/>
      <c r="G529" s="36"/>
      <c r="H529" s="58">
        <f t="shared" si="9"/>
        <v>0</v>
      </c>
      <c r="K529" s="14"/>
      <c r="L529" s="14"/>
      <c r="M529" s="14"/>
    </row>
    <row r="530" spans="1:13" s="41" customFormat="1" ht="30" customHeight="1" x14ac:dyDescent="0.3">
      <c r="A530" s="63"/>
      <c r="E530" s="36"/>
      <c r="F530" s="36"/>
      <c r="G530" s="36"/>
      <c r="H530" s="58">
        <f t="shared" si="9"/>
        <v>0</v>
      </c>
      <c r="K530" s="14"/>
      <c r="L530" s="14"/>
      <c r="M530" s="14"/>
    </row>
    <row r="531" spans="1:13" s="41" customFormat="1" ht="30" customHeight="1" x14ac:dyDescent="0.3">
      <c r="A531" s="63"/>
      <c r="E531" s="36"/>
      <c r="F531" s="36"/>
      <c r="G531" s="36"/>
      <c r="H531" s="58">
        <f t="shared" si="9"/>
        <v>0</v>
      </c>
      <c r="K531" s="14"/>
      <c r="L531" s="14"/>
      <c r="M531" s="14"/>
    </row>
    <row r="532" spans="1:13" s="41" customFormat="1" ht="30" customHeight="1" x14ac:dyDescent="0.3">
      <c r="A532" s="63"/>
      <c r="E532" s="36"/>
      <c r="F532" s="36"/>
      <c r="G532" s="36"/>
      <c r="H532" s="58">
        <f t="shared" si="9"/>
        <v>0</v>
      </c>
      <c r="K532" s="14"/>
      <c r="L532" s="14"/>
      <c r="M532" s="14"/>
    </row>
    <row r="533" spans="1:13" s="41" customFormat="1" ht="30" customHeight="1" x14ac:dyDescent="0.3">
      <c r="A533" s="63"/>
      <c r="E533" s="36"/>
      <c r="F533" s="36"/>
      <c r="G533" s="36"/>
      <c r="H533" s="58">
        <f t="shared" si="9"/>
        <v>0</v>
      </c>
      <c r="K533" s="14"/>
      <c r="L533" s="14"/>
      <c r="M533" s="14"/>
    </row>
    <row r="534" spans="1:13" s="41" customFormat="1" ht="30" customHeight="1" x14ac:dyDescent="0.3">
      <c r="A534" s="63"/>
      <c r="E534" s="36"/>
      <c r="F534" s="36"/>
      <c r="G534" s="36"/>
      <c r="H534" s="58">
        <f t="shared" si="9"/>
        <v>0</v>
      </c>
      <c r="K534" s="14"/>
      <c r="L534" s="14"/>
      <c r="M534" s="14"/>
    </row>
    <row r="535" spans="1:13" s="41" customFormat="1" ht="30" customHeight="1" x14ac:dyDescent="0.3">
      <c r="A535" s="63"/>
      <c r="E535" s="36"/>
      <c r="F535" s="36"/>
      <c r="G535" s="36"/>
      <c r="H535" s="58">
        <f t="shared" si="9"/>
        <v>0</v>
      </c>
      <c r="K535" s="14"/>
      <c r="L535" s="14"/>
      <c r="M535" s="14"/>
    </row>
    <row r="536" spans="1:13" s="41" customFormat="1" ht="30" customHeight="1" x14ac:dyDescent="0.3">
      <c r="A536" s="63"/>
      <c r="E536" s="36"/>
      <c r="F536" s="36"/>
      <c r="G536" s="36"/>
      <c r="H536" s="58">
        <f t="shared" si="9"/>
        <v>0</v>
      </c>
      <c r="K536" s="14"/>
      <c r="L536" s="14"/>
      <c r="M536" s="14"/>
    </row>
    <row r="537" spans="1:13" s="41" customFormat="1" ht="30" customHeight="1" x14ac:dyDescent="0.3">
      <c r="A537" s="63"/>
      <c r="E537" s="36"/>
      <c r="F537" s="36"/>
      <c r="G537" s="36"/>
      <c r="H537" s="58">
        <f t="shared" si="9"/>
        <v>0</v>
      </c>
      <c r="K537" s="14"/>
      <c r="L537" s="14"/>
      <c r="M537" s="14"/>
    </row>
    <row r="538" spans="1:13" s="41" customFormat="1" ht="30" customHeight="1" x14ac:dyDescent="0.3">
      <c r="A538" s="63"/>
      <c r="E538" s="36"/>
      <c r="F538" s="36"/>
      <c r="G538" s="36"/>
      <c r="H538" s="58">
        <f t="shared" si="9"/>
        <v>0</v>
      </c>
      <c r="K538" s="14"/>
      <c r="L538" s="14"/>
      <c r="M538" s="14"/>
    </row>
    <row r="539" spans="1:13" s="41" customFormat="1" ht="30" customHeight="1" x14ac:dyDescent="0.3">
      <c r="A539" s="63"/>
      <c r="E539" s="36"/>
      <c r="F539" s="36"/>
      <c r="G539" s="36"/>
      <c r="H539" s="58">
        <f t="shared" si="9"/>
        <v>0</v>
      </c>
      <c r="K539" s="14"/>
      <c r="L539" s="14"/>
      <c r="M539" s="14"/>
    </row>
    <row r="540" spans="1:13" s="41" customFormat="1" ht="30" customHeight="1" x14ac:dyDescent="0.3">
      <c r="A540" s="63"/>
      <c r="E540" s="36"/>
      <c r="F540" s="36"/>
      <c r="G540" s="36"/>
      <c r="H540" s="58">
        <f t="shared" si="9"/>
        <v>0</v>
      </c>
      <c r="K540" s="14"/>
      <c r="L540" s="14"/>
      <c r="M540" s="14"/>
    </row>
    <row r="541" spans="1:13" s="41" customFormat="1" ht="30" customHeight="1" x14ac:dyDescent="0.3">
      <c r="A541" s="63"/>
      <c r="E541" s="36"/>
      <c r="F541" s="36"/>
      <c r="G541" s="36"/>
      <c r="H541" s="58">
        <f t="shared" si="9"/>
        <v>0</v>
      </c>
      <c r="K541" s="14"/>
      <c r="L541" s="14"/>
      <c r="M541" s="14"/>
    </row>
    <row r="542" spans="1:13" s="41" customFormat="1" ht="30" customHeight="1" x14ac:dyDescent="0.3">
      <c r="A542" s="63"/>
      <c r="E542" s="36"/>
      <c r="F542" s="36"/>
      <c r="G542" s="36"/>
      <c r="H542" s="58">
        <f t="shared" si="9"/>
        <v>0</v>
      </c>
      <c r="K542" s="14"/>
      <c r="L542" s="14"/>
      <c r="M542" s="14"/>
    </row>
    <row r="543" spans="1:13" s="41" customFormat="1" ht="30" customHeight="1" x14ac:dyDescent="0.3">
      <c r="A543" s="63"/>
      <c r="E543" s="36"/>
      <c r="F543" s="36"/>
      <c r="G543" s="36"/>
      <c r="H543" s="58">
        <f t="shared" si="9"/>
        <v>0</v>
      </c>
      <c r="K543" s="14"/>
      <c r="L543" s="14"/>
      <c r="M543" s="14"/>
    </row>
    <row r="544" spans="1:13" s="41" customFormat="1" ht="30" customHeight="1" x14ac:dyDescent="0.3">
      <c r="A544" s="63"/>
      <c r="E544" s="36"/>
      <c r="F544" s="36"/>
      <c r="G544" s="36"/>
      <c r="H544" s="58">
        <f t="shared" si="9"/>
        <v>0</v>
      </c>
      <c r="K544" s="14"/>
      <c r="L544" s="14"/>
      <c r="M544" s="14"/>
    </row>
    <row r="545" spans="1:13" s="41" customFormat="1" ht="30" customHeight="1" x14ac:dyDescent="0.3">
      <c r="A545" s="63"/>
      <c r="E545" s="36"/>
      <c r="F545" s="36"/>
      <c r="G545" s="36"/>
      <c r="H545" s="58">
        <f t="shared" si="9"/>
        <v>0</v>
      </c>
      <c r="K545" s="14"/>
      <c r="L545" s="14"/>
      <c r="M545" s="14"/>
    </row>
    <row r="546" spans="1:13" s="41" customFormat="1" ht="30" customHeight="1" x14ac:dyDescent="0.3">
      <c r="A546" s="63"/>
      <c r="E546" s="36"/>
      <c r="F546" s="36"/>
      <c r="G546" s="36"/>
      <c r="H546" s="58">
        <f t="shared" si="9"/>
        <v>0</v>
      </c>
      <c r="K546" s="14"/>
      <c r="L546" s="14"/>
      <c r="M546" s="14"/>
    </row>
    <row r="547" spans="1:13" s="41" customFormat="1" ht="30" customHeight="1" x14ac:dyDescent="0.3">
      <c r="A547" s="63"/>
      <c r="E547" s="36"/>
      <c r="F547" s="36"/>
      <c r="G547" s="36"/>
      <c r="H547" s="58">
        <f t="shared" si="9"/>
        <v>0</v>
      </c>
      <c r="K547" s="14"/>
      <c r="L547" s="14"/>
      <c r="M547" s="14"/>
    </row>
    <row r="548" spans="1:13" s="41" customFormat="1" ht="30" customHeight="1" x14ac:dyDescent="0.3">
      <c r="A548" s="63"/>
      <c r="E548" s="36"/>
      <c r="F548" s="36"/>
      <c r="G548" s="36"/>
      <c r="H548" s="58">
        <f t="shared" si="9"/>
        <v>0</v>
      </c>
      <c r="K548" s="14"/>
      <c r="L548" s="14"/>
      <c r="M548" s="14"/>
    </row>
    <row r="549" spans="1:13" s="41" customFormat="1" ht="30" customHeight="1" x14ac:dyDescent="0.3">
      <c r="A549" s="63"/>
      <c r="E549" s="36"/>
      <c r="F549" s="36"/>
      <c r="G549" s="36"/>
      <c r="H549" s="58">
        <f t="shared" si="9"/>
        <v>0</v>
      </c>
      <c r="K549" s="14"/>
      <c r="L549" s="14"/>
      <c r="M549" s="14"/>
    </row>
    <row r="550" spans="1:13" s="41" customFormat="1" ht="30" customHeight="1" x14ac:dyDescent="0.3">
      <c r="A550" s="63"/>
      <c r="E550" s="36"/>
      <c r="F550" s="36"/>
      <c r="G550" s="36"/>
      <c r="H550" s="58">
        <f t="shared" si="9"/>
        <v>0</v>
      </c>
      <c r="K550" s="14"/>
      <c r="L550" s="14"/>
      <c r="M550" s="14"/>
    </row>
    <row r="551" spans="1:13" s="41" customFormat="1" ht="30" customHeight="1" x14ac:dyDescent="0.3">
      <c r="A551" s="63"/>
      <c r="E551" s="36"/>
      <c r="F551" s="36"/>
      <c r="G551" s="36"/>
      <c r="H551" s="58">
        <f t="shared" si="9"/>
        <v>0</v>
      </c>
      <c r="K551" s="14"/>
      <c r="L551" s="14"/>
      <c r="M551" s="14"/>
    </row>
    <row r="552" spans="1:13" s="41" customFormat="1" ht="30" customHeight="1" x14ac:dyDescent="0.3">
      <c r="A552" s="63"/>
      <c r="E552" s="36"/>
      <c r="F552" s="36"/>
      <c r="G552" s="36"/>
      <c r="H552" s="58">
        <f t="shared" si="9"/>
        <v>0</v>
      </c>
      <c r="K552" s="14"/>
      <c r="L552" s="14"/>
      <c r="M552" s="14"/>
    </row>
    <row r="553" spans="1:13" s="41" customFormat="1" ht="30" customHeight="1" x14ac:dyDescent="0.3">
      <c r="A553" s="63"/>
      <c r="E553" s="36"/>
      <c r="F553" s="36"/>
      <c r="G553" s="36"/>
      <c r="H553" s="58">
        <f t="shared" si="9"/>
        <v>0</v>
      </c>
      <c r="K553" s="14"/>
      <c r="L553" s="14"/>
      <c r="M553" s="14"/>
    </row>
    <row r="554" spans="1:13" s="41" customFormat="1" ht="30" customHeight="1" x14ac:dyDescent="0.3">
      <c r="A554" s="63"/>
      <c r="E554" s="36"/>
      <c r="F554" s="36"/>
      <c r="G554" s="36"/>
      <c r="H554" s="58">
        <f t="shared" si="9"/>
        <v>0</v>
      </c>
      <c r="K554" s="14"/>
      <c r="L554" s="14"/>
      <c r="M554" s="14"/>
    </row>
    <row r="555" spans="1:13" s="41" customFormat="1" ht="30" customHeight="1" x14ac:dyDescent="0.3">
      <c r="A555" s="63"/>
      <c r="E555" s="36"/>
      <c r="F555" s="36"/>
      <c r="G555" s="36"/>
      <c r="H555" s="58">
        <f t="shared" si="9"/>
        <v>0</v>
      </c>
      <c r="K555" s="14"/>
      <c r="L555" s="14"/>
      <c r="M555" s="14"/>
    </row>
    <row r="556" spans="1:13" s="41" customFormat="1" ht="30" customHeight="1" x14ac:dyDescent="0.3">
      <c r="A556" s="63"/>
      <c r="E556" s="36"/>
      <c r="F556" s="36"/>
      <c r="G556" s="36"/>
      <c r="H556" s="58">
        <f t="shared" si="9"/>
        <v>0</v>
      </c>
      <c r="K556" s="14"/>
      <c r="L556" s="14"/>
      <c r="M556" s="14"/>
    </row>
    <row r="557" spans="1:13" s="41" customFormat="1" ht="30" customHeight="1" x14ac:dyDescent="0.3">
      <c r="A557" s="63"/>
      <c r="E557" s="36"/>
      <c r="F557" s="36"/>
      <c r="G557" s="36"/>
      <c r="H557" s="58">
        <f t="shared" si="9"/>
        <v>0</v>
      </c>
      <c r="K557" s="14"/>
      <c r="L557" s="14"/>
      <c r="M557" s="14"/>
    </row>
    <row r="558" spans="1:13" s="41" customFormat="1" ht="30" customHeight="1" x14ac:dyDescent="0.3">
      <c r="A558" s="63"/>
      <c r="E558" s="36"/>
      <c r="F558" s="36"/>
      <c r="G558" s="36"/>
      <c r="H558" s="58">
        <f t="shared" si="9"/>
        <v>0</v>
      </c>
      <c r="K558" s="14"/>
      <c r="L558" s="14"/>
      <c r="M558" s="14"/>
    </row>
    <row r="559" spans="1:13" s="41" customFormat="1" ht="30" customHeight="1" x14ac:dyDescent="0.3">
      <c r="A559" s="63"/>
      <c r="E559" s="36"/>
      <c r="F559" s="36"/>
      <c r="G559" s="36"/>
      <c r="H559" s="58">
        <f t="shared" si="9"/>
        <v>0</v>
      </c>
      <c r="K559" s="14"/>
      <c r="L559" s="14"/>
      <c r="M559" s="14"/>
    </row>
    <row r="560" spans="1:13" s="41" customFormat="1" ht="30" customHeight="1" x14ac:dyDescent="0.3">
      <c r="A560" s="63"/>
      <c r="E560" s="36"/>
      <c r="F560" s="36"/>
      <c r="G560" s="36"/>
      <c r="H560" s="58">
        <f t="shared" si="9"/>
        <v>0</v>
      </c>
      <c r="K560" s="14"/>
      <c r="L560" s="14"/>
      <c r="M560" s="14"/>
    </row>
    <row r="561" spans="1:13" s="41" customFormat="1" ht="30" customHeight="1" x14ac:dyDescent="0.3">
      <c r="A561" s="63"/>
      <c r="E561" s="36"/>
      <c r="F561" s="36"/>
      <c r="G561" s="36"/>
      <c r="H561" s="58">
        <f t="shared" si="9"/>
        <v>0</v>
      </c>
      <c r="K561" s="14"/>
      <c r="L561" s="14"/>
      <c r="M561" s="14"/>
    </row>
    <row r="562" spans="1:13" s="41" customFormat="1" ht="30" customHeight="1" x14ac:dyDescent="0.3">
      <c r="A562" s="63"/>
      <c r="E562" s="36"/>
      <c r="F562" s="36"/>
      <c r="G562" s="36"/>
      <c r="H562" s="58">
        <f t="shared" si="9"/>
        <v>0</v>
      </c>
      <c r="K562" s="14"/>
      <c r="L562" s="14"/>
      <c r="M562" s="14"/>
    </row>
    <row r="563" spans="1:13" s="41" customFormat="1" ht="30" customHeight="1" x14ac:dyDescent="0.3">
      <c r="A563" s="63"/>
      <c r="E563" s="36"/>
      <c r="F563" s="36"/>
      <c r="G563" s="36"/>
      <c r="H563" s="58">
        <f t="shared" si="9"/>
        <v>0</v>
      </c>
      <c r="K563" s="14"/>
      <c r="L563" s="14"/>
      <c r="M563" s="14"/>
    </row>
    <row r="564" spans="1:13" s="41" customFormat="1" ht="30" customHeight="1" x14ac:dyDescent="0.3">
      <c r="A564" s="63"/>
      <c r="E564" s="36"/>
      <c r="F564" s="36"/>
      <c r="G564" s="36"/>
      <c r="H564" s="58">
        <f t="shared" si="9"/>
        <v>0</v>
      </c>
      <c r="K564" s="14"/>
      <c r="L564" s="14"/>
      <c r="M564" s="14"/>
    </row>
    <row r="565" spans="1:13" s="41" customFormat="1" ht="30" customHeight="1" x14ac:dyDescent="0.3">
      <c r="A565" s="63"/>
      <c r="E565" s="36"/>
      <c r="F565" s="36"/>
      <c r="G565" s="36"/>
      <c r="H565" s="58">
        <f t="shared" si="9"/>
        <v>0</v>
      </c>
      <c r="K565" s="14"/>
      <c r="L565" s="14"/>
      <c r="M565" s="14"/>
    </row>
    <row r="566" spans="1:13" s="41" customFormat="1" ht="30" customHeight="1" x14ac:dyDescent="0.3">
      <c r="A566" s="63"/>
      <c r="E566" s="36"/>
      <c r="F566" s="36"/>
      <c r="G566" s="36"/>
      <c r="H566" s="58">
        <f t="shared" si="9"/>
        <v>0</v>
      </c>
      <c r="K566" s="14"/>
      <c r="L566" s="14"/>
      <c r="M566" s="14"/>
    </row>
    <row r="567" spans="1:13" s="41" customFormat="1" ht="30" customHeight="1" x14ac:dyDescent="0.3">
      <c r="A567" s="63"/>
      <c r="E567" s="36"/>
      <c r="F567" s="36"/>
      <c r="G567" s="36"/>
      <c r="H567" s="58">
        <f t="shared" si="9"/>
        <v>0</v>
      </c>
      <c r="K567" s="14"/>
      <c r="L567" s="14"/>
      <c r="M567" s="14"/>
    </row>
    <row r="568" spans="1:13" s="41" customFormat="1" ht="30" customHeight="1" x14ac:dyDescent="0.3">
      <c r="A568" s="63"/>
      <c r="E568" s="36"/>
      <c r="F568" s="36"/>
      <c r="G568" s="36"/>
      <c r="H568" s="58">
        <f t="shared" ref="H568:H631" si="10">H567-G568-F568+E568</f>
        <v>0</v>
      </c>
      <c r="K568" s="14"/>
      <c r="L568" s="14"/>
      <c r="M568" s="14"/>
    </row>
    <row r="569" spans="1:13" s="41" customFormat="1" ht="30" customHeight="1" x14ac:dyDescent="0.3">
      <c r="A569" s="63"/>
      <c r="E569" s="36"/>
      <c r="F569" s="36"/>
      <c r="G569" s="36"/>
      <c r="H569" s="58">
        <f t="shared" si="10"/>
        <v>0</v>
      </c>
      <c r="K569" s="14"/>
      <c r="L569" s="14"/>
      <c r="M569" s="14"/>
    </row>
    <row r="570" spans="1:13" s="41" customFormat="1" ht="30" customHeight="1" x14ac:dyDescent="0.3">
      <c r="A570" s="63"/>
      <c r="E570" s="36"/>
      <c r="F570" s="36"/>
      <c r="G570" s="36"/>
      <c r="H570" s="58">
        <f t="shared" si="10"/>
        <v>0</v>
      </c>
      <c r="K570" s="14"/>
      <c r="L570" s="14"/>
      <c r="M570" s="14"/>
    </row>
    <row r="571" spans="1:13" s="41" customFormat="1" ht="30" customHeight="1" x14ac:dyDescent="0.3">
      <c r="A571" s="63"/>
      <c r="E571" s="36"/>
      <c r="F571" s="36"/>
      <c r="G571" s="36"/>
      <c r="H571" s="58">
        <f t="shared" si="10"/>
        <v>0</v>
      </c>
      <c r="K571" s="14"/>
      <c r="L571" s="14"/>
      <c r="M571" s="14"/>
    </row>
    <row r="572" spans="1:13" s="41" customFormat="1" ht="30" customHeight="1" x14ac:dyDescent="0.3">
      <c r="A572" s="63"/>
      <c r="E572" s="36"/>
      <c r="F572" s="36"/>
      <c r="G572" s="36"/>
      <c r="H572" s="58">
        <f t="shared" si="10"/>
        <v>0</v>
      </c>
      <c r="K572" s="14"/>
      <c r="L572" s="14"/>
      <c r="M572" s="14"/>
    </row>
    <row r="573" spans="1:13" s="41" customFormat="1" ht="30" customHeight="1" x14ac:dyDescent="0.3">
      <c r="A573" s="63"/>
      <c r="E573" s="36"/>
      <c r="F573" s="36"/>
      <c r="G573" s="36"/>
      <c r="H573" s="58">
        <f t="shared" si="10"/>
        <v>0</v>
      </c>
      <c r="K573" s="14"/>
      <c r="L573" s="14"/>
      <c r="M573" s="14"/>
    </row>
    <row r="574" spans="1:13" s="41" customFormat="1" ht="30" customHeight="1" x14ac:dyDescent="0.3">
      <c r="A574" s="63"/>
      <c r="E574" s="36"/>
      <c r="F574" s="36"/>
      <c r="G574" s="36"/>
      <c r="H574" s="58">
        <f t="shared" si="10"/>
        <v>0</v>
      </c>
      <c r="K574" s="14"/>
      <c r="L574" s="14"/>
      <c r="M574" s="14"/>
    </row>
    <row r="575" spans="1:13" s="41" customFormat="1" ht="30" customHeight="1" x14ac:dyDescent="0.3">
      <c r="A575" s="63"/>
      <c r="E575" s="36"/>
      <c r="F575" s="36"/>
      <c r="G575" s="36"/>
      <c r="H575" s="58">
        <f t="shared" si="10"/>
        <v>0</v>
      </c>
      <c r="K575" s="14"/>
      <c r="L575" s="14"/>
      <c r="M575" s="14"/>
    </row>
    <row r="576" spans="1:13" s="41" customFormat="1" ht="30" customHeight="1" x14ac:dyDescent="0.3">
      <c r="A576" s="63"/>
      <c r="E576" s="36"/>
      <c r="F576" s="36"/>
      <c r="G576" s="36"/>
      <c r="H576" s="58">
        <f t="shared" si="10"/>
        <v>0</v>
      </c>
      <c r="K576" s="14"/>
      <c r="L576" s="14"/>
      <c r="M576" s="14"/>
    </row>
    <row r="577" spans="1:13" s="41" customFormat="1" ht="30" customHeight="1" x14ac:dyDescent="0.3">
      <c r="A577" s="63"/>
      <c r="E577" s="36"/>
      <c r="F577" s="36"/>
      <c r="G577" s="36"/>
      <c r="H577" s="58">
        <f t="shared" si="10"/>
        <v>0</v>
      </c>
      <c r="K577" s="14"/>
      <c r="L577" s="14"/>
      <c r="M577" s="14"/>
    </row>
    <row r="578" spans="1:13" s="41" customFormat="1" ht="30" customHeight="1" x14ac:dyDescent="0.3">
      <c r="A578" s="63"/>
      <c r="E578" s="36"/>
      <c r="F578" s="36"/>
      <c r="G578" s="36"/>
      <c r="H578" s="58">
        <f t="shared" si="10"/>
        <v>0</v>
      </c>
      <c r="K578" s="14"/>
      <c r="L578" s="14"/>
      <c r="M578" s="14"/>
    </row>
    <row r="579" spans="1:13" s="41" customFormat="1" ht="30" customHeight="1" x14ac:dyDescent="0.3">
      <c r="A579" s="63"/>
      <c r="E579" s="36"/>
      <c r="F579" s="36"/>
      <c r="G579" s="36"/>
      <c r="H579" s="58">
        <f t="shared" si="10"/>
        <v>0</v>
      </c>
      <c r="K579" s="14"/>
      <c r="L579" s="14"/>
      <c r="M579" s="14"/>
    </row>
    <row r="580" spans="1:13" s="41" customFormat="1" ht="30" customHeight="1" x14ac:dyDescent="0.3">
      <c r="A580" s="63"/>
      <c r="E580" s="36"/>
      <c r="F580" s="36"/>
      <c r="G580" s="36"/>
      <c r="H580" s="58">
        <f t="shared" si="10"/>
        <v>0</v>
      </c>
      <c r="K580" s="14"/>
      <c r="L580" s="14"/>
      <c r="M580" s="14"/>
    </row>
    <row r="581" spans="1:13" s="41" customFormat="1" ht="30" customHeight="1" x14ac:dyDescent="0.3">
      <c r="A581" s="63"/>
      <c r="E581" s="36"/>
      <c r="F581" s="36"/>
      <c r="G581" s="36"/>
      <c r="H581" s="58">
        <f t="shared" si="10"/>
        <v>0</v>
      </c>
      <c r="K581" s="14"/>
      <c r="L581" s="14"/>
      <c r="M581" s="14"/>
    </row>
    <row r="582" spans="1:13" s="41" customFormat="1" ht="30" customHeight="1" x14ac:dyDescent="0.3">
      <c r="A582" s="63"/>
      <c r="E582" s="36"/>
      <c r="F582" s="36"/>
      <c r="G582" s="36"/>
      <c r="H582" s="58">
        <f t="shared" si="10"/>
        <v>0</v>
      </c>
      <c r="K582" s="14"/>
      <c r="L582" s="14"/>
      <c r="M582" s="14"/>
    </row>
    <row r="583" spans="1:13" s="41" customFormat="1" ht="30" customHeight="1" x14ac:dyDescent="0.3">
      <c r="A583" s="63"/>
      <c r="E583" s="36"/>
      <c r="F583" s="36"/>
      <c r="G583" s="36"/>
      <c r="H583" s="58">
        <f t="shared" si="10"/>
        <v>0</v>
      </c>
      <c r="K583" s="14"/>
      <c r="L583" s="14"/>
      <c r="M583" s="14"/>
    </row>
    <row r="584" spans="1:13" s="41" customFormat="1" ht="30" customHeight="1" x14ac:dyDescent="0.3">
      <c r="A584" s="63"/>
      <c r="E584" s="36"/>
      <c r="F584" s="36"/>
      <c r="G584" s="36"/>
      <c r="H584" s="58">
        <f t="shared" si="10"/>
        <v>0</v>
      </c>
      <c r="K584" s="14"/>
      <c r="L584" s="14"/>
      <c r="M584" s="14"/>
    </row>
    <row r="585" spans="1:13" s="41" customFormat="1" ht="30" customHeight="1" x14ac:dyDescent="0.3">
      <c r="A585" s="63"/>
      <c r="E585" s="36"/>
      <c r="F585" s="36"/>
      <c r="G585" s="36"/>
      <c r="H585" s="58">
        <f t="shared" si="10"/>
        <v>0</v>
      </c>
      <c r="K585" s="14"/>
      <c r="L585" s="14"/>
      <c r="M585" s="14"/>
    </row>
    <row r="586" spans="1:13" s="41" customFormat="1" ht="30" customHeight="1" x14ac:dyDescent="0.3">
      <c r="A586" s="63"/>
      <c r="E586" s="36"/>
      <c r="F586" s="36"/>
      <c r="G586" s="36"/>
      <c r="H586" s="58">
        <f t="shared" si="10"/>
        <v>0</v>
      </c>
      <c r="K586" s="14"/>
      <c r="L586" s="14"/>
      <c r="M586" s="14"/>
    </row>
    <row r="587" spans="1:13" s="41" customFormat="1" ht="30" customHeight="1" x14ac:dyDescent="0.3">
      <c r="A587" s="63"/>
      <c r="E587" s="36"/>
      <c r="F587" s="36"/>
      <c r="G587" s="36"/>
      <c r="H587" s="58">
        <f t="shared" si="10"/>
        <v>0</v>
      </c>
      <c r="K587" s="14"/>
      <c r="L587" s="14"/>
      <c r="M587" s="14"/>
    </row>
    <row r="588" spans="1:13" s="41" customFormat="1" ht="30" customHeight="1" x14ac:dyDescent="0.3">
      <c r="A588" s="63"/>
      <c r="E588" s="36"/>
      <c r="F588" s="36"/>
      <c r="G588" s="36"/>
      <c r="H588" s="58">
        <f t="shared" si="10"/>
        <v>0</v>
      </c>
      <c r="K588" s="14"/>
      <c r="L588" s="14"/>
      <c r="M588" s="14"/>
    </row>
    <row r="589" spans="1:13" s="41" customFormat="1" ht="30" customHeight="1" x14ac:dyDescent="0.3">
      <c r="A589" s="63"/>
      <c r="E589" s="36"/>
      <c r="F589" s="36"/>
      <c r="G589" s="36"/>
      <c r="H589" s="58">
        <f t="shared" si="10"/>
        <v>0</v>
      </c>
      <c r="K589" s="14"/>
      <c r="L589" s="14"/>
      <c r="M589" s="14"/>
    </row>
    <row r="590" spans="1:13" s="41" customFormat="1" ht="30" customHeight="1" x14ac:dyDescent="0.3">
      <c r="A590" s="63"/>
      <c r="E590" s="36"/>
      <c r="F590" s="36"/>
      <c r="G590" s="36"/>
      <c r="H590" s="58">
        <f t="shared" si="10"/>
        <v>0</v>
      </c>
      <c r="K590" s="14"/>
      <c r="L590" s="14"/>
      <c r="M590" s="14"/>
    </row>
    <row r="591" spans="1:13" s="41" customFormat="1" ht="30" customHeight="1" x14ac:dyDescent="0.3">
      <c r="A591" s="63"/>
      <c r="E591" s="36"/>
      <c r="F591" s="36"/>
      <c r="G591" s="36"/>
      <c r="H591" s="58">
        <f t="shared" si="10"/>
        <v>0</v>
      </c>
      <c r="K591" s="14"/>
      <c r="L591" s="14"/>
      <c r="M591" s="14"/>
    </row>
    <row r="592" spans="1:13" s="41" customFormat="1" ht="30" customHeight="1" x14ac:dyDescent="0.3">
      <c r="A592" s="63"/>
      <c r="E592" s="36"/>
      <c r="F592" s="36"/>
      <c r="G592" s="36"/>
      <c r="H592" s="58">
        <f t="shared" si="10"/>
        <v>0</v>
      </c>
      <c r="K592" s="14"/>
      <c r="L592" s="14"/>
      <c r="M592" s="14"/>
    </row>
    <row r="593" spans="1:13" s="41" customFormat="1" ht="30" customHeight="1" x14ac:dyDescent="0.3">
      <c r="A593" s="63"/>
      <c r="E593" s="36"/>
      <c r="F593" s="36"/>
      <c r="G593" s="36"/>
      <c r="H593" s="58">
        <f t="shared" si="10"/>
        <v>0</v>
      </c>
      <c r="K593" s="14"/>
      <c r="L593" s="14"/>
      <c r="M593" s="14"/>
    </row>
    <row r="594" spans="1:13" s="41" customFormat="1" ht="30" customHeight="1" x14ac:dyDescent="0.3">
      <c r="A594" s="63"/>
      <c r="E594" s="36"/>
      <c r="F594" s="36"/>
      <c r="G594" s="36"/>
      <c r="H594" s="58">
        <f t="shared" si="10"/>
        <v>0</v>
      </c>
      <c r="K594" s="14"/>
      <c r="L594" s="14"/>
      <c r="M594" s="14"/>
    </row>
    <row r="595" spans="1:13" s="41" customFormat="1" ht="30" customHeight="1" x14ac:dyDescent="0.3">
      <c r="A595" s="63"/>
      <c r="E595" s="36"/>
      <c r="F595" s="36"/>
      <c r="G595" s="36"/>
      <c r="H595" s="58">
        <f t="shared" si="10"/>
        <v>0</v>
      </c>
      <c r="K595" s="14"/>
      <c r="L595" s="14"/>
      <c r="M595" s="14"/>
    </row>
    <row r="596" spans="1:13" s="41" customFormat="1" ht="30" customHeight="1" x14ac:dyDescent="0.3">
      <c r="A596" s="63"/>
      <c r="E596" s="36"/>
      <c r="F596" s="36"/>
      <c r="G596" s="36"/>
      <c r="H596" s="58">
        <f t="shared" si="10"/>
        <v>0</v>
      </c>
      <c r="K596" s="14"/>
      <c r="L596" s="14"/>
      <c r="M596" s="14"/>
    </row>
    <row r="597" spans="1:13" s="41" customFormat="1" ht="30" customHeight="1" x14ac:dyDescent="0.3">
      <c r="A597" s="63"/>
      <c r="E597" s="36"/>
      <c r="F597" s="36"/>
      <c r="G597" s="36"/>
      <c r="H597" s="58">
        <f t="shared" si="10"/>
        <v>0</v>
      </c>
      <c r="K597" s="14"/>
      <c r="L597" s="14"/>
      <c r="M597" s="14"/>
    </row>
    <row r="598" spans="1:13" s="41" customFormat="1" ht="30" customHeight="1" x14ac:dyDescent="0.3">
      <c r="A598" s="63"/>
      <c r="E598" s="36"/>
      <c r="F598" s="36"/>
      <c r="G598" s="36"/>
      <c r="H598" s="58">
        <f t="shared" si="10"/>
        <v>0</v>
      </c>
      <c r="K598" s="14"/>
      <c r="L598" s="14"/>
      <c r="M598" s="14"/>
    </row>
    <row r="599" spans="1:13" s="41" customFormat="1" ht="30" customHeight="1" x14ac:dyDescent="0.3">
      <c r="A599" s="63"/>
      <c r="E599" s="36"/>
      <c r="F599" s="36"/>
      <c r="G599" s="36"/>
      <c r="H599" s="58">
        <f t="shared" si="10"/>
        <v>0</v>
      </c>
      <c r="K599" s="14"/>
      <c r="L599" s="14"/>
      <c r="M599" s="14"/>
    </row>
    <row r="600" spans="1:13" s="41" customFormat="1" ht="30" customHeight="1" x14ac:dyDescent="0.3">
      <c r="A600" s="63"/>
      <c r="E600" s="36"/>
      <c r="F600" s="36"/>
      <c r="G600" s="36"/>
      <c r="H600" s="58">
        <f t="shared" si="10"/>
        <v>0</v>
      </c>
      <c r="K600" s="14"/>
      <c r="L600" s="14"/>
      <c r="M600" s="14"/>
    </row>
    <row r="601" spans="1:13" s="41" customFormat="1" ht="30" customHeight="1" x14ac:dyDescent="0.3">
      <c r="A601" s="63"/>
      <c r="E601" s="36"/>
      <c r="F601" s="36"/>
      <c r="G601" s="36"/>
      <c r="H601" s="58">
        <f t="shared" si="10"/>
        <v>0</v>
      </c>
      <c r="K601" s="14"/>
      <c r="L601" s="14"/>
      <c r="M601" s="14"/>
    </row>
    <row r="602" spans="1:13" s="41" customFormat="1" ht="30" customHeight="1" x14ac:dyDescent="0.3">
      <c r="A602" s="63"/>
      <c r="E602" s="36"/>
      <c r="F602" s="36"/>
      <c r="G602" s="36"/>
      <c r="H602" s="58">
        <f t="shared" si="10"/>
        <v>0</v>
      </c>
      <c r="K602" s="14"/>
      <c r="L602" s="14"/>
      <c r="M602" s="14"/>
    </row>
    <row r="603" spans="1:13" s="41" customFormat="1" ht="30" customHeight="1" x14ac:dyDescent="0.3">
      <c r="A603" s="63"/>
      <c r="E603" s="36"/>
      <c r="F603" s="36"/>
      <c r="G603" s="36"/>
      <c r="H603" s="58">
        <f t="shared" si="10"/>
        <v>0</v>
      </c>
      <c r="K603" s="14"/>
      <c r="L603" s="14"/>
      <c r="M603" s="14"/>
    </row>
    <row r="604" spans="1:13" s="41" customFormat="1" ht="30" customHeight="1" x14ac:dyDescent="0.3">
      <c r="A604" s="63"/>
      <c r="E604" s="36"/>
      <c r="F604" s="36"/>
      <c r="G604" s="36"/>
      <c r="H604" s="58">
        <f t="shared" si="10"/>
        <v>0</v>
      </c>
      <c r="K604" s="14"/>
      <c r="L604" s="14"/>
      <c r="M604" s="14"/>
    </row>
    <row r="605" spans="1:13" s="41" customFormat="1" ht="30" customHeight="1" x14ac:dyDescent="0.3">
      <c r="A605" s="63"/>
      <c r="E605" s="36"/>
      <c r="F605" s="36"/>
      <c r="G605" s="36"/>
      <c r="H605" s="58">
        <f t="shared" si="10"/>
        <v>0</v>
      </c>
      <c r="K605" s="14"/>
      <c r="L605" s="14"/>
      <c r="M605" s="14"/>
    </row>
    <row r="606" spans="1:13" s="41" customFormat="1" ht="30" customHeight="1" x14ac:dyDescent="0.3">
      <c r="A606" s="63"/>
      <c r="E606" s="36"/>
      <c r="F606" s="36"/>
      <c r="G606" s="36"/>
      <c r="H606" s="58">
        <f t="shared" si="10"/>
        <v>0</v>
      </c>
      <c r="K606" s="14"/>
      <c r="L606" s="14"/>
      <c r="M606" s="14"/>
    </row>
    <row r="607" spans="1:13" s="41" customFormat="1" ht="30" customHeight="1" x14ac:dyDescent="0.3">
      <c r="A607" s="63"/>
      <c r="E607" s="36"/>
      <c r="F607" s="36"/>
      <c r="G607" s="36"/>
      <c r="H607" s="58">
        <f t="shared" si="10"/>
        <v>0</v>
      </c>
      <c r="K607" s="14"/>
      <c r="L607" s="14"/>
      <c r="M607" s="14"/>
    </row>
    <row r="608" spans="1:13" s="41" customFormat="1" ht="30" customHeight="1" x14ac:dyDescent="0.3">
      <c r="A608" s="63"/>
      <c r="E608" s="36"/>
      <c r="F608" s="36"/>
      <c r="G608" s="36"/>
      <c r="H608" s="58">
        <f t="shared" si="10"/>
        <v>0</v>
      </c>
      <c r="K608" s="14"/>
      <c r="L608" s="14"/>
      <c r="M608" s="14"/>
    </row>
    <row r="609" spans="1:13" s="41" customFormat="1" ht="30" customHeight="1" x14ac:dyDescent="0.3">
      <c r="A609" s="63"/>
      <c r="E609" s="36"/>
      <c r="F609" s="36"/>
      <c r="G609" s="36"/>
      <c r="H609" s="58">
        <f t="shared" si="10"/>
        <v>0</v>
      </c>
      <c r="K609" s="14"/>
      <c r="L609" s="14"/>
      <c r="M609" s="14"/>
    </row>
    <row r="610" spans="1:13" s="41" customFormat="1" ht="30" customHeight="1" x14ac:dyDescent="0.3">
      <c r="A610" s="63"/>
      <c r="E610" s="36"/>
      <c r="F610" s="36"/>
      <c r="G610" s="36"/>
      <c r="H610" s="58">
        <f t="shared" si="10"/>
        <v>0</v>
      </c>
      <c r="K610" s="14"/>
      <c r="L610" s="14"/>
      <c r="M610" s="14"/>
    </row>
    <row r="611" spans="1:13" s="41" customFormat="1" ht="30" customHeight="1" x14ac:dyDescent="0.3">
      <c r="A611" s="63"/>
      <c r="E611" s="36"/>
      <c r="F611" s="36"/>
      <c r="G611" s="36"/>
      <c r="H611" s="58">
        <f t="shared" si="10"/>
        <v>0</v>
      </c>
      <c r="K611" s="14"/>
      <c r="L611" s="14"/>
      <c r="M611" s="14"/>
    </row>
    <row r="612" spans="1:13" s="41" customFormat="1" ht="30" customHeight="1" x14ac:dyDescent="0.3">
      <c r="A612" s="63"/>
      <c r="E612" s="36"/>
      <c r="F612" s="36"/>
      <c r="G612" s="36"/>
      <c r="H612" s="58">
        <f t="shared" si="10"/>
        <v>0</v>
      </c>
      <c r="K612" s="14"/>
      <c r="L612" s="14"/>
      <c r="M612" s="14"/>
    </row>
    <row r="613" spans="1:13" s="41" customFormat="1" ht="30" customHeight="1" x14ac:dyDescent="0.3">
      <c r="A613" s="63"/>
      <c r="E613" s="36"/>
      <c r="F613" s="36"/>
      <c r="G613" s="36"/>
      <c r="H613" s="58">
        <f t="shared" si="10"/>
        <v>0</v>
      </c>
      <c r="K613" s="14"/>
      <c r="L613" s="14"/>
      <c r="M613" s="14"/>
    </row>
    <row r="614" spans="1:13" s="41" customFormat="1" ht="30" customHeight="1" x14ac:dyDescent="0.3">
      <c r="A614" s="63"/>
      <c r="E614" s="36"/>
      <c r="F614" s="36"/>
      <c r="G614" s="36"/>
      <c r="H614" s="58">
        <f t="shared" si="10"/>
        <v>0</v>
      </c>
      <c r="K614" s="14"/>
      <c r="L614" s="14"/>
      <c r="M614" s="14"/>
    </row>
    <row r="615" spans="1:13" s="41" customFormat="1" ht="30" customHeight="1" x14ac:dyDescent="0.3">
      <c r="A615" s="63"/>
      <c r="E615" s="36"/>
      <c r="F615" s="36"/>
      <c r="G615" s="36"/>
      <c r="H615" s="58">
        <f t="shared" si="10"/>
        <v>0</v>
      </c>
      <c r="K615" s="14"/>
      <c r="L615" s="14"/>
      <c r="M615" s="14"/>
    </row>
    <row r="616" spans="1:13" s="41" customFormat="1" ht="30" customHeight="1" x14ac:dyDescent="0.3">
      <c r="A616" s="63"/>
      <c r="E616" s="36"/>
      <c r="F616" s="36"/>
      <c r="G616" s="36"/>
      <c r="H616" s="58">
        <f t="shared" si="10"/>
        <v>0</v>
      </c>
      <c r="K616" s="14"/>
      <c r="L616" s="14"/>
      <c r="M616" s="14"/>
    </row>
    <row r="617" spans="1:13" s="41" customFormat="1" ht="30" customHeight="1" x14ac:dyDescent="0.3">
      <c r="A617" s="63"/>
      <c r="E617" s="36"/>
      <c r="F617" s="36"/>
      <c r="G617" s="36"/>
      <c r="H617" s="58">
        <f t="shared" si="10"/>
        <v>0</v>
      </c>
      <c r="K617" s="14"/>
      <c r="L617" s="14"/>
      <c r="M617" s="14"/>
    </row>
    <row r="618" spans="1:13" s="41" customFormat="1" ht="30" customHeight="1" x14ac:dyDescent="0.3">
      <c r="A618" s="63"/>
      <c r="E618" s="36"/>
      <c r="F618" s="36"/>
      <c r="G618" s="36"/>
      <c r="H618" s="58">
        <f t="shared" si="10"/>
        <v>0</v>
      </c>
      <c r="K618" s="14"/>
      <c r="L618" s="14"/>
      <c r="M618" s="14"/>
    </row>
    <row r="619" spans="1:13" s="41" customFormat="1" ht="30" customHeight="1" x14ac:dyDescent="0.3">
      <c r="A619" s="63"/>
      <c r="E619" s="36"/>
      <c r="F619" s="36"/>
      <c r="G619" s="36"/>
      <c r="H619" s="58">
        <f t="shared" si="10"/>
        <v>0</v>
      </c>
      <c r="K619" s="14"/>
      <c r="L619" s="14"/>
      <c r="M619" s="14"/>
    </row>
    <row r="620" spans="1:13" s="41" customFormat="1" ht="30" customHeight="1" x14ac:dyDescent="0.3">
      <c r="A620" s="63"/>
      <c r="E620" s="36"/>
      <c r="F620" s="36"/>
      <c r="G620" s="36"/>
      <c r="H620" s="58">
        <f t="shared" si="10"/>
        <v>0</v>
      </c>
      <c r="K620" s="14"/>
      <c r="L620" s="14"/>
      <c r="M620" s="14"/>
    </row>
    <row r="621" spans="1:13" s="41" customFormat="1" ht="30" customHeight="1" x14ac:dyDescent="0.3">
      <c r="A621" s="63"/>
      <c r="E621" s="36"/>
      <c r="F621" s="36"/>
      <c r="G621" s="36"/>
      <c r="H621" s="58">
        <f t="shared" si="10"/>
        <v>0</v>
      </c>
      <c r="K621" s="14"/>
      <c r="L621" s="14"/>
      <c r="M621" s="14"/>
    </row>
    <row r="622" spans="1:13" s="41" customFormat="1" ht="30" customHeight="1" x14ac:dyDescent="0.3">
      <c r="A622" s="63"/>
      <c r="E622" s="36"/>
      <c r="F622" s="36"/>
      <c r="G622" s="36"/>
      <c r="H622" s="58">
        <f t="shared" si="10"/>
        <v>0</v>
      </c>
      <c r="K622" s="14"/>
      <c r="L622" s="14"/>
      <c r="M622" s="14"/>
    </row>
    <row r="623" spans="1:13" s="41" customFormat="1" ht="30" customHeight="1" x14ac:dyDescent="0.3">
      <c r="A623" s="63"/>
      <c r="E623" s="36"/>
      <c r="F623" s="36"/>
      <c r="G623" s="36"/>
      <c r="H623" s="58">
        <f t="shared" si="10"/>
        <v>0</v>
      </c>
      <c r="K623" s="14"/>
      <c r="L623" s="14"/>
      <c r="M623" s="14"/>
    </row>
    <row r="624" spans="1:13" s="41" customFormat="1" ht="30" customHeight="1" x14ac:dyDescent="0.3">
      <c r="A624" s="63"/>
      <c r="E624" s="36"/>
      <c r="F624" s="36"/>
      <c r="G624" s="36"/>
      <c r="H624" s="58">
        <f t="shared" si="10"/>
        <v>0</v>
      </c>
      <c r="K624" s="14"/>
      <c r="L624" s="14"/>
      <c r="M624" s="14"/>
    </row>
    <row r="625" spans="1:13" s="41" customFormat="1" ht="30" customHeight="1" x14ac:dyDescent="0.3">
      <c r="A625" s="63"/>
      <c r="E625" s="36"/>
      <c r="F625" s="36"/>
      <c r="G625" s="36"/>
      <c r="H625" s="58">
        <f t="shared" si="10"/>
        <v>0</v>
      </c>
      <c r="K625" s="14"/>
      <c r="L625" s="14"/>
      <c r="M625" s="14"/>
    </row>
    <row r="626" spans="1:13" s="41" customFormat="1" ht="30" customHeight="1" x14ac:dyDescent="0.3">
      <c r="A626" s="63"/>
      <c r="E626" s="36"/>
      <c r="F626" s="36"/>
      <c r="G626" s="36"/>
      <c r="H626" s="58">
        <f t="shared" si="10"/>
        <v>0</v>
      </c>
      <c r="K626" s="14"/>
      <c r="L626" s="14"/>
      <c r="M626" s="14"/>
    </row>
    <row r="627" spans="1:13" s="41" customFormat="1" ht="30" customHeight="1" x14ac:dyDescent="0.3">
      <c r="A627" s="63"/>
      <c r="E627" s="36"/>
      <c r="F627" s="36"/>
      <c r="G627" s="36"/>
      <c r="H627" s="58">
        <f t="shared" si="10"/>
        <v>0</v>
      </c>
      <c r="K627" s="14"/>
      <c r="L627" s="14"/>
      <c r="M627" s="14"/>
    </row>
    <row r="628" spans="1:13" s="41" customFormat="1" ht="30" customHeight="1" x14ac:dyDescent="0.3">
      <c r="A628" s="63"/>
      <c r="E628" s="36"/>
      <c r="F628" s="36"/>
      <c r="G628" s="36"/>
      <c r="H628" s="58">
        <f t="shared" si="10"/>
        <v>0</v>
      </c>
      <c r="K628" s="14"/>
      <c r="L628" s="14"/>
      <c r="M628" s="14"/>
    </row>
    <row r="629" spans="1:13" s="41" customFormat="1" ht="30" customHeight="1" x14ac:dyDescent="0.3">
      <c r="A629" s="63"/>
      <c r="E629" s="36"/>
      <c r="F629" s="36"/>
      <c r="G629" s="36"/>
      <c r="H629" s="58">
        <f t="shared" si="10"/>
        <v>0</v>
      </c>
      <c r="K629" s="14"/>
      <c r="L629" s="14"/>
      <c r="M629" s="14"/>
    </row>
    <row r="630" spans="1:13" s="41" customFormat="1" ht="30" customHeight="1" x14ac:dyDescent="0.3">
      <c r="A630" s="63"/>
      <c r="E630" s="36"/>
      <c r="F630" s="36"/>
      <c r="G630" s="36"/>
      <c r="H630" s="58">
        <f t="shared" si="10"/>
        <v>0</v>
      </c>
      <c r="K630" s="14"/>
      <c r="L630" s="14"/>
      <c r="M630" s="14"/>
    </row>
    <row r="631" spans="1:13" s="41" customFormat="1" ht="30" customHeight="1" x14ac:dyDescent="0.3">
      <c r="A631" s="63"/>
      <c r="E631" s="36"/>
      <c r="F631" s="36"/>
      <c r="G631" s="36"/>
      <c r="H631" s="58">
        <f t="shared" si="10"/>
        <v>0</v>
      </c>
      <c r="K631" s="14"/>
      <c r="L631" s="14"/>
      <c r="M631" s="14"/>
    </row>
    <row r="632" spans="1:13" s="41" customFormat="1" ht="30" customHeight="1" x14ac:dyDescent="0.3">
      <c r="A632" s="63"/>
      <c r="E632" s="36"/>
      <c r="F632" s="36"/>
      <c r="G632" s="36"/>
      <c r="H632" s="58">
        <f t="shared" ref="H632:H648" si="11">H631-G632-F632+E632</f>
        <v>0</v>
      </c>
      <c r="K632" s="14"/>
      <c r="L632" s="14"/>
      <c r="M632" s="14"/>
    </row>
    <row r="633" spans="1:13" s="41" customFormat="1" ht="30" customHeight="1" x14ac:dyDescent="0.3">
      <c r="A633" s="63"/>
      <c r="E633" s="36"/>
      <c r="F633" s="36"/>
      <c r="G633" s="36"/>
      <c r="H633" s="58">
        <f t="shared" si="11"/>
        <v>0</v>
      </c>
      <c r="K633" s="14"/>
      <c r="L633" s="14"/>
      <c r="M633" s="14"/>
    </row>
    <row r="634" spans="1:13" s="41" customFormat="1" ht="30" customHeight="1" x14ac:dyDescent="0.3">
      <c r="A634" s="63"/>
      <c r="E634" s="36"/>
      <c r="F634" s="36"/>
      <c r="G634" s="36"/>
      <c r="H634" s="58">
        <f t="shared" si="11"/>
        <v>0</v>
      </c>
      <c r="K634" s="14"/>
      <c r="L634" s="14"/>
      <c r="M634" s="14"/>
    </row>
    <row r="635" spans="1:13" s="41" customFormat="1" ht="30" customHeight="1" x14ac:dyDescent="0.3">
      <c r="A635" s="63"/>
      <c r="E635" s="36"/>
      <c r="F635" s="36"/>
      <c r="G635" s="36"/>
      <c r="H635" s="58">
        <f t="shared" si="11"/>
        <v>0</v>
      </c>
      <c r="K635" s="14"/>
      <c r="L635" s="14"/>
      <c r="M635" s="14"/>
    </row>
    <row r="636" spans="1:13" s="41" customFormat="1" ht="30" customHeight="1" x14ac:dyDescent="0.3">
      <c r="A636" s="63"/>
      <c r="E636" s="36"/>
      <c r="F636" s="36"/>
      <c r="G636" s="36"/>
      <c r="H636" s="58">
        <f t="shared" si="11"/>
        <v>0</v>
      </c>
      <c r="K636" s="14"/>
      <c r="L636" s="14"/>
      <c r="M636" s="14"/>
    </row>
    <row r="637" spans="1:13" s="41" customFormat="1" ht="30" customHeight="1" x14ac:dyDescent="0.3">
      <c r="A637" s="63"/>
      <c r="E637" s="36"/>
      <c r="F637" s="36"/>
      <c r="G637" s="36"/>
      <c r="H637" s="58">
        <f t="shared" si="11"/>
        <v>0</v>
      </c>
      <c r="K637" s="14"/>
      <c r="L637" s="14"/>
      <c r="M637" s="14"/>
    </row>
    <row r="638" spans="1:13" s="41" customFormat="1" ht="30" customHeight="1" x14ac:dyDescent="0.3">
      <c r="A638" s="63"/>
      <c r="E638" s="36"/>
      <c r="F638" s="36"/>
      <c r="G638" s="36"/>
      <c r="H638" s="58">
        <f t="shared" si="11"/>
        <v>0</v>
      </c>
      <c r="K638" s="14"/>
      <c r="L638" s="14"/>
      <c r="M638" s="14"/>
    </row>
    <row r="639" spans="1:13" s="41" customFormat="1" ht="30" customHeight="1" x14ac:dyDescent="0.3">
      <c r="A639" s="63"/>
      <c r="E639" s="36"/>
      <c r="F639" s="36"/>
      <c r="G639" s="36"/>
      <c r="H639" s="58">
        <f t="shared" si="11"/>
        <v>0</v>
      </c>
      <c r="K639" s="14"/>
      <c r="L639" s="14"/>
      <c r="M639" s="14"/>
    </row>
    <row r="640" spans="1:13" s="41" customFormat="1" ht="30" customHeight="1" x14ac:dyDescent="0.3">
      <c r="A640" s="63"/>
      <c r="E640" s="36"/>
      <c r="F640" s="36"/>
      <c r="G640" s="36"/>
      <c r="H640" s="58">
        <f t="shared" si="11"/>
        <v>0</v>
      </c>
      <c r="K640" s="14"/>
      <c r="L640" s="14"/>
      <c r="M640" s="14"/>
    </row>
    <row r="641" spans="1:13" s="41" customFormat="1" ht="30" customHeight="1" x14ac:dyDescent="0.3">
      <c r="A641" s="63"/>
      <c r="E641" s="36"/>
      <c r="F641" s="36"/>
      <c r="G641" s="36"/>
      <c r="H641" s="58">
        <f t="shared" si="11"/>
        <v>0</v>
      </c>
      <c r="K641" s="14"/>
      <c r="L641" s="14"/>
      <c r="M641" s="14"/>
    </row>
    <row r="642" spans="1:13" s="41" customFormat="1" ht="30" customHeight="1" x14ac:dyDescent="0.3">
      <c r="A642" s="63"/>
      <c r="E642" s="36"/>
      <c r="F642" s="36"/>
      <c r="G642" s="36"/>
      <c r="H642" s="58">
        <f t="shared" si="11"/>
        <v>0</v>
      </c>
      <c r="K642" s="14"/>
      <c r="L642" s="14"/>
      <c r="M642" s="14"/>
    </row>
    <row r="643" spans="1:13" s="41" customFormat="1" ht="30" customHeight="1" x14ac:dyDescent="0.3">
      <c r="A643" s="63"/>
      <c r="E643" s="36"/>
      <c r="F643" s="36"/>
      <c r="G643" s="36"/>
      <c r="H643" s="58">
        <f t="shared" si="11"/>
        <v>0</v>
      </c>
      <c r="K643" s="14"/>
      <c r="L643" s="14"/>
      <c r="M643" s="14"/>
    </row>
    <row r="644" spans="1:13" s="41" customFormat="1" ht="30" customHeight="1" x14ac:dyDescent="0.3">
      <c r="A644" s="63"/>
      <c r="E644" s="36"/>
      <c r="F644" s="36"/>
      <c r="G644" s="36"/>
      <c r="H644" s="58">
        <f t="shared" si="11"/>
        <v>0</v>
      </c>
      <c r="K644" s="14"/>
      <c r="L644" s="14"/>
      <c r="M644" s="14"/>
    </row>
    <row r="645" spans="1:13" s="41" customFormat="1" ht="30" customHeight="1" x14ac:dyDescent="0.3">
      <c r="A645" s="63"/>
      <c r="E645" s="36"/>
      <c r="F645" s="36"/>
      <c r="G645" s="36"/>
      <c r="H645" s="58">
        <f t="shared" si="11"/>
        <v>0</v>
      </c>
      <c r="K645" s="14"/>
      <c r="L645" s="14"/>
      <c r="M645" s="14"/>
    </row>
    <row r="646" spans="1:13" s="41" customFormat="1" ht="30" customHeight="1" x14ac:dyDescent="0.3">
      <c r="A646" s="63"/>
      <c r="E646" s="36"/>
      <c r="F646" s="36"/>
      <c r="G646" s="36"/>
      <c r="H646" s="58">
        <f t="shared" si="11"/>
        <v>0</v>
      </c>
      <c r="K646" s="14"/>
      <c r="L646" s="14"/>
      <c r="M646" s="14"/>
    </row>
    <row r="647" spans="1:13" s="41" customFormat="1" ht="30" customHeight="1" x14ac:dyDescent="0.3">
      <c r="A647" s="63"/>
      <c r="E647" s="36"/>
      <c r="F647" s="36"/>
      <c r="G647" s="36"/>
      <c r="H647" s="58">
        <f t="shared" si="11"/>
        <v>0</v>
      </c>
      <c r="K647" s="14"/>
      <c r="L647" s="14"/>
      <c r="M647" s="14"/>
    </row>
    <row r="648" spans="1:13" s="41" customFormat="1" ht="30" customHeight="1" x14ac:dyDescent="0.3">
      <c r="A648" s="63"/>
      <c r="E648" s="36"/>
      <c r="F648" s="36"/>
      <c r="G648" s="36"/>
      <c r="H648" s="58">
        <f t="shared" si="11"/>
        <v>0</v>
      </c>
      <c r="K648" s="14"/>
      <c r="L648" s="14"/>
      <c r="M648" s="14"/>
    </row>
    <row r="649" spans="1:13" s="41" customFormat="1" ht="30" customHeight="1" x14ac:dyDescent="0.3">
      <c r="A649" s="63"/>
      <c r="E649" s="64"/>
      <c r="F649" s="64"/>
      <c r="G649" s="64"/>
      <c r="H649" s="67"/>
      <c r="K649" s="14"/>
      <c r="L649" s="14"/>
      <c r="M649" s="14"/>
    </row>
    <row r="1048513" spans="1:13" ht="30" customHeight="1" x14ac:dyDescent="0.3">
      <c r="H1048513" s="65"/>
    </row>
    <row r="1048514" spans="1:13" s="41" customFormat="1" ht="30" customHeight="1" x14ac:dyDescent="0.3">
      <c r="A1048514" s="63"/>
      <c r="E1048514" s="64"/>
      <c r="F1048514" s="64"/>
      <c r="G1048514" s="64"/>
      <c r="H1048514" s="67"/>
      <c r="K1048514" s="14"/>
      <c r="L1048514" s="14"/>
      <c r="M1048514" s="14"/>
    </row>
    <row r="1048546" spans="1:13" ht="30" customHeight="1" x14ac:dyDescent="0.3">
      <c r="E1048546" s="66">
        <v>2</v>
      </c>
    </row>
    <row r="1048547" spans="1:13" s="64" customFormat="1" ht="30" customHeight="1" x14ac:dyDescent="0.3">
      <c r="A1048547" s="63"/>
      <c r="B1048547" s="41"/>
      <c r="C1048547" s="41"/>
      <c r="D1048547" s="41"/>
      <c r="H1048547" s="67"/>
      <c r="I1048547" s="41"/>
      <c r="J1048547" s="41"/>
      <c r="K1048547" s="14"/>
      <c r="L1048547" s="14"/>
      <c r="M1048547" s="14"/>
    </row>
  </sheetData>
  <protectedRanges>
    <protectedRange algorithmName="SHA-512" hashValue="DxrPl6ocbu0jjFnsIl+sgIq4wZe4XLP+wEBHTeMZdK1i5Lbj21ybiyn5jVha8p0Z8EzIw8PrBHIda0MaKwEA9g==" saltValue="meliQwD4SGHZ6ULbhhgh/w==" spinCount="100000" sqref="A7:G7 A8:B12 C28 A13:G27 A30:G1048576 B29:G29 D8:G12" name="Range1_1"/>
    <protectedRange algorithmName="SHA-512" hashValue="b+pfelv4i5969mAjknEOCU/u7WcwmOaotrAWMOuDV9UPrXNBmbM+9o6bauC0FQc7RUOriAbUnJ3Z69OBOcJ9Gg==" saltValue="yQ7A0Z02qIMwfOGQ5loBCw==" spinCount="100000" sqref="C8:C12" name="Range1_1_1"/>
  </protectedRanges>
  <mergeCells count="70">
    <mergeCell ref="I64:J64"/>
    <mergeCell ref="I65:J65"/>
    <mergeCell ref="I66:J66"/>
    <mergeCell ref="I67:J67"/>
    <mergeCell ref="I68:J68"/>
    <mergeCell ref="I63:J63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7:J27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12:J12"/>
    <mergeCell ref="A4:A5"/>
    <mergeCell ref="B4:B5"/>
    <mergeCell ref="C4:C5"/>
    <mergeCell ref="D4:D5"/>
    <mergeCell ref="I7:J7"/>
    <mergeCell ref="I8:J8"/>
    <mergeCell ref="I9:J9"/>
    <mergeCell ref="I10:J10"/>
    <mergeCell ref="I11:J11"/>
    <mergeCell ref="L2:M2"/>
    <mergeCell ref="B1:J1"/>
    <mergeCell ref="I4:J5"/>
    <mergeCell ref="A2:C2"/>
    <mergeCell ref="E2:G2"/>
    <mergeCell ref="A3:C3"/>
    <mergeCell ref="E3:H3"/>
  </mergeCells>
  <conditionalFormatting sqref="E7:E31">
    <cfRule type="cellIs" dxfId="45" priority="1" operator="between">
      <formula>1</formula>
      <formula>100</formula>
    </cfRule>
  </conditionalFormatting>
  <conditionalFormatting sqref="E23:G117">
    <cfRule type="cellIs" dxfId="44" priority="2" operator="between">
      <formula>1</formula>
      <formula>100</formula>
    </cfRule>
  </conditionalFormatting>
  <conditionalFormatting sqref="E7:H22 H23:H648">
    <cfRule type="cellIs" dxfId="43" priority="3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3B7F-098D-4CD4-9D5B-A13C12C2ADA1}">
  <dimension ref="A1:M1048546"/>
  <sheetViews>
    <sheetView workbookViewId="0">
      <selection activeCell="L6" sqref="L6"/>
    </sheetView>
  </sheetViews>
  <sheetFormatPr defaultRowHeight="30" customHeight="1" x14ac:dyDescent="0.3"/>
  <cols>
    <col min="1" max="1" width="18.42578125" style="63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64" customWidth="1"/>
    <col min="7" max="7" width="15.28515625" style="64" customWidth="1"/>
    <col min="8" max="8" width="21.28515625" style="67" customWidth="1"/>
    <col min="9" max="9" width="19.42578125" style="41" customWidth="1"/>
    <col min="10" max="10" width="20.28515625" style="41" customWidth="1"/>
    <col min="11" max="11" width="10.7109375" style="14" customWidth="1"/>
    <col min="12" max="12" width="12.28515625" style="14" customWidth="1"/>
    <col min="13" max="16384" width="9.140625" style="14"/>
  </cols>
  <sheetData>
    <row r="1" spans="1:13" ht="72" customHeight="1" x14ac:dyDescent="0.3">
      <c r="A1" s="46">
        <v>744</v>
      </c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5</v>
      </c>
      <c r="E2" s="108" t="s">
        <v>30</v>
      </c>
      <c r="F2" s="108"/>
      <c r="G2" s="108"/>
      <c r="H2" s="17"/>
      <c r="I2" s="16" t="s">
        <v>31</v>
      </c>
      <c r="J2" s="17"/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84" t="s">
        <v>129</v>
      </c>
      <c r="E3" s="112" t="s">
        <v>33</v>
      </c>
      <c r="F3" s="112"/>
      <c r="G3" s="112"/>
      <c r="H3" s="112"/>
      <c r="I3" s="69">
        <v>3015</v>
      </c>
      <c r="J3" s="21"/>
    </row>
    <row r="4" spans="1:13" ht="45" customHeight="1" x14ac:dyDescent="0.3">
      <c r="A4" s="117" t="s">
        <v>72</v>
      </c>
      <c r="B4" s="115" t="s">
        <v>35</v>
      </c>
      <c r="C4" s="117" t="s">
        <v>73</v>
      </c>
      <c r="D4" s="117" t="s">
        <v>74</v>
      </c>
      <c r="E4" s="48" t="s">
        <v>8</v>
      </c>
      <c r="F4" s="49" t="s">
        <v>9</v>
      </c>
      <c r="G4" s="49" t="s">
        <v>10</v>
      </c>
      <c r="H4" s="48" t="s">
        <v>11</v>
      </c>
      <c r="I4" s="119" t="s">
        <v>75</v>
      </c>
      <c r="J4" s="119"/>
    </row>
    <row r="5" spans="1:13" s="25" customFormat="1" ht="96.75" customHeight="1" x14ac:dyDescent="0.25">
      <c r="A5" s="118"/>
      <c r="B5" s="118"/>
      <c r="C5" s="118"/>
      <c r="D5" s="118"/>
      <c r="E5" s="50" t="s">
        <v>76</v>
      </c>
      <c r="F5" s="50" t="s">
        <v>77</v>
      </c>
      <c r="G5" s="50" t="s">
        <v>77</v>
      </c>
      <c r="H5" s="50" t="s">
        <v>77</v>
      </c>
      <c r="I5" s="119"/>
      <c r="J5" s="119"/>
    </row>
    <row r="6" spans="1:13" s="25" customFormat="1" ht="49.5" customHeight="1" x14ac:dyDescent="0.25">
      <c r="A6" s="26"/>
      <c r="B6" s="26"/>
      <c r="C6" s="26"/>
      <c r="D6" s="26"/>
      <c r="E6" s="91">
        <f>SUM(E7:E975)</f>
        <v>6</v>
      </c>
      <c r="F6" s="92">
        <f>SUM(F7:F975)</f>
        <v>0</v>
      </c>
      <c r="G6" s="92">
        <f>SUM(G7:G975)</f>
        <v>2</v>
      </c>
      <c r="H6" s="91">
        <f>SUM(E6-F6-G6)</f>
        <v>4</v>
      </c>
      <c r="I6" s="29"/>
      <c r="J6" s="30"/>
    </row>
    <row r="7" spans="1:13" ht="37.5" x14ac:dyDescent="0.3">
      <c r="A7" s="39" t="s">
        <v>130</v>
      </c>
      <c r="B7" s="33" t="s">
        <v>131</v>
      </c>
      <c r="C7" s="33" t="s">
        <v>132</v>
      </c>
      <c r="D7" s="93" t="s">
        <v>133</v>
      </c>
      <c r="E7" s="94">
        <v>4</v>
      </c>
      <c r="F7" s="94">
        <v>0</v>
      </c>
      <c r="G7" s="94">
        <v>0</v>
      </c>
      <c r="H7" s="95">
        <v>4</v>
      </c>
      <c r="I7" s="110"/>
      <c r="J7" s="111"/>
    </row>
    <row r="8" spans="1:13" ht="56.25" x14ac:dyDescent="0.3">
      <c r="A8" s="39" t="s">
        <v>130</v>
      </c>
      <c r="B8" s="33" t="s">
        <v>134</v>
      </c>
      <c r="C8" s="33" t="s">
        <v>135</v>
      </c>
      <c r="D8" s="36" t="s">
        <v>136</v>
      </c>
      <c r="E8" s="94">
        <v>0</v>
      </c>
      <c r="F8" s="94">
        <v>0</v>
      </c>
      <c r="G8" s="94">
        <v>2</v>
      </c>
      <c r="H8" s="95">
        <f>+H7+E8-F8-G8</f>
        <v>2</v>
      </c>
      <c r="I8" s="110"/>
      <c r="J8" s="111"/>
    </row>
    <row r="9" spans="1:13" ht="37.5" x14ac:dyDescent="0.3">
      <c r="A9" s="39" t="s">
        <v>137</v>
      </c>
      <c r="B9" s="96" t="s">
        <v>138</v>
      </c>
      <c r="C9" s="33" t="s">
        <v>139</v>
      </c>
      <c r="D9" s="61" t="s">
        <v>140</v>
      </c>
      <c r="E9" s="36">
        <v>2</v>
      </c>
      <c r="F9" s="36">
        <v>0</v>
      </c>
      <c r="G9" s="97">
        <v>0</v>
      </c>
      <c r="H9" s="97">
        <v>4</v>
      </c>
      <c r="I9" s="110"/>
      <c r="J9" s="111"/>
    </row>
    <row r="10" spans="1:13" ht="20.25" x14ac:dyDescent="0.3">
      <c r="A10" s="39"/>
      <c r="B10" s="40"/>
      <c r="C10" s="33"/>
      <c r="D10" s="61"/>
      <c r="E10" s="36"/>
      <c r="F10" s="36"/>
      <c r="G10" s="97"/>
      <c r="H10" s="97"/>
      <c r="I10" s="37"/>
      <c r="J10" s="38"/>
    </row>
    <row r="11" spans="1:13" ht="20.25" x14ac:dyDescent="0.3">
      <c r="A11" s="39"/>
      <c r="B11" s="40"/>
      <c r="C11" s="33"/>
      <c r="D11" s="61"/>
      <c r="E11" s="36"/>
      <c r="F11" s="36"/>
      <c r="G11" s="97"/>
      <c r="H11" s="58"/>
      <c r="I11" s="110"/>
      <c r="J11" s="111"/>
    </row>
    <row r="12" spans="1:13" ht="20.25" x14ac:dyDescent="0.3">
      <c r="A12" s="39"/>
      <c r="B12" s="40"/>
      <c r="C12" s="33"/>
      <c r="D12" s="33"/>
      <c r="E12" s="36"/>
      <c r="F12" s="36"/>
      <c r="G12" s="36"/>
      <c r="H12" s="97"/>
      <c r="I12" s="110"/>
      <c r="J12" s="111"/>
    </row>
    <row r="13" spans="1:13" ht="20.25" x14ac:dyDescent="0.3">
      <c r="A13" s="39"/>
      <c r="B13" s="40"/>
      <c r="C13" s="33"/>
      <c r="D13" s="34"/>
      <c r="E13" s="36"/>
      <c r="F13" s="36"/>
      <c r="G13" s="36"/>
      <c r="H13" s="58"/>
      <c r="I13" s="110"/>
      <c r="J13" s="111"/>
    </row>
    <row r="14" spans="1:13" ht="20.25" x14ac:dyDescent="0.3">
      <c r="A14" s="39"/>
      <c r="B14" s="40"/>
      <c r="C14" s="33"/>
      <c r="D14" s="33"/>
      <c r="E14" s="36"/>
      <c r="F14" s="36"/>
      <c r="G14" s="36"/>
      <c r="H14" s="97"/>
      <c r="I14" s="110"/>
      <c r="J14" s="111"/>
    </row>
    <row r="15" spans="1:13" ht="20.25" x14ac:dyDescent="0.3">
      <c r="A15" s="39"/>
      <c r="B15" s="40"/>
      <c r="C15" s="33"/>
      <c r="D15" s="33"/>
      <c r="E15" s="36"/>
      <c r="F15" s="36"/>
      <c r="G15" s="36"/>
      <c r="H15" s="97"/>
      <c r="I15" s="110"/>
      <c r="J15" s="111"/>
    </row>
    <row r="16" spans="1:13" ht="20.25" x14ac:dyDescent="0.3">
      <c r="A16" s="39"/>
      <c r="B16" s="40"/>
      <c r="C16" s="33"/>
      <c r="D16" s="33"/>
      <c r="E16" s="36"/>
      <c r="F16" s="36"/>
      <c r="G16" s="36"/>
      <c r="H16" s="97"/>
      <c r="I16" s="110"/>
      <c r="J16" s="111"/>
    </row>
    <row r="17" spans="1:10" ht="30" customHeight="1" x14ac:dyDescent="0.3">
      <c r="A17" s="39"/>
      <c r="B17" s="40"/>
      <c r="C17" s="34"/>
      <c r="D17" s="34"/>
      <c r="E17" s="36"/>
      <c r="F17" s="36"/>
      <c r="G17" s="36"/>
      <c r="H17" s="97"/>
      <c r="I17" s="110"/>
      <c r="J17" s="111"/>
    </row>
    <row r="18" spans="1:10" ht="30" customHeight="1" x14ac:dyDescent="0.3">
      <c r="A18" s="39"/>
      <c r="B18" s="40"/>
      <c r="C18" s="34"/>
      <c r="D18" s="34"/>
      <c r="E18" s="36"/>
      <c r="F18" s="36"/>
      <c r="G18" s="36"/>
      <c r="H18" s="97"/>
      <c r="I18" s="110"/>
      <c r="J18" s="111"/>
    </row>
    <row r="19" spans="1:10" ht="30" customHeight="1" x14ac:dyDescent="0.3">
      <c r="A19" s="39"/>
      <c r="B19" s="40"/>
      <c r="C19" s="33"/>
      <c r="D19" s="34"/>
      <c r="E19" s="36"/>
      <c r="F19" s="36"/>
      <c r="G19" s="36"/>
      <c r="H19" s="97"/>
      <c r="I19" s="110"/>
      <c r="J19" s="111"/>
    </row>
    <row r="20" spans="1:10" ht="30" customHeight="1" x14ac:dyDescent="0.3">
      <c r="A20" s="39"/>
      <c r="B20" s="40"/>
      <c r="C20" s="33"/>
      <c r="D20" s="34"/>
      <c r="E20" s="36"/>
      <c r="F20" s="36"/>
      <c r="G20" s="36"/>
      <c r="H20" s="97"/>
      <c r="I20" s="110"/>
      <c r="J20" s="111"/>
    </row>
    <row r="21" spans="1:10" ht="30" customHeight="1" x14ac:dyDescent="0.3">
      <c r="A21" s="39"/>
      <c r="B21" s="34"/>
      <c r="C21" s="33"/>
      <c r="D21" s="34"/>
      <c r="E21" s="36"/>
      <c r="F21" s="36"/>
      <c r="G21" s="36"/>
      <c r="H21" s="97"/>
      <c r="I21" s="110"/>
      <c r="J21" s="111"/>
    </row>
    <row r="22" spans="1:10" ht="30" customHeight="1" x14ac:dyDescent="0.3">
      <c r="A22" s="39"/>
      <c r="B22" s="34"/>
      <c r="C22" s="33"/>
      <c r="D22" s="34"/>
      <c r="E22" s="36"/>
      <c r="F22" s="36"/>
      <c r="G22" s="36"/>
      <c r="H22" s="97"/>
      <c r="I22" s="110"/>
      <c r="J22" s="111"/>
    </row>
    <row r="23" spans="1:10" ht="30" customHeight="1" x14ac:dyDescent="0.3">
      <c r="A23" s="39"/>
      <c r="B23" s="34"/>
      <c r="C23" s="33"/>
      <c r="D23" s="34"/>
      <c r="E23" s="36"/>
      <c r="F23" s="36"/>
      <c r="G23" s="36"/>
      <c r="H23" s="97"/>
      <c r="I23" s="110"/>
      <c r="J23" s="111"/>
    </row>
    <row r="24" spans="1:10" ht="30" customHeight="1" x14ac:dyDescent="0.3">
      <c r="A24" s="39"/>
      <c r="B24" s="34"/>
      <c r="C24" s="33"/>
      <c r="D24" s="34"/>
      <c r="E24" s="36"/>
      <c r="F24" s="36"/>
      <c r="G24" s="36"/>
      <c r="H24" s="97"/>
      <c r="I24" s="110"/>
      <c r="J24" s="111"/>
    </row>
    <row r="25" spans="1:10" ht="30" customHeight="1" x14ac:dyDescent="0.3">
      <c r="A25" s="39"/>
      <c r="B25" s="34"/>
      <c r="C25" s="34"/>
      <c r="D25" s="34"/>
      <c r="E25" s="36"/>
      <c r="F25" s="36"/>
      <c r="G25" s="36"/>
      <c r="H25" s="97"/>
      <c r="I25" s="110"/>
      <c r="J25" s="111"/>
    </row>
    <row r="26" spans="1:10" ht="30" customHeight="1" x14ac:dyDescent="0.3">
      <c r="A26" s="39"/>
      <c r="B26" s="34"/>
      <c r="C26" s="34"/>
      <c r="D26" s="34"/>
      <c r="E26" s="36"/>
      <c r="F26" s="36"/>
      <c r="G26" s="36"/>
      <c r="H26" s="97"/>
      <c r="I26" s="110"/>
      <c r="J26" s="111"/>
    </row>
    <row r="27" spans="1:10" ht="30" customHeight="1" x14ac:dyDescent="0.3">
      <c r="A27" s="39"/>
      <c r="B27" s="34"/>
      <c r="C27" s="34"/>
      <c r="D27" s="34"/>
      <c r="E27" s="36"/>
      <c r="F27" s="36"/>
      <c r="G27" s="36"/>
      <c r="H27" s="97"/>
      <c r="I27" s="110"/>
      <c r="J27" s="111"/>
    </row>
    <row r="28" spans="1:10" ht="30" customHeight="1" x14ac:dyDescent="0.3">
      <c r="A28" s="39"/>
      <c r="B28" s="34"/>
      <c r="C28" s="34"/>
      <c r="D28" s="34"/>
      <c r="E28" s="36"/>
      <c r="F28" s="36"/>
      <c r="G28" s="36"/>
      <c r="H28" s="97"/>
      <c r="I28" s="110"/>
      <c r="J28" s="111"/>
    </row>
    <row r="29" spans="1:10" ht="30" customHeight="1" x14ac:dyDescent="0.3">
      <c r="A29" s="39"/>
      <c r="B29" s="34"/>
      <c r="C29" s="34"/>
      <c r="D29" s="34"/>
      <c r="E29" s="36"/>
      <c r="F29" s="36"/>
      <c r="G29" s="36"/>
      <c r="H29" s="97"/>
      <c r="I29" s="110"/>
      <c r="J29" s="111"/>
    </row>
    <row r="30" spans="1:10" ht="30" customHeight="1" x14ac:dyDescent="0.3">
      <c r="A30" s="39"/>
      <c r="B30" s="34"/>
      <c r="C30" s="34"/>
      <c r="D30" s="34"/>
      <c r="E30" s="36"/>
      <c r="F30" s="36"/>
      <c r="G30" s="36"/>
      <c r="H30" s="97"/>
      <c r="I30" s="110"/>
      <c r="J30" s="111"/>
    </row>
    <row r="31" spans="1:10" ht="30" customHeight="1" x14ac:dyDescent="0.3">
      <c r="A31" s="39"/>
      <c r="B31" s="34"/>
      <c r="C31" s="34"/>
      <c r="D31" s="34"/>
      <c r="E31" s="36"/>
      <c r="F31" s="36"/>
      <c r="G31" s="36"/>
      <c r="H31" s="97"/>
      <c r="I31" s="110"/>
      <c r="J31" s="111"/>
    </row>
    <row r="32" spans="1:10" ht="30" customHeight="1" x14ac:dyDescent="0.3">
      <c r="A32" s="39"/>
      <c r="B32" s="34"/>
      <c r="C32" s="34"/>
      <c r="D32" s="34"/>
      <c r="E32" s="36"/>
      <c r="F32" s="36"/>
      <c r="G32" s="36"/>
      <c r="H32" s="97"/>
      <c r="I32" s="110"/>
      <c r="J32" s="111"/>
    </row>
    <row r="33" spans="1:10" ht="30" customHeight="1" x14ac:dyDescent="0.3">
      <c r="A33" s="39"/>
      <c r="B33" s="34"/>
      <c r="C33" s="34"/>
      <c r="D33" s="34"/>
      <c r="E33" s="36"/>
      <c r="F33" s="36"/>
      <c r="G33" s="36"/>
      <c r="H33" s="97"/>
      <c r="I33" s="110"/>
      <c r="J33" s="111"/>
    </row>
    <row r="34" spans="1:10" ht="30" customHeight="1" x14ac:dyDescent="0.3">
      <c r="A34" s="39"/>
      <c r="B34" s="34"/>
      <c r="C34" s="34"/>
      <c r="D34" s="34"/>
      <c r="E34" s="36"/>
      <c r="F34" s="36"/>
      <c r="G34" s="36"/>
      <c r="H34" s="97"/>
      <c r="I34" s="110"/>
      <c r="J34" s="111"/>
    </row>
    <row r="35" spans="1:10" ht="30" customHeight="1" x14ac:dyDescent="0.3">
      <c r="A35" s="39"/>
      <c r="B35" s="34"/>
      <c r="C35" s="34"/>
      <c r="D35" s="34"/>
      <c r="E35" s="36"/>
      <c r="F35" s="36"/>
      <c r="G35" s="36"/>
      <c r="H35" s="97"/>
      <c r="I35" s="110"/>
      <c r="J35" s="111"/>
    </row>
    <row r="36" spans="1:10" ht="30" customHeight="1" x14ac:dyDescent="0.3">
      <c r="A36" s="39"/>
      <c r="B36" s="34"/>
      <c r="C36" s="34"/>
      <c r="D36" s="34"/>
      <c r="E36" s="36"/>
      <c r="F36" s="36"/>
      <c r="G36" s="36"/>
      <c r="H36" s="97"/>
      <c r="I36" s="110"/>
      <c r="J36" s="111"/>
    </row>
    <row r="37" spans="1:10" ht="30" customHeight="1" x14ac:dyDescent="0.3">
      <c r="A37" s="39"/>
      <c r="B37" s="34"/>
      <c r="C37" s="34"/>
      <c r="D37" s="34"/>
      <c r="E37" s="36"/>
      <c r="F37" s="36"/>
      <c r="G37" s="36"/>
      <c r="H37" s="97"/>
      <c r="I37" s="110"/>
      <c r="J37" s="111"/>
    </row>
    <row r="38" spans="1:10" ht="30" customHeight="1" x14ac:dyDescent="0.3">
      <c r="A38" s="39"/>
      <c r="B38" s="34"/>
      <c r="C38" s="34"/>
      <c r="D38" s="34"/>
      <c r="E38" s="36"/>
      <c r="F38" s="36"/>
      <c r="G38" s="36"/>
      <c r="H38" s="97"/>
      <c r="I38" s="110"/>
      <c r="J38" s="111"/>
    </row>
    <row r="39" spans="1:10" ht="30" customHeight="1" x14ac:dyDescent="0.3">
      <c r="A39" s="39"/>
      <c r="B39" s="34"/>
      <c r="C39" s="34"/>
      <c r="D39" s="34"/>
      <c r="E39" s="36"/>
      <c r="F39" s="36"/>
      <c r="G39" s="36"/>
      <c r="H39" s="97"/>
      <c r="I39" s="110"/>
      <c r="J39" s="111"/>
    </row>
    <row r="40" spans="1:10" ht="30" customHeight="1" x14ac:dyDescent="0.3">
      <c r="A40" s="39"/>
      <c r="B40" s="34"/>
      <c r="C40" s="34"/>
      <c r="D40" s="34"/>
      <c r="E40" s="36"/>
      <c r="F40" s="36"/>
      <c r="G40" s="36"/>
      <c r="H40" s="97"/>
      <c r="I40" s="110"/>
      <c r="J40" s="111"/>
    </row>
    <row r="41" spans="1:10" ht="30" customHeight="1" x14ac:dyDescent="0.3">
      <c r="A41" s="39"/>
      <c r="B41" s="34"/>
      <c r="C41" s="34"/>
      <c r="D41" s="34"/>
      <c r="E41" s="36"/>
      <c r="F41" s="36"/>
      <c r="G41" s="36"/>
      <c r="H41" s="97"/>
      <c r="I41" s="110"/>
      <c r="J41" s="111"/>
    </row>
    <row r="42" spans="1:10" ht="30" customHeight="1" x14ac:dyDescent="0.3">
      <c r="A42" s="39"/>
      <c r="B42" s="34"/>
      <c r="C42" s="34"/>
      <c r="D42" s="34"/>
      <c r="E42" s="36"/>
      <c r="F42" s="36"/>
      <c r="G42" s="36"/>
      <c r="H42" s="97"/>
      <c r="I42" s="110"/>
      <c r="J42" s="111"/>
    </row>
    <row r="43" spans="1:10" ht="30" customHeight="1" x14ac:dyDescent="0.3">
      <c r="A43" s="39"/>
      <c r="B43" s="34"/>
      <c r="C43" s="34"/>
      <c r="D43" s="34"/>
      <c r="E43" s="36"/>
      <c r="F43" s="36"/>
      <c r="G43" s="36"/>
      <c r="H43" s="97"/>
      <c r="I43" s="110"/>
      <c r="J43" s="111"/>
    </row>
    <row r="44" spans="1:10" ht="30" customHeight="1" x14ac:dyDescent="0.3">
      <c r="A44" s="39"/>
      <c r="B44" s="34"/>
      <c r="C44" s="34"/>
      <c r="D44" s="34"/>
      <c r="E44" s="36"/>
      <c r="F44" s="36"/>
      <c r="G44" s="36"/>
      <c r="H44" s="97"/>
      <c r="I44" s="110"/>
      <c r="J44" s="111"/>
    </row>
    <row r="45" spans="1:10" ht="30" customHeight="1" x14ac:dyDescent="0.3">
      <c r="A45" s="39"/>
      <c r="B45" s="34"/>
      <c r="C45" s="34"/>
      <c r="D45" s="34"/>
      <c r="E45" s="36"/>
      <c r="F45" s="36"/>
      <c r="G45" s="36"/>
      <c r="H45" s="97"/>
      <c r="I45" s="110"/>
      <c r="J45" s="111"/>
    </row>
    <row r="46" spans="1:10" ht="30" customHeight="1" x14ac:dyDescent="0.3">
      <c r="A46" s="39"/>
      <c r="B46" s="34"/>
      <c r="C46" s="34"/>
      <c r="D46" s="34"/>
      <c r="E46" s="36"/>
      <c r="F46" s="36"/>
      <c r="G46" s="36"/>
      <c r="H46" s="97"/>
      <c r="I46" s="110"/>
      <c r="J46" s="111"/>
    </row>
    <row r="47" spans="1:10" ht="30" customHeight="1" x14ac:dyDescent="0.3">
      <c r="A47" s="39"/>
      <c r="B47" s="34"/>
      <c r="C47" s="34"/>
      <c r="D47" s="34"/>
      <c r="E47" s="36"/>
      <c r="F47" s="36"/>
      <c r="G47" s="36"/>
      <c r="H47" s="97"/>
      <c r="I47" s="110"/>
      <c r="J47" s="111"/>
    </row>
    <row r="48" spans="1:10" ht="30" customHeight="1" x14ac:dyDescent="0.3">
      <c r="A48" s="39"/>
      <c r="B48" s="34"/>
      <c r="C48" s="34"/>
      <c r="D48" s="34"/>
      <c r="E48" s="36"/>
      <c r="F48" s="36"/>
      <c r="G48" s="36"/>
      <c r="H48" s="97"/>
      <c r="I48" s="110"/>
      <c r="J48" s="111"/>
    </row>
    <row r="49" spans="1:10" ht="30" customHeight="1" x14ac:dyDescent="0.3">
      <c r="A49" s="39"/>
      <c r="B49" s="34"/>
      <c r="C49" s="34"/>
      <c r="D49" s="34"/>
      <c r="E49" s="36"/>
      <c r="F49" s="36"/>
      <c r="G49" s="36"/>
      <c r="H49" s="97"/>
      <c r="I49" s="110"/>
      <c r="J49" s="111"/>
    </row>
    <row r="50" spans="1:10" ht="30" customHeight="1" x14ac:dyDescent="0.3">
      <c r="A50" s="39"/>
      <c r="B50" s="34"/>
      <c r="C50" s="34"/>
      <c r="D50" s="34"/>
      <c r="E50" s="36"/>
      <c r="F50" s="36"/>
      <c r="G50" s="36"/>
      <c r="H50" s="97"/>
      <c r="I50" s="110"/>
      <c r="J50" s="111"/>
    </row>
    <row r="51" spans="1:10" ht="30" customHeight="1" x14ac:dyDescent="0.3">
      <c r="A51" s="39"/>
      <c r="B51" s="34"/>
      <c r="C51" s="34"/>
      <c r="D51" s="34"/>
      <c r="E51" s="36"/>
      <c r="F51" s="36"/>
      <c r="G51" s="36"/>
      <c r="H51" s="97"/>
      <c r="I51" s="110"/>
      <c r="J51" s="111"/>
    </row>
    <row r="52" spans="1:10" ht="30" customHeight="1" x14ac:dyDescent="0.3">
      <c r="A52" s="39"/>
      <c r="B52" s="34"/>
      <c r="C52" s="34"/>
      <c r="D52" s="34"/>
      <c r="E52" s="36"/>
      <c r="F52" s="36"/>
      <c r="G52" s="36"/>
      <c r="H52" s="97"/>
      <c r="I52" s="110"/>
      <c r="J52" s="111"/>
    </row>
    <row r="53" spans="1:10" ht="30" customHeight="1" x14ac:dyDescent="0.3">
      <c r="A53" s="39"/>
      <c r="B53" s="34"/>
      <c r="C53" s="34"/>
      <c r="D53" s="34"/>
      <c r="E53" s="36"/>
      <c r="F53" s="36"/>
      <c r="G53" s="36"/>
      <c r="H53" s="97"/>
      <c r="I53" s="110"/>
      <c r="J53" s="111"/>
    </row>
    <row r="54" spans="1:10" ht="30" customHeight="1" x14ac:dyDescent="0.3">
      <c r="A54" s="39"/>
      <c r="B54" s="34"/>
      <c r="C54" s="34"/>
      <c r="D54" s="34"/>
      <c r="E54" s="36"/>
      <c r="F54" s="36"/>
      <c r="G54" s="36"/>
      <c r="H54" s="97"/>
      <c r="I54" s="110"/>
      <c r="J54" s="111"/>
    </row>
    <row r="55" spans="1:10" ht="30" customHeight="1" x14ac:dyDescent="0.3">
      <c r="A55" s="39"/>
      <c r="B55" s="34"/>
      <c r="C55" s="34"/>
      <c r="D55" s="34"/>
      <c r="E55" s="36"/>
      <c r="F55" s="36"/>
      <c r="G55" s="36"/>
      <c r="H55" s="97"/>
      <c r="I55" s="110"/>
      <c r="J55" s="111"/>
    </row>
    <row r="56" spans="1:10" ht="30" customHeight="1" x14ac:dyDescent="0.3">
      <c r="A56" s="39"/>
      <c r="B56" s="34"/>
      <c r="C56" s="34"/>
      <c r="D56" s="34"/>
      <c r="E56" s="36"/>
      <c r="F56" s="36"/>
      <c r="G56" s="36"/>
      <c r="H56" s="97"/>
      <c r="I56" s="110"/>
      <c r="J56" s="111"/>
    </row>
    <row r="57" spans="1:10" ht="30" customHeight="1" x14ac:dyDescent="0.3">
      <c r="A57" s="39"/>
      <c r="B57" s="34"/>
      <c r="C57" s="34"/>
      <c r="D57" s="34"/>
      <c r="E57" s="36"/>
      <c r="F57" s="36"/>
      <c r="G57" s="36"/>
      <c r="H57" s="97"/>
      <c r="I57" s="110"/>
      <c r="J57" s="111"/>
    </row>
    <row r="58" spans="1:10" ht="30" customHeight="1" x14ac:dyDescent="0.3">
      <c r="A58" s="39"/>
      <c r="B58" s="34"/>
      <c r="C58" s="34"/>
      <c r="D58" s="34"/>
      <c r="E58" s="36"/>
      <c r="F58" s="36"/>
      <c r="G58" s="36"/>
      <c r="H58" s="97"/>
      <c r="I58" s="110"/>
      <c r="J58" s="111"/>
    </row>
    <row r="59" spans="1:10" ht="30" customHeight="1" x14ac:dyDescent="0.3">
      <c r="A59" s="39"/>
      <c r="B59" s="34"/>
      <c r="C59" s="34"/>
      <c r="D59" s="34"/>
      <c r="E59" s="36"/>
      <c r="F59" s="36"/>
      <c r="G59" s="36"/>
      <c r="H59" s="97"/>
      <c r="I59" s="110"/>
      <c r="J59" s="111"/>
    </row>
    <row r="60" spans="1:10" ht="30" customHeight="1" x14ac:dyDescent="0.3">
      <c r="A60" s="39"/>
      <c r="B60" s="34"/>
      <c r="C60" s="34"/>
      <c r="D60" s="34"/>
      <c r="E60" s="36"/>
      <c r="F60" s="36"/>
      <c r="G60" s="36"/>
      <c r="H60" s="97"/>
      <c r="I60" s="110"/>
      <c r="J60" s="111"/>
    </row>
    <row r="61" spans="1:10" ht="30" customHeight="1" x14ac:dyDescent="0.3">
      <c r="A61" s="39"/>
      <c r="B61" s="34"/>
      <c r="C61" s="34"/>
      <c r="D61" s="34"/>
      <c r="E61" s="36"/>
      <c r="F61" s="36"/>
      <c r="G61" s="36"/>
      <c r="H61" s="97"/>
      <c r="I61" s="110"/>
      <c r="J61" s="111"/>
    </row>
    <row r="62" spans="1:10" ht="30" customHeight="1" x14ac:dyDescent="0.3">
      <c r="A62" s="39"/>
      <c r="B62" s="34"/>
      <c r="C62" s="34"/>
      <c r="D62" s="34"/>
      <c r="E62" s="36"/>
      <c r="F62" s="36"/>
      <c r="G62" s="36"/>
      <c r="H62" s="97"/>
      <c r="I62" s="110"/>
      <c r="J62" s="111"/>
    </row>
    <row r="63" spans="1:10" ht="30" customHeight="1" x14ac:dyDescent="0.3">
      <c r="A63" s="39"/>
      <c r="B63" s="34"/>
      <c r="C63" s="34"/>
      <c r="D63" s="34"/>
      <c r="E63" s="36"/>
      <c r="F63" s="36"/>
      <c r="G63" s="36"/>
      <c r="H63" s="97"/>
      <c r="I63" s="110"/>
      <c r="J63" s="111"/>
    </row>
    <row r="64" spans="1:10" ht="30" customHeight="1" x14ac:dyDescent="0.3">
      <c r="A64" s="39"/>
      <c r="B64" s="34"/>
      <c r="C64" s="34"/>
      <c r="D64" s="34"/>
      <c r="E64" s="36"/>
      <c r="F64" s="36"/>
      <c r="G64" s="36"/>
      <c r="H64" s="97"/>
      <c r="I64" s="110"/>
      <c r="J64" s="111"/>
    </row>
    <row r="65" spans="1:13" ht="30" customHeight="1" x14ac:dyDescent="0.3">
      <c r="A65" s="39"/>
      <c r="B65" s="34"/>
      <c r="C65" s="34"/>
      <c r="D65" s="34"/>
      <c r="E65" s="36"/>
      <c r="F65" s="36"/>
      <c r="G65" s="36"/>
      <c r="H65" s="97"/>
      <c r="I65" s="110"/>
      <c r="J65" s="111"/>
    </row>
    <row r="66" spans="1:13" ht="30" customHeight="1" x14ac:dyDescent="0.3">
      <c r="A66" s="39"/>
      <c r="B66" s="34"/>
      <c r="C66" s="34"/>
      <c r="D66" s="34"/>
      <c r="E66" s="36"/>
      <c r="F66" s="36"/>
      <c r="G66" s="36"/>
      <c r="H66" s="97"/>
      <c r="I66" s="110"/>
      <c r="J66" s="111"/>
    </row>
    <row r="67" spans="1:13" ht="30" customHeight="1" x14ac:dyDescent="0.3">
      <c r="A67" s="39"/>
      <c r="B67" s="34"/>
      <c r="C67" s="34"/>
      <c r="D67" s="34"/>
      <c r="E67" s="36"/>
      <c r="F67" s="36"/>
      <c r="G67" s="36"/>
      <c r="H67" s="97"/>
      <c r="I67" s="110"/>
      <c r="J67" s="111"/>
    </row>
    <row r="68" spans="1:13" ht="30" customHeight="1" x14ac:dyDescent="0.3">
      <c r="E68" s="36"/>
      <c r="F68" s="36"/>
      <c r="G68" s="36"/>
      <c r="H68" s="97"/>
    </row>
    <row r="69" spans="1:13" ht="30" customHeight="1" x14ac:dyDescent="0.3">
      <c r="E69" s="36"/>
      <c r="F69" s="36"/>
      <c r="G69" s="36"/>
      <c r="H69" s="97"/>
    </row>
    <row r="70" spans="1:13" ht="30" customHeight="1" x14ac:dyDescent="0.3">
      <c r="E70" s="36"/>
      <c r="F70" s="36"/>
      <c r="G70" s="36"/>
      <c r="H70" s="97"/>
    </row>
    <row r="71" spans="1:13" ht="30" customHeight="1" x14ac:dyDescent="0.3">
      <c r="E71" s="36"/>
      <c r="F71" s="36"/>
      <c r="G71" s="36"/>
      <c r="H71" s="97"/>
    </row>
    <row r="72" spans="1:13" s="41" customFormat="1" ht="30" customHeight="1" x14ac:dyDescent="0.3">
      <c r="A72" s="63"/>
      <c r="E72" s="36"/>
      <c r="F72" s="36"/>
      <c r="G72" s="36"/>
      <c r="H72" s="97"/>
      <c r="K72" s="14"/>
      <c r="L72" s="14"/>
      <c r="M72" s="14"/>
    </row>
    <row r="73" spans="1:13" s="41" customFormat="1" ht="30" customHeight="1" x14ac:dyDescent="0.3">
      <c r="A73" s="63"/>
      <c r="E73" s="36"/>
      <c r="F73" s="36"/>
      <c r="G73" s="36"/>
      <c r="H73" s="97"/>
      <c r="K73" s="14"/>
      <c r="L73" s="14"/>
      <c r="M73" s="14"/>
    </row>
    <row r="74" spans="1:13" s="41" customFormat="1" ht="30" customHeight="1" x14ac:dyDescent="0.3">
      <c r="A74" s="63"/>
      <c r="E74" s="36"/>
      <c r="F74" s="36"/>
      <c r="G74" s="36"/>
      <c r="H74" s="97"/>
      <c r="K74" s="14"/>
      <c r="L74" s="14"/>
      <c r="M74" s="14"/>
    </row>
    <row r="75" spans="1:13" s="41" customFormat="1" ht="30" customHeight="1" x14ac:dyDescent="0.3">
      <c r="A75" s="63"/>
      <c r="E75" s="36"/>
      <c r="F75" s="36"/>
      <c r="G75" s="36"/>
      <c r="H75" s="97"/>
      <c r="K75" s="14"/>
      <c r="L75" s="14"/>
      <c r="M75" s="14"/>
    </row>
    <row r="76" spans="1:13" s="41" customFormat="1" ht="30" customHeight="1" x14ac:dyDescent="0.3">
      <c r="A76" s="63"/>
      <c r="E76" s="36"/>
      <c r="F76" s="36"/>
      <c r="G76" s="36"/>
      <c r="H76" s="97"/>
      <c r="K76" s="14"/>
      <c r="L76" s="14"/>
      <c r="M76" s="14"/>
    </row>
    <row r="77" spans="1:13" s="41" customFormat="1" ht="30" customHeight="1" x14ac:dyDescent="0.3">
      <c r="A77" s="63"/>
      <c r="E77" s="36"/>
      <c r="F77" s="36"/>
      <c r="G77" s="36"/>
      <c r="H77" s="97"/>
      <c r="K77" s="14"/>
      <c r="L77" s="14"/>
      <c r="M77" s="14"/>
    </row>
    <row r="78" spans="1:13" s="41" customFormat="1" ht="30" customHeight="1" x14ac:dyDescent="0.3">
      <c r="A78" s="63"/>
      <c r="E78" s="36"/>
      <c r="F78" s="36"/>
      <c r="G78" s="36"/>
      <c r="H78" s="97"/>
      <c r="K78" s="14"/>
      <c r="L78" s="14"/>
      <c r="M78" s="14"/>
    </row>
    <row r="79" spans="1:13" s="41" customFormat="1" ht="30" customHeight="1" x14ac:dyDescent="0.3">
      <c r="A79" s="63"/>
      <c r="E79" s="36"/>
      <c r="F79" s="36"/>
      <c r="G79" s="36"/>
      <c r="H79" s="97"/>
      <c r="K79" s="14"/>
      <c r="L79" s="14"/>
      <c r="M79" s="14"/>
    </row>
    <row r="80" spans="1:13" s="41" customFormat="1" ht="30" customHeight="1" x14ac:dyDescent="0.3">
      <c r="A80" s="63"/>
      <c r="E80" s="36"/>
      <c r="F80" s="36"/>
      <c r="G80" s="36"/>
      <c r="H80" s="97"/>
      <c r="K80" s="14"/>
      <c r="L80" s="14"/>
      <c r="M80" s="14"/>
    </row>
    <row r="81" spans="1:13" s="41" customFormat="1" ht="30" customHeight="1" x14ac:dyDescent="0.3">
      <c r="A81" s="63"/>
      <c r="E81" s="36"/>
      <c r="F81" s="36"/>
      <c r="G81" s="36"/>
      <c r="H81" s="97"/>
      <c r="K81" s="14"/>
      <c r="L81" s="14"/>
      <c r="M81" s="14"/>
    </row>
    <row r="82" spans="1:13" s="41" customFormat="1" ht="30" customHeight="1" x14ac:dyDescent="0.3">
      <c r="A82" s="63"/>
      <c r="E82" s="36"/>
      <c r="F82" s="36"/>
      <c r="G82" s="36"/>
      <c r="H82" s="97"/>
      <c r="K82" s="14"/>
      <c r="L82" s="14"/>
      <c r="M82" s="14"/>
    </row>
    <row r="83" spans="1:13" s="41" customFormat="1" ht="30" customHeight="1" x14ac:dyDescent="0.3">
      <c r="A83" s="63"/>
      <c r="E83" s="36"/>
      <c r="F83" s="36"/>
      <c r="G83" s="36"/>
      <c r="H83" s="97"/>
      <c r="K83" s="14"/>
      <c r="L83" s="14"/>
      <c r="M83" s="14"/>
    </row>
    <row r="84" spans="1:13" s="41" customFormat="1" ht="30" customHeight="1" x14ac:dyDescent="0.3">
      <c r="A84" s="63"/>
      <c r="E84" s="36"/>
      <c r="F84" s="36"/>
      <c r="G84" s="36"/>
      <c r="H84" s="97"/>
      <c r="K84" s="14"/>
      <c r="L84" s="14"/>
      <c r="M84" s="14"/>
    </row>
    <row r="85" spans="1:13" s="41" customFormat="1" ht="30" customHeight="1" x14ac:dyDescent="0.3">
      <c r="A85" s="63"/>
      <c r="E85" s="36"/>
      <c r="F85" s="36"/>
      <c r="G85" s="36"/>
      <c r="H85" s="97"/>
      <c r="K85" s="14"/>
      <c r="L85" s="14"/>
      <c r="M85" s="14"/>
    </row>
    <row r="86" spans="1:13" s="41" customFormat="1" ht="30" customHeight="1" x14ac:dyDescent="0.3">
      <c r="A86" s="63"/>
      <c r="E86" s="36"/>
      <c r="F86" s="36"/>
      <c r="G86" s="36"/>
      <c r="H86" s="97"/>
      <c r="K86" s="14"/>
      <c r="L86" s="14"/>
      <c r="M86" s="14"/>
    </row>
    <row r="87" spans="1:13" s="41" customFormat="1" ht="30" customHeight="1" x14ac:dyDescent="0.3">
      <c r="A87" s="63"/>
      <c r="E87" s="36"/>
      <c r="F87" s="36"/>
      <c r="G87" s="36"/>
      <c r="H87" s="97"/>
      <c r="K87" s="14"/>
      <c r="L87" s="14"/>
      <c r="M87" s="14"/>
    </row>
    <row r="88" spans="1:13" s="41" customFormat="1" ht="30" customHeight="1" x14ac:dyDescent="0.3">
      <c r="A88" s="63"/>
      <c r="E88" s="36"/>
      <c r="F88" s="36"/>
      <c r="G88" s="36"/>
      <c r="H88" s="97"/>
      <c r="K88" s="14"/>
      <c r="L88" s="14"/>
      <c r="M88" s="14"/>
    </row>
    <row r="89" spans="1:13" s="41" customFormat="1" ht="30" customHeight="1" x14ac:dyDescent="0.3">
      <c r="A89" s="63"/>
      <c r="E89" s="36"/>
      <c r="F89" s="36"/>
      <c r="G89" s="36"/>
      <c r="H89" s="97"/>
      <c r="K89" s="14"/>
      <c r="L89" s="14"/>
      <c r="M89" s="14"/>
    </row>
    <row r="90" spans="1:13" s="41" customFormat="1" ht="30" customHeight="1" x14ac:dyDescent="0.3">
      <c r="A90" s="63"/>
      <c r="E90" s="36"/>
      <c r="F90" s="36"/>
      <c r="G90" s="36"/>
      <c r="H90" s="97"/>
      <c r="K90" s="14"/>
      <c r="L90" s="14"/>
      <c r="M90" s="14"/>
    </row>
    <row r="91" spans="1:13" s="41" customFormat="1" ht="30" customHeight="1" x14ac:dyDescent="0.3">
      <c r="A91" s="63"/>
      <c r="E91" s="36"/>
      <c r="F91" s="36"/>
      <c r="G91" s="36"/>
      <c r="H91" s="97"/>
      <c r="K91" s="14"/>
      <c r="L91" s="14"/>
      <c r="M91" s="14"/>
    </row>
    <row r="92" spans="1:13" s="41" customFormat="1" ht="30" customHeight="1" x14ac:dyDescent="0.3">
      <c r="A92" s="63"/>
      <c r="E92" s="36"/>
      <c r="F92" s="36"/>
      <c r="G92" s="36"/>
      <c r="H92" s="97"/>
      <c r="K92" s="14"/>
      <c r="L92" s="14"/>
      <c r="M92" s="14"/>
    </row>
    <row r="93" spans="1:13" s="41" customFormat="1" ht="30" customHeight="1" x14ac:dyDescent="0.3">
      <c r="A93" s="63"/>
      <c r="E93" s="36"/>
      <c r="F93" s="36"/>
      <c r="G93" s="36"/>
      <c r="H93" s="97"/>
      <c r="K93" s="14"/>
      <c r="L93" s="14"/>
      <c r="M93" s="14"/>
    </row>
    <row r="94" spans="1:13" s="41" customFormat="1" ht="30" customHeight="1" x14ac:dyDescent="0.3">
      <c r="A94" s="63"/>
      <c r="E94" s="36"/>
      <c r="F94" s="36"/>
      <c r="G94" s="36"/>
      <c r="H94" s="97"/>
      <c r="K94" s="14"/>
      <c r="L94" s="14"/>
      <c r="M94" s="14"/>
    </row>
    <row r="95" spans="1:13" s="41" customFormat="1" ht="30" customHeight="1" x14ac:dyDescent="0.3">
      <c r="A95" s="63"/>
      <c r="E95" s="36"/>
      <c r="F95" s="36"/>
      <c r="G95" s="36"/>
      <c r="H95" s="97"/>
      <c r="K95" s="14"/>
      <c r="L95" s="14"/>
      <c r="M95" s="14"/>
    </row>
    <row r="96" spans="1:13" s="41" customFormat="1" ht="30" customHeight="1" x14ac:dyDescent="0.3">
      <c r="A96" s="63"/>
      <c r="E96" s="36"/>
      <c r="F96" s="36"/>
      <c r="G96" s="36"/>
      <c r="H96" s="97"/>
      <c r="K96" s="14"/>
      <c r="L96" s="14"/>
      <c r="M96" s="14"/>
    </row>
    <row r="97" spans="1:13" s="41" customFormat="1" ht="30" customHeight="1" x14ac:dyDescent="0.3">
      <c r="A97" s="63"/>
      <c r="E97" s="36"/>
      <c r="F97" s="36"/>
      <c r="G97" s="36"/>
      <c r="H97" s="97"/>
      <c r="K97" s="14"/>
      <c r="L97" s="14"/>
      <c r="M97" s="14"/>
    </row>
    <row r="98" spans="1:13" s="41" customFormat="1" ht="30" customHeight="1" x14ac:dyDescent="0.3">
      <c r="A98" s="63"/>
      <c r="E98" s="36"/>
      <c r="F98" s="36"/>
      <c r="G98" s="36"/>
      <c r="H98" s="97"/>
      <c r="K98" s="14"/>
      <c r="L98" s="14"/>
      <c r="M98" s="14"/>
    </row>
    <row r="99" spans="1:13" s="41" customFormat="1" ht="30" customHeight="1" x14ac:dyDescent="0.3">
      <c r="A99" s="63"/>
      <c r="E99" s="36"/>
      <c r="F99" s="36"/>
      <c r="G99" s="36"/>
      <c r="H99" s="97"/>
      <c r="K99" s="14"/>
      <c r="L99" s="14"/>
      <c r="M99" s="14"/>
    </row>
    <row r="100" spans="1:13" s="41" customFormat="1" ht="30" customHeight="1" x14ac:dyDescent="0.3">
      <c r="A100" s="63"/>
      <c r="E100" s="36"/>
      <c r="F100" s="36"/>
      <c r="G100" s="36"/>
      <c r="H100" s="97"/>
      <c r="K100" s="14"/>
      <c r="L100" s="14"/>
      <c r="M100" s="14"/>
    </row>
    <row r="101" spans="1:13" s="41" customFormat="1" ht="30" customHeight="1" x14ac:dyDescent="0.3">
      <c r="A101" s="63"/>
      <c r="E101" s="36"/>
      <c r="F101" s="36"/>
      <c r="G101" s="36"/>
      <c r="H101" s="97"/>
      <c r="K101" s="14"/>
      <c r="L101" s="14"/>
      <c r="M101" s="14"/>
    </row>
    <row r="102" spans="1:13" s="41" customFormat="1" ht="30" customHeight="1" x14ac:dyDescent="0.3">
      <c r="A102" s="63"/>
      <c r="E102" s="36"/>
      <c r="F102" s="36"/>
      <c r="G102" s="36"/>
      <c r="H102" s="97"/>
      <c r="K102" s="14"/>
      <c r="L102" s="14"/>
      <c r="M102" s="14"/>
    </row>
    <row r="103" spans="1:13" s="41" customFormat="1" ht="30" customHeight="1" x14ac:dyDescent="0.3">
      <c r="A103" s="63"/>
      <c r="E103" s="36"/>
      <c r="F103" s="36"/>
      <c r="G103" s="36"/>
      <c r="H103" s="97"/>
      <c r="K103" s="14"/>
      <c r="L103" s="14"/>
      <c r="M103" s="14"/>
    </row>
    <row r="104" spans="1:13" s="41" customFormat="1" ht="30" customHeight="1" x14ac:dyDescent="0.3">
      <c r="A104" s="63"/>
      <c r="E104" s="36"/>
      <c r="F104" s="36"/>
      <c r="G104" s="36"/>
      <c r="H104" s="97"/>
      <c r="K104" s="14"/>
      <c r="L104" s="14"/>
      <c r="M104" s="14"/>
    </row>
    <row r="105" spans="1:13" s="41" customFormat="1" ht="30" customHeight="1" x14ac:dyDescent="0.3">
      <c r="A105" s="63"/>
      <c r="E105" s="36"/>
      <c r="F105" s="36"/>
      <c r="G105" s="36"/>
      <c r="H105" s="97"/>
      <c r="K105" s="14"/>
      <c r="L105" s="14"/>
      <c r="M105" s="14"/>
    </row>
    <row r="106" spans="1:13" s="41" customFormat="1" ht="30" customHeight="1" x14ac:dyDescent="0.3">
      <c r="A106" s="63"/>
      <c r="E106" s="36"/>
      <c r="F106" s="36"/>
      <c r="G106" s="36"/>
      <c r="H106" s="97"/>
      <c r="K106" s="14"/>
      <c r="L106" s="14"/>
      <c r="M106" s="14"/>
    </row>
    <row r="107" spans="1:13" s="41" customFormat="1" ht="30" customHeight="1" x14ac:dyDescent="0.3">
      <c r="A107" s="63"/>
      <c r="E107" s="36"/>
      <c r="F107" s="36"/>
      <c r="G107" s="36"/>
      <c r="H107" s="97"/>
      <c r="K107" s="14"/>
      <c r="L107" s="14"/>
      <c r="M107" s="14"/>
    </row>
    <row r="108" spans="1:13" s="41" customFormat="1" ht="30" customHeight="1" x14ac:dyDescent="0.3">
      <c r="A108" s="63"/>
      <c r="E108" s="36"/>
      <c r="F108" s="36"/>
      <c r="G108" s="36"/>
      <c r="H108" s="97"/>
      <c r="K108" s="14"/>
      <c r="L108" s="14"/>
      <c r="M108" s="14"/>
    </row>
    <row r="109" spans="1:13" s="41" customFormat="1" ht="30" customHeight="1" x14ac:dyDescent="0.3">
      <c r="A109" s="63"/>
      <c r="E109" s="36"/>
      <c r="F109" s="36"/>
      <c r="G109" s="36"/>
      <c r="H109" s="97"/>
      <c r="K109" s="14"/>
      <c r="L109" s="14"/>
      <c r="M109" s="14"/>
    </row>
    <row r="110" spans="1:13" s="41" customFormat="1" ht="30" customHeight="1" x14ac:dyDescent="0.3">
      <c r="A110" s="63"/>
      <c r="E110" s="36"/>
      <c r="F110" s="36"/>
      <c r="G110" s="36"/>
      <c r="H110" s="97"/>
      <c r="K110" s="14"/>
      <c r="L110" s="14"/>
      <c r="M110" s="14"/>
    </row>
    <row r="111" spans="1:13" s="41" customFormat="1" ht="30" customHeight="1" x14ac:dyDescent="0.3">
      <c r="A111" s="63"/>
      <c r="E111" s="36"/>
      <c r="F111" s="36"/>
      <c r="G111" s="36"/>
      <c r="H111" s="97"/>
      <c r="K111" s="14"/>
      <c r="L111" s="14"/>
      <c r="M111" s="14"/>
    </row>
    <row r="112" spans="1:13" s="41" customFormat="1" ht="30" customHeight="1" x14ac:dyDescent="0.3">
      <c r="A112" s="63"/>
      <c r="E112" s="36"/>
      <c r="F112" s="36"/>
      <c r="G112" s="36"/>
      <c r="H112" s="97"/>
      <c r="K112" s="14"/>
      <c r="L112" s="14"/>
      <c r="M112" s="14"/>
    </row>
    <row r="113" spans="1:13" s="41" customFormat="1" ht="30" customHeight="1" x14ac:dyDescent="0.3">
      <c r="A113" s="63"/>
      <c r="E113" s="36"/>
      <c r="F113" s="36"/>
      <c r="G113" s="36"/>
      <c r="H113" s="97"/>
      <c r="K113" s="14"/>
      <c r="L113" s="14"/>
      <c r="M113" s="14"/>
    </row>
    <row r="114" spans="1:13" s="41" customFormat="1" ht="30" customHeight="1" x14ac:dyDescent="0.3">
      <c r="A114" s="63"/>
      <c r="E114" s="36"/>
      <c r="F114" s="36"/>
      <c r="G114" s="36"/>
      <c r="H114" s="97"/>
      <c r="K114" s="14"/>
      <c r="L114" s="14"/>
      <c r="M114" s="14"/>
    </row>
    <row r="115" spans="1:13" s="41" customFormat="1" ht="30" customHeight="1" x14ac:dyDescent="0.3">
      <c r="A115" s="63"/>
      <c r="E115" s="36"/>
      <c r="F115" s="36"/>
      <c r="G115" s="36"/>
      <c r="H115" s="97"/>
      <c r="K115" s="14"/>
      <c r="L115" s="14"/>
      <c r="M115" s="14"/>
    </row>
    <row r="116" spans="1:13" s="41" customFormat="1" ht="30" customHeight="1" x14ac:dyDescent="0.3">
      <c r="A116" s="63"/>
      <c r="E116" s="36"/>
      <c r="F116" s="36"/>
      <c r="G116" s="36"/>
      <c r="H116" s="97"/>
      <c r="K116" s="14"/>
      <c r="L116" s="14"/>
      <c r="M116" s="14"/>
    </row>
    <row r="117" spans="1:13" s="41" customFormat="1" ht="30" customHeight="1" x14ac:dyDescent="0.3">
      <c r="A117" s="63"/>
      <c r="E117" s="36"/>
      <c r="F117" s="36"/>
      <c r="G117" s="36"/>
      <c r="H117" s="97"/>
      <c r="K117" s="14"/>
      <c r="L117" s="14"/>
      <c r="M117" s="14"/>
    </row>
    <row r="118" spans="1:13" s="41" customFormat="1" ht="30" customHeight="1" x14ac:dyDescent="0.3">
      <c r="A118" s="63"/>
      <c r="E118" s="36"/>
      <c r="F118" s="36"/>
      <c r="G118" s="36"/>
      <c r="H118" s="97"/>
      <c r="K118" s="14"/>
      <c r="L118" s="14"/>
      <c r="M118" s="14"/>
    </row>
    <row r="119" spans="1:13" s="41" customFormat="1" ht="30" customHeight="1" x14ac:dyDescent="0.3">
      <c r="A119" s="63"/>
      <c r="E119" s="36"/>
      <c r="F119" s="36"/>
      <c r="G119" s="36"/>
      <c r="H119" s="97"/>
      <c r="K119" s="14"/>
      <c r="L119" s="14"/>
      <c r="M119" s="14"/>
    </row>
    <row r="120" spans="1:13" s="41" customFormat="1" ht="30" customHeight="1" x14ac:dyDescent="0.3">
      <c r="A120" s="63"/>
      <c r="E120" s="36"/>
      <c r="F120" s="36"/>
      <c r="G120" s="36"/>
      <c r="H120" s="97"/>
      <c r="K120" s="14"/>
      <c r="L120" s="14"/>
      <c r="M120" s="14"/>
    </row>
    <row r="121" spans="1:13" s="41" customFormat="1" ht="30" customHeight="1" x14ac:dyDescent="0.3">
      <c r="A121" s="63"/>
      <c r="E121" s="36"/>
      <c r="F121" s="36"/>
      <c r="G121" s="36"/>
      <c r="H121" s="97"/>
      <c r="K121" s="14"/>
      <c r="L121" s="14"/>
      <c r="M121" s="14"/>
    </row>
    <row r="122" spans="1:13" s="41" customFormat="1" ht="30" customHeight="1" x14ac:dyDescent="0.3">
      <c r="A122" s="63"/>
      <c r="E122" s="36"/>
      <c r="F122" s="36"/>
      <c r="G122" s="36"/>
      <c r="H122" s="97"/>
      <c r="K122" s="14"/>
      <c r="L122" s="14"/>
      <c r="M122" s="14"/>
    </row>
    <row r="123" spans="1:13" s="41" customFormat="1" ht="30" customHeight="1" x14ac:dyDescent="0.3">
      <c r="A123" s="63"/>
      <c r="E123" s="36"/>
      <c r="F123" s="36"/>
      <c r="G123" s="36"/>
      <c r="H123" s="97"/>
      <c r="K123" s="14"/>
      <c r="L123" s="14"/>
      <c r="M123" s="14"/>
    </row>
    <row r="124" spans="1:13" s="41" customFormat="1" ht="30" customHeight="1" x14ac:dyDescent="0.3">
      <c r="A124" s="63"/>
      <c r="E124" s="36"/>
      <c r="F124" s="36"/>
      <c r="G124" s="36"/>
      <c r="H124" s="97"/>
      <c r="K124" s="14"/>
      <c r="L124" s="14"/>
      <c r="M124" s="14"/>
    </row>
    <row r="125" spans="1:13" s="41" customFormat="1" ht="30" customHeight="1" x14ac:dyDescent="0.3">
      <c r="A125" s="63"/>
      <c r="E125" s="36"/>
      <c r="F125" s="36"/>
      <c r="G125" s="36"/>
      <c r="H125" s="97"/>
      <c r="K125" s="14"/>
      <c r="L125" s="14"/>
      <c r="M125" s="14"/>
    </row>
    <row r="126" spans="1:13" s="41" customFormat="1" ht="30" customHeight="1" x14ac:dyDescent="0.3">
      <c r="A126" s="63"/>
      <c r="E126" s="36"/>
      <c r="F126" s="36"/>
      <c r="G126" s="36"/>
      <c r="H126" s="97"/>
      <c r="K126" s="14"/>
      <c r="L126" s="14"/>
      <c r="M126" s="14"/>
    </row>
    <row r="127" spans="1:13" s="41" customFormat="1" ht="30" customHeight="1" x14ac:dyDescent="0.3">
      <c r="A127" s="63"/>
      <c r="E127" s="36"/>
      <c r="F127" s="36"/>
      <c r="G127" s="36"/>
      <c r="H127" s="97"/>
      <c r="K127" s="14"/>
      <c r="L127" s="14"/>
      <c r="M127" s="14"/>
    </row>
    <row r="128" spans="1:13" s="41" customFormat="1" ht="30" customHeight="1" x14ac:dyDescent="0.3">
      <c r="A128" s="63"/>
      <c r="E128" s="36"/>
      <c r="F128" s="36"/>
      <c r="G128" s="36"/>
      <c r="H128" s="97"/>
      <c r="K128" s="14"/>
      <c r="L128" s="14"/>
      <c r="M128" s="14"/>
    </row>
    <row r="129" spans="1:13" s="41" customFormat="1" ht="30" customHeight="1" x14ac:dyDescent="0.3">
      <c r="A129" s="63"/>
      <c r="E129" s="36"/>
      <c r="F129" s="36"/>
      <c r="G129" s="36"/>
      <c r="H129" s="97"/>
      <c r="K129" s="14"/>
      <c r="L129" s="14"/>
      <c r="M129" s="14"/>
    </row>
    <row r="130" spans="1:13" s="41" customFormat="1" ht="30" customHeight="1" x14ac:dyDescent="0.3">
      <c r="A130" s="63"/>
      <c r="E130" s="36"/>
      <c r="F130" s="36"/>
      <c r="G130" s="36"/>
      <c r="H130" s="97"/>
      <c r="K130" s="14"/>
      <c r="L130" s="14"/>
      <c r="M130" s="14"/>
    </row>
    <row r="131" spans="1:13" s="41" customFormat="1" ht="30" customHeight="1" x14ac:dyDescent="0.3">
      <c r="A131" s="63"/>
      <c r="E131" s="36"/>
      <c r="F131" s="36"/>
      <c r="G131" s="36"/>
      <c r="H131" s="97"/>
      <c r="K131" s="14"/>
      <c r="L131" s="14"/>
      <c r="M131" s="14"/>
    </row>
    <row r="132" spans="1:13" s="41" customFormat="1" ht="30" customHeight="1" x14ac:dyDescent="0.3">
      <c r="A132" s="63"/>
      <c r="E132" s="36"/>
      <c r="F132" s="36"/>
      <c r="G132" s="36"/>
      <c r="H132" s="97"/>
      <c r="K132" s="14"/>
      <c r="L132" s="14"/>
      <c r="M132" s="14"/>
    </row>
    <row r="133" spans="1:13" s="41" customFormat="1" ht="30" customHeight="1" x14ac:dyDescent="0.3">
      <c r="A133" s="63"/>
      <c r="E133" s="36"/>
      <c r="F133" s="36"/>
      <c r="G133" s="36"/>
      <c r="H133" s="97"/>
      <c r="K133" s="14"/>
      <c r="L133" s="14"/>
      <c r="M133" s="14"/>
    </row>
    <row r="134" spans="1:13" s="41" customFormat="1" ht="30" customHeight="1" x14ac:dyDescent="0.3">
      <c r="A134" s="63"/>
      <c r="E134" s="36"/>
      <c r="F134" s="36"/>
      <c r="G134" s="36"/>
      <c r="H134" s="97"/>
      <c r="K134" s="14"/>
      <c r="L134" s="14"/>
      <c r="M134" s="14"/>
    </row>
    <row r="135" spans="1:13" s="41" customFormat="1" ht="30" customHeight="1" x14ac:dyDescent="0.3">
      <c r="A135" s="63"/>
      <c r="E135" s="36"/>
      <c r="F135" s="36"/>
      <c r="G135" s="36"/>
      <c r="H135" s="97"/>
      <c r="K135" s="14"/>
      <c r="L135" s="14"/>
      <c r="M135" s="14"/>
    </row>
    <row r="136" spans="1:13" s="41" customFormat="1" ht="30" customHeight="1" x14ac:dyDescent="0.3">
      <c r="A136" s="63"/>
      <c r="E136" s="36"/>
      <c r="F136" s="36"/>
      <c r="G136" s="36"/>
      <c r="H136" s="97"/>
      <c r="K136" s="14"/>
      <c r="L136" s="14"/>
      <c r="M136" s="14"/>
    </row>
    <row r="137" spans="1:13" s="41" customFormat="1" ht="30" customHeight="1" x14ac:dyDescent="0.3">
      <c r="A137" s="63"/>
      <c r="E137" s="36"/>
      <c r="F137" s="36"/>
      <c r="G137" s="36"/>
      <c r="H137" s="97"/>
      <c r="K137" s="14"/>
      <c r="L137" s="14"/>
      <c r="M137" s="14"/>
    </row>
    <row r="138" spans="1:13" s="41" customFormat="1" ht="30" customHeight="1" x14ac:dyDescent="0.3">
      <c r="A138" s="63"/>
      <c r="E138" s="36"/>
      <c r="F138" s="36"/>
      <c r="G138" s="36"/>
      <c r="H138" s="97"/>
      <c r="K138" s="14"/>
      <c r="L138" s="14"/>
      <c r="M138" s="14"/>
    </row>
    <row r="139" spans="1:13" s="41" customFormat="1" ht="30" customHeight="1" x14ac:dyDescent="0.3">
      <c r="A139" s="63"/>
      <c r="E139" s="36"/>
      <c r="F139" s="36"/>
      <c r="G139" s="36"/>
      <c r="H139" s="97"/>
      <c r="K139" s="14"/>
      <c r="L139" s="14"/>
      <c r="M139" s="14"/>
    </row>
    <row r="140" spans="1:13" s="41" customFormat="1" ht="30" customHeight="1" x14ac:dyDescent="0.3">
      <c r="A140" s="63"/>
      <c r="E140" s="36"/>
      <c r="F140" s="36"/>
      <c r="G140" s="36"/>
      <c r="H140" s="97"/>
      <c r="K140" s="14"/>
      <c r="L140" s="14"/>
      <c r="M140" s="14"/>
    </row>
    <row r="141" spans="1:13" s="41" customFormat="1" ht="30" customHeight="1" x14ac:dyDescent="0.3">
      <c r="A141" s="63"/>
      <c r="E141" s="36"/>
      <c r="F141" s="36"/>
      <c r="G141" s="36"/>
      <c r="H141" s="97"/>
      <c r="K141" s="14"/>
      <c r="L141" s="14"/>
      <c r="M141" s="14"/>
    </row>
    <row r="142" spans="1:13" s="41" customFormat="1" ht="30" customHeight="1" x14ac:dyDescent="0.3">
      <c r="A142" s="63"/>
      <c r="E142" s="36"/>
      <c r="F142" s="36"/>
      <c r="G142" s="36"/>
      <c r="H142" s="97"/>
      <c r="K142" s="14"/>
      <c r="L142" s="14"/>
      <c r="M142" s="14"/>
    </row>
    <row r="143" spans="1:13" s="41" customFormat="1" ht="30" customHeight="1" x14ac:dyDescent="0.3">
      <c r="A143" s="63"/>
      <c r="E143" s="36"/>
      <c r="F143" s="36"/>
      <c r="G143" s="36"/>
      <c r="H143" s="97"/>
      <c r="K143" s="14"/>
      <c r="L143" s="14"/>
      <c r="M143" s="14"/>
    </row>
    <row r="144" spans="1:13" s="41" customFormat="1" ht="30" customHeight="1" x14ac:dyDescent="0.3">
      <c r="A144" s="63"/>
      <c r="E144" s="36"/>
      <c r="F144" s="36"/>
      <c r="G144" s="36"/>
      <c r="H144" s="97"/>
      <c r="K144" s="14"/>
      <c r="L144" s="14"/>
      <c r="M144" s="14"/>
    </row>
    <row r="145" spans="1:13" s="41" customFormat="1" ht="30" customHeight="1" x14ac:dyDescent="0.3">
      <c r="A145" s="63"/>
      <c r="E145" s="36"/>
      <c r="F145" s="36"/>
      <c r="G145" s="36"/>
      <c r="H145" s="97"/>
      <c r="K145" s="14"/>
      <c r="L145" s="14"/>
      <c r="M145" s="14"/>
    </row>
    <row r="146" spans="1:13" s="41" customFormat="1" ht="30" customHeight="1" x14ac:dyDescent="0.3">
      <c r="A146" s="63"/>
      <c r="E146" s="36"/>
      <c r="F146" s="36"/>
      <c r="G146" s="36"/>
      <c r="H146" s="97"/>
      <c r="K146" s="14"/>
      <c r="L146" s="14"/>
      <c r="M146" s="14"/>
    </row>
    <row r="147" spans="1:13" s="41" customFormat="1" ht="30" customHeight="1" x14ac:dyDescent="0.3">
      <c r="A147" s="63"/>
      <c r="E147" s="36"/>
      <c r="F147" s="36"/>
      <c r="G147" s="36"/>
      <c r="H147" s="97"/>
      <c r="K147" s="14"/>
      <c r="L147" s="14"/>
      <c r="M147" s="14"/>
    </row>
    <row r="148" spans="1:13" s="41" customFormat="1" ht="30" customHeight="1" x14ac:dyDescent="0.3">
      <c r="A148" s="63"/>
      <c r="E148" s="36"/>
      <c r="F148" s="36"/>
      <c r="G148" s="36"/>
      <c r="H148" s="97"/>
      <c r="K148" s="14"/>
      <c r="L148" s="14"/>
      <c r="M148" s="14"/>
    </row>
    <row r="149" spans="1:13" s="41" customFormat="1" ht="30" customHeight="1" x14ac:dyDescent="0.3">
      <c r="A149" s="63"/>
      <c r="E149" s="36"/>
      <c r="F149" s="36"/>
      <c r="G149" s="36"/>
      <c r="H149" s="97"/>
      <c r="K149" s="14"/>
      <c r="L149" s="14"/>
      <c r="M149" s="14"/>
    </row>
    <row r="150" spans="1:13" s="41" customFormat="1" ht="30" customHeight="1" x14ac:dyDescent="0.3">
      <c r="A150" s="63"/>
      <c r="E150" s="36"/>
      <c r="F150" s="36"/>
      <c r="G150" s="36"/>
      <c r="H150" s="97"/>
      <c r="K150" s="14"/>
      <c r="L150" s="14"/>
      <c r="M150" s="14"/>
    </row>
    <row r="151" spans="1:13" s="41" customFormat="1" ht="30" customHeight="1" x14ac:dyDescent="0.3">
      <c r="A151" s="63"/>
      <c r="E151" s="36"/>
      <c r="F151" s="36"/>
      <c r="G151" s="36"/>
      <c r="H151" s="97"/>
      <c r="K151" s="14"/>
      <c r="L151" s="14"/>
      <c r="M151" s="14"/>
    </row>
    <row r="152" spans="1:13" s="41" customFormat="1" ht="30" customHeight="1" x14ac:dyDescent="0.3">
      <c r="A152" s="63"/>
      <c r="E152" s="36"/>
      <c r="F152" s="36"/>
      <c r="G152" s="36"/>
      <c r="H152" s="97"/>
      <c r="K152" s="14"/>
      <c r="L152" s="14"/>
      <c r="M152" s="14"/>
    </row>
    <row r="153" spans="1:13" s="41" customFormat="1" ht="30" customHeight="1" x14ac:dyDescent="0.3">
      <c r="A153" s="63"/>
      <c r="E153" s="36"/>
      <c r="F153" s="36"/>
      <c r="G153" s="36"/>
      <c r="H153" s="97"/>
      <c r="K153" s="14"/>
      <c r="L153" s="14"/>
      <c r="M153" s="14"/>
    </row>
    <row r="154" spans="1:13" s="41" customFormat="1" ht="30" customHeight="1" x14ac:dyDescent="0.3">
      <c r="A154" s="63"/>
      <c r="E154" s="36"/>
      <c r="F154" s="36"/>
      <c r="G154" s="36"/>
      <c r="H154" s="97"/>
      <c r="K154" s="14"/>
      <c r="L154" s="14"/>
      <c r="M154" s="14"/>
    </row>
    <row r="155" spans="1:13" s="41" customFormat="1" ht="30" customHeight="1" x14ac:dyDescent="0.3">
      <c r="A155" s="63"/>
      <c r="E155" s="36"/>
      <c r="F155" s="36"/>
      <c r="G155" s="36"/>
      <c r="H155" s="97"/>
      <c r="K155" s="14"/>
      <c r="L155" s="14"/>
      <c r="M155" s="14"/>
    </row>
    <row r="156" spans="1:13" s="41" customFormat="1" ht="30" customHeight="1" x14ac:dyDescent="0.3">
      <c r="A156" s="63"/>
      <c r="E156" s="36"/>
      <c r="F156" s="36"/>
      <c r="G156" s="36"/>
      <c r="H156" s="97"/>
      <c r="K156" s="14"/>
      <c r="L156" s="14"/>
      <c r="M156" s="14"/>
    </row>
    <row r="157" spans="1:13" s="41" customFormat="1" ht="30" customHeight="1" x14ac:dyDescent="0.3">
      <c r="A157" s="63"/>
      <c r="E157" s="36"/>
      <c r="F157" s="36"/>
      <c r="G157" s="36"/>
      <c r="H157" s="97"/>
      <c r="K157" s="14"/>
      <c r="L157" s="14"/>
      <c r="M157" s="14"/>
    </row>
    <row r="158" spans="1:13" s="41" customFormat="1" ht="30" customHeight="1" x14ac:dyDescent="0.3">
      <c r="A158" s="63"/>
      <c r="E158" s="36"/>
      <c r="F158" s="36"/>
      <c r="G158" s="36"/>
      <c r="H158" s="97"/>
      <c r="K158" s="14"/>
      <c r="L158" s="14"/>
      <c r="M158" s="14"/>
    </row>
    <row r="159" spans="1:13" s="41" customFormat="1" ht="30" customHeight="1" x14ac:dyDescent="0.3">
      <c r="A159" s="63"/>
      <c r="E159" s="36"/>
      <c r="F159" s="36"/>
      <c r="G159" s="36"/>
      <c r="H159" s="97"/>
      <c r="K159" s="14"/>
      <c r="L159" s="14"/>
      <c r="M159" s="14"/>
    </row>
    <row r="160" spans="1:13" s="41" customFormat="1" ht="30" customHeight="1" x14ac:dyDescent="0.3">
      <c r="A160" s="63"/>
      <c r="E160" s="36"/>
      <c r="F160" s="36"/>
      <c r="G160" s="36"/>
      <c r="H160" s="97"/>
      <c r="K160" s="14"/>
      <c r="L160" s="14"/>
      <c r="M160" s="14"/>
    </row>
    <row r="161" spans="1:13" s="41" customFormat="1" ht="30" customHeight="1" x14ac:dyDescent="0.3">
      <c r="A161" s="63"/>
      <c r="E161" s="36"/>
      <c r="F161" s="36"/>
      <c r="G161" s="36"/>
      <c r="H161" s="97"/>
      <c r="K161" s="14"/>
      <c r="L161" s="14"/>
      <c r="M161" s="14"/>
    </row>
    <row r="162" spans="1:13" s="41" customFormat="1" ht="30" customHeight="1" x14ac:dyDescent="0.3">
      <c r="A162" s="63"/>
      <c r="E162" s="36"/>
      <c r="F162" s="36"/>
      <c r="G162" s="36"/>
      <c r="H162" s="97"/>
      <c r="K162" s="14"/>
      <c r="L162" s="14"/>
      <c r="M162" s="14"/>
    </row>
    <row r="163" spans="1:13" s="41" customFormat="1" ht="30" customHeight="1" x14ac:dyDescent="0.3">
      <c r="A163" s="63"/>
      <c r="E163" s="36"/>
      <c r="F163" s="36"/>
      <c r="G163" s="36"/>
      <c r="H163" s="97"/>
      <c r="K163" s="14"/>
      <c r="L163" s="14"/>
      <c r="M163" s="14"/>
    </row>
    <row r="164" spans="1:13" s="41" customFormat="1" ht="30" customHeight="1" x14ac:dyDescent="0.3">
      <c r="A164" s="63"/>
      <c r="E164" s="36"/>
      <c r="F164" s="36"/>
      <c r="G164" s="36"/>
      <c r="H164" s="97"/>
      <c r="K164" s="14"/>
      <c r="L164" s="14"/>
      <c r="M164" s="14"/>
    </row>
    <row r="165" spans="1:13" s="41" customFormat="1" ht="30" customHeight="1" x14ac:dyDescent="0.3">
      <c r="A165" s="63"/>
      <c r="E165" s="36"/>
      <c r="F165" s="36"/>
      <c r="G165" s="36"/>
      <c r="H165" s="97"/>
      <c r="K165" s="14"/>
      <c r="L165" s="14"/>
      <c r="M165" s="14"/>
    </row>
    <row r="166" spans="1:13" s="41" customFormat="1" ht="30" customHeight="1" x14ac:dyDescent="0.3">
      <c r="A166" s="63"/>
      <c r="E166" s="36"/>
      <c r="F166" s="36"/>
      <c r="G166" s="36"/>
      <c r="H166" s="97"/>
      <c r="K166" s="14"/>
      <c r="L166" s="14"/>
      <c r="M166" s="14"/>
    </row>
    <row r="167" spans="1:13" s="41" customFormat="1" ht="30" customHeight="1" x14ac:dyDescent="0.3">
      <c r="A167" s="63"/>
      <c r="E167" s="36"/>
      <c r="F167" s="36"/>
      <c r="G167" s="36"/>
      <c r="H167" s="97"/>
      <c r="K167" s="14"/>
      <c r="L167" s="14"/>
      <c r="M167" s="14"/>
    </row>
    <row r="168" spans="1:13" s="41" customFormat="1" ht="30" customHeight="1" x14ac:dyDescent="0.3">
      <c r="A168" s="63"/>
      <c r="E168" s="36"/>
      <c r="F168" s="36"/>
      <c r="G168" s="36"/>
      <c r="H168" s="97"/>
      <c r="K168" s="14"/>
      <c r="L168" s="14"/>
      <c r="M168" s="14"/>
    </row>
    <row r="169" spans="1:13" s="41" customFormat="1" ht="30" customHeight="1" x14ac:dyDescent="0.3">
      <c r="A169" s="63"/>
      <c r="E169" s="36"/>
      <c r="F169" s="36"/>
      <c r="G169" s="36"/>
      <c r="H169" s="97"/>
      <c r="K169" s="14"/>
      <c r="L169" s="14"/>
      <c r="M169" s="14"/>
    </row>
    <row r="170" spans="1:13" s="41" customFormat="1" ht="30" customHeight="1" x14ac:dyDescent="0.3">
      <c r="A170" s="63"/>
      <c r="E170" s="36"/>
      <c r="F170" s="36"/>
      <c r="G170" s="36"/>
      <c r="H170" s="97"/>
      <c r="K170" s="14"/>
      <c r="L170" s="14"/>
      <c r="M170" s="14"/>
    </row>
    <row r="171" spans="1:13" s="41" customFormat="1" ht="30" customHeight="1" x14ac:dyDescent="0.3">
      <c r="A171" s="63"/>
      <c r="E171" s="36"/>
      <c r="F171" s="36"/>
      <c r="G171" s="36"/>
      <c r="H171" s="97"/>
      <c r="K171" s="14"/>
      <c r="L171" s="14"/>
      <c r="M171" s="14"/>
    </row>
    <row r="172" spans="1:13" s="41" customFormat="1" ht="30" customHeight="1" x14ac:dyDescent="0.3">
      <c r="A172" s="63"/>
      <c r="E172" s="36"/>
      <c r="F172" s="36"/>
      <c r="G172" s="36"/>
      <c r="H172" s="97"/>
      <c r="K172" s="14"/>
      <c r="L172" s="14"/>
      <c r="M172" s="14"/>
    </row>
    <row r="173" spans="1:13" s="41" customFormat="1" ht="30" customHeight="1" x14ac:dyDescent="0.3">
      <c r="A173" s="63"/>
      <c r="E173" s="36"/>
      <c r="F173" s="36"/>
      <c r="G173" s="36"/>
      <c r="H173" s="97"/>
      <c r="K173" s="14"/>
      <c r="L173" s="14"/>
      <c r="M173" s="14"/>
    </row>
    <row r="174" spans="1:13" s="41" customFormat="1" ht="30" customHeight="1" x14ac:dyDescent="0.3">
      <c r="A174" s="63"/>
      <c r="E174" s="36"/>
      <c r="F174" s="36"/>
      <c r="G174" s="36"/>
      <c r="H174" s="97"/>
      <c r="K174" s="14"/>
      <c r="L174" s="14"/>
      <c r="M174" s="14"/>
    </row>
    <row r="175" spans="1:13" s="41" customFormat="1" ht="30" customHeight="1" x14ac:dyDescent="0.3">
      <c r="A175" s="63"/>
      <c r="E175" s="36"/>
      <c r="F175" s="36"/>
      <c r="G175" s="36"/>
      <c r="H175" s="97"/>
      <c r="K175" s="14"/>
      <c r="L175" s="14"/>
      <c r="M175" s="14"/>
    </row>
    <row r="176" spans="1:13" s="41" customFormat="1" ht="30" customHeight="1" x14ac:dyDescent="0.3">
      <c r="A176" s="63"/>
      <c r="E176" s="36"/>
      <c r="F176" s="36"/>
      <c r="G176" s="36"/>
      <c r="H176" s="97"/>
      <c r="K176" s="14"/>
      <c r="L176" s="14"/>
      <c r="M176" s="14"/>
    </row>
    <row r="177" spans="1:13" s="41" customFormat="1" ht="30" customHeight="1" x14ac:dyDescent="0.3">
      <c r="A177" s="63"/>
      <c r="E177" s="36"/>
      <c r="F177" s="36"/>
      <c r="G177" s="36"/>
      <c r="H177" s="97"/>
      <c r="K177" s="14"/>
      <c r="L177" s="14"/>
      <c r="M177" s="14"/>
    </row>
    <row r="178" spans="1:13" s="41" customFormat="1" ht="30" customHeight="1" x14ac:dyDescent="0.3">
      <c r="A178" s="63"/>
      <c r="E178" s="36"/>
      <c r="F178" s="36"/>
      <c r="G178" s="36"/>
      <c r="H178" s="97"/>
      <c r="K178" s="14"/>
      <c r="L178" s="14"/>
      <c r="M178" s="14"/>
    </row>
    <row r="179" spans="1:13" s="41" customFormat="1" ht="30" customHeight="1" x14ac:dyDescent="0.3">
      <c r="A179" s="63"/>
      <c r="E179" s="36"/>
      <c r="F179" s="36"/>
      <c r="G179" s="36"/>
      <c r="H179" s="97"/>
      <c r="K179" s="14"/>
      <c r="L179" s="14"/>
      <c r="M179" s="14"/>
    </row>
    <row r="180" spans="1:13" s="41" customFormat="1" ht="30" customHeight="1" x14ac:dyDescent="0.3">
      <c r="A180" s="63"/>
      <c r="E180" s="36"/>
      <c r="F180" s="36"/>
      <c r="G180" s="36"/>
      <c r="H180" s="97"/>
      <c r="K180" s="14"/>
      <c r="L180" s="14"/>
      <c r="M180" s="14"/>
    </row>
    <row r="181" spans="1:13" s="41" customFormat="1" ht="30" customHeight="1" x14ac:dyDescent="0.3">
      <c r="A181" s="63"/>
      <c r="E181" s="36"/>
      <c r="F181" s="36"/>
      <c r="G181" s="36"/>
      <c r="H181" s="97"/>
      <c r="K181" s="14"/>
      <c r="L181" s="14"/>
      <c r="M181" s="14"/>
    </row>
    <row r="182" spans="1:13" s="41" customFormat="1" ht="30" customHeight="1" x14ac:dyDescent="0.3">
      <c r="A182" s="63"/>
      <c r="E182" s="36"/>
      <c r="F182" s="36"/>
      <c r="G182" s="36"/>
      <c r="H182" s="97"/>
      <c r="K182" s="14"/>
      <c r="L182" s="14"/>
      <c r="M182" s="14"/>
    </row>
    <row r="183" spans="1:13" s="41" customFormat="1" ht="30" customHeight="1" x14ac:dyDescent="0.3">
      <c r="A183" s="63"/>
      <c r="E183" s="36"/>
      <c r="F183" s="36"/>
      <c r="G183" s="36"/>
      <c r="H183" s="97"/>
      <c r="K183" s="14"/>
      <c r="L183" s="14"/>
      <c r="M183" s="14"/>
    </row>
    <row r="184" spans="1:13" s="41" customFormat="1" ht="30" customHeight="1" x14ac:dyDescent="0.3">
      <c r="A184" s="63"/>
      <c r="E184" s="36"/>
      <c r="F184" s="36"/>
      <c r="G184" s="36"/>
      <c r="H184" s="97"/>
      <c r="K184" s="14"/>
      <c r="L184" s="14"/>
      <c r="M184" s="14"/>
    </row>
    <row r="185" spans="1:13" s="41" customFormat="1" ht="30" customHeight="1" x14ac:dyDescent="0.3">
      <c r="A185" s="63"/>
      <c r="E185" s="36"/>
      <c r="F185" s="36"/>
      <c r="G185" s="36"/>
      <c r="H185" s="97"/>
      <c r="K185" s="14"/>
      <c r="L185" s="14"/>
      <c r="M185" s="14"/>
    </row>
    <row r="186" spans="1:13" s="41" customFormat="1" ht="30" customHeight="1" x14ac:dyDescent="0.3">
      <c r="A186" s="63"/>
      <c r="E186" s="36"/>
      <c r="F186" s="36"/>
      <c r="G186" s="36"/>
      <c r="H186" s="97"/>
      <c r="K186" s="14"/>
      <c r="L186" s="14"/>
      <c r="M186" s="14"/>
    </row>
    <row r="187" spans="1:13" s="41" customFormat="1" ht="30" customHeight="1" x14ac:dyDescent="0.3">
      <c r="A187" s="63"/>
      <c r="E187" s="36"/>
      <c r="F187" s="36"/>
      <c r="G187" s="36"/>
      <c r="H187" s="97"/>
      <c r="K187" s="14"/>
      <c r="L187" s="14"/>
      <c r="M187" s="14"/>
    </row>
    <row r="188" spans="1:13" s="41" customFormat="1" ht="30" customHeight="1" x14ac:dyDescent="0.3">
      <c r="A188" s="63"/>
      <c r="E188" s="36"/>
      <c r="F188" s="36"/>
      <c r="G188" s="36"/>
      <c r="H188" s="97"/>
      <c r="K188" s="14"/>
      <c r="L188" s="14"/>
      <c r="M188" s="14"/>
    </row>
    <row r="189" spans="1:13" s="41" customFormat="1" ht="30" customHeight="1" x14ac:dyDescent="0.3">
      <c r="A189" s="63"/>
      <c r="E189" s="36"/>
      <c r="F189" s="36"/>
      <c r="G189" s="36"/>
      <c r="H189" s="97"/>
      <c r="K189" s="14"/>
      <c r="L189" s="14"/>
      <c r="M189" s="14"/>
    </row>
    <row r="190" spans="1:13" s="41" customFormat="1" ht="30" customHeight="1" x14ac:dyDescent="0.3">
      <c r="A190" s="63"/>
      <c r="E190" s="36"/>
      <c r="F190" s="36"/>
      <c r="G190" s="36"/>
      <c r="H190" s="97"/>
      <c r="K190" s="14"/>
      <c r="L190" s="14"/>
      <c r="M190" s="14"/>
    </row>
    <row r="191" spans="1:13" s="41" customFormat="1" ht="30" customHeight="1" x14ac:dyDescent="0.3">
      <c r="A191" s="63"/>
      <c r="E191" s="36"/>
      <c r="F191" s="36"/>
      <c r="G191" s="36"/>
      <c r="H191" s="97"/>
      <c r="K191" s="14"/>
      <c r="L191" s="14"/>
      <c r="M191" s="14"/>
    </row>
    <row r="192" spans="1:13" s="41" customFormat="1" ht="30" customHeight="1" x14ac:dyDescent="0.3">
      <c r="A192" s="63"/>
      <c r="E192" s="36"/>
      <c r="F192" s="36"/>
      <c r="G192" s="36"/>
      <c r="H192" s="97"/>
      <c r="K192" s="14"/>
      <c r="L192" s="14"/>
      <c r="M192" s="14"/>
    </row>
    <row r="193" spans="1:13" s="41" customFormat="1" ht="30" customHeight="1" x14ac:dyDescent="0.3">
      <c r="A193" s="63"/>
      <c r="E193" s="36"/>
      <c r="F193" s="36"/>
      <c r="G193" s="36"/>
      <c r="H193" s="97"/>
      <c r="K193" s="14"/>
      <c r="L193" s="14"/>
      <c r="M193" s="14"/>
    </row>
    <row r="194" spans="1:13" s="41" customFormat="1" ht="30" customHeight="1" x14ac:dyDescent="0.3">
      <c r="A194" s="63"/>
      <c r="E194" s="36"/>
      <c r="F194" s="36"/>
      <c r="G194" s="36"/>
      <c r="H194" s="97"/>
      <c r="K194" s="14"/>
      <c r="L194" s="14"/>
      <c r="M194" s="14"/>
    </row>
    <row r="195" spans="1:13" s="41" customFormat="1" ht="30" customHeight="1" x14ac:dyDescent="0.3">
      <c r="A195" s="63"/>
      <c r="E195" s="36"/>
      <c r="F195" s="36"/>
      <c r="G195" s="36"/>
      <c r="H195" s="97"/>
      <c r="K195" s="14"/>
      <c r="L195" s="14"/>
      <c r="M195" s="14"/>
    </row>
    <row r="196" spans="1:13" s="41" customFormat="1" ht="30" customHeight="1" x14ac:dyDescent="0.3">
      <c r="A196" s="63"/>
      <c r="E196" s="36"/>
      <c r="F196" s="36"/>
      <c r="G196" s="36"/>
      <c r="H196" s="97"/>
      <c r="K196" s="14"/>
      <c r="L196" s="14"/>
      <c r="M196" s="14"/>
    </row>
    <row r="197" spans="1:13" s="41" customFormat="1" ht="30" customHeight="1" x14ac:dyDescent="0.3">
      <c r="A197" s="63"/>
      <c r="E197" s="36"/>
      <c r="F197" s="36"/>
      <c r="G197" s="36"/>
      <c r="H197" s="97"/>
      <c r="K197" s="14"/>
      <c r="L197" s="14"/>
      <c r="M197" s="14"/>
    </row>
    <row r="198" spans="1:13" s="41" customFormat="1" ht="30" customHeight="1" x14ac:dyDescent="0.3">
      <c r="A198" s="63"/>
      <c r="E198" s="36"/>
      <c r="F198" s="36"/>
      <c r="G198" s="36"/>
      <c r="H198" s="97"/>
      <c r="K198" s="14"/>
      <c r="L198" s="14"/>
      <c r="M198" s="14"/>
    </row>
    <row r="199" spans="1:13" s="41" customFormat="1" ht="30" customHeight="1" x14ac:dyDescent="0.3">
      <c r="A199" s="63"/>
      <c r="E199" s="36"/>
      <c r="F199" s="36"/>
      <c r="G199" s="36"/>
      <c r="H199" s="97"/>
      <c r="K199" s="14"/>
      <c r="L199" s="14"/>
      <c r="M199" s="14"/>
    </row>
    <row r="200" spans="1:13" s="41" customFormat="1" ht="30" customHeight="1" x14ac:dyDescent="0.3">
      <c r="A200" s="63"/>
      <c r="E200" s="36"/>
      <c r="F200" s="36"/>
      <c r="G200" s="36"/>
      <c r="H200" s="97"/>
      <c r="K200" s="14"/>
      <c r="L200" s="14"/>
      <c r="M200" s="14"/>
    </row>
    <row r="201" spans="1:13" s="41" customFormat="1" ht="30" customHeight="1" x14ac:dyDescent="0.3">
      <c r="A201" s="63"/>
      <c r="E201" s="36"/>
      <c r="F201" s="36"/>
      <c r="G201" s="36"/>
      <c r="H201" s="97"/>
      <c r="K201" s="14"/>
      <c r="L201" s="14"/>
      <c r="M201" s="14"/>
    </row>
    <row r="202" spans="1:13" s="41" customFormat="1" ht="30" customHeight="1" x14ac:dyDescent="0.3">
      <c r="A202" s="63"/>
      <c r="E202" s="36"/>
      <c r="F202" s="36"/>
      <c r="G202" s="36"/>
      <c r="H202" s="97"/>
      <c r="K202" s="14"/>
      <c r="L202" s="14"/>
      <c r="M202" s="14"/>
    </row>
    <row r="203" spans="1:13" s="41" customFormat="1" ht="30" customHeight="1" x14ac:dyDescent="0.3">
      <c r="A203" s="63"/>
      <c r="E203" s="36"/>
      <c r="F203" s="36"/>
      <c r="G203" s="36"/>
      <c r="H203" s="97"/>
      <c r="K203" s="14"/>
      <c r="L203" s="14"/>
      <c r="M203" s="14"/>
    </row>
    <row r="204" spans="1:13" s="41" customFormat="1" ht="30" customHeight="1" x14ac:dyDescent="0.3">
      <c r="A204" s="63"/>
      <c r="E204" s="36"/>
      <c r="F204" s="36"/>
      <c r="G204" s="36"/>
      <c r="H204" s="97"/>
      <c r="K204" s="14"/>
      <c r="L204" s="14"/>
      <c r="M204" s="14"/>
    </row>
    <row r="205" spans="1:13" s="41" customFormat="1" ht="30" customHeight="1" x14ac:dyDescent="0.3">
      <c r="A205" s="63"/>
      <c r="E205" s="36"/>
      <c r="F205" s="36"/>
      <c r="G205" s="36"/>
      <c r="H205" s="97"/>
      <c r="K205" s="14"/>
      <c r="L205" s="14"/>
      <c r="M205" s="14"/>
    </row>
    <row r="206" spans="1:13" s="41" customFormat="1" ht="30" customHeight="1" x14ac:dyDescent="0.3">
      <c r="A206" s="63"/>
      <c r="E206" s="36"/>
      <c r="F206" s="36"/>
      <c r="G206" s="36"/>
      <c r="H206" s="97"/>
      <c r="K206" s="14"/>
      <c r="L206" s="14"/>
      <c r="M206" s="14"/>
    </row>
    <row r="207" spans="1:13" s="41" customFormat="1" ht="30" customHeight="1" x14ac:dyDescent="0.3">
      <c r="A207" s="63"/>
      <c r="E207" s="36"/>
      <c r="F207" s="36"/>
      <c r="G207" s="36"/>
      <c r="H207" s="97"/>
      <c r="K207" s="14"/>
      <c r="L207" s="14"/>
      <c r="M207" s="14"/>
    </row>
    <row r="208" spans="1:13" s="41" customFormat="1" ht="30" customHeight="1" x14ac:dyDescent="0.3">
      <c r="A208" s="63"/>
      <c r="E208" s="36"/>
      <c r="F208" s="36"/>
      <c r="G208" s="36"/>
      <c r="H208" s="97"/>
      <c r="K208" s="14"/>
      <c r="L208" s="14"/>
      <c r="M208" s="14"/>
    </row>
    <row r="209" spans="1:13" s="41" customFormat="1" ht="30" customHeight="1" x14ac:dyDescent="0.3">
      <c r="A209" s="63"/>
      <c r="E209" s="36"/>
      <c r="F209" s="36"/>
      <c r="G209" s="36"/>
      <c r="H209" s="97"/>
      <c r="K209" s="14"/>
      <c r="L209" s="14"/>
      <c r="M209" s="14"/>
    </row>
    <row r="210" spans="1:13" s="41" customFormat="1" ht="30" customHeight="1" x14ac:dyDescent="0.3">
      <c r="A210" s="63"/>
      <c r="E210" s="36"/>
      <c r="F210" s="36"/>
      <c r="G210" s="36"/>
      <c r="H210" s="97"/>
      <c r="K210" s="14"/>
      <c r="L210" s="14"/>
      <c r="M210" s="14"/>
    </row>
    <row r="211" spans="1:13" s="41" customFormat="1" ht="30" customHeight="1" x14ac:dyDescent="0.3">
      <c r="A211" s="63"/>
      <c r="E211" s="36"/>
      <c r="F211" s="36"/>
      <c r="G211" s="36"/>
      <c r="H211" s="97"/>
      <c r="K211" s="14"/>
      <c r="L211" s="14"/>
      <c r="M211" s="14"/>
    </row>
    <row r="212" spans="1:13" s="41" customFormat="1" ht="30" customHeight="1" x14ac:dyDescent="0.3">
      <c r="A212" s="63"/>
      <c r="E212" s="36"/>
      <c r="F212" s="36"/>
      <c r="G212" s="36"/>
      <c r="H212" s="97"/>
      <c r="K212" s="14"/>
      <c r="L212" s="14"/>
      <c r="M212" s="14"/>
    </row>
    <row r="213" spans="1:13" s="41" customFormat="1" ht="30" customHeight="1" x14ac:dyDescent="0.3">
      <c r="A213" s="63"/>
      <c r="E213" s="36"/>
      <c r="F213" s="36"/>
      <c r="G213" s="36"/>
      <c r="H213" s="97"/>
      <c r="K213" s="14"/>
      <c r="L213" s="14"/>
      <c r="M213" s="14"/>
    </row>
    <row r="214" spans="1:13" s="41" customFormat="1" ht="30" customHeight="1" x14ac:dyDescent="0.3">
      <c r="A214" s="63"/>
      <c r="E214" s="36"/>
      <c r="F214" s="36"/>
      <c r="G214" s="36"/>
      <c r="H214" s="97"/>
      <c r="K214" s="14"/>
      <c r="L214" s="14"/>
      <c r="M214" s="14"/>
    </row>
    <row r="215" spans="1:13" s="41" customFormat="1" ht="30" customHeight="1" x14ac:dyDescent="0.3">
      <c r="A215" s="63"/>
      <c r="E215" s="36"/>
      <c r="F215" s="36"/>
      <c r="G215" s="36"/>
      <c r="H215" s="97"/>
      <c r="K215" s="14"/>
      <c r="L215" s="14"/>
      <c r="M215" s="14"/>
    </row>
    <row r="216" spans="1:13" s="41" customFormat="1" ht="30" customHeight="1" x14ac:dyDescent="0.3">
      <c r="A216" s="63"/>
      <c r="E216" s="36"/>
      <c r="F216" s="36"/>
      <c r="G216" s="36"/>
      <c r="H216" s="97"/>
      <c r="K216" s="14"/>
      <c r="L216" s="14"/>
      <c r="M216" s="14"/>
    </row>
    <row r="217" spans="1:13" s="41" customFormat="1" ht="30" customHeight="1" x14ac:dyDescent="0.3">
      <c r="A217" s="63"/>
      <c r="E217" s="36"/>
      <c r="F217" s="36"/>
      <c r="G217" s="36"/>
      <c r="H217" s="97"/>
      <c r="K217" s="14"/>
      <c r="L217" s="14"/>
      <c r="M217" s="14"/>
    </row>
    <row r="218" spans="1:13" s="41" customFormat="1" ht="30" customHeight="1" x14ac:dyDescent="0.3">
      <c r="A218" s="63"/>
      <c r="E218" s="36"/>
      <c r="F218" s="36"/>
      <c r="G218" s="36"/>
      <c r="H218" s="97"/>
      <c r="K218" s="14"/>
      <c r="L218" s="14"/>
      <c r="M218" s="14"/>
    </row>
    <row r="219" spans="1:13" s="41" customFormat="1" ht="30" customHeight="1" x14ac:dyDescent="0.3">
      <c r="A219" s="63"/>
      <c r="E219" s="36"/>
      <c r="F219" s="36"/>
      <c r="G219" s="36"/>
      <c r="H219" s="97"/>
      <c r="K219" s="14"/>
      <c r="L219" s="14"/>
      <c r="M219" s="14"/>
    </row>
    <row r="220" spans="1:13" s="41" customFormat="1" ht="30" customHeight="1" x14ac:dyDescent="0.3">
      <c r="A220" s="63"/>
      <c r="E220" s="36"/>
      <c r="F220" s="36"/>
      <c r="G220" s="36"/>
      <c r="H220" s="97"/>
      <c r="K220" s="14"/>
      <c r="L220" s="14"/>
      <c r="M220" s="14"/>
    </row>
    <row r="221" spans="1:13" s="41" customFormat="1" ht="30" customHeight="1" x14ac:dyDescent="0.3">
      <c r="A221" s="63"/>
      <c r="E221" s="36"/>
      <c r="F221" s="36"/>
      <c r="G221" s="36"/>
      <c r="H221" s="97"/>
      <c r="K221" s="14"/>
      <c r="L221" s="14"/>
      <c r="M221" s="14"/>
    </row>
    <row r="222" spans="1:13" s="41" customFormat="1" ht="30" customHeight="1" x14ac:dyDescent="0.3">
      <c r="A222" s="63"/>
      <c r="E222" s="36"/>
      <c r="F222" s="36"/>
      <c r="G222" s="36"/>
      <c r="H222" s="97"/>
      <c r="K222" s="14"/>
      <c r="L222" s="14"/>
      <c r="M222" s="14"/>
    </row>
    <row r="223" spans="1:13" s="41" customFormat="1" ht="30" customHeight="1" x14ac:dyDescent="0.3">
      <c r="A223" s="63"/>
      <c r="E223" s="36"/>
      <c r="F223" s="36"/>
      <c r="G223" s="36"/>
      <c r="H223" s="97"/>
      <c r="K223" s="14"/>
      <c r="L223" s="14"/>
      <c r="M223" s="14"/>
    </row>
    <row r="224" spans="1:13" s="41" customFormat="1" ht="30" customHeight="1" x14ac:dyDescent="0.3">
      <c r="A224" s="63"/>
      <c r="E224" s="36"/>
      <c r="F224" s="36"/>
      <c r="G224" s="36"/>
      <c r="H224" s="97"/>
      <c r="K224" s="14"/>
      <c r="L224" s="14"/>
      <c r="M224" s="14"/>
    </row>
    <row r="225" spans="1:13" s="41" customFormat="1" ht="30" customHeight="1" x14ac:dyDescent="0.3">
      <c r="A225" s="63"/>
      <c r="E225" s="36"/>
      <c r="F225" s="36"/>
      <c r="G225" s="36"/>
      <c r="H225" s="97"/>
      <c r="K225" s="14"/>
      <c r="L225" s="14"/>
      <c r="M225" s="14"/>
    </row>
    <row r="226" spans="1:13" s="41" customFormat="1" ht="30" customHeight="1" x14ac:dyDescent="0.3">
      <c r="A226" s="63"/>
      <c r="E226" s="36"/>
      <c r="F226" s="36"/>
      <c r="G226" s="36"/>
      <c r="H226" s="97"/>
      <c r="K226" s="14"/>
      <c r="L226" s="14"/>
      <c r="M226" s="14"/>
    </row>
    <row r="227" spans="1:13" s="41" customFormat="1" ht="30" customHeight="1" x14ac:dyDescent="0.3">
      <c r="A227" s="63"/>
      <c r="E227" s="36"/>
      <c r="F227" s="36"/>
      <c r="G227" s="36"/>
      <c r="H227" s="97"/>
      <c r="K227" s="14"/>
      <c r="L227" s="14"/>
      <c r="M227" s="14"/>
    </row>
    <row r="228" spans="1:13" s="41" customFormat="1" ht="30" customHeight="1" x14ac:dyDescent="0.3">
      <c r="A228" s="63"/>
      <c r="E228" s="36"/>
      <c r="F228" s="36"/>
      <c r="G228" s="36"/>
      <c r="H228" s="97"/>
      <c r="K228" s="14"/>
      <c r="L228" s="14"/>
      <c r="M228" s="14"/>
    </row>
    <row r="229" spans="1:13" s="41" customFormat="1" ht="30" customHeight="1" x14ac:dyDescent="0.3">
      <c r="A229" s="63"/>
      <c r="E229" s="36"/>
      <c r="F229" s="36"/>
      <c r="G229" s="36"/>
      <c r="H229" s="97"/>
      <c r="K229" s="14"/>
      <c r="L229" s="14"/>
      <c r="M229" s="14"/>
    </row>
    <row r="230" spans="1:13" s="41" customFormat="1" ht="30" customHeight="1" x14ac:dyDescent="0.3">
      <c r="A230" s="63"/>
      <c r="E230" s="36"/>
      <c r="F230" s="36"/>
      <c r="G230" s="36"/>
      <c r="H230" s="97"/>
      <c r="K230" s="14"/>
      <c r="L230" s="14"/>
      <c r="M230" s="14"/>
    </row>
    <row r="231" spans="1:13" s="41" customFormat="1" ht="30" customHeight="1" x14ac:dyDescent="0.3">
      <c r="A231" s="63"/>
      <c r="E231" s="36"/>
      <c r="F231" s="36"/>
      <c r="G231" s="36"/>
      <c r="H231" s="97"/>
      <c r="K231" s="14"/>
      <c r="L231" s="14"/>
      <c r="M231" s="14"/>
    </row>
    <row r="232" spans="1:13" s="41" customFormat="1" ht="30" customHeight="1" x14ac:dyDescent="0.3">
      <c r="A232" s="63"/>
      <c r="E232" s="36"/>
      <c r="F232" s="36"/>
      <c r="G232" s="36"/>
      <c r="H232" s="97"/>
      <c r="K232" s="14"/>
      <c r="L232" s="14"/>
      <c r="M232" s="14"/>
    </row>
    <row r="233" spans="1:13" s="41" customFormat="1" ht="30" customHeight="1" x14ac:dyDescent="0.3">
      <c r="A233" s="63"/>
      <c r="E233" s="36"/>
      <c r="F233" s="36"/>
      <c r="G233" s="36"/>
      <c r="H233" s="97"/>
      <c r="K233" s="14"/>
      <c r="L233" s="14"/>
      <c r="M233" s="14"/>
    </row>
    <row r="234" spans="1:13" s="41" customFormat="1" ht="30" customHeight="1" x14ac:dyDescent="0.3">
      <c r="A234" s="63"/>
      <c r="E234" s="36"/>
      <c r="F234" s="36"/>
      <c r="G234" s="36"/>
      <c r="H234" s="97"/>
      <c r="K234" s="14"/>
      <c r="L234" s="14"/>
      <c r="M234" s="14"/>
    </row>
    <row r="235" spans="1:13" s="41" customFormat="1" ht="30" customHeight="1" x14ac:dyDescent="0.3">
      <c r="A235" s="63"/>
      <c r="E235" s="36"/>
      <c r="F235" s="36"/>
      <c r="G235" s="36"/>
      <c r="H235" s="97"/>
      <c r="K235" s="14"/>
      <c r="L235" s="14"/>
      <c r="M235" s="14"/>
    </row>
    <row r="236" spans="1:13" s="41" customFormat="1" ht="30" customHeight="1" x14ac:dyDescent="0.3">
      <c r="A236" s="63"/>
      <c r="E236" s="36"/>
      <c r="F236" s="36"/>
      <c r="G236" s="36"/>
      <c r="H236" s="97"/>
      <c r="K236" s="14"/>
      <c r="L236" s="14"/>
      <c r="M236" s="14"/>
    </row>
    <row r="237" spans="1:13" s="41" customFormat="1" ht="30" customHeight="1" x14ac:dyDescent="0.3">
      <c r="A237" s="63"/>
      <c r="E237" s="36"/>
      <c r="F237" s="36"/>
      <c r="G237" s="36"/>
      <c r="H237" s="97"/>
      <c r="K237" s="14"/>
      <c r="L237" s="14"/>
      <c r="M237" s="14"/>
    </row>
    <row r="238" spans="1:13" s="41" customFormat="1" ht="30" customHeight="1" x14ac:dyDescent="0.3">
      <c r="A238" s="63"/>
      <c r="E238" s="36"/>
      <c r="F238" s="36"/>
      <c r="G238" s="36"/>
      <c r="H238" s="97"/>
      <c r="K238" s="14"/>
      <c r="L238" s="14"/>
      <c r="M238" s="14"/>
    </row>
    <row r="239" spans="1:13" s="41" customFormat="1" ht="30" customHeight="1" x14ac:dyDescent="0.3">
      <c r="A239" s="63"/>
      <c r="E239" s="36"/>
      <c r="F239" s="36"/>
      <c r="G239" s="36"/>
      <c r="H239" s="97"/>
      <c r="K239" s="14"/>
      <c r="L239" s="14"/>
      <c r="M239" s="14"/>
    </row>
    <row r="240" spans="1:13" s="41" customFormat="1" ht="30" customHeight="1" x14ac:dyDescent="0.3">
      <c r="A240" s="63"/>
      <c r="E240" s="36"/>
      <c r="F240" s="36"/>
      <c r="G240" s="36"/>
      <c r="H240" s="97"/>
      <c r="K240" s="14"/>
      <c r="L240" s="14"/>
      <c r="M240" s="14"/>
    </row>
    <row r="241" spans="1:13" s="41" customFormat="1" ht="30" customHeight="1" x14ac:dyDescent="0.3">
      <c r="A241" s="63"/>
      <c r="E241" s="36"/>
      <c r="F241" s="36"/>
      <c r="G241" s="36"/>
      <c r="H241" s="97"/>
      <c r="K241" s="14"/>
      <c r="L241" s="14"/>
      <c r="M241" s="14"/>
    </row>
    <row r="242" spans="1:13" s="41" customFormat="1" ht="30" customHeight="1" x14ac:dyDescent="0.3">
      <c r="A242" s="63"/>
      <c r="E242" s="36"/>
      <c r="F242" s="36"/>
      <c r="G242" s="36"/>
      <c r="H242" s="97"/>
      <c r="K242" s="14"/>
      <c r="L242" s="14"/>
      <c r="M242" s="14"/>
    </row>
    <row r="243" spans="1:13" s="41" customFormat="1" ht="30" customHeight="1" x14ac:dyDescent="0.3">
      <c r="A243" s="63"/>
      <c r="E243" s="36"/>
      <c r="F243" s="36"/>
      <c r="G243" s="36"/>
      <c r="H243" s="97"/>
      <c r="K243" s="14"/>
      <c r="L243" s="14"/>
      <c r="M243" s="14"/>
    </row>
    <row r="244" spans="1:13" s="41" customFormat="1" ht="30" customHeight="1" x14ac:dyDescent="0.3">
      <c r="A244" s="63"/>
      <c r="E244" s="36"/>
      <c r="F244" s="36"/>
      <c r="G244" s="36"/>
      <c r="H244" s="97"/>
      <c r="K244" s="14"/>
      <c r="L244" s="14"/>
      <c r="M244" s="14"/>
    </row>
    <row r="245" spans="1:13" s="41" customFormat="1" ht="30" customHeight="1" x14ac:dyDescent="0.3">
      <c r="A245" s="63"/>
      <c r="E245" s="36"/>
      <c r="F245" s="36"/>
      <c r="G245" s="36"/>
      <c r="H245" s="97"/>
      <c r="K245" s="14"/>
      <c r="L245" s="14"/>
      <c r="M245" s="14"/>
    </row>
    <row r="246" spans="1:13" s="41" customFormat="1" ht="30" customHeight="1" x14ac:dyDescent="0.3">
      <c r="A246" s="63"/>
      <c r="E246" s="36"/>
      <c r="F246" s="36"/>
      <c r="G246" s="36"/>
      <c r="H246" s="97"/>
      <c r="K246" s="14"/>
      <c r="L246" s="14"/>
      <c r="M246" s="14"/>
    </row>
    <row r="247" spans="1:13" s="41" customFormat="1" ht="30" customHeight="1" x14ac:dyDescent="0.3">
      <c r="A247" s="63"/>
      <c r="E247" s="36"/>
      <c r="F247" s="36"/>
      <c r="G247" s="36"/>
      <c r="H247" s="97"/>
      <c r="K247" s="14"/>
      <c r="L247" s="14"/>
      <c r="M247" s="14"/>
    </row>
    <row r="248" spans="1:13" s="41" customFormat="1" ht="30" customHeight="1" x14ac:dyDescent="0.3">
      <c r="A248" s="63"/>
      <c r="E248" s="36"/>
      <c r="F248" s="36"/>
      <c r="G248" s="36"/>
      <c r="H248" s="97"/>
      <c r="K248" s="14"/>
      <c r="L248" s="14"/>
      <c r="M248" s="14"/>
    </row>
    <row r="249" spans="1:13" s="41" customFormat="1" ht="30" customHeight="1" x14ac:dyDescent="0.3">
      <c r="A249" s="63"/>
      <c r="E249" s="36"/>
      <c r="F249" s="36"/>
      <c r="G249" s="36"/>
      <c r="H249" s="97"/>
      <c r="K249" s="14"/>
      <c r="L249" s="14"/>
      <c r="M249" s="14"/>
    </row>
    <row r="250" spans="1:13" s="41" customFormat="1" ht="30" customHeight="1" x14ac:dyDescent="0.3">
      <c r="A250" s="63"/>
      <c r="E250" s="36"/>
      <c r="F250" s="36"/>
      <c r="G250" s="36"/>
      <c r="H250" s="97"/>
      <c r="K250" s="14"/>
      <c r="L250" s="14"/>
      <c r="M250" s="14"/>
    </row>
    <row r="251" spans="1:13" s="41" customFormat="1" ht="30" customHeight="1" x14ac:dyDescent="0.3">
      <c r="A251" s="63"/>
      <c r="E251" s="36"/>
      <c r="F251" s="36"/>
      <c r="G251" s="36"/>
      <c r="H251" s="97"/>
      <c r="K251" s="14"/>
      <c r="L251" s="14"/>
      <c r="M251" s="14"/>
    </row>
    <row r="252" spans="1:13" s="41" customFormat="1" ht="30" customHeight="1" x14ac:dyDescent="0.3">
      <c r="A252" s="63"/>
      <c r="E252" s="36"/>
      <c r="F252" s="36"/>
      <c r="G252" s="36"/>
      <c r="H252" s="97"/>
      <c r="K252" s="14"/>
      <c r="L252" s="14"/>
      <c r="M252" s="14"/>
    </row>
    <row r="253" spans="1:13" s="41" customFormat="1" ht="30" customHeight="1" x14ac:dyDescent="0.3">
      <c r="A253" s="63"/>
      <c r="E253" s="36"/>
      <c r="F253" s="36"/>
      <c r="G253" s="36"/>
      <c r="H253" s="97"/>
      <c r="K253" s="14"/>
      <c r="L253" s="14"/>
      <c r="M253" s="14"/>
    </row>
    <row r="254" spans="1:13" s="41" customFormat="1" ht="30" customHeight="1" x14ac:dyDescent="0.3">
      <c r="A254" s="63"/>
      <c r="E254" s="36"/>
      <c r="F254" s="36"/>
      <c r="G254" s="36"/>
      <c r="H254" s="97"/>
      <c r="K254" s="14"/>
      <c r="L254" s="14"/>
      <c r="M254" s="14"/>
    </row>
    <row r="255" spans="1:13" s="41" customFormat="1" ht="30" customHeight="1" x14ac:dyDescent="0.3">
      <c r="A255" s="63"/>
      <c r="E255" s="36"/>
      <c r="F255" s="36"/>
      <c r="G255" s="36"/>
      <c r="H255" s="97"/>
      <c r="K255" s="14"/>
      <c r="L255" s="14"/>
      <c r="M255" s="14"/>
    </row>
    <row r="256" spans="1:13" s="41" customFormat="1" ht="30" customHeight="1" x14ac:dyDescent="0.3">
      <c r="A256" s="63"/>
      <c r="E256" s="36"/>
      <c r="F256" s="36"/>
      <c r="G256" s="36"/>
      <c r="H256" s="97"/>
      <c r="K256" s="14"/>
      <c r="L256" s="14"/>
      <c r="M256" s="14"/>
    </row>
    <row r="257" spans="1:13" s="41" customFormat="1" ht="30" customHeight="1" x14ac:dyDescent="0.3">
      <c r="A257" s="63"/>
      <c r="E257" s="36"/>
      <c r="F257" s="36"/>
      <c r="G257" s="36"/>
      <c r="H257" s="97"/>
      <c r="K257" s="14"/>
      <c r="L257" s="14"/>
      <c r="M257" s="14"/>
    </row>
    <row r="258" spans="1:13" s="41" customFormat="1" ht="30" customHeight="1" x14ac:dyDescent="0.3">
      <c r="A258" s="63"/>
      <c r="E258" s="36"/>
      <c r="F258" s="36"/>
      <c r="G258" s="36"/>
      <c r="H258" s="97"/>
      <c r="K258" s="14"/>
      <c r="L258" s="14"/>
      <c r="M258" s="14"/>
    </row>
    <row r="259" spans="1:13" s="41" customFormat="1" ht="30" customHeight="1" x14ac:dyDescent="0.3">
      <c r="A259" s="63"/>
      <c r="E259" s="36"/>
      <c r="F259" s="36"/>
      <c r="G259" s="36"/>
      <c r="H259" s="97"/>
      <c r="K259" s="14"/>
      <c r="L259" s="14"/>
      <c r="M259" s="14"/>
    </row>
    <row r="260" spans="1:13" s="41" customFormat="1" ht="30" customHeight="1" x14ac:dyDescent="0.3">
      <c r="A260" s="63"/>
      <c r="E260" s="36"/>
      <c r="F260" s="36"/>
      <c r="G260" s="36"/>
      <c r="H260" s="97"/>
      <c r="K260" s="14"/>
      <c r="L260" s="14"/>
      <c r="M260" s="14"/>
    </row>
    <row r="261" spans="1:13" s="41" customFormat="1" ht="30" customHeight="1" x14ac:dyDescent="0.3">
      <c r="A261" s="63"/>
      <c r="E261" s="36"/>
      <c r="F261" s="36"/>
      <c r="G261" s="36"/>
      <c r="H261" s="97"/>
      <c r="K261" s="14"/>
      <c r="L261" s="14"/>
      <c r="M261" s="14"/>
    </row>
    <row r="262" spans="1:13" s="41" customFormat="1" ht="30" customHeight="1" x14ac:dyDescent="0.3">
      <c r="A262" s="63"/>
      <c r="E262" s="36"/>
      <c r="F262" s="36"/>
      <c r="G262" s="36"/>
      <c r="H262" s="97"/>
      <c r="K262" s="14"/>
      <c r="L262" s="14"/>
      <c r="M262" s="14"/>
    </row>
    <row r="263" spans="1:13" s="41" customFormat="1" ht="30" customHeight="1" x14ac:dyDescent="0.3">
      <c r="A263" s="63"/>
      <c r="E263" s="36"/>
      <c r="F263" s="36"/>
      <c r="G263" s="36"/>
      <c r="H263" s="97"/>
      <c r="K263" s="14"/>
      <c r="L263" s="14"/>
      <c r="M263" s="14"/>
    </row>
    <row r="264" spans="1:13" s="41" customFormat="1" ht="30" customHeight="1" x14ac:dyDescent="0.3">
      <c r="A264" s="63"/>
      <c r="E264" s="36"/>
      <c r="F264" s="36"/>
      <c r="G264" s="36"/>
      <c r="H264" s="97"/>
      <c r="K264" s="14"/>
      <c r="L264" s="14"/>
      <c r="M264" s="14"/>
    </row>
    <row r="265" spans="1:13" s="41" customFormat="1" ht="30" customHeight="1" x14ac:dyDescent="0.3">
      <c r="A265" s="63"/>
      <c r="E265" s="36"/>
      <c r="F265" s="36"/>
      <c r="G265" s="36"/>
      <c r="H265" s="97"/>
      <c r="K265" s="14"/>
      <c r="L265" s="14"/>
      <c r="M265" s="14"/>
    </row>
    <row r="266" spans="1:13" s="41" customFormat="1" ht="30" customHeight="1" x14ac:dyDescent="0.3">
      <c r="A266" s="63"/>
      <c r="E266" s="36"/>
      <c r="F266" s="36"/>
      <c r="G266" s="36"/>
      <c r="H266" s="97"/>
      <c r="K266" s="14"/>
      <c r="L266" s="14"/>
      <c r="M266" s="14"/>
    </row>
    <row r="267" spans="1:13" s="41" customFormat="1" ht="30" customHeight="1" x14ac:dyDescent="0.3">
      <c r="A267" s="63"/>
      <c r="E267" s="36"/>
      <c r="F267" s="36"/>
      <c r="G267" s="36"/>
      <c r="H267" s="97"/>
      <c r="K267" s="14"/>
      <c r="L267" s="14"/>
      <c r="M267" s="14"/>
    </row>
    <row r="268" spans="1:13" s="41" customFormat="1" ht="30" customHeight="1" x14ac:dyDescent="0.3">
      <c r="A268" s="63"/>
      <c r="E268" s="36"/>
      <c r="F268" s="36"/>
      <c r="G268" s="36"/>
      <c r="H268" s="97"/>
      <c r="K268" s="14"/>
      <c r="L268" s="14"/>
      <c r="M268" s="14"/>
    </row>
    <row r="269" spans="1:13" s="41" customFormat="1" ht="30" customHeight="1" x14ac:dyDescent="0.3">
      <c r="A269" s="63"/>
      <c r="E269" s="36"/>
      <c r="F269" s="36"/>
      <c r="G269" s="36"/>
      <c r="H269" s="97"/>
      <c r="K269" s="14"/>
      <c r="L269" s="14"/>
      <c r="M269" s="14"/>
    </row>
    <row r="270" spans="1:13" s="41" customFormat="1" ht="30" customHeight="1" x14ac:dyDescent="0.3">
      <c r="A270" s="63"/>
      <c r="E270" s="36"/>
      <c r="F270" s="36"/>
      <c r="G270" s="36"/>
      <c r="H270" s="97"/>
      <c r="K270" s="14"/>
      <c r="L270" s="14"/>
      <c r="M270" s="14"/>
    </row>
    <row r="271" spans="1:13" s="41" customFormat="1" ht="30" customHeight="1" x14ac:dyDescent="0.3">
      <c r="A271" s="63"/>
      <c r="E271" s="36"/>
      <c r="F271" s="36"/>
      <c r="G271" s="36"/>
      <c r="H271" s="97"/>
      <c r="K271" s="14"/>
      <c r="L271" s="14"/>
      <c r="M271" s="14"/>
    </row>
    <row r="272" spans="1:13" s="41" customFormat="1" ht="30" customHeight="1" x14ac:dyDescent="0.3">
      <c r="A272" s="63"/>
      <c r="E272" s="36"/>
      <c r="F272" s="36"/>
      <c r="G272" s="36"/>
      <c r="H272" s="97"/>
      <c r="K272" s="14"/>
      <c r="L272" s="14"/>
      <c r="M272" s="14"/>
    </row>
    <row r="273" spans="1:13" s="41" customFormat="1" ht="30" customHeight="1" x14ac:dyDescent="0.3">
      <c r="A273" s="63"/>
      <c r="E273" s="36"/>
      <c r="F273" s="36"/>
      <c r="G273" s="36"/>
      <c r="H273" s="97"/>
      <c r="K273" s="14"/>
      <c r="L273" s="14"/>
      <c r="M273" s="14"/>
    </row>
    <row r="274" spans="1:13" s="41" customFormat="1" ht="30" customHeight="1" x14ac:dyDescent="0.3">
      <c r="A274" s="63"/>
      <c r="E274" s="36"/>
      <c r="F274" s="36"/>
      <c r="G274" s="36"/>
      <c r="H274" s="97"/>
      <c r="K274" s="14"/>
      <c r="L274" s="14"/>
      <c r="M274" s="14"/>
    </row>
    <row r="275" spans="1:13" s="41" customFormat="1" ht="30" customHeight="1" x14ac:dyDescent="0.3">
      <c r="A275" s="63"/>
      <c r="E275" s="36"/>
      <c r="F275" s="36"/>
      <c r="G275" s="36"/>
      <c r="H275" s="97"/>
      <c r="K275" s="14"/>
      <c r="L275" s="14"/>
      <c r="M275" s="14"/>
    </row>
    <row r="276" spans="1:13" s="41" customFormat="1" ht="30" customHeight="1" x14ac:dyDescent="0.3">
      <c r="A276" s="63"/>
      <c r="E276" s="36"/>
      <c r="F276" s="36"/>
      <c r="G276" s="36"/>
      <c r="H276" s="97"/>
      <c r="K276" s="14"/>
      <c r="L276" s="14"/>
      <c r="M276" s="14"/>
    </row>
    <row r="277" spans="1:13" s="41" customFormat="1" ht="30" customHeight="1" x14ac:dyDescent="0.3">
      <c r="A277" s="63"/>
      <c r="E277" s="36"/>
      <c r="F277" s="36"/>
      <c r="G277" s="36"/>
      <c r="H277" s="97"/>
      <c r="K277" s="14"/>
      <c r="L277" s="14"/>
      <c r="M277" s="14"/>
    </row>
    <row r="278" spans="1:13" s="41" customFormat="1" ht="30" customHeight="1" x14ac:dyDescent="0.3">
      <c r="A278" s="63"/>
      <c r="E278" s="36"/>
      <c r="F278" s="36"/>
      <c r="G278" s="36"/>
      <c r="H278" s="97"/>
      <c r="K278" s="14"/>
      <c r="L278" s="14"/>
      <c r="M278" s="14"/>
    </row>
    <row r="279" spans="1:13" s="41" customFormat="1" ht="30" customHeight="1" x14ac:dyDescent="0.3">
      <c r="A279" s="63"/>
      <c r="E279" s="36"/>
      <c r="F279" s="36"/>
      <c r="G279" s="36"/>
      <c r="H279" s="97"/>
      <c r="K279" s="14"/>
      <c r="L279" s="14"/>
      <c r="M279" s="14"/>
    </row>
    <row r="280" spans="1:13" s="41" customFormat="1" ht="30" customHeight="1" x14ac:dyDescent="0.3">
      <c r="A280" s="63"/>
      <c r="E280" s="36"/>
      <c r="F280" s="36"/>
      <c r="G280" s="36"/>
      <c r="H280" s="97"/>
      <c r="K280" s="14"/>
      <c r="L280" s="14"/>
      <c r="M280" s="14"/>
    </row>
    <row r="281" spans="1:13" s="41" customFormat="1" ht="30" customHeight="1" x14ac:dyDescent="0.3">
      <c r="A281" s="63"/>
      <c r="E281" s="36"/>
      <c r="F281" s="36"/>
      <c r="G281" s="36"/>
      <c r="H281" s="97"/>
      <c r="K281" s="14"/>
      <c r="L281" s="14"/>
      <c r="M281" s="14"/>
    </row>
    <row r="282" spans="1:13" s="41" customFormat="1" ht="30" customHeight="1" x14ac:dyDescent="0.3">
      <c r="A282" s="63"/>
      <c r="E282" s="36"/>
      <c r="F282" s="36"/>
      <c r="G282" s="36"/>
      <c r="H282" s="97"/>
      <c r="K282" s="14"/>
      <c r="L282" s="14"/>
      <c r="M282" s="14"/>
    </row>
    <row r="283" spans="1:13" s="41" customFormat="1" ht="30" customHeight="1" x14ac:dyDescent="0.3">
      <c r="A283" s="63"/>
      <c r="E283" s="36"/>
      <c r="F283" s="36"/>
      <c r="G283" s="36"/>
      <c r="H283" s="97"/>
      <c r="K283" s="14"/>
      <c r="L283" s="14"/>
      <c r="M283" s="14"/>
    </row>
    <row r="284" spans="1:13" s="41" customFormat="1" ht="30" customHeight="1" x14ac:dyDescent="0.3">
      <c r="A284" s="63"/>
      <c r="E284" s="36"/>
      <c r="F284" s="36"/>
      <c r="G284" s="36"/>
      <c r="H284" s="97"/>
      <c r="K284" s="14"/>
      <c r="L284" s="14"/>
      <c r="M284" s="14"/>
    </row>
    <row r="285" spans="1:13" s="41" customFormat="1" ht="30" customHeight="1" x14ac:dyDescent="0.3">
      <c r="A285" s="63"/>
      <c r="E285" s="36"/>
      <c r="F285" s="36"/>
      <c r="G285" s="36"/>
      <c r="H285" s="97"/>
      <c r="K285" s="14"/>
      <c r="L285" s="14"/>
      <c r="M285" s="14"/>
    </row>
    <row r="286" spans="1:13" s="41" customFormat="1" ht="30" customHeight="1" x14ac:dyDescent="0.3">
      <c r="A286" s="63"/>
      <c r="E286" s="36"/>
      <c r="F286" s="36"/>
      <c r="G286" s="36"/>
      <c r="H286" s="97"/>
      <c r="K286" s="14"/>
      <c r="L286" s="14"/>
      <c r="M286" s="14"/>
    </row>
    <row r="287" spans="1:13" s="41" customFormat="1" ht="30" customHeight="1" x14ac:dyDescent="0.3">
      <c r="A287" s="63"/>
      <c r="E287" s="36"/>
      <c r="F287" s="36"/>
      <c r="G287" s="36"/>
      <c r="H287" s="97"/>
      <c r="K287" s="14"/>
      <c r="L287" s="14"/>
      <c r="M287" s="14"/>
    </row>
    <row r="288" spans="1:13" s="41" customFormat="1" ht="30" customHeight="1" x14ac:dyDescent="0.3">
      <c r="A288" s="63"/>
      <c r="E288" s="36"/>
      <c r="F288" s="36"/>
      <c r="G288" s="36"/>
      <c r="H288" s="97"/>
      <c r="K288" s="14"/>
      <c r="L288" s="14"/>
      <c r="M288" s="14"/>
    </row>
    <row r="289" spans="1:13" s="41" customFormat="1" ht="30" customHeight="1" x14ac:dyDescent="0.3">
      <c r="A289" s="63"/>
      <c r="E289" s="36"/>
      <c r="F289" s="36"/>
      <c r="G289" s="36"/>
      <c r="H289" s="97"/>
      <c r="K289" s="14"/>
      <c r="L289" s="14"/>
      <c r="M289" s="14"/>
    </row>
    <row r="290" spans="1:13" s="41" customFormat="1" ht="30" customHeight="1" x14ac:dyDescent="0.3">
      <c r="A290" s="63"/>
      <c r="E290" s="36"/>
      <c r="F290" s="36"/>
      <c r="G290" s="36"/>
      <c r="H290" s="97"/>
      <c r="K290" s="14"/>
      <c r="L290" s="14"/>
      <c r="M290" s="14"/>
    </row>
    <row r="291" spans="1:13" s="41" customFormat="1" ht="30" customHeight="1" x14ac:dyDescent="0.3">
      <c r="A291" s="63"/>
      <c r="E291" s="36"/>
      <c r="F291" s="36"/>
      <c r="G291" s="36"/>
      <c r="H291" s="97"/>
      <c r="K291" s="14"/>
      <c r="L291" s="14"/>
      <c r="M291" s="14"/>
    </row>
    <row r="292" spans="1:13" s="41" customFormat="1" ht="30" customHeight="1" x14ac:dyDescent="0.3">
      <c r="A292" s="63"/>
      <c r="E292" s="36"/>
      <c r="F292" s="36"/>
      <c r="G292" s="36"/>
      <c r="H292" s="97"/>
      <c r="K292" s="14"/>
      <c r="L292" s="14"/>
      <c r="M292" s="14"/>
    </row>
    <row r="293" spans="1:13" s="41" customFormat="1" ht="30" customHeight="1" x14ac:dyDescent="0.3">
      <c r="A293" s="63"/>
      <c r="E293" s="36"/>
      <c r="F293" s="36"/>
      <c r="G293" s="36"/>
      <c r="H293" s="97"/>
      <c r="K293" s="14"/>
      <c r="L293" s="14"/>
      <c r="M293" s="14"/>
    </row>
    <row r="294" spans="1:13" s="41" customFormat="1" ht="30" customHeight="1" x14ac:dyDescent="0.3">
      <c r="A294" s="63"/>
      <c r="E294" s="36"/>
      <c r="F294" s="36"/>
      <c r="G294" s="36"/>
      <c r="H294" s="97"/>
      <c r="K294" s="14"/>
      <c r="L294" s="14"/>
      <c r="M294" s="14"/>
    </row>
    <row r="295" spans="1:13" s="41" customFormat="1" ht="30" customHeight="1" x14ac:dyDescent="0.3">
      <c r="A295" s="63"/>
      <c r="E295" s="36"/>
      <c r="F295" s="36"/>
      <c r="G295" s="36"/>
      <c r="H295" s="97"/>
      <c r="K295" s="14"/>
      <c r="L295" s="14"/>
      <c r="M295" s="14"/>
    </row>
    <row r="296" spans="1:13" s="41" customFormat="1" ht="30" customHeight="1" x14ac:dyDescent="0.3">
      <c r="A296" s="63"/>
      <c r="E296" s="36"/>
      <c r="F296" s="36"/>
      <c r="G296" s="36"/>
      <c r="H296" s="97"/>
      <c r="K296" s="14"/>
      <c r="L296" s="14"/>
      <c r="M296" s="14"/>
    </row>
    <row r="297" spans="1:13" s="41" customFormat="1" ht="30" customHeight="1" x14ac:dyDescent="0.3">
      <c r="A297" s="63"/>
      <c r="E297" s="36"/>
      <c r="F297" s="36"/>
      <c r="G297" s="36"/>
      <c r="H297" s="97"/>
      <c r="K297" s="14"/>
      <c r="L297" s="14"/>
      <c r="M297" s="14"/>
    </row>
    <row r="298" spans="1:13" s="41" customFormat="1" ht="30" customHeight="1" x14ac:dyDescent="0.3">
      <c r="A298" s="63"/>
      <c r="E298" s="36"/>
      <c r="F298" s="36"/>
      <c r="G298" s="36"/>
      <c r="H298" s="97"/>
      <c r="K298" s="14"/>
      <c r="L298" s="14"/>
      <c r="M298" s="14"/>
    </row>
    <row r="299" spans="1:13" s="41" customFormat="1" ht="30" customHeight="1" x14ac:dyDescent="0.3">
      <c r="A299" s="63"/>
      <c r="E299" s="36"/>
      <c r="F299" s="36"/>
      <c r="G299" s="36"/>
      <c r="H299" s="97"/>
      <c r="K299" s="14"/>
      <c r="L299" s="14"/>
      <c r="M299" s="14"/>
    </row>
    <row r="300" spans="1:13" s="41" customFormat="1" ht="30" customHeight="1" x14ac:dyDescent="0.3">
      <c r="A300" s="63"/>
      <c r="E300" s="36"/>
      <c r="F300" s="36"/>
      <c r="G300" s="36"/>
      <c r="H300" s="97"/>
      <c r="K300" s="14"/>
      <c r="L300" s="14"/>
      <c r="M300" s="14"/>
    </row>
    <row r="301" spans="1:13" s="41" customFormat="1" ht="30" customHeight="1" x14ac:dyDescent="0.3">
      <c r="A301" s="63"/>
      <c r="E301" s="36"/>
      <c r="F301" s="36"/>
      <c r="G301" s="36"/>
      <c r="H301" s="97"/>
      <c r="K301" s="14"/>
      <c r="L301" s="14"/>
      <c r="M301" s="14"/>
    </row>
    <row r="302" spans="1:13" s="41" customFormat="1" ht="30" customHeight="1" x14ac:dyDescent="0.3">
      <c r="A302" s="63"/>
      <c r="E302" s="36"/>
      <c r="F302" s="36"/>
      <c r="G302" s="36"/>
      <c r="H302" s="97"/>
      <c r="K302" s="14"/>
      <c r="L302" s="14"/>
      <c r="M302" s="14"/>
    </row>
    <row r="303" spans="1:13" s="41" customFormat="1" ht="30" customHeight="1" x14ac:dyDescent="0.3">
      <c r="A303" s="63"/>
      <c r="E303" s="36"/>
      <c r="F303" s="36"/>
      <c r="G303" s="36"/>
      <c r="H303" s="97"/>
      <c r="K303" s="14"/>
      <c r="L303" s="14"/>
      <c r="M303" s="14"/>
    </row>
    <row r="304" spans="1:13" s="41" customFormat="1" ht="30" customHeight="1" x14ac:dyDescent="0.3">
      <c r="A304" s="63"/>
      <c r="E304" s="36"/>
      <c r="F304" s="36"/>
      <c r="G304" s="36"/>
      <c r="H304" s="97"/>
      <c r="K304" s="14"/>
      <c r="L304" s="14"/>
      <c r="M304" s="14"/>
    </row>
    <row r="305" spans="1:13" s="41" customFormat="1" ht="30" customHeight="1" x14ac:dyDescent="0.3">
      <c r="A305" s="63"/>
      <c r="E305" s="36"/>
      <c r="F305" s="36"/>
      <c r="G305" s="36"/>
      <c r="H305" s="97"/>
      <c r="K305" s="14"/>
      <c r="L305" s="14"/>
      <c r="M305" s="14"/>
    </row>
    <row r="306" spans="1:13" s="41" customFormat="1" ht="30" customHeight="1" x14ac:dyDescent="0.3">
      <c r="A306" s="63"/>
      <c r="E306" s="36"/>
      <c r="F306" s="36"/>
      <c r="G306" s="36"/>
      <c r="H306" s="97"/>
      <c r="K306" s="14"/>
      <c r="L306" s="14"/>
      <c r="M306" s="14"/>
    </row>
    <row r="307" spans="1:13" s="41" customFormat="1" ht="30" customHeight="1" x14ac:dyDescent="0.3">
      <c r="A307" s="63"/>
      <c r="E307" s="36"/>
      <c r="F307" s="36"/>
      <c r="G307" s="36"/>
      <c r="H307" s="97"/>
      <c r="K307" s="14"/>
      <c r="L307" s="14"/>
      <c r="M307" s="14"/>
    </row>
    <row r="308" spans="1:13" s="41" customFormat="1" ht="30" customHeight="1" x14ac:dyDescent="0.3">
      <c r="A308" s="63"/>
      <c r="E308" s="36"/>
      <c r="F308" s="36"/>
      <c r="G308" s="36"/>
      <c r="H308" s="97"/>
      <c r="K308" s="14"/>
      <c r="L308" s="14"/>
      <c r="M308" s="14"/>
    </row>
    <row r="309" spans="1:13" s="41" customFormat="1" ht="30" customHeight="1" x14ac:dyDescent="0.3">
      <c r="A309" s="63"/>
      <c r="E309" s="36"/>
      <c r="F309" s="36"/>
      <c r="G309" s="36"/>
      <c r="H309" s="97"/>
      <c r="K309" s="14"/>
      <c r="L309" s="14"/>
      <c r="M309" s="14"/>
    </row>
    <row r="310" spans="1:13" s="41" customFormat="1" ht="30" customHeight="1" x14ac:dyDescent="0.3">
      <c r="A310" s="63"/>
      <c r="E310" s="36"/>
      <c r="F310" s="36"/>
      <c r="G310" s="36"/>
      <c r="H310" s="97"/>
      <c r="K310" s="14"/>
      <c r="L310" s="14"/>
      <c r="M310" s="14"/>
    </row>
    <row r="311" spans="1:13" s="41" customFormat="1" ht="30" customHeight="1" x14ac:dyDescent="0.3">
      <c r="A311" s="63"/>
      <c r="E311" s="36"/>
      <c r="F311" s="36"/>
      <c r="G311" s="36"/>
      <c r="H311" s="97"/>
      <c r="K311" s="14"/>
      <c r="L311" s="14"/>
      <c r="M311" s="14"/>
    </row>
    <row r="312" spans="1:13" s="41" customFormat="1" ht="30" customHeight="1" x14ac:dyDescent="0.3">
      <c r="A312" s="63"/>
      <c r="E312" s="36"/>
      <c r="F312" s="36"/>
      <c r="G312" s="36"/>
      <c r="H312" s="97"/>
      <c r="K312" s="14"/>
      <c r="L312" s="14"/>
      <c r="M312" s="14"/>
    </row>
    <row r="313" spans="1:13" s="41" customFormat="1" ht="30" customHeight="1" x14ac:dyDescent="0.3">
      <c r="A313" s="63"/>
      <c r="E313" s="36"/>
      <c r="F313" s="36"/>
      <c r="G313" s="36"/>
      <c r="H313" s="97"/>
      <c r="K313" s="14"/>
      <c r="L313" s="14"/>
      <c r="M313" s="14"/>
    </row>
    <row r="314" spans="1:13" s="41" customFormat="1" ht="30" customHeight="1" x14ac:dyDescent="0.3">
      <c r="A314" s="63"/>
      <c r="E314" s="36"/>
      <c r="F314" s="36"/>
      <c r="G314" s="36"/>
      <c r="H314" s="97"/>
      <c r="K314" s="14"/>
      <c r="L314" s="14"/>
      <c r="M314" s="14"/>
    </row>
    <row r="315" spans="1:13" s="41" customFormat="1" ht="30" customHeight="1" x14ac:dyDescent="0.3">
      <c r="A315" s="63"/>
      <c r="E315" s="36"/>
      <c r="F315" s="36"/>
      <c r="G315" s="36"/>
      <c r="H315" s="97"/>
      <c r="K315" s="14"/>
      <c r="L315" s="14"/>
      <c r="M315" s="14"/>
    </row>
    <row r="316" spans="1:13" s="41" customFormat="1" ht="30" customHeight="1" x14ac:dyDescent="0.3">
      <c r="A316" s="63"/>
      <c r="E316" s="36"/>
      <c r="F316" s="36"/>
      <c r="G316" s="36"/>
      <c r="H316" s="97"/>
      <c r="K316" s="14"/>
      <c r="L316" s="14"/>
      <c r="M316" s="14"/>
    </row>
    <row r="317" spans="1:13" s="41" customFormat="1" ht="30" customHeight="1" x14ac:dyDescent="0.3">
      <c r="A317" s="63"/>
      <c r="E317" s="36"/>
      <c r="F317" s="36"/>
      <c r="G317" s="36"/>
      <c r="H317" s="97"/>
      <c r="K317" s="14"/>
      <c r="L317" s="14"/>
      <c r="M317" s="14"/>
    </row>
    <row r="318" spans="1:13" s="41" customFormat="1" ht="30" customHeight="1" x14ac:dyDescent="0.3">
      <c r="A318" s="63"/>
      <c r="E318" s="36"/>
      <c r="F318" s="36"/>
      <c r="G318" s="36"/>
      <c r="H318" s="97"/>
      <c r="K318" s="14"/>
      <c r="L318" s="14"/>
      <c r="M318" s="14"/>
    </row>
    <row r="319" spans="1:13" s="41" customFormat="1" ht="30" customHeight="1" x14ac:dyDescent="0.3">
      <c r="A319" s="63"/>
      <c r="E319" s="36"/>
      <c r="F319" s="36"/>
      <c r="G319" s="36"/>
      <c r="H319" s="97"/>
      <c r="K319" s="14"/>
      <c r="L319" s="14"/>
      <c r="M319" s="14"/>
    </row>
    <row r="320" spans="1:13" s="41" customFormat="1" ht="30" customHeight="1" x14ac:dyDescent="0.3">
      <c r="A320" s="63"/>
      <c r="E320" s="36"/>
      <c r="F320" s="36"/>
      <c r="G320" s="36"/>
      <c r="H320" s="97"/>
      <c r="K320" s="14"/>
      <c r="L320" s="14"/>
      <c r="M320" s="14"/>
    </row>
    <row r="321" spans="1:13" s="41" customFormat="1" ht="30" customHeight="1" x14ac:dyDescent="0.3">
      <c r="A321" s="63"/>
      <c r="E321" s="36"/>
      <c r="F321" s="36"/>
      <c r="G321" s="36"/>
      <c r="H321" s="97"/>
      <c r="K321" s="14"/>
      <c r="L321" s="14"/>
      <c r="M321" s="14"/>
    </row>
    <row r="322" spans="1:13" s="41" customFormat="1" ht="30" customHeight="1" x14ac:dyDescent="0.3">
      <c r="A322" s="63"/>
      <c r="E322" s="36"/>
      <c r="F322" s="36"/>
      <c r="G322" s="36"/>
      <c r="H322" s="97"/>
      <c r="K322" s="14"/>
      <c r="L322" s="14"/>
      <c r="M322" s="14"/>
    </row>
    <row r="323" spans="1:13" s="41" customFormat="1" ht="30" customHeight="1" x14ac:dyDescent="0.3">
      <c r="A323" s="63"/>
      <c r="E323" s="36"/>
      <c r="F323" s="36"/>
      <c r="G323" s="36"/>
      <c r="H323" s="97"/>
      <c r="K323" s="14"/>
      <c r="L323" s="14"/>
      <c r="M323" s="14"/>
    </row>
    <row r="324" spans="1:13" s="41" customFormat="1" ht="30" customHeight="1" x14ac:dyDescent="0.3">
      <c r="A324" s="63"/>
      <c r="E324" s="36"/>
      <c r="F324" s="36"/>
      <c r="G324" s="36"/>
      <c r="H324" s="97"/>
      <c r="K324" s="14"/>
      <c r="L324" s="14"/>
      <c r="M324" s="14"/>
    </row>
    <row r="325" spans="1:13" s="41" customFormat="1" ht="30" customHeight="1" x14ac:dyDescent="0.3">
      <c r="A325" s="63"/>
      <c r="E325" s="36"/>
      <c r="F325" s="36"/>
      <c r="G325" s="36"/>
      <c r="H325" s="97"/>
      <c r="K325" s="14"/>
      <c r="L325" s="14"/>
      <c r="M325" s="14"/>
    </row>
    <row r="326" spans="1:13" s="41" customFormat="1" ht="30" customHeight="1" x14ac:dyDescent="0.3">
      <c r="A326" s="63"/>
      <c r="E326" s="36"/>
      <c r="F326" s="36"/>
      <c r="G326" s="36"/>
      <c r="H326" s="97"/>
      <c r="K326" s="14"/>
      <c r="L326" s="14"/>
      <c r="M326" s="14"/>
    </row>
    <row r="327" spans="1:13" s="41" customFormat="1" ht="30" customHeight="1" x14ac:dyDescent="0.3">
      <c r="A327" s="63"/>
      <c r="E327" s="36"/>
      <c r="F327" s="36"/>
      <c r="G327" s="36"/>
      <c r="H327" s="97"/>
      <c r="K327" s="14"/>
      <c r="L327" s="14"/>
      <c r="M327" s="14"/>
    </row>
    <row r="328" spans="1:13" s="41" customFormat="1" ht="30" customHeight="1" x14ac:dyDescent="0.3">
      <c r="A328" s="63"/>
      <c r="E328" s="36"/>
      <c r="F328" s="36"/>
      <c r="G328" s="36"/>
      <c r="H328" s="97"/>
      <c r="K328" s="14"/>
      <c r="L328" s="14"/>
      <c r="M328" s="14"/>
    </row>
    <row r="329" spans="1:13" s="41" customFormat="1" ht="30" customHeight="1" x14ac:dyDescent="0.3">
      <c r="A329" s="63"/>
      <c r="E329" s="36"/>
      <c r="F329" s="36"/>
      <c r="G329" s="36"/>
      <c r="H329" s="97"/>
      <c r="K329" s="14"/>
      <c r="L329" s="14"/>
      <c r="M329" s="14"/>
    </row>
    <row r="330" spans="1:13" s="41" customFormat="1" ht="30" customHeight="1" x14ac:dyDescent="0.3">
      <c r="A330" s="63"/>
      <c r="E330" s="36"/>
      <c r="F330" s="36"/>
      <c r="G330" s="36"/>
      <c r="H330" s="97"/>
      <c r="K330" s="14"/>
      <c r="L330" s="14"/>
      <c r="M330" s="14"/>
    </row>
    <row r="331" spans="1:13" s="41" customFormat="1" ht="30" customHeight="1" x14ac:dyDescent="0.3">
      <c r="A331" s="63"/>
      <c r="E331" s="36"/>
      <c r="F331" s="36"/>
      <c r="G331" s="36"/>
      <c r="H331" s="97"/>
      <c r="K331" s="14"/>
      <c r="L331" s="14"/>
      <c r="M331" s="14"/>
    </row>
    <row r="332" spans="1:13" s="41" customFormat="1" ht="30" customHeight="1" x14ac:dyDescent="0.3">
      <c r="A332" s="63"/>
      <c r="E332" s="36"/>
      <c r="F332" s="36"/>
      <c r="G332" s="36"/>
      <c r="H332" s="97"/>
      <c r="K332" s="14"/>
      <c r="L332" s="14"/>
      <c r="M332" s="14"/>
    </row>
    <row r="333" spans="1:13" s="41" customFormat="1" ht="30" customHeight="1" x14ac:dyDescent="0.3">
      <c r="A333" s="63"/>
      <c r="E333" s="36"/>
      <c r="F333" s="36"/>
      <c r="G333" s="36"/>
      <c r="H333" s="97"/>
      <c r="K333" s="14"/>
      <c r="L333" s="14"/>
      <c r="M333" s="14"/>
    </row>
    <row r="334" spans="1:13" s="41" customFormat="1" ht="30" customHeight="1" x14ac:dyDescent="0.3">
      <c r="A334" s="63"/>
      <c r="E334" s="36"/>
      <c r="F334" s="36"/>
      <c r="G334" s="36"/>
      <c r="H334" s="97"/>
      <c r="K334" s="14"/>
      <c r="L334" s="14"/>
      <c r="M334" s="14"/>
    </row>
    <row r="335" spans="1:13" s="41" customFormat="1" ht="30" customHeight="1" x14ac:dyDescent="0.3">
      <c r="A335" s="63"/>
      <c r="E335" s="36"/>
      <c r="F335" s="36"/>
      <c r="G335" s="36"/>
      <c r="H335" s="97"/>
      <c r="K335" s="14"/>
      <c r="L335" s="14"/>
      <c r="M335" s="14"/>
    </row>
    <row r="336" spans="1:13" s="41" customFormat="1" ht="30" customHeight="1" x14ac:dyDescent="0.3">
      <c r="A336" s="63"/>
      <c r="E336" s="36"/>
      <c r="F336" s="36"/>
      <c r="G336" s="36"/>
      <c r="H336" s="97"/>
      <c r="K336" s="14"/>
      <c r="L336" s="14"/>
      <c r="M336" s="14"/>
    </row>
    <row r="337" spans="1:13" s="41" customFormat="1" ht="30" customHeight="1" x14ac:dyDescent="0.3">
      <c r="A337" s="63"/>
      <c r="E337" s="36"/>
      <c r="F337" s="36"/>
      <c r="G337" s="36"/>
      <c r="H337" s="97"/>
      <c r="K337" s="14"/>
      <c r="L337" s="14"/>
      <c r="M337" s="14"/>
    </row>
    <row r="338" spans="1:13" s="41" customFormat="1" ht="30" customHeight="1" x14ac:dyDescent="0.3">
      <c r="A338" s="63"/>
      <c r="E338" s="36"/>
      <c r="F338" s="36"/>
      <c r="G338" s="36"/>
      <c r="H338" s="97"/>
      <c r="K338" s="14"/>
      <c r="L338" s="14"/>
      <c r="M338" s="14"/>
    </row>
    <row r="339" spans="1:13" s="41" customFormat="1" ht="30" customHeight="1" x14ac:dyDescent="0.3">
      <c r="A339" s="63"/>
      <c r="E339" s="36"/>
      <c r="F339" s="36"/>
      <c r="G339" s="36"/>
      <c r="H339" s="97"/>
      <c r="K339" s="14"/>
      <c r="L339" s="14"/>
      <c r="M339" s="14"/>
    </row>
    <row r="340" spans="1:13" s="41" customFormat="1" ht="30" customHeight="1" x14ac:dyDescent="0.3">
      <c r="A340" s="63"/>
      <c r="E340" s="36"/>
      <c r="F340" s="36"/>
      <c r="G340" s="36"/>
      <c r="H340" s="97"/>
      <c r="K340" s="14"/>
      <c r="L340" s="14"/>
      <c r="M340" s="14"/>
    </row>
    <row r="341" spans="1:13" s="41" customFormat="1" ht="30" customHeight="1" x14ac:dyDescent="0.3">
      <c r="A341" s="63"/>
      <c r="E341" s="36"/>
      <c r="F341" s="36"/>
      <c r="G341" s="36"/>
      <c r="H341" s="97"/>
      <c r="K341" s="14"/>
      <c r="L341" s="14"/>
      <c r="M341" s="14"/>
    </row>
    <row r="342" spans="1:13" s="41" customFormat="1" ht="30" customHeight="1" x14ac:dyDescent="0.3">
      <c r="A342" s="63"/>
      <c r="E342" s="36"/>
      <c r="F342" s="36"/>
      <c r="G342" s="36"/>
      <c r="H342" s="97"/>
      <c r="K342" s="14"/>
      <c r="L342" s="14"/>
      <c r="M342" s="14"/>
    </row>
    <row r="343" spans="1:13" s="41" customFormat="1" ht="30" customHeight="1" x14ac:dyDescent="0.3">
      <c r="A343" s="63"/>
      <c r="E343" s="36"/>
      <c r="F343" s="36"/>
      <c r="G343" s="36"/>
      <c r="H343" s="97"/>
      <c r="K343" s="14"/>
      <c r="L343" s="14"/>
      <c r="M343" s="14"/>
    </row>
    <row r="344" spans="1:13" s="41" customFormat="1" ht="30" customHeight="1" x14ac:dyDescent="0.3">
      <c r="A344" s="63"/>
      <c r="E344" s="36"/>
      <c r="F344" s="36"/>
      <c r="G344" s="36"/>
      <c r="H344" s="97"/>
      <c r="K344" s="14"/>
      <c r="L344" s="14"/>
      <c r="M344" s="14"/>
    </row>
    <row r="345" spans="1:13" s="41" customFormat="1" ht="30" customHeight="1" x14ac:dyDescent="0.3">
      <c r="A345" s="63"/>
      <c r="E345" s="36"/>
      <c r="F345" s="36"/>
      <c r="G345" s="36"/>
      <c r="H345" s="97"/>
      <c r="K345" s="14"/>
      <c r="L345" s="14"/>
      <c r="M345" s="14"/>
    </row>
    <row r="346" spans="1:13" s="41" customFormat="1" ht="30" customHeight="1" x14ac:dyDescent="0.3">
      <c r="A346" s="63"/>
      <c r="E346" s="36"/>
      <c r="F346" s="36"/>
      <c r="G346" s="36"/>
      <c r="H346" s="97"/>
      <c r="K346" s="14"/>
      <c r="L346" s="14"/>
      <c r="M346" s="14"/>
    </row>
    <row r="347" spans="1:13" s="41" customFormat="1" ht="30" customHeight="1" x14ac:dyDescent="0.3">
      <c r="A347" s="63"/>
      <c r="E347" s="36"/>
      <c r="F347" s="36"/>
      <c r="G347" s="36"/>
      <c r="H347" s="97"/>
      <c r="K347" s="14"/>
      <c r="L347" s="14"/>
      <c r="M347" s="14"/>
    </row>
    <row r="348" spans="1:13" s="41" customFormat="1" ht="30" customHeight="1" x14ac:dyDescent="0.3">
      <c r="A348" s="63"/>
      <c r="E348" s="36"/>
      <c r="F348" s="36"/>
      <c r="G348" s="36"/>
      <c r="H348" s="97"/>
      <c r="K348" s="14"/>
      <c r="L348" s="14"/>
      <c r="M348" s="14"/>
    </row>
    <row r="349" spans="1:13" s="41" customFormat="1" ht="30" customHeight="1" x14ac:dyDescent="0.3">
      <c r="A349" s="63"/>
      <c r="E349" s="36"/>
      <c r="F349" s="36"/>
      <c r="G349" s="36"/>
      <c r="H349" s="97"/>
      <c r="K349" s="14"/>
      <c r="L349" s="14"/>
      <c r="M349" s="14"/>
    </row>
    <row r="350" spans="1:13" s="41" customFormat="1" ht="30" customHeight="1" x14ac:dyDescent="0.3">
      <c r="A350" s="63"/>
      <c r="E350" s="36"/>
      <c r="F350" s="36"/>
      <c r="G350" s="36"/>
      <c r="H350" s="97"/>
      <c r="K350" s="14"/>
      <c r="L350" s="14"/>
      <c r="M350" s="14"/>
    </row>
    <row r="351" spans="1:13" s="41" customFormat="1" ht="30" customHeight="1" x14ac:dyDescent="0.3">
      <c r="A351" s="63"/>
      <c r="E351" s="36"/>
      <c r="F351" s="36"/>
      <c r="G351" s="36"/>
      <c r="H351" s="97"/>
      <c r="K351" s="14"/>
      <c r="L351" s="14"/>
      <c r="M351" s="14"/>
    </row>
    <row r="352" spans="1:13" s="41" customFormat="1" ht="30" customHeight="1" x14ac:dyDescent="0.3">
      <c r="A352" s="63"/>
      <c r="E352" s="36"/>
      <c r="F352" s="36"/>
      <c r="G352" s="36"/>
      <c r="H352" s="97"/>
      <c r="K352" s="14"/>
      <c r="L352" s="14"/>
      <c r="M352" s="14"/>
    </row>
    <row r="353" spans="1:13" s="41" customFormat="1" ht="30" customHeight="1" x14ac:dyDescent="0.3">
      <c r="A353" s="63"/>
      <c r="E353" s="36"/>
      <c r="F353" s="36"/>
      <c r="G353" s="36"/>
      <c r="H353" s="97"/>
      <c r="K353" s="14"/>
      <c r="L353" s="14"/>
      <c r="M353" s="14"/>
    </row>
    <row r="354" spans="1:13" s="41" customFormat="1" ht="30" customHeight="1" x14ac:dyDescent="0.3">
      <c r="A354" s="63"/>
      <c r="E354" s="36"/>
      <c r="F354" s="36"/>
      <c r="G354" s="36"/>
      <c r="H354" s="97"/>
      <c r="K354" s="14"/>
      <c r="L354" s="14"/>
      <c r="M354" s="14"/>
    </row>
    <row r="355" spans="1:13" s="41" customFormat="1" ht="30" customHeight="1" x14ac:dyDescent="0.3">
      <c r="A355" s="63"/>
      <c r="E355" s="36"/>
      <c r="F355" s="36"/>
      <c r="G355" s="36"/>
      <c r="H355" s="97"/>
      <c r="K355" s="14"/>
      <c r="L355" s="14"/>
      <c r="M355" s="14"/>
    </row>
    <row r="356" spans="1:13" s="41" customFormat="1" ht="30" customHeight="1" x14ac:dyDescent="0.3">
      <c r="A356" s="63"/>
      <c r="E356" s="36"/>
      <c r="F356" s="36"/>
      <c r="G356" s="36"/>
      <c r="H356" s="97"/>
      <c r="K356" s="14"/>
      <c r="L356" s="14"/>
      <c r="M356" s="14"/>
    </row>
    <row r="357" spans="1:13" s="41" customFormat="1" ht="30" customHeight="1" x14ac:dyDescent="0.3">
      <c r="A357" s="63"/>
      <c r="E357" s="36"/>
      <c r="F357" s="36"/>
      <c r="G357" s="36"/>
      <c r="H357" s="97"/>
      <c r="K357" s="14"/>
      <c r="L357" s="14"/>
      <c r="M357" s="14"/>
    </row>
    <row r="358" spans="1:13" s="41" customFormat="1" ht="30" customHeight="1" x14ac:dyDescent="0.3">
      <c r="A358" s="63"/>
      <c r="E358" s="36"/>
      <c r="F358" s="36"/>
      <c r="G358" s="36"/>
      <c r="H358" s="97"/>
      <c r="K358" s="14"/>
      <c r="L358" s="14"/>
      <c r="M358" s="14"/>
    </row>
    <row r="359" spans="1:13" s="41" customFormat="1" ht="30" customHeight="1" x14ac:dyDescent="0.3">
      <c r="A359" s="63"/>
      <c r="E359" s="36"/>
      <c r="F359" s="36"/>
      <c r="G359" s="36"/>
      <c r="H359" s="97"/>
      <c r="K359" s="14"/>
      <c r="L359" s="14"/>
      <c r="M359" s="14"/>
    </row>
    <row r="360" spans="1:13" s="41" customFormat="1" ht="30" customHeight="1" x14ac:dyDescent="0.3">
      <c r="A360" s="63"/>
      <c r="E360" s="36"/>
      <c r="F360" s="36"/>
      <c r="G360" s="36"/>
      <c r="H360" s="97"/>
      <c r="K360" s="14"/>
      <c r="L360" s="14"/>
      <c r="M360" s="14"/>
    </row>
    <row r="361" spans="1:13" s="41" customFormat="1" ht="30" customHeight="1" x14ac:dyDescent="0.3">
      <c r="A361" s="63"/>
      <c r="E361" s="36"/>
      <c r="F361" s="36"/>
      <c r="G361" s="36"/>
      <c r="H361" s="97"/>
      <c r="K361" s="14"/>
      <c r="L361" s="14"/>
      <c r="M361" s="14"/>
    </row>
    <row r="362" spans="1:13" s="41" customFormat="1" ht="30" customHeight="1" x14ac:dyDescent="0.3">
      <c r="A362" s="63"/>
      <c r="E362" s="36"/>
      <c r="F362" s="36"/>
      <c r="G362" s="36"/>
      <c r="H362" s="97"/>
      <c r="K362" s="14"/>
      <c r="L362" s="14"/>
      <c r="M362" s="14"/>
    </row>
    <row r="363" spans="1:13" s="41" customFormat="1" ht="30" customHeight="1" x14ac:dyDescent="0.3">
      <c r="A363" s="63"/>
      <c r="E363" s="36"/>
      <c r="F363" s="36"/>
      <c r="G363" s="36"/>
      <c r="H363" s="97"/>
      <c r="K363" s="14"/>
      <c r="L363" s="14"/>
      <c r="M363" s="14"/>
    </row>
    <row r="364" spans="1:13" s="41" customFormat="1" ht="30" customHeight="1" x14ac:dyDescent="0.3">
      <c r="A364" s="63"/>
      <c r="E364" s="36"/>
      <c r="F364" s="36"/>
      <c r="G364" s="36"/>
      <c r="H364" s="97"/>
      <c r="K364" s="14"/>
      <c r="L364" s="14"/>
      <c r="M364" s="14"/>
    </row>
    <row r="365" spans="1:13" s="41" customFormat="1" ht="30" customHeight="1" x14ac:dyDescent="0.3">
      <c r="A365" s="63"/>
      <c r="E365" s="36"/>
      <c r="F365" s="36"/>
      <c r="G365" s="36"/>
      <c r="H365" s="97"/>
      <c r="K365" s="14"/>
      <c r="L365" s="14"/>
      <c r="M365" s="14"/>
    </row>
    <row r="366" spans="1:13" s="41" customFormat="1" ht="30" customHeight="1" x14ac:dyDescent="0.3">
      <c r="A366" s="63"/>
      <c r="E366" s="36"/>
      <c r="F366" s="36"/>
      <c r="G366" s="36"/>
      <c r="H366" s="97"/>
      <c r="K366" s="14"/>
      <c r="L366" s="14"/>
      <c r="M366" s="14"/>
    </row>
    <row r="367" spans="1:13" s="41" customFormat="1" ht="30" customHeight="1" x14ac:dyDescent="0.3">
      <c r="A367" s="63"/>
      <c r="E367" s="36"/>
      <c r="F367" s="36"/>
      <c r="G367" s="36"/>
      <c r="H367" s="97"/>
      <c r="K367" s="14"/>
      <c r="L367" s="14"/>
      <c r="M367" s="14"/>
    </row>
    <row r="368" spans="1:13" s="41" customFormat="1" ht="30" customHeight="1" x14ac:dyDescent="0.3">
      <c r="A368" s="63"/>
      <c r="E368" s="36"/>
      <c r="F368" s="36"/>
      <c r="G368" s="36"/>
      <c r="H368" s="97"/>
      <c r="K368" s="14"/>
      <c r="L368" s="14"/>
      <c r="M368" s="14"/>
    </row>
    <row r="369" spans="1:13" s="41" customFormat="1" ht="30" customHeight="1" x14ac:dyDescent="0.3">
      <c r="A369" s="63"/>
      <c r="E369" s="36"/>
      <c r="F369" s="36"/>
      <c r="G369" s="36"/>
      <c r="H369" s="97"/>
      <c r="K369" s="14"/>
      <c r="L369" s="14"/>
      <c r="M369" s="14"/>
    </row>
    <row r="370" spans="1:13" s="41" customFormat="1" ht="30" customHeight="1" x14ac:dyDescent="0.3">
      <c r="A370" s="63"/>
      <c r="E370" s="36"/>
      <c r="F370" s="36"/>
      <c r="G370" s="36"/>
      <c r="H370" s="97"/>
      <c r="K370" s="14"/>
      <c r="L370" s="14"/>
      <c r="M370" s="14"/>
    </row>
    <row r="371" spans="1:13" s="41" customFormat="1" ht="30" customHeight="1" x14ac:dyDescent="0.3">
      <c r="A371" s="63"/>
      <c r="E371" s="36"/>
      <c r="F371" s="36"/>
      <c r="G371" s="36"/>
      <c r="H371" s="97"/>
      <c r="K371" s="14"/>
      <c r="L371" s="14"/>
      <c r="M371" s="14"/>
    </row>
    <row r="372" spans="1:13" s="41" customFormat="1" ht="30" customHeight="1" x14ac:dyDescent="0.3">
      <c r="A372" s="63"/>
      <c r="E372" s="36"/>
      <c r="F372" s="36"/>
      <c r="G372" s="36"/>
      <c r="H372" s="97"/>
      <c r="K372" s="14"/>
      <c r="L372" s="14"/>
      <c r="M372" s="14"/>
    </row>
    <row r="373" spans="1:13" s="41" customFormat="1" ht="30" customHeight="1" x14ac:dyDescent="0.3">
      <c r="A373" s="63"/>
      <c r="E373" s="36"/>
      <c r="F373" s="36"/>
      <c r="G373" s="36"/>
      <c r="H373" s="97"/>
      <c r="K373" s="14"/>
      <c r="L373" s="14"/>
      <c r="M373" s="14"/>
    </row>
    <row r="374" spans="1:13" s="41" customFormat="1" ht="30" customHeight="1" x14ac:dyDescent="0.3">
      <c r="A374" s="63"/>
      <c r="E374" s="36"/>
      <c r="F374" s="36"/>
      <c r="G374" s="36"/>
      <c r="H374" s="97"/>
      <c r="K374" s="14"/>
      <c r="L374" s="14"/>
      <c r="M374" s="14"/>
    </row>
    <row r="375" spans="1:13" s="41" customFormat="1" ht="30" customHeight="1" x14ac:dyDescent="0.3">
      <c r="A375" s="63"/>
      <c r="E375" s="36"/>
      <c r="F375" s="36"/>
      <c r="G375" s="36"/>
      <c r="H375" s="97"/>
      <c r="K375" s="14"/>
      <c r="L375" s="14"/>
      <c r="M375" s="14"/>
    </row>
    <row r="376" spans="1:13" s="41" customFormat="1" ht="30" customHeight="1" x14ac:dyDescent="0.3">
      <c r="A376" s="63"/>
      <c r="E376" s="36"/>
      <c r="F376" s="36"/>
      <c r="G376" s="36"/>
      <c r="H376" s="97"/>
      <c r="K376" s="14"/>
      <c r="L376" s="14"/>
      <c r="M376" s="14"/>
    </row>
    <row r="377" spans="1:13" s="41" customFormat="1" ht="30" customHeight="1" x14ac:dyDescent="0.3">
      <c r="A377" s="63"/>
      <c r="E377" s="36"/>
      <c r="F377" s="36"/>
      <c r="G377" s="36"/>
      <c r="H377" s="97"/>
      <c r="K377" s="14"/>
      <c r="L377" s="14"/>
      <c r="M377" s="14"/>
    </row>
    <row r="378" spans="1:13" s="41" customFormat="1" ht="30" customHeight="1" x14ac:dyDescent="0.3">
      <c r="A378" s="63"/>
      <c r="E378" s="36"/>
      <c r="F378" s="36"/>
      <c r="G378" s="36"/>
      <c r="H378" s="97"/>
      <c r="K378" s="14"/>
      <c r="L378" s="14"/>
      <c r="M378" s="14"/>
    </row>
    <row r="379" spans="1:13" s="41" customFormat="1" ht="30" customHeight="1" x14ac:dyDescent="0.3">
      <c r="A379" s="63"/>
      <c r="E379" s="36"/>
      <c r="F379" s="36"/>
      <c r="G379" s="36"/>
      <c r="H379" s="97"/>
      <c r="K379" s="14"/>
      <c r="L379" s="14"/>
      <c r="M379" s="14"/>
    </row>
    <row r="380" spans="1:13" s="41" customFormat="1" ht="30" customHeight="1" x14ac:dyDescent="0.3">
      <c r="A380" s="63"/>
      <c r="E380" s="36"/>
      <c r="F380" s="36"/>
      <c r="G380" s="36"/>
      <c r="H380" s="97"/>
      <c r="K380" s="14"/>
      <c r="L380" s="14"/>
      <c r="M380" s="14"/>
    </row>
    <row r="381" spans="1:13" s="41" customFormat="1" ht="30" customHeight="1" x14ac:dyDescent="0.3">
      <c r="A381" s="63"/>
      <c r="E381" s="36"/>
      <c r="F381" s="36"/>
      <c r="G381" s="36"/>
      <c r="H381" s="97"/>
      <c r="K381" s="14"/>
      <c r="L381" s="14"/>
      <c r="M381" s="14"/>
    </row>
    <row r="382" spans="1:13" s="41" customFormat="1" ht="30" customHeight="1" x14ac:dyDescent="0.3">
      <c r="A382" s="63"/>
      <c r="E382" s="36"/>
      <c r="F382" s="36"/>
      <c r="G382" s="36"/>
      <c r="H382" s="97"/>
      <c r="K382" s="14"/>
      <c r="L382" s="14"/>
      <c r="M382" s="14"/>
    </row>
    <row r="383" spans="1:13" s="41" customFormat="1" ht="30" customHeight="1" x14ac:dyDescent="0.3">
      <c r="A383" s="63"/>
      <c r="E383" s="36"/>
      <c r="F383" s="36"/>
      <c r="G383" s="36"/>
      <c r="H383" s="97"/>
      <c r="K383" s="14"/>
      <c r="L383" s="14"/>
      <c r="M383" s="14"/>
    </row>
    <row r="384" spans="1:13" s="41" customFormat="1" ht="30" customHeight="1" x14ac:dyDescent="0.3">
      <c r="A384" s="63"/>
      <c r="E384" s="36"/>
      <c r="F384" s="36"/>
      <c r="G384" s="36"/>
      <c r="H384" s="97"/>
      <c r="K384" s="14"/>
      <c r="L384" s="14"/>
      <c r="M384" s="14"/>
    </row>
    <row r="385" spans="1:13" s="41" customFormat="1" ht="30" customHeight="1" x14ac:dyDescent="0.3">
      <c r="A385" s="63"/>
      <c r="E385" s="36"/>
      <c r="F385" s="36"/>
      <c r="G385" s="36"/>
      <c r="H385" s="97"/>
      <c r="K385" s="14"/>
      <c r="L385" s="14"/>
      <c r="M385" s="14"/>
    </row>
    <row r="386" spans="1:13" s="41" customFormat="1" ht="30" customHeight="1" x14ac:dyDescent="0.3">
      <c r="A386" s="63"/>
      <c r="E386" s="36"/>
      <c r="F386" s="36"/>
      <c r="G386" s="36"/>
      <c r="H386" s="97"/>
      <c r="K386" s="14"/>
      <c r="L386" s="14"/>
      <c r="M386" s="14"/>
    </row>
    <row r="387" spans="1:13" s="41" customFormat="1" ht="30" customHeight="1" x14ac:dyDescent="0.3">
      <c r="A387" s="63"/>
      <c r="E387" s="36"/>
      <c r="F387" s="36"/>
      <c r="G387" s="36"/>
      <c r="H387" s="97"/>
      <c r="K387" s="14"/>
      <c r="L387" s="14"/>
      <c r="M387" s="14"/>
    </row>
    <row r="388" spans="1:13" s="41" customFormat="1" ht="30" customHeight="1" x14ac:dyDescent="0.3">
      <c r="A388" s="63"/>
      <c r="E388" s="36"/>
      <c r="F388" s="36"/>
      <c r="G388" s="36"/>
      <c r="H388" s="97"/>
      <c r="K388" s="14"/>
      <c r="L388" s="14"/>
      <c r="M388" s="14"/>
    </row>
    <row r="389" spans="1:13" s="41" customFormat="1" ht="30" customHeight="1" x14ac:dyDescent="0.3">
      <c r="A389" s="63"/>
      <c r="E389" s="36"/>
      <c r="F389" s="36"/>
      <c r="G389" s="36"/>
      <c r="H389" s="97"/>
      <c r="K389" s="14"/>
      <c r="L389" s="14"/>
      <c r="M389" s="14"/>
    </row>
    <row r="390" spans="1:13" s="41" customFormat="1" ht="30" customHeight="1" x14ac:dyDescent="0.3">
      <c r="A390" s="63"/>
      <c r="E390" s="36"/>
      <c r="F390" s="36"/>
      <c r="G390" s="36"/>
      <c r="H390" s="97"/>
      <c r="K390" s="14"/>
      <c r="L390" s="14"/>
      <c r="M390" s="14"/>
    </row>
    <row r="391" spans="1:13" s="41" customFormat="1" ht="30" customHeight="1" x14ac:dyDescent="0.3">
      <c r="A391" s="63"/>
      <c r="E391" s="36"/>
      <c r="F391" s="36"/>
      <c r="G391" s="36"/>
      <c r="H391" s="97"/>
      <c r="K391" s="14"/>
      <c r="L391" s="14"/>
      <c r="M391" s="14"/>
    </row>
    <row r="392" spans="1:13" s="41" customFormat="1" ht="30" customHeight="1" x14ac:dyDescent="0.3">
      <c r="A392" s="63"/>
      <c r="E392" s="36"/>
      <c r="F392" s="36"/>
      <c r="G392" s="36"/>
      <c r="H392" s="97"/>
      <c r="K392" s="14"/>
      <c r="L392" s="14"/>
      <c r="M392" s="14"/>
    </row>
    <row r="393" spans="1:13" s="41" customFormat="1" ht="30" customHeight="1" x14ac:dyDescent="0.3">
      <c r="A393" s="63"/>
      <c r="E393" s="36"/>
      <c r="F393" s="36"/>
      <c r="G393" s="36"/>
      <c r="H393" s="97"/>
      <c r="K393" s="14"/>
      <c r="L393" s="14"/>
      <c r="M393" s="14"/>
    </row>
    <row r="394" spans="1:13" s="41" customFormat="1" ht="30" customHeight="1" x14ac:dyDescent="0.3">
      <c r="A394" s="63"/>
      <c r="E394" s="36"/>
      <c r="F394" s="36"/>
      <c r="G394" s="36"/>
      <c r="H394" s="97"/>
      <c r="K394" s="14"/>
      <c r="L394" s="14"/>
      <c r="M394" s="14"/>
    </row>
    <row r="395" spans="1:13" s="41" customFormat="1" ht="30" customHeight="1" x14ac:dyDescent="0.3">
      <c r="A395" s="63"/>
      <c r="E395" s="36"/>
      <c r="F395" s="36"/>
      <c r="G395" s="36"/>
      <c r="H395" s="97"/>
      <c r="K395" s="14"/>
      <c r="L395" s="14"/>
      <c r="M395" s="14"/>
    </row>
    <row r="396" spans="1:13" s="41" customFormat="1" ht="30" customHeight="1" x14ac:dyDescent="0.3">
      <c r="A396" s="63"/>
      <c r="E396" s="36"/>
      <c r="F396" s="36"/>
      <c r="G396" s="36"/>
      <c r="H396" s="97"/>
      <c r="K396" s="14"/>
      <c r="L396" s="14"/>
      <c r="M396" s="14"/>
    </row>
    <row r="397" spans="1:13" s="41" customFormat="1" ht="30" customHeight="1" x14ac:dyDescent="0.3">
      <c r="A397" s="63"/>
      <c r="E397" s="36"/>
      <c r="F397" s="36"/>
      <c r="G397" s="36"/>
      <c r="H397" s="97"/>
      <c r="K397" s="14"/>
      <c r="L397" s="14"/>
      <c r="M397" s="14"/>
    </row>
    <row r="398" spans="1:13" s="41" customFormat="1" ht="30" customHeight="1" x14ac:dyDescent="0.3">
      <c r="A398" s="63"/>
      <c r="E398" s="36"/>
      <c r="F398" s="36"/>
      <c r="G398" s="36"/>
      <c r="H398" s="97"/>
      <c r="K398" s="14"/>
      <c r="L398" s="14"/>
      <c r="M398" s="14"/>
    </row>
    <row r="399" spans="1:13" s="41" customFormat="1" ht="30" customHeight="1" x14ac:dyDescent="0.3">
      <c r="A399" s="63"/>
      <c r="E399" s="36"/>
      <c r="F399" s="36"/>
      <c r="G399" s="36"/>
      <c r="H399" s="97"/>
      <c r="K399" s="14"/>
      <c r="L399" s="14"/>
      <c r="M399" s="14"/>
    </row>
    <row r="400" spans="1:13" s="41" customFormat="1" ht="30" customHeight="1" x14ac:dyDescent="0.3">
      <c r="A400" s="63"/>
      <c r="E400" s="36"/>
      <c r="F400" s="36"/>
      <c r="G400" s="36"/>
      <c r="H400" s="97"/>
      <c r="K400" s="14"/>
      <c r="L400" s="14"/>
      <c r="M400" s="14"/>
    </row>
    <row r="401" spans="1:13" s="41" customFormat="1" ht="30" customHeight="1" x14ac:dyDescent="0.3">
      <c r="A401" s="63"/>
      <c r="E401" s="36"/>
      <c r="F401" s="36"/>
      <c r="G401" s="36"/>
      <c r="H401" s="97"/>
      <c r="K401" s="14"/>
      <c r="L401" s="14"/>
      <c r="M401" s="14"/>
    </row>
    <row r="402" spans="1:13" s="41" customFormat="1" ht="30" customHeight="1" x14ac:dyDescent="0.3">
      <c r="A402" s="63"/>
      <c r="E402" s="36"/>
      <c r="F402" s="36"/>
      <c r="G402" s="36"/>
      <c r="H402" s="97"/>
      <c r="K402" s="14"/>
      <c r="L402" s="14"/>
      <c r="M402" s="14"/>
    </row>
    <row r="403" spans="1:13" s="41" customFormat="1" ht="30" customHeight="1" x14ac:dyDescent="0.3">
      <c r="A403" s="63"/>
      <c r="E403" s="36"/>
      <c r="F403" s="36"/>
      <c r="G403" s="36"/>
      <c r="H403" s="97"/>
      <c r="K403" s="14"/>
      <c r="L403" s="14"/>
      <c r="M403" s="14"/>
    </row>
    <row r="404" spans="1:13" s="41" customFormat="1" ht="30" customHeight="1" x14ac:dyDescent="0.3">
      <c r="A404" s="63"/>
      <c r="E404" s="36"/>
      <c r="F404" s="36"/>
      <c r="G404" s="36"/>
      <c r="H404" s="97"/>
      <c r="K404" s="14"/>
      <c r="L404" s="14"/>
      <c r="M404" s="14"/>
    </row>
    <row r="405" spans="1:13" s="41" customFormat="1" ht="30" customHeight="1" x14ac:dyDescent="0.3">
      <c r="A405" s="63"/>
      <c r="E405" s="36"/>
      <c r="F405" s="36"/>
      <c r="G405" s="36"/>
      <c r="H405" s="97"/>
      <c r="K405" s="14"/>
      <c r="L405" s="14"/>
      <c r="M405" s="14"/>
    </row>
    <row r="406" spans="1:13" s="41" customFormat="1" ht="30" customHeight="1" x14ac:dyDescent="0.3">
      <c r="A406" s="63"/>
      <c r="E406" s="36"/>
      <c r="F406" s="36"/>
      <c r="G406" s="36"/>
      <c r="H406" s="97"/>
      <c r="K406" s="14"/>
      <c r="L406" s="14"/>
      <c r="M406" s="14"/>
    </row>
    <row r="407" spans="1:13" s="41" customFormat="1" ht="30" customHeight="1" x14ac:dyDescent="0.3">
      <c r="A407" s="63"/>
      <c r="E407" s="36"/>
      <c r="F407" s="36"/>
      <c r="G407" s="36"/>
      <c r="H407" s="97"/>
      <c r="K407" s="14"/>
      <c r="L407" s="14"/>
      <c r="M407" s="14"/>
    </row>
    <row r="408" spans="1:13" s="41" customFormat="1" ht="30" customHeight="1" x14ac:dyDescent="0.3">
      <c r="A408" s="63"/>
      <c r="E408" s="36"/>
      <c r="F408" s="36"/>
      <c r="G408" s="36"/>
      <c r="H408" s="97"/>
      <c r="K408" s="14"/>
      <c r="L408" s="14"/>
      <c r="M408" s="14"/>
    </row>
    <row r="409" spans="1:13" s="41" customFormat="1" ht="30" customHeight="1" x14ac:dyDescent="0.3">
      <c r="A409" s="63"/>
      <c r="E409" s="36"/>
      <c r="F409" s="36"/>
      <c r="G409" s="36"/>
      <c r="H409" s="97"/>
      <c r="K409" s="14"/>
      <c r="L409" s="14"/>
      <c r="M409" s="14"/>
    </row>
    <row r="410" spans="1:13" s="41" customFormat="1" ht="30" customHeight="1" x14ac:dyDescent="0.3">
      <c r="A410" s="63"/>
      <c r="E410" s="36"/>
      <c r="F410" s="36"/>
      <c r="G410" s="36"/>
      <c r="H410" s="97"/>
      <c r="K410" s="14"/>
      <c r="L410" s="14"/>
      <c r="M410" s="14"/>
    </row>
    <row r="411" spans="1:13" s="41" customFormat="1" ht="30" customHeight="1" x14ac:dyDescent="0.3">
      <c r="A411" s="63"/>
      <c r="E411" s="36"/>
      <c r="F411" s="36"/>
      <c r="G411" s="36"/>
      <c r="H411" s="97"/>
      <c r="K411" s="14"/>
      <c r="L411" s="14"/>
      <c r="M411" s="14"/>
    </row>
    <row r="412" spans="1:13" s="41" customFormat="1" ht="30" customHeight="1" x14ac:dyDescent="0.3">
      <c r="A412" s="63"/>
      <c r="E412" s="36"/>
      <c r="F412" s="36"/>
      <c r="G412" s="36"/>
      <c r="H412" s="97"/>
      <c r="K412" s="14"/>
      <c r="L412" s="14"/>
      <c r="M412" s="14"/>
    </row>
    <row r="413" spans="1:13" s="41" customFormat="1" ht="30" customHeight="1" x14ac:dyDescent="0.3">
      <c r="A413" s="63"/>
      <c r="E413" s="36"/>
      <c r="F413" s="36"/>
      <c r="G413" s="36"/>
      <c r="H413" s="97"/>
      <c r="K413" s="14"/>
      <c r="L413" s="14"/>
      <c r="M413" s="14"/>
    </row>
    <row r="414" spans="1:13" s="41" customFormat="1" ht="30" customHeight="1" x14ac:dyDescent="0.3">
      <c r="A414" s="63"/>
      <c r="E414" s="36"/>
      <c r="F414" s="36"/>
      <c r="G414" s="36"/>
      <c r="H414" s="97"/>
      <c r="K414" s="14"/>
      <c r="L414" s="14"/>
      <c r="M414" s="14"/>
    </row>
    <row r="415" spans="1:13" s="41" customFormat="1" ht="30" customHeight="1" x14ac:dyDescent="0.3">
      <c r="A415" s="63"/>
      <c r="E415" s="36"/>
      <c r="F415" s="36"/>
      <c r="G415" s="36"/>
      <c r="H415" s="97"/>
      <c r="K415" s="14"/>
      <c r="L415" s="14"/>
      <c r="M415" s="14"/>
    </row>
    <row r="416" spans="1:13" s="41" customFormat="1" ht="30" customHeight="1" x14ac:dyDescent="0.3">
      <c r="A416" s="63"/>
      <c r="E416" s="36"/>
      <c r="F416" s="36"/>
      <c r="G416" s="36"/>
      <c r="H416" s="97"/>
      <c r="K416" s="14"/>
      <c r="L416" s="14"/>
      <c r="M416" s="14"/>
    </row>
    <row r="417" spans="1:13" s="41" customFormat="1" ht="30" customHeight="1" x14ac:dyDescent="0.3">
      <c r="A417" s="63"/>
      <c r="E417" s="36"/>
      <c r="F417" s="36"/>
      <c r="G417" s="36"/>
      <c r="H417" s="97"/>
      <c r="K417" s="14"/>
      <c r="L417" s="14"/>
      <c r="M417" s="14"/>
    </row>
    <row r="418" spans="1:13" s="41" customFormat="1" ht="30" customHeight="1" x14ac:dyDescent="0.3">
      <c r="A418" s="63"/>
      <c r="E418" s="36"/>
      <c r="F418" s="36"/>
      <c r="G418" s="36"/>
      <c r="H418" s="97"/>
      <c r="K418" s="14"/>
      <c r="L418" s="14"/>
      <c r="M418" s="14"/>
    </row>
    <row r="419" spans="1:13" s="41" customFormat="1" ht="30" customHeight="1" x14ac:dyDescent="0.3">
      <c r="A419" s="63"/>
      <c r="E419" s="36"/>
      <c r="F419" s="36"/>
      <c r="G419" s="36"/>
      <c r="H419" s="97"/>
      <c r="K419" s="14"/>
      <c r="L419" s="14"/>
      <c r="M419" s="14"/>
    </row>
    <row r="420" spans="1:13" s="41" customFormat="1" ht="30" customHeight="1" x14ac:dyDescent="0.3">
      <c r="A420" s="63"/>
      <c r="E420" s="36"/>
      <c r="F420" s="36"/>
      <c r="G420" s="36"/>
      <c r="H420" s="97"/>
      <c r="K420" s="14"/>
      <c r="L420" s="14"/>
      <c r="M420" s="14"/>
    </row>
    <row r="421" spans="1:13" s="41" customFormat="1" ht="30" customHeight="1" x14ac:dyDescent="0.3">
      <c r="A421" s="63"/>
      <c r="E421" s="36"/>
      <c r="F421" s="36"/>
      <c r="G421" s="36"/>
      <c r="H421" s="97"/>
      <c r="K421" s="14"/>
      <c r="L421" s="14"/>
      <c r="M421" s="14"/>
    </row>
    <row r="422" spans="1:13" s="41" customFormat="1" ht="30" customHeight="1" x14ac:dyDescent="0.3">
      <c r="A422" s="63"/>
      <c r="E422" s="36"/>
      <c r="F422" s="36"/>
      <c r="G422" s="36"/>
      <c r="H422" s="97"/>
      <c r="K422" s="14"/>
      <c r="L422" s="14"/>
      <c r="M422" s="14"/>
    </row>
    <row r="423" spans="1:13" s="41" customFormat="1" ht="30" customHeight="1" x14ac:dyDescent="0.3">
      <c r="A423" s="63"/>
      <c r="E423" s="36"/>
      <c r="F423" s="36"/>
      <c r="G423" s="36"/>
      <c r="H423" s="97"/>
      <c r="K423" s="14"/>
      <c r="L423" s="14"/>
      <c r="M423" s="14"/>
    </row>
    <row r="424" spans="1:13" s="41" customFormat="1" ht="30" customHeight="1" x14ac:dyDescent="0.3">
      <c r="A424" s="63"/>
      <c r="E424" s="36"/>
      <c r="F424" s="36"/>
      <c r="G424" s="36"/>
      <c r="H424" s="97"/>
      <c r="K424" s="14"/>
      <c r="L424" s="14"/>
      <c r="M424" s="14"/>
    </row>
    <row r="425" spans="1:13" s="41" customFormat="1" ht="30" customHeight="1" x14ac:dyDescent="0.3">
      <c r="A425" s="63"/>
      <c r="E425" s="36"/>
      <c r="F425" s="36"/>
      <c r="G425" s="36"/>
      <c r="H425" s="97"/>
      <c r="K425" s="14"/>
      <c r="L425" s="14"/>
      <c r="M425" s="14"/>
    </row>
    <row r="426" spans="1:13" s="41" customFormat="1" ht="30" customHeight="1" x14ac:dyDescent="0.3">
      <c r="A426" s="63"/>
      <c r="E426" s="36"/>
      <c r="F426" s="36"/>
      <c r="G426" s="36"/>
      <c r="H426" s="97"/>
      <c r="K426" s="14"/>
      <c r="L426" s="14"/>
      <c r="M426" s="14"/>
    </row>
    <row r="427" spans="1:13" s="41" customFormat="1" ht="30" customHeight="1" x14ac:dyDescent="0.3">
      <c r="A427" s="63"/>
      <c r="E427" s="36"/>
      <c r="F427" s="36"/>
      <c r="G427" s="36"/>
      <c r="H427" s="97"/>
      <c r="K427" s="14"/>
      <c r="L427" s="14"/>
      <c r="M427" s="14"/>
    </row>
    <row r="428" spans="1:13" s="41" customFormat="1" ht="30" customHeight="1" x14ac:dyDescent="0.3">
      <c r="A428" s="63"/>
      <c r="E428" s="36"/>
      <c r="F428" s="36"/>
      <c r="G428" s="36"/>
      <c r="H428" s="97"/>
      <c r="K428" s="14"/>
      <c r="L428" s="14"/>
      <c r="M428" s="14"/>
    </row>
    <row r="429" spans="1:13" s="41" customFormat="1" ht="30" customHeight="1" x14ac:dyDescent="0.3">
      <c r="A429" s="63"/>
      <c r="E429" s="36"/>
      <c r="F429" s="36"/>
      <c r="G429" s="36"/>
      <c r="H429" s="97"/>
      <c r="K429" s="14"/>
      <c r="L429" s="14"/>
      <c r="M429" s="14"/>
    </row>
    <row r="430" spans="1:13" s="41" customFormat="1" ht="30" customHeight="1" x14ac:dyDescent="0.3">
      <c r="A430" s="63"/>
      <c r="E430" s="36"/>
      <c r="F430" s="36"/>
      <c r="G430" s="36"/>
      <c r="H430" s="97"/>
      <c r="K430" s="14"/>
      <c r="L430" s="14"/>
      <c r="M430" s="14"/>
    </row>
    <row r="431" spans="1:13" s="41" customFormat="1" ht="30" customHeight="1" x14ac:dyDescent="0.3">
      <c r="A431" s="63"/>
      <c r="E431" s="36"/>
      <c r="F431" s="36"/>
      <c r="G431" s="36"/>
      <c r="H431" s="97"/>
      <c r="K431" s="14"/>
      <c r="L431" s="14"/>
      <c r="M431" s="14"/>
    </row>
    <row r="432" spans="1:13" s="41" customFormat="1" ht="30" customHeight="1" x14ac:dyDescent="0.3">
      <c r="A432" s="63"/>
      <c r="E432" s="36"/>
      <c r="F432" s="36"/>
      <c r="G432" s="36"/>
      <c r="H432" s="97"/>
      <c r="K432" s="14"/>
      <c r="L432" s="14"/>
      <c r="M432" s="14"/>
    </row>
    <row r="433" spans="1:13" s="41" customFormat="1" ht="30" customHeight="1" x14ac:dyDescent="0.3">
      <c r="A433" s="63"/>
      <c r="E433" s="36"/>
      <c r="F433" s="36"/>
      <c r="G433" s="36"/>
      <c r="H433" s="97"/>
      <c r="K433" s="14"/>
      <c r="L433" s="14"/>
      <c r="M433" s="14"/>
    </row>
    <row r="434" spans="1:13" s="41" customFormat="1" ht="30" customHeight="1" x14ac:dyDescent="0.3">
      <c r="A434" s="63"/>
      <c r="E434" s="36"/>
      <c r="F434" s="36"/>
      <c r="G434" s="36"/>
      <c r="H434" s="97"/>
      <c r="K434" s="14"/>
      <c r="L434" s="14"/>
      <c r="M434" s="14"/>
    </row>
    <row r="435" spans="1:13" s="41" customFormat="1" ht="30" customHeight="1" x14ac:dyDescent="0.3">
      <c r="A435" s="63"/>
      <c r="E435" s="36"/>
      <c r="F435" s="36"/>
      <c r="G435" s="36"/>
      <c r="H435" s="97"/>
      <c r="K435" s="14"/>
      <c r="L435" s="14"/>
      <c r="M435" s="14"/>
    </row>
    <row r="436" spans="1:13" s="41" customFormat="1" ht="30" customHeight="1" x14ac:dyDescent="0.3">
      <c r="A436" s="63"/>
      <c r="E436" s="36"/>
      <c r="F436" s="36"/>
      <c r="G436" s="36"/>
      <c r="H436" s="97"/>
      <c r="K436" s="14"/>
      <c r="L436" s="14"/>
      <c r="M436" s="14"/>
    </row>
    <row r="437" spans="1:13" s="41" customFormat="1" ht="30" customHeight="1" x14ac:dyDescent="0.3">
      <c r="A437" s="63"/>
      <c r="E437" s="36"/>
      <c r="F437" s="36"/>
      <c r="G437" s="36"/>
      <c r="H437" s="97"/>
      <c r="K437" s="14"/>
      <c r="L437" s="14"/>
      <c r="M437" s="14"/>
    </row>
    <row r="438" spans="1:13" s="41" customFormat="1" ht="30" customHeight="1" x14ac:dyDescent="0.3">
      <c r="A438" s="63"/>
      <c r="E438" s="36"/>
      <c r="F438" s="36"/>
      <c r="G438" s="36"/>
      <c r="H438" s="97"/>
      <c r="K438" s="14"/>
      <c r="L438" s="14"/>
      <c r="M438" s="14"/>
    </row>
    <row r="439" spans="1:13" s="41" customFormat="1" ht="30" customHeight="1" x14ac:dyDescent="0.3">
      <c r="A439" s="63"/>
      <c r="E439" s="36"/>
      <c r="F439" s="36"/>
      <c r="G439" s="36"/>
      <c r="H439" s="97"/>
      <c r="K439" s="14"/>
      <c r="L439" s="14"/>
      <c r="M439" s="14"/>
    </row>
    <row r="440" spans="1:13" s="41" customFormat="1" ht="30" customHeight="1" x14ac:dyDescent="0.3">
      <c r="A440" s="63"/>
      <c r="E440" s="36"/>
      <c r="F440" s="36"/>
      <c r="G440" s="36"/>
      <c r="H440" s="97"/>
      <c r="K440" s="14"/>
      <c r="L440" s="14"/>
      <c r="M440" s="14"/>
    </row>
    <row r="441" spans="1:13" s="41" customFormat="1" ht="30" customHeight="1" x14ac:dyDescent="0.3">
      <c r="A441" s="63"/>
      <c r="E441" s="36"/>
      <c r="F441" s="36"/>
      <c r="G441" s="36"/>
      <c r="H441" s="97"/>
      <c r="K441" s="14"/>
      <c r="L441" s="14"/>
      <c r="M441" s="14"/>
    </row>
    <row r="442" spans="1:13" s="41" customFormat="1" ht="30" customHeight="1" x14ac:dyDescent="0.3">
      <c r="A442" s="63"/>
      <c r="E442" s="36"/>
      <c r="F442" s="36"/>
      <c r="G442" s="36"/>
      <c r="H442" s="97"/>
      <c r="K442" s="14"/>
      <c r="L442" s="14"/>
      <c r="M442" s="14"/>
    </row>
    <row r="443" spans="1:13" s="41" customFormat="1" ht="30" customHeight="1" x14ac:dyDescent="0.3">
      <c r="A443" s="63"/>
      <c r="E443" s="36"/>
      <c r="F443" s="36"/>
      <c r="G443" s="36"/>
      <c r="H443" s="97"/>
      <c r="K443" s="14"/>
      <c r="L443" s="14"/>
      <c r="M443" s="14"/>
    </row>
    <row r="444" spans="1:13" s="41" customFormat="1" ht="30" customHeight="1" x14ac:dyDescent="0.3">
      <c r="A444" s="63"/>
      <c r="E444" s="36"/>
      <c r="F444" s="36"/>
      <c r="G444" s="36"/>
      <c r="H444" s="97"/>
      <c r="K444" s="14"/>
      <c r="L444" s="14"/>
      <c r="M444" s="14"/>
    </row>
    <row r="445" spans="1:13" s="41" customFormat="1" ht="30" customHeight="1" x14ac:dyDescent="0.3">
      <c r="A445" s="63"/>
      <c r="E445" s="36"/>
      <c r="F445" s="36"/>
      <c r="G445" s="36"/>
      <c r="H445" s="97"/>
      <c r="K445" s="14"/>
      <c r="L445" s="14"/>
      <c r="M445" s="14"/>
    </row>
    <row r="446" spans="1:13" s="41" customFormat="1" ht="30" customHeight="1" x14ac:dyDescent="0.3">
      <c r="A446" s="63"/>
      <c r="E446" s="36"/>
      <c r="F446" s="36"/>
      <c r="G446" s="36"/>
      <c r="H446" s="97"/>
      <c r="K446" s="14"/>
      <c r="L446" s="14"/>
      <c r="M446" s="14"/>
    </row>
    <row r="447" spans="1:13" s="41" customFormat="1" ht="30" customHeight="1" x14ac:dyDescent="0.3">
      <c r="A447" s="63"/>
      <c r="E447" s="36"/>
      <c r="F447" s="36"/>
      <c r="G447" s="36"/>
      <c r="H447" s="97"/>
      <c r="K447" s="14"/>
      <c r="L447" s="14"/>
      <c r="M447" s="14"/>
    </row>
    <row r="448" spans="1:13" s="41" customFormat="1" ht="30" customHeight="1" x14ac:dyDescent="0.3">
      <c r="A448" s="63"/>
      <c r="E448" s="36"/>
      <c r="F448" s="36"/>
      <c r="G448" s="36"/>
      <c r="H448" s="97"/>
      <c r="K448" s="14"/>
      <c r="L448" s="14"/>
      <c r="M448" s="14"/>
    </row>
    <row r="449" spans="1:13" s="41" customFormat="1" ht="30" customHeight="1" x14ac:dyDescent="0.3">
      <c r="A449" s="63"/>
      <c r="E449" s="36"/>
      <c r="F449" s="36"/>
      <c r="G449" s="36"/>
      <c r="H449" s="97"/>
      <c r="K449" s="14"/>
      <c r="L449" s="14"/>
      <c r="M449" s="14"/>
    </row>
    <row r="450" spans="1:13" s="41" customFormat="1" ht="30" customHeight="1" x14ac:dyDescent="0.3">
      <c r="A450" s="63"/>
      <c r="E450" s="36"/>
      <c r="F450" s="36"/>
      <c r="G450" s="36"/>
      <c r="H450" s="97"/>
      <c r="K450" s="14"/>
      <c r="L450" s="14"/>
      <c r="M450" s="14"/>
    </row>
    <row r="451" spans="1:13" s="41" customFormat="1" ht="30" customHeight="1" x14ac:dyDescent="0.3">
      <c r="A451" s="63"/>
      <c r="E451" s="36"/>
      <c r="F451" s="36"/>
      <c r="G451" s="36"/>
      <c r="H451" s="97"/>
      <c r="K451" s="14"/>
      <c r="L451" s="14"/>
      <c r="M451" s="14"/>
    </row>
    <row r="452" spans="1:13" s="41" customFormat="1" ht="30" customHeight="1" x14ac:dyDescent="0.3">
      <c r="A452" s="63"/>
      <c r="E452" s="36"/>
      <c r="F452" s="36"/>
      <c r="G452" s="36"/>
      <c r="H452" s="97"/>
      <c r="K452" s="14"/>
      <c r="L452" s="14"/>
      <c r="M452" s="14"/>
    </row>
    <row r="453" spans="1:13" s="41" customFormat="1" ht="30" customHeight="1" x14ac:dyDescent="0.3">
      <c r="A453" s="63"/>
      <c r="E453" s="36"/>
      <c r="F453" s="36"/>
      <c r="G453" s="36"/>
      <c r="H453" s="97"/>
      <c r="K453" s="14"/>
      <c r="L453" s="14"/>
      <c r="M453" s="14"/>
    </row>
    <row r="454" spans="1:13" s="41" customFormat="1" ht="30" customHeight="1" x14ac:dyDescent="0.3">
      <c r="A454" s="63"/>
      <c r="E454" s="36"/>
      <c r="F454" s="36"/>
      <c r="G454" s="36"/>
      <c r="H454" s="97"/>
      <c r="K454" s="14"/>
      <c r="L454" s="14"/>
      <c r="M454" s="14"/>
    </row>
    <row r="455" spans="1:13" s="41" customFormat="1" ht="30" customHeight="1" x14ac:dyDescent="0.3">
      <c r="A455" s="63"/>
      <c r="E455" s="36"/>
      <c r="F455" s="36"/>
      <c r="G455" s="36"/>
      <c r="H455" s="97"/>
      <c r="K455" s="14"/>
      <c r="L455" s="14"/>
      <c r="M455" s="14"/>
    </row>
    <row r="456" spans="1:13" s="41" customFormat="1" ht="30" customHeight="1" x14ac:dyDescent="0.3">
      <c r="A456" s="63"/>
      <c r="E456" s="36"/>
      <c r="F456" s="36"/>
      <c r="G456" s="36"/>
      <c r="H456" s="97"/>
      <c r="K456" s="14"/>
      <c r="L456" s="14"/>
      <c r="M456" s="14"/>
    </row>
    <row r="457" spans="1:13" s="41" customFormat="1" ht="30" customHeight="1" x14ac:dyDescent="0.3">
      <c r="A457" s="63"/>
      <c r="E457" s="36"/>
      <c r="F457" s="36"/>
      <c r="G457" s="36"/>
      <c r="H457" s="97"/>
      <c r="K457" s="14"/>
      <c r="L457" s="14"/>
      <c r="M457" s="14"/>
    </row>
    <row r="458" spans="1:13" s="41" customFormat="1" ht="30" customHeight="1" x14ac:dyDescent="0.3">
      <c r="A458" s="63"/>
      <c r="E458" s="36"/>
      <c r="F458" s="36"/>
      <c r="G458" s="36"/>
      <c r="H458" s="97"/>
      <c r="K458" s="14"/>
      <c r="L458" s="14"/>
      <c r="M458" s="14"/>
    </row>
    <row r="459" spans="1:13" s="41" customFormat="1" ht="30" customHeight="1" x14ac:dyDescent="0.3">
      <c r="A459" s="63"/>
      <c r="E459" s="36"/>
      <c r="F459" s="36"/>
      <c r="G459" s="36"/>
      <c r="H459" s="97"/>
      <c r="K459" s="14"/>
      <c r="L459" s="14"/>
      <c r="M459" s="14"/>
    </row>
    <row r="460" spans="1:13" s="41" customFormat="1" ht="30" customHeight="1" x14ac:dyDescent="0.3">
      <c r="A460" s="63"/>
      <c r="E460" s="36"/>
      <c r="F460" s="36"/>
      <c r="G460" s="36"/>
      <c r="H460" s="97"/>
      <c r="K460" s="14"/>
      <c r="L460" s="14"/>
      <c r="M460" s="14"/>
    </row>
    <row r="461" spans="1:13" s="41" customFormat="1" ht="30" customHeight="1" x14ac:dyDescent="0.3">
      <c r="A461" s="63"/>
      <c r="E461" s="36"/>
      <c r="F461" s="36"/>
      <c r="G461" s="36"/>
      <c r="H461" s="97"/>
      <c r="K461" s="14"/>
      <c r="L461" s="14"/>
      <c r="M461" s="14"/>
    </row>
    <row r="462" spans="1:13" s="41" customFormat="1" ht="30" customHeight="1" x14ac:dyDescent="0.3">
      <c r="A462" s="63"/>
      <c r="E462" s="36"/>
      <c r="F462" s="36"/>
      <c r="G462" s="36"/>
      <c r="H462" s="97"/>
      <c r="K462" s="14"/>
      <c r="L462" s="14"/>
      <c r="M462" s="14"/>
    </row>
    <row r="463" spans="1:13" s="41" customFormat="1" ht="30" customHeight="1" x14ac:dyDescent="0.3">
      <c r="A463" s="63"/>
      <c r="E463" s="36"/>
      <c r="F463" s="36"/>
      <c r="G463" s="36"/>
      <c r="H463" s="97"/>
      <c r="K463" s="14"/>
      <c r="L463" s="14"/>
      <c r="M463" s="14"/>
    </row>
    <row r="464" spans="1:13" s="41" customFormat="1" ht="30" customHeight="1" x14ac:dyDescent="0.3">
      <c r="A464" s="63"/>
      <c r="E464" s="36"/>
      <c r="F464" s="36"/>
      <c r="G464" s="36"/>
      <c r="H464" s="97">
        <f t="shared" ref="H464:H527" si="0">H463-G464-F464+E464</f>
        <v>0</v>
      </c>
      <c r="K464" s="14"/>
      <c r="L464" s="14"/>
      <c r="M464" s="14"/>
    </row>
    <row r="465" spans="1:13" s="41" customFormat="1" ht="30" customHeight="1" x14ac:dyDescent="0.3">
      <c r="A465" s="63"/>
      <c r="E465" s="36"/>
      <c r="F465" s="36"/>
      <c r="G465" s="36"/>
      <c r="H465" s="97">
        <f t="shared" si="0"/>
        <v>0</v>
      </c>
      <c r="K465" s="14"/>
      <c r="L465" s="14"/>
      <c r="M465" s="14"/>
    </row>
    <row r="466" spans="1:13" s="41" customFormat="1" ht="30" customHeight="1" x14ac:dyDescent="0.3">
      <c r="A466" s="63"/>
      <c r="E466" s="36"/>
      <c r="F466" s="36"/>
      <c r="G466" s="36"/>
      <c r="H466" s="97">
        <f t="shared" si="0"/>
        <v>0</v>
      </c>
      <c r="K466" s="14"/>
      <c r="L466" s="14"/>
      <c r="M466" s="14"/>
    </row>
    <row r="467" spans="1:13" s="41" customFormat="1" ht="30" customHeight="1" x14ac:dyDescent="0.3">
      <c r="A467" s="63"/>
      <c r="E467" s="36"/>
      <c r="F467" s="36"/>
      <c r="G467" s="36"/>
      <c r="H467" s="97">
        <f t="shared" si="0"/>
        <v>0</v>
      </c>
      <c r="K467" s="14"/>
      <c r="L467" s="14"/>
      <c r="M467" s="14"/>
    </row>
    <row r="468" spans="1:13" s="41" customFormat="1" ht="30" customHeight="1" x14ac:dyDescent="0.3">
      <c r="A468" s="63"/>
      <c r="E468" s="36"/>
      <c r="F468" s="36"/>
      <c r="G468" s="36"/>
      <c r="H468" s="97">
        <f t="shared" si="0"/>
        <v>0</v>
      </c>
      <c r="K468" s="14"/>
      <c r="L468" s="14"/>
      <c r="M468" s="14"/>
    </row>
    <row r="469" spans="1:13" s="41" customFormat="1" ht="30" customHeight="1" x14ac:dyDescent="0.3">
      <c r="A469" s="63"/>
      <c r="E469" s="36"/>
      <c r="F469" s="36"/>
      <c r="G469" s="36"/>
      <c r="H469" s="97">
        <f t="shared" si="0"/>
        <v>0</v>
      </c>
      <c r="K469" s="14"/>
      <c r="L469" s="14"/>
      <c r="M469" s="14"/>
    </row>
    <row r="470" spans="1:13" s="41" customFormat="1" ht="30" customHeight="1" x14ac:dyDescent="0.3">
      <c r="A470" s="63"/>
      <c r="E470" s="36"/>
      <c r="F470" s="36"/>
      <c r="G470" s="36"/>
      <c r="H470" s="97">
        <f t="shared" si="0"/>
        <v>0</v>
      </c>
      <c r="K470" s="14"/>
      <c r="L470" s="14"/>
      <c r="M470" s="14"/>
    </row>
    <row r="471" spans="1:13" s="41" customFormat="1" ht="30" customHeight="1" x14ac:dyDescent="0.3">
      <c r="A471" s="63"/>
      <c r="E471" s="36"/>
      <c r="F471" s="36"/>
      <c r="G471" s="36"/>
      <c r="H471" s="97">
        <f t="shared" si="0"/>
        <v>0</v>
      </c>
      <c r="K471" s="14"/>
      <c r="L471" s="14"/>
      <c r="M471" s="14"/>
    </row>
    <row r="472" spans="1:13" s="41" customFormat="1" ht="30" customHeight="1" x14ac:dyDescent="0.3">
      <c r="A472" s="63"/>
      <c r="E472" s="36"/>
      <c r="F472" s="36"/>
      <c r="G472" s="36"/>
      <c r="H472" s="97">
        <f t="shared" si="0"/>
        <v>0</v>
      </c>
      <c r="K472" s="14"/>
      <c r="L472" s="14"/>
      <c r="M472" s="14"/>
    </row>
    <row r="473" spans="1:13" s="41" customFormat="1" ht="30" customHeight="1" x14ac:dyDescent="0.3">
      <c r="A473" s="63"/>
      <c r="E473" s="36"/>
      <c r="F473" s="36"/>
      <c r="G473" s="36"/>
      <c r="H473" s="97">
        <f t="shared" si="0"/>
        <v>0</v>
      </c>
      <c r="K473" s="14"/>
      <c r="L473" s="14"/>
      <c r="M473" s="14"/>
    </row>
    <row r="474" spans="1:13" s="41" customFormat="1" ht="30" customHeight="1" x14ac:dyDescent="0.3">
      <c r="A474" s="63"/>
      <c r="E474" s="36"/>
      <c r="F474" s="36"/>
      <c r="G474" s="36"/>
      <c r="H474" s="97">
        <f t="shared" si="0"/>
        <v>0</v>
      </c>
      <c r="K474" s="14"/>
      <c r="L474" s="14"/>
      <c r="M474" s="14"/>
    </row>
    <row r="475" spans="1:13" s="41" customFormat="1" ht="30" customHeight="1" x14ac:dyDescent="0.3">
      <c r="A475" s="63"/>
      <c r="E475" s="36"/>
      <c r="F475" s="36"/>
      <c r="G475" s="36"/>
      <c r="H475" s="97">
        <f t="shared" si="0"/>
        <v>0</v>
      </c>
      <c r="K475" s="14"/>
      <c r="L475" s="14"/>
      <c r="M475" s="14"/>
    </row>
    <row r="476" spans="1:13" s="41" customFormat="1" ht="30" customHeight="1" x14ac:dyDescent="0.3">
      <c r="A476" s="63"/>
      <c r="E476" s="36"/>
      <c r="F476" s="36"/>
      <c r="G476" s="36"/>
      <c r="H476" s="97">
        <f t="shared" si="0"/>
        <v>0</v>
      </c>
      <c r="K476" s="14"/>
      <c r="L476" s="14"/>
      <c r="M476" s="14"/>
    </row>
    <row r="477" spans="1:13" s="41" customFormat="1" ht="30" customHeight="1" x14ac:dyDescent="0.3">
      <c r="A477" s="63"/>
      <c r="E477" s="36"/>
      <c r="F477" s="36"/>
      <c r="G477" s="36"/>
      <c r="H477" s="97">
        <f t="shared" si="0"/>
        <v>0</v>
      </c>
      <c r="K477" s="14"/>
      <c r="L477" s="14"/>
      <c r="M477" s="14"/>
    </row>
    <row r="478" spans="1:13" s="41" customFormat="1" ht="30" customHeight="1" x14ac:dyDescent="0.3">
      <c r="A478" s="63"/>
      <c r="E478" s="36"/>
      <c r="F478" s="36"/>
      <c r="G478" s="36"/>
      <c r="H478" s="97">
        <f t="shared" si="0"/>
        <v>0</v>
      </c>
      <c r="K478" s="14"/>
      <c r="L478" s="14"/>
      <c r="M478" s="14"/>
    </row>
    <row r="479" spans="1:13" s="41" customFormat="1" ht="30" customHeight="1" x14ac:dyDescent="0.3">
      <c r="A479" s="63"/>
      <c r="E479" s="36"/>
      <c r="F479" s="36"/>
      <c r="G479" s="36"/>
      <c r="H479" s="97">
        <f t="shared" si="0"/>
        <v>0</v>
      </c>
      <c r="K479" s="14"/>
      <c r="L479" s="14"/>
      <c r="M479" s="14"/>
    </row>
    <row r="480" spans="1:13" s="41" customFormat="1" ht="30" customHeight="1" x14ac:dyDescent="0.3">
      <c r="A480" s="63"/>
      <c r="E480" s="36"/>
      <c r="F480" s="36"/>
      <c r="G480" s="36"/>
      <c r="H480" s="97">
        <f t="shared" si="0"/>
        <v>0</v>
      </c>
      <c r="K480" s="14"/>
      <c r="L480" s="14"/>
      <c r="M480" s="14"/>
    </row>
    <row r="481" spans="1:13" s="41" customFormat="1" ht="30" customHeight="1" x14ac:dyDescent="0.3">
      <c r="A481" s="63"/>
      <c r="E481" s="36"/>
      <c r="F481" s="36"/>
      <c r="G481" s="36"/>
      <c r="H481" s="97">
        <f t="shared" si="0"/>
        <v>0</v>
      </c>
      <c r="K481" s="14"/>
      <c r="L481" s="14"/>
      <c r="M481" s="14"/>
    </row>
    <row r="482" spans="1:13" s="41" customFormat="1" ht="30" customHeight="1" x14ac:dyDescent="0.3">
      <c r="A482" s="63"/>
      <c r="E482" s="36"/>
      <c r="F482" s="36"/>
      <c r="G482" s="36"/>
      <c r="H482" s="97">
        <f t="shared" si="0"/>
        <v>0</v>
      </c>
      <c r="K482" s="14"/>
      <c r="L482" s="14"/>
      <c r="M482" s="14"/>
    </row>
    <row r="483" spans="1:13" s="41" customFormat="1" ht="30" customHeight="1" x14ac:dyDescent="0.3">
      <c r="A483" s="63"/>
      <c r="E483" s="36"/>
      <c r="F483" s="36"/>
      <c r="G483" s="36"/>
      <c r="H483" s="97">
        <f t="shared" si="0"/>
        <v>0</v>
      </c>
      <c r="K483" s="14"/>
      <c r="L483" s="14"/>
      <c r="M483" s="14"/>
    </row>
    <row r="484" spans="1:13" s="41" customFormat="1" ht="30" customHeight="1" x14ac:dyDescent="0.3">
      <c r="A484" s="63"/>
      <c r="E484" s="36"/>
      <c r="F484" s="36"/>
      <c r="G484" s="36"/>
      <c r="H484" s="97">
        <f t="shared" si="0"/>
        <v>0</v>
      </c>
      <c r="K484" s="14"/>
      <c r="L484" s="14"/>
      <c r="M484" s="14"/>
    </row>
    <row r="485" spans="1:13" s="41" customFormat="1" ht="30" customHeight="1" x14ac:dyDescent="0.3">
      <c r="A485" s="63"/>
      <c r="E485" s="36"/>
      <c r="F485" s="36"/>
      <c r="G485" s="36"/>
      <c r="H485" s="97">
        <f t="shared" si="0"/>
        <v>0</v>
      </c>
      <c r="K485" s="14"/>
      <c r="L485" s="14"/>
      <c r="M485" s="14"/>
    </row>
    <row r="486" spans="1:13" s="41" customFormat="1" ht="30" customHeight="1" x14ac:dyDescent="0.3">
      <c r="A486" s="63"/>
      <c r="E486" s="36"/>
      <c r="F486" s="36"/>
      <c r="G486" s="36"/>
      <c r="H486" s="97">
        <f t="shared" si="0"/>
        <v>0</v>
      </c>
      <c r="K486" s="14"/>
      <c r="L486" s="14"/>
      <c r="M486" s="14"/>
    </row>
    <row r="487" spans="1:13" s="41" customFormat="1" ht="30" customHeight="1" x14ac:dyDescent="0.3">
      <c r="A487" s="63"/>
      <c r="E487" s="36"/>
      <c r="F487" s="36"/>
      <c r="G487" s="36"/>
      <c r="H487" s="97">
        <f t="shared" si="0"/>
        <v>0</v>
      </c>
      <c r="K487" s="14"/>
      <c r="L487" s="14"/>
      <c r="M487" s="14"/>
    </row>
    <row r="488" spans="1:13" s="41" customFormat="1" ht="30" customHeight="1" x14ac:dyDescent="0.3">
      <c r="A488" s="63"/>
      <c r="E488" s="36"/>
      <c r="F488" s="36"/>
      <c r="G488" s="36"/>
      <c r="H488" s="97">
        <f t="shared" si="0"/>
        <v>0</v>
      </c>
      <c r="K488" s="14"/>
      <c r="L488" s="14"/>
      <c r="M488" s="14"/>
    </row>
    <row r="489" spans="1:13" s="41" customFormat="1" ht="30" customHeight="1" x14ac:dyDescent="0.3">
      <c r="A489" s="63"/>
      <c r="E489" s="36"/>
      <c r="F489" s="36"/>
      <c r="G489" s="36"/>
      <c r="H489" s="97">
        <f t="shared" si="0"/>
        <v>0</v>
      </c>
      <c r="K489" s="14"/>
      <c r="L489" s="14"/>
      <c r="M489" s="14"/>
    </row>
    <row r="490" spans="1:13" s="41" customFormat="1" ht="30" customHeight="1" x14ac:dyDescent="0.3">
      <c r="A490" s="63"/>
      <c r="E490" s="36"/>
      <c r="F490" s="36"/>
      <c r="G490" s="36"/>
      <c r="H490" s="97">
        <f t="shared" si="0"/>
        <v>0</v>
      </c>
      <c r="K490" s="14"/>
      <c r="L490" s="14"/>
      <c r="M490" s="14"/>
    </row>
    <row r="491" spans="1:13" s="41" customFormat="1" ht="30" customHeight="1" x14ac:dyDescent="0.3">
      <c r="A491" s="63"/>
      <c r="E491" s="36"/>
      <c r="F491" s="36"/>
      <c r="G491" s="36"/>
      <c r="H491" s="97">
        <f t="shared" si="0"/>
        <v>0</v>
      </c>
      <c r="K491" s="14"/>
      <c r="L491" s="14"/>
      <c r="M491" s="14"/>
    </row>
    <row r="492" spans="1:13" s="41" customFormat="1" ht="30" customHeight="1" x14ac:dyDescent="0.3">
      <c r="A492" s="63"/>
      <c r="E492" s="36"/>
      <c r="F492" s="36"/>
      <c r="G492" s="36"/>
      <c r="H492" s="97">
        <f t="shared" si="0"/>
        <v>0</v>
      </c>
      <c r="K492" s="14"/>
      <c r="L492" s="14"/>
      <c r="M492" s="14"/>
    </row>
    <row r="493" spans="1:13" s="41" customFormat="1" ht="30" customHeight="1" x14ac:dyDescent="0.3">
      <c r="A493" s="63"/>
      <c r="E493" s="36"/>
      <c r="F493" s="36"/>
      <c r="G493" s="36"/>
      <c r="H493" s="97">
        <f t="shared" si="0"/>
        <v>0</v>
      </c>
      <c r="K493" s="14"/>
      <c r="L493" s="14"/>
      <c r="M493" s="14"/>
    </row>
    <row r="494" spans="1:13" s="41" customFormat="1" ht="30" customHeight="1" x14ac:dyDescent="0.3">
      <c r="A494" s="63"/>
      <c r="E494" s="36"/>
      <c r="F494" s="36"/>
      <c r="G494" s="36"/>
      <c r="H494" s="97">
        <f t="shared" si="0"/>
        <v>0</v>
      </c>
      <c r="K494" s="14"/>
      <c r="L494" s="14"/>
      <c r="M494" s="14"/>
    </row>
    <row r="495" spans="1:13" s="41" customFormat="1" ht="30" customHeight="1" x14ac:dyDescent="0.3">
      <c r="A495" s="63"/>
      <c r="E495" s="36"/>
      <c r="F495" s="36"/>
      <c r="G495" s="36"/>
      <c r="H495" s="97">
        <f t="shared" si="0"/>
        <v>0</v>
      </c>
      <c r="K495" s="14"/>
      <c r="L495" s="14"/>
      <c r="M495" s="14"/>
    </row>
    <row r="496" spans="1:13" s="41" customFormat="1" ht="30" customHeight="1" x14ac:dyDescent="0.3">
      <c r="A496" s="63"/>
      <c r="E496" s="36"/>
      <c r="F496" s="36"/>
      <c r="G496" s="36"/>
      <c r="H496" s="97">
        <f t="shared" si="0"/>
        <v>0</v>
      </c>
      <c r="K496" s="14"/>
      <c r="L496" s="14"/>
      <c r="M496" s="14"/>
    </row>
    <row r="497" spans="1:13" s="41" customFormat="1" ht="30" customHeight="1" x14ac:dyDescent="0.3">
      <c r="A497" s="63"/>
      <c r="E497" s="36"/>
      <c r="F497" s="36"/>
      <c r="G497" s="36"/>
      <c r="H497" s="97">
        <f t="shared" si="0"/>
        <v>0</v>
      </c>
      <c r="K497" s="14"/>
      <c r="L497" s="14"/>
      <c r="M497" s="14"/>
    </row>
    <row r="498" spans="1:13" s="41" customFormat="1" ht="30" customHeight="1" x14ac:dyDescent="0.3">
      <c r="A498" s="63"/>
      <c r="E498" s="36"/>
      <c r="F498" s="36"/>
      <c r="G498" s="36"/>
      <c r="H498" s="97">
        <f t="shared" si="0"/>
        <v>0</v>
      </c>
      <c r="K498" s="14"/>
      <c r="L498" s="14"/>
      <c r="M498" s="14"/>
    </row>
    <row r="499" spans="1:13" s="41" customFormat="1" ht="30" customHeight="1" x14ac:dyDescent="0.3">
      <c r="A499" s="63"/>
      <c r="E499" s="36"/>
      <c r="F499" s="36"/>
      <c r="G499" s="36"/>
      <c r="H499" s="97">
        <f t="shared" si="0"/>
        <v>0</v>
      </c>
      <c r="K499" s="14"/>
      <c r="L499" s="14"/>
      <c r="M499" s="14"/>
    </row>
    <row r="500" spans="1:13" s="41" customFormat="1" ht="30" customHeight="1" x14ac:dyDescent="0.3">
      <c r="A500" s="63"/>
      <c r="E500" s="36"/>
      <c r="F500" s="36"/>
      <c r="G500" s="36"/>
      <c r="H500" s="97">
        <f t="shared" si="0"/>
        <v>0</v>
      </c>
      <c r="K500" s="14"/>
      <c r="L500" s="14"/>
      <c r="M500" s="14"/>
    </row>
    <row r="501" spans="1:13" s="41" customFormat="1" ht="30" customHeight="1" x14ac:dyDescent="0.3">
      <c r="A501" s="63"/>
      <c r="E501" s="36"/>
      <c r="F501" s="36"/>
      <c r="G501" s="36"/>
      <c r="H501" s="97">
        <f t="shared" si="0"/>
        <v>0</v>
      </c>
      <c r="K501" s="14"/>
      <c r="L501" s="14"/>
      <c r="M501" s="14"/>
    </row>
    <row r="502" spans="1:13" s="41" customFormat="1" ht="30" customHeight="1" x14ac:dyDescent="0.3">
      <c r="A502" s="63"/>
      <c r="E502" s="36"/>
      <c r="F502" s="36"/>
      <c r="G502" s="36"/>
      <c r="H502" s="97">
        <f t="shared" si="0"/>
        <v>0</v>
      </c>
      <c r="K502" s="14"/>
      <c r="L502" s="14"/>
      <c r="M502" s="14"/>
    </row>
    <row r="503" spans="1:13" s="41" customFormat="1" ht="30" customHeight="1" x14ac:dyDescent="0.3">
      <c r="A503" s="63"/>
      <c r="E503" s="36"/>
      <c r="F503" s="36"/>
      <c r="G503" s="36"/>
      <c r="H503" s="97">
        <f t="shared" si="0"/>
        <v>0</v>
      </c>
      <c r="K503" s="14"/>
      <c r="L503" s="14"/>
      <c r="M503" s="14"/>
    </row>
    <row r="504" spans="1:13" s="41" customFormat="1" ht="30" customHeight="1" x14ac:dyDescent="0.3">
      <c r="A504" s="63"/>
      <c r="E504" s="36"/>
      <c r="F504" s="36"/>
      <c r="G504" s="36"/>
      <c r="H504" s="97">
        <f t="shared" si="0"/>
        <v>0</v>
      </c>
      <c r="K504" s="14"/>
      <c r="L504" s="14"/>
      <c r="M504" s="14"/>
    </row>
    <row r="505" spans="1:13" s="41" customFormat="1" ht="30" customHeight="1" x14ac:dyDescent="0.3">
      <c r="A505" s="63"/>
      <c r="E505" s="36"/>
      <c r="F505" s="36"/>
      <c r="G505" s="36"/>
      <c r="H505" s="97">
        <f t="shared" si="0"/>
        <v>0</v>
      </c>
      <c r="K505" s="14"/>
      <c r="L505" s="14"/>
      <c r="M505" s="14"/>
    </row>
    <row r="506" spans="1:13" s="41" customFormat="1" ht="30" customHeight="1" x14ac:dyDescent="0.3">
      <c r="A506" s="63"/>
      <c r="E506" s="36"/>
      <c r="F506" s="36"/>
      <c r="G506" s="36"/>
      <c r="H506" s="97">
        <f t="shared" si="0"/>
        <v>0</v>
      </c>
      <c r="K506" s="14"/>
      <c r="L506" s="14"/>
      <c r="M506" s="14"/>
    </row>
    <row r="507" spans="1:13" s="41" customFormat="1" ht="30" customHeight="1" x14ac:dyDescent="0.3">
      <c r="A507" s="63"/>
      <c r="E507" s="36"/>
      <c r="F507" s="36"/>
      <c r="G507" s="36"/>
      <c r="H507" s="97">
        <f t="shared" si="0"/>
        <v>0</v>
      </c>
      <c r="K507" s="14"/>
      <c r="L507" s="14"/>
      <c r="M507" s="14"/>
    </row>
    <row r="508" spans="1:13" s="41" customFormat="1" ht="30" customHeight="1" x14ac:dyDescent="0.3">
      <c r="A508" s="63"/>
      <c r="E508" s="36"/>
      <c r="F508" s="36"/>
      <c r="G508" s="36"/>
      <c r="H508" s="97">
        <f t="shared" si="0"/>
        <v>0</v>
      </c>
      <c r="K508" s="14"/>
      <c r="L508" s="14"/>
      <c r="M508" s="14"/>
    </row>
    <row r="509" spans="1:13" s="41" customFormat="1" ht="30" customHeight="1" x14ac:dyDescent="0.3">
      <c r="A509" s="63"/>
      <c r="E509" s="36"/>
      <c r="F509" s="36"/>
      <c r="G509" s="36"/>
      <c r="H509" s="97">
        <f t="shared" si="0"/>
        <v>0</v>
      </c>
      <c r="K509" s="14"/>
      <c r="L509" s="14"/>
      <c r="M509" s="14"/>
    </row>
    <row r="510" spans="1:13" s="41" customFormat="1" ht="30" customHeight="1" x14ac:dyDescent="0.3">
      <c r="A510" s="63"/>
      <c r="E510" s="36"/>
      <c r="F510" s="36"/>
      <c r="G510" s="36"/>
      <c r="H510" s="97">
        <f t="shared" si="0"/>
        <v>0</v>
      </c>
      <c r="K510" s="14"/>
      <c r="L510" s="14"/>
      <c r="M510" s="14"/>
    </row>
    <row r="511" spans="1:13" s="41" customFormat="1" ht="30" customHeight="1" x14ac:dyDescent="0.3">
      <c r="A511" s="63"/>
      <c r="E511" s="36"/>
      <c r="F511" s="36"/>
      <c r="G511" s="36"/>
      <c r="H511" s="97">
        <f t="shared" si="0"/>
        <v>0</v>
      </c>
      <c r="K511" s="14"/>
      <c r="L511" s="14"/>
      <c r="M511" s="14"/>
    </row>
    <row r="512" spans="1:13" s="41" customFormat="1" ht="30" customHeight="1" x14ac:dyDescent="0.3">
      <c r="A512" s="63"/>
      <c r="E512" s="36"/>
      <c r="F512" s="36"/>
      <c r="G512" s="36"/>
      <c r="H512" s="97">
        <f t="shared" si="0"/>
        <v>0</v>
      </c>
      <c r="K512" s="14"/>
      <c r="L512" s="14"/>
      <c r="M512" s="14"/>
    </row>
    <row r="513" spans="1:13" s="41" customFormat="1" ht="30" customHeight="1" x14ac:dyDescent="0.3">
      <c r="A513" s="63"/>
      <c r="E513" s="36"/>
      <c r="F513" s="36"/>
      <c r="G513" s="36"/>
      <c r="H513" s="97">
        <f t="shared" si="0"/>
        <v>0</v>
      </c>
      <c r="K513" s="14"/>
      <c r="L513" s="14"/>
      <c r="M513" s="14"/>
    </row>
    <row r="514" spans="1:13" s="41" customFormat="1" ht="30" customHeight="1" x14ac:dyDescent="0.3">
      <c r="A514" s="63"/>
      <c r="E514" s="36"/>
      <c r="F514" s="36"/>
      <c r="G514" s="36"/>
      <c r="H514" s="97">
        <f t="shared" si="0"/>
        <v>0</v>
      </c>
      <c r="K514" s="14"/>
      <c r="L514" s="14"/>
      <c r="M514" s="14"/>
    </row>
    <row r="515" spans="1:13" s="41" customFormat="1" ht="30" customHeight="1" x14ac:dyDescent="0.3">
      <c r="A515" s="63"/>
      <c r="E515" s="36"/>
      <c r="F515" s="36"/>
      <c r="G515" s="36"/>
      <c r="H515" s="97">
        <f t="shared" si="0"/>
        <v>0</v>
      </c>
      <c r="K515" s="14"/>
      <c r="L515" s="14"/>
      <c r="M515" s="14"/>
    </row>
    <row r="516" spans="1:13" s="41" customFormat="1" ht="30" customHeight="1" x14ac:dyDescent="0.3">
      <c r="A516" s="63"/>
      <c r="E516" s="36"/>
      <c r="F516" s="36"/>
      <c r="G516" s="36"/>
      <c r="H516" s="97">
        <f t="shared" si="0"/>
        <v>0</v>
      </c>
      <c r="K516" s="14"/>
      <c r="L516" s="14"/>
      <c r="M516" s="14"/>
    </row>
    <row r="517" spans="1:13" s="41" customFormat="1" ht="30" customHeight="1" x14ac:dyDescent="0.3">
      <c r="A517" s="63"/>
      <c r="E517" s="36"/>
      <c r="F517" s="36"/>
      <c r="G517" s="36"/>
      <c r="H517" s="97">
        <f t="shared" si="0"/>
        <v>0</v>
      </c>
      <c r="K517" s="14"/>
      <c r="L517" s="14"/>
      <c r="M517" s="14"/>
    </row>
    <row r="518" spans="1:13" s="41" customFormat="1" ht="30" customHeight="1" x14ac:dyDescent="0.3">
      <c r="A518" s="63"/>
      <c r="E518" s="36"/>
      <c r="F518" s="36"/>
      <c r="G518" s="36"/>
      <c r="H518" s="97">
        <f t="shared" si="0"/>
        <v>0</v>
      </c>
      <c r="K518" s="14"/>
      <c r="L518" s="14"/>
      <c r="M518" s="14"/>
    </row>
    <row r="519" spans="1:13" s="41" customFormat="1" ht="30" customHeight="1" x14ac:dyDescent="0.3">
      <c r="A519" s="63"/>
      <c r="E519" s="36"/>
      <c r="F519" s="36"/>
      <c r="G519" s="36"/>
      <c r="H519" s="97">
        <f t="shared" si="0"/>
        <v>0</v>
      </c>
      <c r="K519" s="14"/>
      <c r="L519" s="14"/>
      <c r="M519" s="14"/>
    </row>
    <row r="520" spans="1:13" s="41" customFormat="1" ht="30" customHeight="1" x14ac:dyDescent="0.3">
      <c r="A520" s="63"/>
      <c r="E520" s="36"/>
      <c r="F520" s="36"/>
      <c r="G520" s="36"/>
      <c r="H520" s="97">
        <f t="shared" si="0"/>
        <v>0</v>
      </c>
      <c r="K520" s="14"/>
      <c r="L520" s="14"/>
      <c r="M520" s="14"/>
    </row>
    <row r="521" spans="1:13" s="41" customFormat="1" ht="30" customHeight="1" x14ac:dyDescent="0.3">
      <c r="A521" s="63"/>
      <c r="E521" s="36"/>
      <c r="F521" s="36"/>
      <c r="G521" s="36"/>
      <c r="H521" s="97">
        <f t="shared" si="0"/>
        <v>0</v>
      </c>
      <c r="K521" s="14"/>
      <c r="L521" s="14"/>
      <c r="M521" s="14"/>
    </row>
    <row r="522" spans="1:13" s="41" customFormat="1" ht="30" customHeight="1" x14ac:dyDescent="0.3">
      <c r="A522" s="63"/>
      <c r="E522" s="36"/>
      <c r="F522" s="36"/>
      <c r="G522" s="36"/>
      <c r="H522" s="97">
        <f t="shared" si="0"/>
        <v>0</v>
      </c>
      <c r="K522" s="14"/>
      <c r="L522" s="14"/>
      <c r="M522" s="14"/>
    </row>
    <row r="523" spans="1:13" s="41" customFormat="1" ht="30" customHeight="1" x14ac:dyDescent="0.3">
      <c r="A523" s="63"/>
      <c r="E523" s="36"/>
      <c r="F523" s="36"/>
      <c r="G523" s="36"/>
      <c r="H523" s="97">
        <f t="shared" si="0"/>
        <v>0</v>
      </c>
      <c r="K523" s="14"/>
      <c r="L523" s="14"/>
      <c r="M523" s="14"/>
    </row>
    <row r="524" spans="1:13" s="41" customFormat="1" ht="30" customHeight="1" x14ac:dyDescent="0.3">
      <c r="A524" s="63"/>
      <c r="E524" s="36"/>
      <c r="F524" s="36"/>
      <c r="G524" s="36"/>
      <c r="H524" s="97">
        <f t="shared" si="0"/>
        <v>0</v>
      </c>
      <c r="K524" s="14"/>
      <c r="L524" s="14"/>
      <c r="M524" s="14"/>
    </row>
    <row r="525" spans="1:13" s="41" customFormat="1" ht="30" customHeight="1" x14ac:dyDescent="0.3">
      <c r="A525" s="63"/>
      <c r="E525" s="36"/>
      <c r="F525" s="36"/>
      <c r="G525" s="36"/>
      <c r="H525" s="97">
        <f t="shared" si="0"/>
        <v>0</v>
      </c>
      <c r="K525" s="14"/>
      <c r="L525" s="14"/>
      <c r="M525" s="14"/>
    </row>
    <row r="526" spans="1:13" s="41" customFormat="1" ht="30" customHeight="1" x14ac:dyDescent="0.3">
      <c r="A526" s="63"/>
      <c r="E526" s="36"/>
      <c r="F526" s="36"/>
      <c r="G526" s="36"/>
      <c r="H526" s="97">
        <f t="shared" si="0"/>
        <v>0</v>
      </c>
      <c r="K526" s="14"/>
      <c r="L526" s="14"/>
      <c r="M526" s="14"/>
    </row>
    <row r="527" spans="1:13" s="41" customFormat="1" ht="30" customHeight="1" x14ac:dyDescent="0.3">
      <c r="A527" s="63"/>
      <c r="E527" s="36"/>
      <c r="F527" s="36"/>
      <c r="G527" s="36"/>
      <c r="H527" s="97">
        <f t="shared" si="0"/>
        <v>0</v>
      </c>
      <c r="K527" s="14"/>
      <c r="L527" s="14"/>
      <c r="M527" s="14"/>
    </row>
    <row r="528" spans="1:13" s="41" customFormat="1" ht="30" customHeight="1" x14ac:dyDescent="0.3">
      <c r="A528" s="63"/>
      <c r="E528" s="36"/>
      <c r="F528" s="36"/>
      <c r="G528" s="36"/>
      <c r="H528" s="97">
        <f t="shared" ref="H528:H591" si="1">H527-G528-F528+E528</f>
        <v>0</v>
      </c>
      <c r="K528" s="14"/>
      <c r="L528" s="14"/>
      <c r="M528" s="14"/>
    </row>
    <row r="529" spans="1:13" s="41" customFormat="1" ht="30" customHeight="1" x14ac:dyDescent="0.3">
      <c r="A529" s="63"/>
      <c r="E529" s="36"/>
      <c r="F529" s="36"/>
      <c r="G529" s="36"/>
      <c r="H529" s="97">
        <f t="shared" si="1"/>
        <v>0</v>
      </c>
      <c r="K529" s="14"/>
      <c r="L529" s="14"/>
      <c r="M529" s="14"/>
    </row>
    <row r="530" spans="1:13" s="41" customFormat="1" ht="30" customHeight="1" x14ac:dyDescent="0.3">
      <c r="A530" s="63"/>
      <c r="E530" s="36"/>
      <c r="F530" s="36"/>
      <c r="G530" s="36"/>
      <c r="H530" s="97">
        <f t="shared" si="1"/>
        <v>0</v>
      </c>
      <c r="K530" s="14"/>
      <c r="L530" s="14"/>
      <c r="M530" s="14"/>
    </row>
    <row r="531" spans="1:13" s="41" customFormat="1" ht="30" customHeight="1" x14ac:dyDescent="0.3">
      <c r="A531" s="63"/>
      <c r="E531" s="36"/>
      <c r="F531" s="36"/>
      <c r="G531" s="36"/>
      <c r="H531" s="97">
        <f t="shared" si="1"/>
        <v>0</v>
      </c>
      <c r="K531" s="14"/>
      <c r="L531" s="14"/>
      <c r="M531" s="14"/>
    </row>
    <row r="532" spans="1:13" s="41" customFormat="1" ht="30" customHeight="1" x14ac:dyDescent="0.3">
      <c r="A532" s="63"/>
      <c r="E532" s="36"/>
      <c r="F532" s="36"/>
      <c r="G532" s="36"/>
      <c r="H532" s="97">
        <f t="shared" si="1"/>
        <v>0</v>
      </c>
      <c r="K532" s="14"/>
      <c r="L532" s="14"/>
      <c r="M532" s="14"/>
    </row>
    <row r="533" spans="1:13" s="41" customFormat="1" ht="30" customHeight="1" x14ac:dyDescent="0.3">
      <c r="A533" s="63"/>
      <c r="E533" s="36"/>
      <c r="F533" s="36"/>
      <c r="G533" s="36"/>
      <c r="H533" s="97">
        <f t="shared" si="1"/>
        <v>0</v>
      </c>
      <c r="K533" s="14"/>
      <c r="L533" s="14"/>
      <c r="M533" s="14"/>
    </row>
    <row r="534" spans="1:13" s="41" customFormat="1" ht="30" customHeight="1" x14ac:dyDescent="0.3">
      <c r="A534" s="63"/>
      <c r="E534" s="36"/>
      <c r="F534" s="36"/>
      <c r="G534" s="36"/>
      <c r="H534" s="97">
        <f t="shared" si="1"/>
        <v>0</v>
      </c>
      <c r="K534" s="14"/>
      <c r="L534" s="14"/>
      <c r="M534" s="14"/>
    </row>
    <row r="535" spans="1:13" s="41" customFormat="1" ht="30" customHeight="1" x14ac:dyDescent="0.3">
      <c r="A535" s="63"/>
      <c r="E535" s="36"/>
      <c r="F535" s="36"/>
      <c r="G535" s="36"/>
      <c r="H535" s="97">
        <f t="shared" si="1"/>
        <v>0</v>
      </c>
      <c r="K535" s="14"/>
      <c r="L535" s="14"/>
      <c r="M535" s="14"/>
    </row>
    <row r="536" spans="1:13" s="41" customFormat="1" ht="30" customHeight="1" x14ac:dyDescent="0.3">
      <c r="A536" s="63"/>
      <c r="E536" s="36"/>
      <c r="F536" s="36"/>
      <c r="G536" s="36"/>
      <c r="H536" s="97">
        <f t="shared" si="1"/>
        <v>0</v>
      </c>
      <c r="K536" s="14"/>
      <c r="L536" s="14"/>
      <c r="M536" s="14"/>
    </row>
    <row r="537" spans="1:13" s="41" customFormat="1" ht="30" customHeight="1" x14ac:dyDescent="0.3">
      <c r="A537" s="63"/>
      <c r="E537" s="36"/>
      <c r="F537" s="36"/>
      <c r="G537" s="36"/>
      <c r="H537" s="97">
        <f t="shared" si="1"/>
        <v>0</v>
      </c>
      <c r="K537" s="14"/>
      <c r="L537" s="14"/>
      <c r="M537" s="14"/>
    </row>
    <row r="538" spans="1:13" s="41" customFormat="1" ht="30" customHeight="1" x14ac:dyDescent="0.3">
      <c r="A538" s="63"/>
      <c r="E538" s="36"/>
      <c r="F538" s="36"/>
      <c r="G538" s="36"/>
      <c r="H538" s="97">
        <f t="shared" si="1"/>
        <v>0</v>
      </c>
      <c r="K538" s="14"/>
      <c r="L538" s="14"/>
      <c r="M538" s="14"/>
    </row>
    <row r="539" spans="1:13" s="41" customFormat="1" ht="30" customHeight="1" x14ac:dyDescent="0.3">
      <c r="A539" s="63"/>
      <c r="E539" s="36"/>
      <c r="F539" s="36"/>
      <c r="G539" s="36"/>
      <c r="H539" s="97">
        <f t="shared" si="1"/>
        <v>0</v>
      </c>
      <c r="K539" s="14"/>
      <c r="L539" s="14"/>
      <c r="M539" s="14"/>
    </row>
    <row r="540" spans="1:13" s="41" customFormat="1" ht="30" customHeight="1" x14ac:dyDescent="0.3">
      <c r="A540" s="63"/>
      <c r="E540" s="36"/>
      <c r="F540" s="36"/>
      <c r="G540" s="36"/>
      <c r="H540" s="97">
        <f t="shared" si="1"/>
        <v>0</v>
      </c>
      <c r="K540" s="14"/>
      <c r="L540" s="14"/>
      <c r="M540" s="14"/>
    </row>
    <row r="541" spans="1:13" s="41" customFormat="1" ht="30" customHeight="1" x14ac:dyDescent="0.3">
      <c r="A541" s="63"/>
      <c r="E541" s="36"/>
      <c r="F541" s="36"/>
      <c r="G541" s="36"/>
      <c r="H541" s="97">
        <f t="shared" si="1"/>
        <v>0</v>
      </c>
      <c r="K541" s="14"/>
      <c r="L541" s="14"/>
      <c r="M541" s="14"/>
    </row>
    <row r="542" spans="1:13" s="41" customFormat="1" ht="30" customHeight="1" x14ac:dyDescent="0.3">
      <c r="A542" s="63"/>
      <c r="E542" s="36"/>
      <c r="F542" s="36"/>
      <c r="G542" s="36"/>
      <c r="H542" s="97">
        <f t="shared" si="1"/>
        <v>0</v>
      </c>
      <c r="K542" s="14"/>
      <c r="L542" s="14"/>
      <c r="M542" s="14"/>
    </row>
    <row r="543" spans="1:13" s="41" customFormat="1" ht="30" customHeight="1" x14ac:dyDescent="0.3">
      <c r="A543" s="63"/>
      <c r="E543" s="36"/>
      <c r="F543" s="36"/>
      <c r="G543" s="36"/>
      <c r="H543" s="97">
        <f t="shared" si="1"/>
        <v>0</v>
      </c>
      <c r="K543" s="14"/>
      <c r="L543" s="14"/>
      <c r="M543" s="14"/>
    </row>
    <row r="544" spans="1:13" s="41" customFormat="1" ht="30" customHeight="1" x14ac:dyDescent="0.3">
      <c r="A544" s="63"/>
      <c r="E544" s="36"/>
      <c r="F544" s="36"/>
      <c r="G544" s="36"/>
      <c r="H544" s="97">
        <f t="shared" si="1"/>
        <v>0</v>
      </c>
      <c r="K544" s="14"/>
      <c r="L544" s="14"/>
      <c r="M544" s="14"/>
    </row>
    <row r="545" spans="1:13" s="41" customFormat="1" ht="30" customHeight="1" x14ac:dyDescent="0.3">
      <c r="A545" s="63"/>
      <c r="E545" s="36"/>
      <c r="F545" s="36"/>
      <c r="G545" s="36"/>
      <c r="H545" s="97">
        <f t="shared" si="1"/>
        <v>0</v>
      </c>
      <c r="K545" s="14"/>
      <c r="L545" s="14"/>
      <c r="M545" s="14"/>
    </row>
    <row r="546" spans="1:13" s="41" customFormat="1" ht="30" customHeight="1" x14ac:dyDescent="0.3">
      <c r="A546" s="63"/>
      <c r="E546" s="36"/>
      <c r="F546" s="36"/>
      <c r="G546" s="36"/>
      <c r="H546" s="97">
        <f t="shared" si="1"/>
        <v>0</v>
      </c>
      <c r="K546" s="14"/>
      <c r="L546" s="14"/>
      <c r="M546" s="14"/>
    </row>
    <row r="547" spans="1:13" s="41" customFormat="1" ht="30" customHeight="1" x14ac:dyDescent="0.3">
      <c r="A547" s="63"/>
      <c r="E547" s="36"/>
      <c r="F547" s="36"/>
      <c r="G547" s="36"/>
      <c r="H547" s="97">
        <f t="shared" si="1"/>
        <v>0</v>
      </c>
      <c r="K547" s="14"/>
      <c r="L547" s="14"/>
      <c r="M547" s="14"/>
    </row>
    <row r="548" spans="1:13" s="41" customFormat="1" ht="30" customHeight="1" x14ac:dyDescent="0.3">
      <c r="A548" s="63"/>
      <c r="E548" s="36"/>
      <c r="F548" s="36"/>
      <c r="G548" s="36"/>
      <c r="H548" s="97">
        <f t="shared" si="1"/>
        <v>0</v>
      </c>
      <c r="K548" s="14"/>
      <c r="L548" s="14"/>
      <c r="M548" s="14"/>
    </row>
    <row r="549" spans="1:13" s="41" customFormat="1" ht="30" customHeight="1" x14ac:dyDescent="0.3">
      <c r="A549" s="63"/>
      <c r="E549" s="36"/>
      <c r="F549" s="36"/>
      <c r="G549" s="36"/>
      <c r="H549" s="97">
        <f t="shared" si="1"/>
        <v>0</v>
      </c>
      <c r="K549" s="14"/>
      <c r="L549" s="14"/>
      <c r="M549" s="14"/>
    </row>
    <row r="550" spans="1:13" s="41" customFormat="1" ht="30" customHeight="1" x14ac:dyDescent="0.3">
      <c r="A550" s="63"/>
      <c r="E550" s="36"/>
      <c r="F550" s="36"/>
      <c r="G550" s="36"/>
      <c r="H550" s="97">
        <f t="shared" si="1"/>
        <v>0</v>
      </c>
      <c r="K550" s="14"/>
      <c r="L550" s="14"/>
      <c r="M550" s="14"/>
    </row>
    <row r="551" spans="1:13" s="41" customFormat="1" ht="30" customHeight="1" x14ac:dyDescent="0.3">
      <c r="A551" s="63"/>
      <c r="E551" s="36"/>
      <c r="F551" s="36"/>
      <c r="G551" s="36"/>
      <c r="H551" s="97">
        <f t="shared" si="1"/>
        <v>0</v>
      </c>
      <c r="K551" s="14"/>
      <c r="L551" s="14"/>
      <c r="M551" s="14"/>
    </row>
    <row r="552" spans="1:13" s="41" customFormat="1" ht="30" customHeight="1" x14ac:dyDescent="0.3">
      <c r="A552" s="63"/>
      <c r="E552" s="36"/>
      <c r="F552" s="36"/>
      <c r="G552" s="36"/>
      <c r="H552" s="97">
        <f t="shared" si="1"/>
        <v>0</v>
      </c>
      <c r="K552" s="14"/>
      <c r="L552" s="14"/>
      <c r="M552" s="14"/>
    </row>
    <row r="553" spans="1:13" s="41" customFormat="1" ht="30" customHeight="1" x14ac:dyDescent="0.3">
      <c r="A553" s="63"/>
      <c r="E553" s="36"/>
      <c r="F553" s="36"/>
      <c r="G553" s="36"/>
      <c r="H553" s="97">
        <f t="shared" si="1"/>
        <v>0</v>
      </c>
      <c r="K553" s="14"/>
      <c r="L553" s="14"/>
      <c r="M553" s="14"/>
    </row>
    <row r="554" spans="1:13" s="41" customFormat="1" ht="30" customHeight="1" x14ac:dyDescent="0.3">
      <c r="A554" s="63"/>
      <c r="E554" s="36"/>
      <c r="F554" s="36"/>
      <c r="G554" s="36"/>
      <c r="H554" s="97">
        <f t="shared" si="1"/>
        <v>0</v>
      </c>
      <c r="K554" s="14"/>
      <c r="L554" s="14"/>
      <c r="M554" s="14"/>
    </row>
    <row r="555" spans="1:13" s="41" customFormat="1" ht="30" customHeight="1" x14ac:dyDescent="0.3">
      <c r="A555" s="63"/>
      <c r="E555" s="36"/>
      <c r="F555" s="36"/>
      <c r="G555" s="36"/>
      <c r="H555" s="97">
        <f t="shared" si="1"/>
        <v>0</v>
      </c>
      <c r="K555" s="14"/>
      <c r="L555" s="14"/>
      <c r="M555" s="14"/>
    </row>
    <row r="556" spans="1:13" s="41" customFormat="1" ht="30" customHeight="1" x14ac:dyDescent="0.3">
      <c r="A556" s="63"/>
      <c r="E556" s="36"/>
      <c r="F556" s="36"/>
      <c r="G556" s="36"/>
      <c r="H556" s="97">
        <f t="shared" si="1"/>
        <v>0</v>
      </c>
      <c r="K556" s="14"/>
      <c r="L556" s="14"/>
      <c r="M556" s="14"/>
    </row>
    <row r="557" spans="1:13" s="41" customFormat="1" ht="30" customHeight="1" x14ac:dyDescent="0.3">
      <c r="A557" s="63"/>
      <c r="E557" s="36"/>
      <c r="F557" s="36"/>
      <c r="G557" s="36"/>
      <c r="H557" s="97">
        <f t="shared" si="1"/>
        <v>0</v>
      </c>
      <c r="K557" s="14"/>
      <c r="L557" s="14"/>
      <c r="M557" s="14"/>
    </row>
    <row r="558" spans="1:13" s="41" customFormat="1" ht="30" customHeight="1" x14ac:dyDescent="0.3">
      <c r="A558" s="63"/>
      <c r="E558" s="36"/>
      <c r="F558" s="36"/>
      <c r="G558" s="36"/>
      <c r="H558" s="97">
        <f t="shared" si="1"/>
        <v>0</v>
      </c>
      <c r="K558" s="14"/>
      <c r="L558" s="14"/>
      <c r="M558" s="14"/>
    </row>
    <row r="559" spans="1:13" s="41" customFormat="1" ht="30" customHeight="1" x14ac:dyDescent="0.3">
      <c r="A559" s="63"/>
      <c r="E559" s="36"/>
      <c r="F559" s="36"/>
      <c r="G559" s="36"/>
      <c r="H559" s="97">
        <f t="shared" si="1"/>
        <v>0</v>
      </c>
      <c r="K559" s="14"/>
      <c r="L559" s="14"/>
      <c r="M559" s="14"/>
    </row>
    <row r="560" spans="1:13" s="41" customFormat="1" ht="30" customHeight="1" x14ac:dyDescent="0.3">
      <c r="A560" s="63"/>
      <c r="E560" s="36"/>
      <c r="F560" s="36"/>
      <c r="G560" s="36"/>
      <c r="H560" s="97">
        <f t="shared" si="1"/>
        <v>0</v>
      </c>
      <c r="K560" s="14"/>
      <c r="L560" s="14"/>
      <c r="M560" s="14"/>
    </row>
    <row r="561" spans="1:13" s="41" customFormat="1" ht="30" customHeight="1" x14ac:dyDescent="0.3">
      <c r="A561" s="63"/>
      <c r="E561" s="36"/>
      <c r="F561" s="36"/>
      <c r="G561" s="36"/>
      <c r="H561" s="97">
        <f t="shared" si="1"/>
        <v>0</v>
      </c>
      <c r="K561" s="14"/>
      <c r="L561" s="14"/>
      <c r="M561" s="14"/>
    </row>
    <row r="562" spans="1:13" s="41" customFormat="1" ht="30" customHeight="1" x14ac:dyDescent="0.3">
      <c r="A562" s="63"/>
      <c r="E562" s="36"/>
      <c r="F562" s="36"/>
      <c r="G562" s="36"/>
      <c r="H562" s="97">
        <f t="shared" si="1"/>
        <v>0</v>
      </c>
      <c r="K562" s="14"/>
      <c r="L562" s="14"/>
      <c r="M562" s="14"/>
    </row>
    <row r="563" spans="1:13" s="41" customFormat="1" ht="30" customHeight="1" x14ac:dyDescent="0.3">
      <c r="A563" s="63"/>
      <c r="E563" s="36"/>
      <c r="F563" s="36"/>
      <c r="G563" s="36"/>
      <c r="H563" s="97">
        <f t="shared" si="1"/>
        <v>0</v>
      </c>
      <c r="K563" s="14"/>
      <c r="L563" s="14"/>
      <c r="M563" s="14"/>
    </row>
    <row r="564" spans="1:13" s="41" customFormat="1" ht="30" customHeight="1" x14ac:dyDescent="0.3">
      <c r="A564" s="63"/>
      <c r="E564" s="36"/>
      <c r="F564" s="36"/>
      <c r="G564" s="36"/>
      <c r="H564" s="97">
        <f t="shared" si="1"/>
        <v>0</v>
      </c>
      <c r="K564" s="14"/>
      <c r="L564" s="14"/>
      <c r="M564" s="14"/>
    </row>
    <row r="565" spans="1:13" s="41" customFormat="1" ht="30" customHeight="1" x14ac:dyDescent="0.3">
      <c r="A565" s="63"/>
      <c r="E565" s="36"/>
      <c r="F565" s="36"/>
      <c r="G565" s="36"/>
      <c r="H565" s="97">
        <f t="shared" si="1"/>
        <v>0</v>
      </c>
      <c r="K565" s="14"/>
      <c r="L565" s="14"/>
      <c r="M565" s="14"/>
    </row>
    <row r="566" spans="1:13" s="41" customFormat="1" ht="30" customHeight="1" x14ac:dyDescent="0.3">
      <c r="A566" s="63"/>
      <c r="E566" s="36"/>
      <c r="F566" s="36"/>
      <c r="G566" s="36"/>
      <c r="H566" s="97">
        <f t="shared" si="1"/>
        <v>0</v>
      </c>
      <c r="K566" s="14"/>
      <c r="L566" s="14"/>
      <c r="M566" s="14"/>
    </row>
    <row r="567" spans="1:13" s="41" customFormat="1" ht="30" customHeight="1" x14ac:dyDescent="0.3">
      <c r="A567" s="63"/>
      <c r="E567" s="36"/>
      <c r="F567" s="36"/>
      <c r="G567" s="36"/>
      <c r="H567" s="97">
        <f t="shared" si="1"/>
        <v>0</v>
      </c>
      <c r="K567" s="14"/>
      <c r="L567" s="14"/>
      <c r="M567" s="14"/>
    </row>
    <row r="568" spans="1:13" s="41" customFormat="1" ht="30" customHeight="1" x14ac:dyDescent="0.3">
      <c r="A568" s="63"/>
      <c r="E568" s="36"/>
      <c r="F568" s="36"/>
      <c r="G568" s="36"/>
      <c r="H568" s="97">
        <f t="shared" si="1"/>
        <v>0</v>
      </c>
      <c r="K568" s="14"/>
      <c r="L568" s="14"/>
      <c r="M568" s="14"/>
    </row>
    <row r="569" spans="1:13" s="41" customFormat="1" ht="30" customHeight="1" x14ac:dyDescent="0.3">
      <c r="A569" s="63"/>
      <c r="E569" s="36"/>
      <c r="F569" s="36"/>
      <c r="G569" s="36"/>
      <c r="H569" s="97">
        <f t="shared" si="1"/>
        <v>0</v>
      </c>
      <c r="K569" s="14"/>
      <c r="L569" s="14"/>
      <c r="M569" s="14"/>
    </row>
    <row r="570" spans="1:13" s="41" customFormat="1" ht="30" customHeight="1" x14ac:dyDescent="0.3">
      <c r="A570" s="63"/>
      <c r="E570" s="36"/>
      <c r="F570" s="36"/>
      <c r="G570" s="36"/>
      <c r="H570" s="97">
        <f t="shared" si="1"/>
        <v>0</v>
      </c>
      <c r="K570" s="14"/>
      <c r="L570" s="14"/>
      <c r="M570" s="14"/>
    </row>
    <row r="571" spans="1:13" s="41" customFormat="1" ht="30" customHeight="1" x14ac:dyDescent="0.3">
      <c r="A571" s="63"/>
      <c r="E571" s="36"/>
      <c r="F571" s="36"/>
      <c r="G571" s="36"/>
      <c r="H571" s="97">
        <f t="shared" si="1"/>
        <v>0</v>
      </c>
      <c r="K571" s="14"/>
      <c r="L571" s="14"/>
      <c r="M571" s="14"/>
    </row>
    <row r="572" spans="1:13" s="41" customFormat="1" ht="30" customHeight="1" x14ac:dyDescent="0.3">
      <c r="A572" s="63"/>
      <c r="E572" s="36"/>
      <c r="F572" s="36"/>
      <c r="G572" s="36"/>
      <c r="H572" s="97">
        <f t="shared" si="1"/>
        <v>0</v>
      </c>
      <c r="K572" s="14"/>
      <c r="L572" s="14"/>
      <c r="M572" s="14"/>
    </row>
    <row r="573" spans="1:13" s="41" customFormat="1" ht="30" customHeight="1" x14ac:dyDescent="0.3">
      <c r="A573" s="63"/>
      <c r="E573" s="36"/>
      <c r="F573" s="36"/>
      <c r="G573" s="36"/>
      <c r="H573" s="97">
        <f t="shared" si="1"/>
        <v>0</v>
      </c>
      <c r="K573" s="14"/>
      <c r="L573" s="14"/>
      <c r="M573" s="14"/>
    </row>
    <row r="574" spans="1:13" s="41" customFormat="1" ht="30" customHeight="1" x14ac:dyDescent="0.3">
      <c r="A574" s="63"/>
      <c r="E574" s="36"/>
      <c r="F574" s="36"/>
      <c r="G574" s="36"/>
      <c r="H574" s="97">
        <f t="shared" si="1"/>
        <v>0</v>
      </c>
      <c r="K574" s="14"/>
      <c r="L574" s="14"/>
      <c r="M574" s="14"/>
    </row>
    <row r="575" spans="1:13" s="41" customFormat="1" ht="30" customHeight="1" x14ac:dyDescent="0.3">
      <c r="A575" s="63"/>
      <c r="E575" s="36"/>
      <c r="F575" s="36"/>
      <c r="G575" s="36"/>
      <c r="H575" s="97">
        <f t="shared" si="1"/>
        <v>0</v>
      </c>
      <c r="K575" s="14"/>
      <c r="L575" s="14"/>
      <c r="M575" s="14"/>
    </row>
    <row r="576" spans="1:13" s="41" customFormat="1" ht="30" customHeight="1" x14ac:dyDescent="0.3">
      <c r="A576" s="63"/>
      <c r="E576" s="36"/>
      <c r="F576" s="36"/>
      <c r="G576" s="36"/>
      <c r="H576" s="97">
        <f t="shared" si="1"/>
        <v>0</v>
      </c>
      <c r="K576" s="14"/>
      <c r="L576" s="14"/>
      <c r="M576" s="14"/>
    </row>
    <row r="577" spans="1:13" s="41" customFormat="1" ht="30" customHeight="1" x14ac:dyDescent="0.3">
      <c r="A577" s="63"/>
      <c r="E577" s="36"/>
      <c r="F577" s="36"/>
      <c r="G577" s="36"/>
      <c r="H577" s="97">
        <f t="shared" si="1"/>
        <v>0</v>
      </c>
      <c r="K577" s="14"/>
      <c r="L577" s="14"/>
      <c r="M577" s="14"/>
    </row>
    <row r="578" spans="1:13" s="41" customFormat="1" ht="30" customHeight="1" x14ac:dyDescent="0.3">
      <c r="A578" s="63"/>
      <c r="E578" s="36"/>
      <c r="F578" s="36"/>
      <c r="G578" s="36"/>
      <c r="H578" s="97">
        <f t="shared" si="1"/>
        <v>0</v>
      </c>
      <c r="K578" s="14"/>
      <c r="L578" s="14"/>
      <c r="M578" s="14"/>
    </row>
    <row r="579" spans="1:13" s="41" customFormat="1" ht="30" customHeight="1" x14ac:dyDescent="0.3">
      <c r="A579" s="63"/>
      <c r="E579" s="36"/>
      <c r="F579" s="36"/>
      <c r="G579" s="36"/>
      <c r="H579" s="97">
        <f t="shared" si="1"/>
        <v>0</v>
      </c>
      <c r="K579" s="14"/>
      <c r="L579" s="14"/>
      <c r="M579" s="14"/>
    </row>
    <row r="580" spans="1:13" s="41" customFormat="1" ht="30" customHeight="1" x14ac:dyDescent="0.3">
      <c r="A580" s="63"/>
      <c r="E580" s="36"/>
      <c r="F580" s="36"/>
      <c r="G580" s="36"/>
      <c r="H580" s="97">
        <f t="shared" si="1"/>
        <v>0</v>
      </c>
      <c r="K580" s="14"/>
      <c r="L580" s="14"/>
      <c r="M580" s="14"/>
    </row>
    <row r="581" spans="1:13" s="41" customFormat="1" ht="30" customHeight="1" x14ac:dyDescent="0.3">
      <c r="A581" s="63"/>
      <c r="E581" s="36"/>
      <c r="F581" s="36"/>
      <c r="G581" s="36"/>
      <c r="H581" s="97">
        <f t="shared" si="1"/>
        <v>0</v>
      </c>
      <c r="K581" s="14"/>
      <c r="L581" s="14"/>
      <c r="M581" s="14"/>
    </row>
    <row r="582" spans="1:13" s="41" customFormat="1" ht="30" customHeight="1" x14ac:dyDescent="0.3">
      <c r="A582" s="63"/>
      <c r="E582" s="36"/>
      <c r="F582" s="36"/>
      <c r="G582" s="36"/>
      <c r="H582" s="97">
        <f t="shared" si="1"/>
        <v>0</v>
      </c>
      <c r="K582" s="14"/>
      <c r="L582" s="14"/>
      <c r="M582" s="14"/>
    </row>
    <row r="583" spans="1:13" s="41" customFormat="1" ht="30" customHeight="1" x14ac:dyDescent="0.3">
      <c r="A583" s="63"/>
      <c r="E583" s="36"/>
      <c r="F583" s="36"/>
      <c r="G583" s="36"/>
      <c r="H583" s="97">
        <f t="shared" si="1"/>
        <v>0</v>
      </c>
      <c r="K583" s="14"/>
      <c r="L583" s="14"/>
      <c r="M583" s="14"/>
    </row>
    <row r="584" spans="1:13" s="41" customFormat="1" ht="30" customHeight="1" x14ac:dyDescent="0.3">
      <c r="A584" s="63"/>
      <c r="E584" s="36"/>
      <c r="F584" s="36"/>
      <c r="G584" s="36"/>
      <c r="H584" s="97">
        <f t="shared" si="1"/>
        <v>0</v>
      </c>
      <c r="K584" s="14"/>
      <c r="L584" s="14"/>
      <c r="M584" s="14"/>
    </row>
    <row r="585" spans="1:13" s="41" customFormat="1" ht="30" customHeight="1" x14ac:dyDescent="0.3">
      <c r="A585" s="63"/>
      <c r="E585" s="36"/>
      <c r="F585" s="36"/>
      <c r="G585" s="36"/>
      <c r="H585" s="97">
        <f t="shared" si="1"/>
        <v>0</v>
      </c>
      <c r="K585" s="14"/>
      <c r="L585" s="14"/>
      <c r="M585" s="14"/>
    </row>
    <row r="586" spans="1:13" s="41" customFormat="1" ht="30" customHeight="1" x14ac:dyDescent="0.3">
      <c r="A586" s="63"/>
      <c r="E586" s="36"/>
      <c r="F586" s="36"/>
      <c r="G586" s="36"/>
      <c r="H586" s="97">
        <f t="shared" si="1"/>
        <v>0</v>
      </c>
      <c r="K586" s="14"/>
      <c r="L586" s="14"/>
      <c r="M586" s="14"/>
    </row>
    <row r="587" spans="1:13" s="41" customFormat="1" ht="30" customHeight="1" x14ac:dyDescent="0.3">
      <c r="A587" s="63"/>
      <c r="E587" s="36"/>
      <c r="F587" s="36"/>
      <c r="G587" s="36"/>
      <c r="H587" s="97">
        <f t="shared" si="1"/>
        <v>0</v>
      </c>
      <c r="K587" s="14"/>
      <c r="L587" s="14"/>
      <c r="M587" s="14"/>
    </row>
    <row r="588" spans="1:13" s="41" customFormat="1" ht="30" customHeight="1" x14ac:dyDescent="0.3">
      <c r="A588" s="63"/>
      <c r="E588" s="36"/>
      <c r="F588" s="36"/>
      <c r="G588" s="36"/>
      <c r="H588" s="97">
        <f t="shared" si="1"/>
        <v>0</v>
      </c>
      <c r="K588" s="14"/>
      <c r="L588" s="14"/>
      <c r="M588" s="14"/>
    </row>
    <row r="589" spans="1:13" s="41" customFormat="1" ht="30" customHeight="1" x14ac:dyDescent="0.3">
      <c r="A589" s="63"/>
      <c r="E589" s="36"/>
      <c r="F589" s="36"/>
      <c r="G589" s="36"/>
      <c r="H589" s="97">
        <f t="shared" si="1"/>
        <v>0</v>
      </c>
      <c r="K589" s="14"/>
      <c r="L589" s="14"/>
      <c r="M589" s="14"/>
    </row>
    <row r="590" spans="1:13" s="41" customFormat="1" ht="30" customHeight="1" x14ac:dyDescent="0.3">
      <c r="A590" s="63"/>
      <c r="E590" s="36"/>
      <c r="F590" s="36"/>
      <c r="G590" s="36"/>
      <c r="H590" s="97">
        <f t="shared" si="1"/>
        <v>0</v>
      </c>
      <c r="K590" s="14"/>
      <c r="L590" s="14"/>
      <c r="M590" s="14"/>
    </row>
    <row r="591" spans="1:13" s="41" customFormat="1" ht="30" customHeight="1" x14ac:dyDescent="0.3">
      <c r="A591" s="63"/>
      <c r="E591" s="36"/>
      <c r="F591" s="36"/>
      <c r="G591" s="36"/>
      <c r="H591" s="97">
        <f t="shared" si="1"/>
        <v>0</v>
      </c>
      <c r="K591" s="14"/>
      <c r="L591" s="14"/>
      <c r="M591" s="14"/>
    </row>
    <row r="592" spans="1:13" s="41" customFormat="1" ht="30" customHeight="1" x14ac:dyDescent="0.3">
      <c r="A592" s="63"/>
      <c r="E592" s="36"/>
      <c r="F592" s="36"/>
      <c r="G592" s="36"/>
      <c r="H592" s="97">
        <f t="shared" ref="H592:H648" si="2">H591-G592-F592+E592</f>
        <v>0</v>
      </c>
      <c r="K592" s="14"/>
      <c r="L592" s="14"/>
      <c r="M592" s="14"/>
    </row>
    <row r="593" spans="1:13" s="41" customFormat="1" ht="30" customHeight="1" x14ac:dyDescent="0.3">
      <c r="A593" s="63"/>
      <c r="E593" s="36"/>
      <c r="F593" s="36"/>
      <c r="G593" s="36"/>
      <c r="H593" s="97">
        <f t="shared" si="2"/>
        <v>0</v>
      </c>
      <c r="K593" s="14"/>
      <c r="L593" s="14"/>
      <c r="M593" s="14"/>
    </row>
    <row r="594" spans="1:13" s="41" customFormat="1" ht="30" customHeight="1" x14ac:dyDescent="0.3">
      <c r="A594" s="63"/>
      <c r="E594" s="36"/>
      <c r="F594" s="36"/>
      <c r="G594" s="36"/>
      <c r="H594" s="97">
        <f t="shared" si="2"/>
        <v>0</v>
      </c>
      <c r="K594" s="14"/>
      <c r="L594" s="14"/>
      <c r="M594" s="14"/>
    </row>
    <row r="595" spans="1:13" s="41" customFormat="1" ht="30" customHeight="1" x14ac:dyDescent="0.3">
      <c r="A595" s="63"/>
      <c r="E595" s="36"/>
      <c r="F595" s="36"/>
      <c r="G595" s="36"/>
      <c r="H595" s="97">
        <f t="shared" si="2"/>
        <v>0</v>
      </c>
      <c r="K595" s="14"/>
      <c r="L595" s="14"/>
      <c r="M595" s="14"/>
    </row>
    <row r="596" spans="1:13" s="41" customFormat="1" ht="30" customHeight="1" x14ac:dyDescent="0.3">
      <c r="A596" s="63"/>
      <c r="E596" s="36"/>
      <c r="F596" s="36"/>
      <c r="G596" s="36"/>
      <c r="H596" s="97">
        <f t="shared" si="2"/>
        <v>0</v>
      </c>
      <c r="K596" s="14"/>
      <c r="L596" s="14"/>
      <c r="M596" s="14"/>
    </row>
    <row r="597" spans="1:13" s="41" customFormat="1" ht="30" customHeight="1" x14ac:dyDescent="0.3">
      <c r="A597" s="63"/>
      <c r="E597" s="36"/>
      <c r="F597" s="36"/>
      <c r="G597" s="36"/>
      <c r="H597" s="97">
        <f t="shared" si="2"/>
        <v>0</v>
      </c>
      <c r="K597" s="14"/>
      <c r="L597" s="14"/>
      <c r="M597" s="14"/>
    </row>
    <row r="598" spans="1:13" s="41" customFormat="1" ht="30" customHeight="1" x14ac:dyDescent="0.3">
      <c r="A598" s="63"/>
      <c r="E598" s="36"/>
      <c r="F598" s="36"/>
      <c r="G598" s="36"/>
      <c r="H598" s="97">
        <f t="shared" si="2"/>
        <v>0</v>
      </c>
      <c r="K598" s="14"/>
      <c r="L598" s="14"/>
      <c r="M598" s="14"/>
    </row>
    <row r="599" spans="1:13" s="41" customFormat="1" ht="30" customHeight="1" x14ac:dyDescent="0.3">
      <c r="A599" s="63"/>
      <c r="E599" s="36"/>
      <c r="F599" s="36"/>
      <c r="G599" s="36"/>
      <c r="H599" s="97">
        <f t="shared" si="2"/>
        <v>0</v>
      </c>
      <c r="K599" s="14"/>
      <c r="L599" s="14"/>
      <c r="M599" s="14"/>
    </row>
    <row r="600" spans="1:13" s="41" customFormat="1" ht="30" customHeight="1" x14ac:dyDescent="0.3">
      <c r="A600" s="63"/>
      <c r="E600" s="36"/>
      <c r="F600" s="36"/>
      <c r="G600" s="36"/>
      <c r="H600" s="97">
        <f t="shared" si="2"/>
        <v>0</v>
      </c>
      <c r="K600" s="14"/>
      <c r="L600" s="14"/>
      <c r="M600" s="14"/>
    </row>
    <row r="601" spans="1:13" s="41" customFormat="1" ht="30" customHeight="1" x14ac:dyDescent="0.3">
      <c r="A601" s="63"/>
      <c r="E601" s="36"/>
      <c r="F601" s="36"/>
      <c r="G601" s="36"/>
      <c r="H601" s="97">
        <f t="shared" si="2"/>
        <v>0</v>
      </c>
      <c r="K601" s="14"/>
      <c r="L601" s="14"/>
      <c r="M601" s="14"/>
    </row>
    <row r="602" spans="1:13" s="41" customFormat="1" ht="30" customHeight="1" x14ac:dyDescent="0.3">
      <c r="A602" s="63"/>
      <c r="E602" s="36"/>
      <c r="F602" s="36"/>
      <c r="G602" s="36"/>
      <c r="H602" s="97">
        <f t="shared" si="2"/>
        <v>0</v>
      </c>
      <c r="K602" s="14"/>
      <c r="L602" s="14"/>
      <c r="M602" s="14"/>
    </row>
    <row r="603" spans="1:13" s="41" customFormat="1" ht="30" customHeight="1" x14ac:dyDescent="0.3">
      <c r="A603" s="63"/>
      <c r="E603" s="36"/>
      <c r="F603" s="36"/>
      <c r="G603" s="36"/>
      <c r="H603" s="97">
        <f t="shared" si="2"/>
        <v>0</v>
      </c>
      <c r="K603" s="14"/>
      <c r="L603" s="14"/>
      <c r="M603" s="14"/>
    </row>
    <row r="604" spans="1:13" s="41" customFormat="1" ht="30" customHeight="1" x14ac:dyDescent="0.3">
      <c r="A604" s="63"/>
      <c r="E604" s="36"/>
      <c r="F604" s="36"/>
      <c r="G604" s="36"/>
      <c r="H604" s="97">
        <f t="shared" si="2"/>
        <v>0</v>
      </c>
      <c r="K604" s="14"/>
      <c r="L604" s="14"/>
      <c r="M604" s="14"/>
    </row>
    <row r="605" spans="1:13" s="41" customFormat="1" ht="30" customHeight="1" x14ac:dyDescent="0.3">
      <c r="A605" s="63"/>
      <c r="E605" s="36"/>
      <c r="F605" s="36"/>
      <c r="G605" s="36"/>
      <c r="H605" s="97">
        <f t="shared" si="2"/>
        <v>0</v>
      </c>
      <c r="K605" s="14"/>
      <c r="L605" s="14"/>
      <c r="M605" s="14"/>
    </row>
    <row r="606" spans="1:13" s="41" customFormat="1" ht="30" customHeight="1" x14ac:dyDescent="0.3">
      <c r="A606" s="63"/>
      <c r="E606" s="36"/>
      <c r="F606" s="36"/>
      <c r="G606" s="36"/>
      <c r="H606" s="97">
        <f t="shared" si="2"/>
        <v>0</v>
      </c>
      <c r="K606" s="14"/>
      <c r="L606" s="14"/>
      <c r="M606" s="14"/>
    </row>
    <row r="607" spans="1:13" s="41" customFormat="1" ht="30" customHeight="1" x14ac:dyDescent="0.3">
      <c r="A607" s="63"/>
      <c r="E607" s="36"/>
      <c r="F607" s="36"/>
      <c r="G607" s="36"/>
      <c r="H607" s="97">
        <f t="shared" si="2"/>
        <v>0</v>
      </c>
      <c r="K607" s="14"/>
      <c r="L607" s="14"/>
      <c r="M607" s="14"/>
    </row>
    <row r="608" spans="1:13" s="41" customFormat="1" ht="30" customHeight="1" x14ac:dyDescent="0.3">
      <c r="A608" s="63"/>
      <c r="E608" s="36"/>
      <c r="F608" s="36"/>
      <c r="G608" s="36"/>
      <c r="H608" s="97">
        <f t="shared" si="2"/>
        <v>0</v>
      </c>
      <c r="K608" s="14"/>
      <c r="L608" s="14"/>
      <c r="M608" s="14"/>
    </row>
    <row r="609" spans="1:13" s="41" customFormat="1" ht="30" customHeight="1" x14ac:dyDescent="0.3">
      <c r="A609" s="63"/>
      <c r="E609" s="36"/>
      <c r="F609" s="36"/>
      <c r="G609" s="36"/>
      <c r="H609" s="97">
        <f t="shared" si="2"/>
        <v>0</v>
      </c>
      <c r="K609" s="14"/>
      <c r="L609" s="14"/>
      <c r="M609" s="14"/>
    </row>
    <row r="610" spans="1:13" s="41" customFormat="1" ht="30" customHeight="1" x14ac:dyDescent="0.3">
      <c r="A610" s="63"/>
      <c r="E610" s="36"/>
      <c r="F610" s="36"/>
      <c r="G610" s="36"/>
      <c r="H610" s="97">
        <f t="shared" si="2"/>
        <v>0</v>
      </c>
      <c r="K610" s="14"/>
      <c r="L610" s="14"/>
      <c r="M610" s="14"/>
    </row>
    <row r="611" spans="1:13" s="41" customFormat="1" ht="30" customHeight="1" x14ac:dyDescent="0.3">
      <c r="A611" s="63"/>
      <c r="E611" s="36"/>
      <c r="F611" s="36"/>
      <c r="G611" s="36"/>
      <c r="H611" s="97">
        <f t="shared" si="2"/>
        <v>0</v>
      </c>
      <c r="K611" s="14"/>
      <c r="L611" s="14"/>
      <c r="M611" s="14"/>
    </row>
    <row r="612" spans="1:13" s="41" customFormat="1" ht="30" customHeight="1" x14ac:dyDescent="0.3">
      <c r="A612" s="63"/>
      <c r="E612" s="36"/>
      <c r="F612" s="36"/>
      <c r="G612" s="36"/>
      <c r="H612" s="97">
        <f t="shared" si="2"/>
        <v>0</v>
      </c>
      <c r="K612" s="14"/>
      <c r="L612" s="14"/>
      <c r="M612" s="14"/>
    </row>
    <row r="613" spans="1:13" s="41" customFormat="1" ht="30" customHeight="1" x14ac:dyDescent="0.3">
      <c r="A613" s="63"/>
      <c r="E613" s="36"/>
      <c r="F613" s="36"/>
      <c r="G613" s="36"/>
      <c r="H613" s="97">
        <f t="shared" si="2"/>
        <v>0</v>
      </c>
      <c r="K613" s="14"/>
      <c r="L613" s="14"/>
      <c r="M613" s="14"/>
    </row>
    <row r="614" spans="1:13" s="41" customFormat="1" ht="30" customHeight="1" x14ac:dyDescent="0.3">
      <c r="A614" s="63"/>
      <c r="E614" s="36"/>
      <c r="F614" s="36"/>
      <c r="G614" s="36"/>
      <c r="H614" s="97">
        <f t="shared" si="2"/>
        <v>0</v>
      </c>
      <c r="K614" s="14"/>
      <c r="L614" s="14"/>
      <c r="M614" s="14"/>
    </row>
    <row r="615" spans="1:13" s="41" customFormat="1" ht="30" customHeight="1" x14ac:dyDescent="0.3">
      <c r="A615" s="63"/>
      <c r="E615" s="36"/>
      <c r="F615" s="36"/>
      <c r="G615" s="36"/>
      <c r="H615" s="97">
        <f t="shared" si="2"/>
        <v>0</v>
      </c>
      <c r="K615" s="14"/>
      <c r="L615" s="14"/>
      <c r="M615" s="14"/>
    </row>
    <row r="616" spans="1:13" s="41" customFormat="1" ht="30" customHeight="1" x14ac:dyDescent="0.3">
      <c r="A616" s="63"/>
      <c r="E616" s="36"/>
      <c r="F616" s="36"/>
      <c r="G616" s="36"/>
      <c r="H616" s="97">
        <f t="shared" si="2"/>
        <v>0</v>
      </c>
      <c r="K616" s="14"/>
      <c r="L616" s="14"/>
      <c r="M616" s="14"/>
    </row>
    <row r="617" spans="1:13" s="41" customFormat="1" ht="30" customHeight="1" x14ac:dyDescent="0.3">
      <c r="A617" s="63"/>
      <c r="E617" s="36"/>
      <c r="F617" s="36"/>
      <c r="G617" s="36"/>
      <c r="H617" s="97">
        <f t="shared" si="2"/>
        <v>0</v>
      </c>
      <c r="K617" s="14"/>
      <c r="L617" s="14"/>
      <c r="M617" s="14"/>
    </row>
    <row r="618" spans="1:13" s="41" customFormat="1" ht="30" customHeight="1" x14ac:dyDescent="0.3">
      <c r="A618" s="63"/>
      <c r="E618" s="36"/>
      <c r="F618" s="36"/>
      <c r="G618" s="36"/>
      <c r="H618" s="97">
        <f t="shared" si="2"/>
        <v>0</v>
      </c>
      <c r="K618" s="14"/>
      <c r="L618" s="14"/>
      <c r="M618" s="14"/>
    </row>
    <row r="619" spans="1:13" s="41" customFormat="1" ht="30" customHeight="1" x14ac:dyDescent="0.3">
      <c r="A619" s="63"/>
      <c r="E619" s="36"/>
      <c r="F619" s="36"/>
      <c r="G619" s="36"/>
      <c r="H619" s="97">
        <f t="shared" si="2"/>
        <v>0</v>
      </c>
      <c r="K619" s="14"/>
      <c r="L619" s="14"/>
      <c r="M619" s="14"/>
    </row>
    <row r="620" spans="1:13" s="41" customFormat="1" ht="30" customHeight="1" x14ac:dyDescent="0.3">
      <c r="A620" s="63"/>
      <c r="E620" s="36"/>
      <c r="F620" s="36"/>
      <c r="G620" s="36"/>
      <c r="H620" s="97">
        <f t="shared" si="2"/>
        <v>0</v>
      </c>
      <c r="K620" s="14"/>
      <c r="L620" s="14"/>
      <c r="M620" s="14"/>
    </row>
    <row r="621" spans="1:13" s="41" customFormat="1" ht="30" customHeight="1" x14ac:dyDescent="0.3">
      <c r="A621" s="63"/>
      <c r="E621" s="36"/>
      <c r="F621" s="36"/>
      <c r="G621" s="36"/>
      <c r="H621" s="97">
        <f t="shared" si="2"/>
        <v>0</v>
      </c>
      <c r="K621" s="14"/>
      <c r="L621" s="14"/>
      <c r="M621" s="14"/>
    </row>
    <row r="622" spans="1:13" s="41" customFormat="1" ht="30" customHeight="1" x14ac:dyDescent="0.3">
      <c r="A622" s="63"/>
      <c r="E622" s="36"/>
      <c r="F622" s="36"/>
      <c r="G622" s="36"/>
      <c r="H622" s="97">
        <f t="shared" si="2"/>
        <v>0</v>
      </c>
      <c r="K622" s="14"/>
      <c r="L622" s="14"/>
      <c r="M622" s="14"/>
    </row>
    <row r="623" spans="1:13" s="41" customFormat="1" ht="30" customHeight="1" x14ac:dyDescent="0.3">
      <c r="A623" s="63"/>
      <c r="E623" s="36"/>
      <c r="F623" s="36"/>
      <c r="G623" s="36"/>
      <c r="H623" s="97">
        <f t="shared" si="2"/>
        <v>0</v>
      </c>
      <c r="K623" s="14"/>
      <c r="L623" s="14"/>
      <c r="M623" s="14"/>
    </row>
    <row r="624" spans="1:13" s="41" customFormat="1" ht="30" customHeight="1" x14ac:dyDescent="0.3">
      <c r="A624" s="63"/>
      <c r="E624" s="36"/>
      <c r="F624" s="36"/>
      <c r="G624" s="36"/>
      <c r="H624" s="97">
        <f t="shared" si="2"/>
        <v>0</v>
      </c>
      <c r="K624" s="14"/>
      <c r="L624" s="14"/>
      <c r="M624" s="14"/>
    </row>
    <row r="625" spans="1:13" s="41" customFormat="1" ht="30" customHeight="1" x14ac:dyDescent="0.3">
      <c r="A625" s="63"/>
      <c r="E625" s="36"/>
      <c r="F625" s="36"/>
      <c r="G625" s="36"/>
      <c r="H625" s="97">
        <f t="shared" si="2"/>
        <v>0</v>
      </c>
      <c r="K625" s="14"/>
      <c r="L625" s="14"/>
      <c r="M625" s="14"/>
    </row>
    <row r="626" spans="1:13" s="41" customFormat="1" ht="30" customHeight="1" x14ac:dyDescent="0.3">
      <c r="A626" s="63"/>
      <c r="E626" s="36"/>
      <c r="F626" s="36"/>
      <c r="G626" s="36"/>
      <c r="H626" s="97">
        <f t="shared" si="2"/>
        <v>0</v>
      </c>
      <c r="K626" s="14"/>
      <c r="L626" s="14"/>
      <c r="M626" s="14"/>
    </row>
    <row r="627" spans="1:13" s="41" customFormat="1" ht="30" customHeight="1" x14ac:dyDescent="0.3">
      <c r="A627" s="63"/>
      <c r="E627" s="36"/>
      <c r="F627" s="36"/>
      <c r="G627" s="36"/>
      <c r="H627" s="97">
        <f t="shared" si="2"/>
        <v>0</v>
      </c>
      <c r="K627" s="14"/>
      <c r="L627" s="14"/>
      <c r="M627" s="14"/>
    </row>
    <row r="628" spans="1:13" s="41" customFormat="1" ht="30" customHeight="1" x14ac:dyDescent="0.3">
      <c r="A628" s="63"/>
      <c r="E628" s="36"/>
      <c r="F628" s="36"/>
      <c r="G628" s="36"/>
      <c r="H628" s="97">
        <f t="shared" si="2"/>
        <v>0</v>
      </c>
      <c r="K628" s="14"/>
      <c r="L628" s="14"/>
      <c r="M628" s="14"/>
    </row>
    <row r="629" spans="1:13" s="41" customFormat="1" ht="30" customHeight="1" x14ac:dyDescent="0.3">
      <c r="A629" s="63"/>
      <c r="E629" s="36"/>
      <c r="F629" s="36"/>
      <c r="G629" s="36"/>
      <c r="H629" s="97">
        <f t="shared" si="2"/>
        <v>0</v>
      </c>
      <c r="K629" s="14"/>
      <c r="L629" s="14"/>
      <c r="M629" s="14"/>
    </row>
    <row r="630" spans="1:13" s="41" customFormat="1" ht="30" customHeight="1" x14ac:dyDescent="0.3">
      <c r="A630" s="63"/>
      <c r="E630" s="36"/>
      <c r="F630" s="36"/>
      <c r="G630" s="36"/>
      <c r="H630" s="97">
        <f t="shared" si="2"/>
        <v>0</v>
      </c>
      <c r="K630" s="14"/>
      <c r="L630" s="14"/>
      <c r="M630" s="14"/>
    </row>
    <row r="631" spans="1:13" s="41" customFormat="1" ht="30" customHeight="1" x14ac:dyDescent="0.3">
      <c r="A631" s="63"/>
      <c r="E631" s="36"/>
      <c r="F631" s="36"/>
      <c r="G631" s="36"/>
      <c r="H631" s="97">
        <f t="shared" si="2"/>
        <v>0</v>
      </c>
      <c r="K631" s="14"/>
      <c r="L631" s="14"/>
      <c r="M631" s="14"/>
    </row>
    <row r="632" spans="1:13" s="41" customFormat="1" ht="30" customHeight="1" x14ac:dyDescent="0.3">
      <c r="A632" s="63"/>
      <c r="E632" s="36"/>
      <c r="F632" s="36"/>
      <c r="G632" s="36"/>
      <c r="H632" s="97">
        <f t="shared" si="2"/>
        <v>0</v>
      </c>
      <c r="K632" s="14"/>
      <c r="L632" s="14"/>
      <c r="M632" s="14"/>
    </row>
    <row r="633" spans="1:13" s="41" customFormat="1" ht="30" customHeight="1" x14ac:dyDescent="0.3">
      <c r="A633" s="63"/>
      <c r="E633" s="36"/>
      <c r="F633" s="36"/>
      <c r="G633" s="36"/>
      <c r="H633" s="97">
        <f t="shared" si="2"/>
        <v>0</v>
      </c>
      <c r="K633" s="14"/>
      <c r="L633" s="14"/>
      <c r="M633" s="14"/>
    </row>
    <row r="634" spans="1:13" s="41" customFormat="1" ht="30" customHeight="1" x14ac:dyDescent="0.3">
      <c r="A634" s="63"/>
      <c r="E634" s="36"/>
      <c r="F634" s="36"/>
      <c r="G634" s="36"/>
      <c r="H634" s="97">
        <f t="shared" si="2"/>
        <v>0</v>
      </c>
      <c r="K634" s="14"/>
      <c r="L634" s="14"/>
      <c r="M634" s="14"/>
    </row>
    <row r="635" spans="1:13" s="41" customFormat="1" ht="30" customHeight="1" x14ac:dyDescent="0.3">
      <c r="A635" s="63"/>
      <c r="E635" s="36"/>
      <c r="F635" s="36"/>
      <c r="G635" s="36"/>
      <c r="H635" s="97">
        <f t="shared" si="2"/>
        <v>0</v>
      </c>
      <c r="K635" s="14"/>
      <c r="L635" s="14"/>
      <c r="M635" s="14"/>
    </row>
    <row r="636" spans="1:13" s="41" customFormat="1" ht="30" customHeight="1" x14ac:dyDescent="0.3">
      <c r="A636" s="63"/>
      <c r="E636" s="36"/>
      <c r="F636" s="36"/>
      <c r="G636" s="36"/>
      <c r="H636" s="97">
        <f t="shared" si="2"/>
        <v>0</v>
      </c>
      <c r="K636" s="14"/>
      <c r="L636" s="14"/>
      <c r="M636" s="14"/>
    </row>
    <row r="637" spans="1:13" s="41" customFormat="1" ht="30" customHeight="1" x14ac:dyDescent="0.3">
      <c r="A637" s="63"/>
      <c r="E637" s="36"/>
      <c r="F637" s="36"/>
      <c r="G637" s="36"/>
      <c r="H637" s="97">
        <f t="shared" si="2"/>
        <v>0</v>
      </c>
      <c r="K637" s="14"/>
      <c r="L637" s="14"/>
      <c r="M637" s="14"/>
    </row>
    <row r="638" spans="1:13" s="41" customFormat="1" ht="30" customHeight="1" x14ac:dyDescent="0.3">
      <c r="A638" s="63"/>
      <c r="E638" s="36"/>
      <c r="F638" s="36"/>
      <c r="G638" s="36"/>
      <c r="H638" s="97">
        <f t="shared" si="2"/>
        <v>0</v>
      </c>
      <c r="K638" s="14"/>
      <c r="L638" s="14"/>
      <c r="M638" s="14"/>
    </row>
    <row r="639" spans="1:13" s="41" customFormat="1" ht="30" customHeight="1" x14ac:dyDescent="0.3">
      <c r="A639" s="63"/>
      <c r="E639" s="36"/>
      <c r="F639" s="36"/>
      <c r="G639" s="36"/>
      <c r="H639" s="97">
        <f t="shared" si="2"/>
        <v>0</v>
      </c>
      <c r="K639" s="14"/>
      <c r="L639" s="14"/>
      <c r="M639" s="14"/>
    </row>
    <row r="640" spans="1:13" s="41" customFormat="1" ht="30" customHeight="1" x14ac:dyDescent="0.3">
      <c r="A640" s="63"/>
      <c r="E640" s="36"/>
      <c r="F640" s="36"/>
      <c r="G640" s="36"/>
      <c r="H640" s="97">
        <f t="shared" si="2"/>
        <v>0</v>
      </c>
      <c r="K640" s="14"/>
      <c r="L640" s="14"/>
      <c r="M640" s="14"/>
    </row>
    <row r="641" spans="1:13" s="41" customFormat="1" ht="30" customHeight="1" x14ac:dyDescent="0.3">
      <c r="A641" s="63"/>
      <c r="E641" s="36"/>
      <c r="F641" s="36"/>
      <c r="G641" s="36"/>
      <c r="H641" s="97">
        <f t="shared" si="2"/>
        <v>0</v>
      </c>
      <c r="K641" s="14"/>
      <c r="L641" s="14"/>
      <c r="M641" s="14"/>
    </row>
    <row r="642" spans="1:13" s="41" customFormat="1" ht="30" customHeight="1" x14ac:dyDescent="0.3">
      <c r="A642" s="63"/>
      <c r="E642" s="36"/>
      <c r="F642" s="36"/>
      <c r="G642" s="36"/>
      <c r="H642" s="97">
        <f t="shared" si="2"/>
        <v>0</v>
      </c>
      <c r="K642" s="14"/>
      <c r="L642" s="14"/>
      <c r="M642" s="14"/>
    </row>
    <row r="643" spans="1:13" s="41" customFormat="1" ht="30" customHeight="1" x14ac:dyDescent="0.3">
      <c r="A643" s="63"/>
      <c r="E643" s="36"/>
      <c r="F643" s="36"/>
      <c r="G643" s="36"/>
      <c r="H643" s="97">
        <f t="shared" si="2"/>
        <v>0</v>
      </c>
      <c r="K643" s="14"/>
      <c r="L643" s="14"/>
      <c r="M643" s="14"/>
    </row>
    <row r="644" spans="1:13" s="41" customFormat="1" ht="30" customHeight="1" x14ac:dyDescent="0.3">
      <c r="A644" s="63"/>
      <c r="E644" s="36"/>
      <c r="F644" s="36"/>
      <c r="G644" s="36"/>
      <c r="H644" s="97">
        <f t="shared" si="2"/>
        <v>0</v>
      </c>
      <c r="K644" s="14"/>
      <c r="L644" s="14"/>
      <c r="M644" s="14"/>
    </row>
    <row r="645" spans="1:13" s="41" customFormat="1" ht="30" customHeight="1" x14ac:dyDescent="0.3">
      <c r="A645" s="63"/>
      <c r="E645" s="36"/>
      <c r="F645" s="36"/>
      <c r="G645" s="36"/>
      <c r="H645" s="97">
        <f t="shared" si="2"/>
        <v>0</v>
      </c>
      <c r="K645" s="14"/>
      <c r="L645" s="14"/>
      <c r="M645" s="14"/>
    </row>
    <row r="646" spans="1:13" s="41" customFormat="1" ht="30" customHeight="1" x14ac:dyDescent="0.3">
      <c r="A646" s="63"/>
      <c r="E646" s="36"/>
      <c r="F646" s="36"/>
      <c r="G646" s="36"/>
      <c r="H646" s="97">
        <f t="shared" si="2"/>
        <v>0</v>
      </c>
      <c r="K646" s="14"/>
      <c r="L646" s="14"/>
      <c r="M646" s="14"/>
    </row>
    <row r="647" spans="1:13" s="41" customFormat="1" ht="30" customHeight="1" x14ac:dyDescent="0.3">
      <c r="A647" s="63"/>
      <c r="E647" s="36"/>
      <c r="F647" s="36"/>
      <c r="G647" s="36"/>
      <c r="H647" s="97">
        <f t="shared" si="2"/>
        <v>0</v>
      </c>
      <c r="K647" s="14"/>
      <c r="L647" s="14"/>
      <c r="M647" s="14"/>
    </row>
    <row r="648" spans="1:13" s="41" customFormat="1" ht="30" customHeight="1" x14ac:dyDescent="0.3">
      <c r="A648" s="63"/>
      <c r="E648" s="36"/>
      <c r="F648" s="36"/>
      <c r="G648" s="36"/>
      <c r="H648" s="97">
        <f t="shared" si="2"/>
        <v>0</v>
      </c>
      <c r="K648" s="14"/>
      <c r="L648" s="14"/>
      <c r="M648" s="14"/>
    </row>
    <row r="1048513" spans="1:13" s="41" customFormat="1" ht="30" customHeight="1" x14ac:dyDescent="0.3">
      <c r="A1048513" s="63"/>
      <c r="E1048513" s="64"/>
      <c r="F1048513" s="64"/>
      <c r="G1048513" s="64"/>
      <c r="H1048513" s="65"/>
      <c r="K1048513" s="14"/>
      <c r="L1048513" s="14"/>
      <c r="M1048513" s="14"/>
    </row>
    <row r="1048546" spans="1:13" s="64" customFormat="1" ht="30" customHeight="1" x14ac:dyDescent="0.3">
      <c r="A1048546" s="63"/>
      <c r="B1048546" s="41"/>
      <c r="C1048546" s="41"/>
      <c r="D1048546" s="41"/>
      <c r="E1048546" s="66">
        <v>2</v>
      </c>
      <c r="H1048546" s="67"/>
      <c r="I1048546" s="41"/>
      <c r="J1048546" s="41"/>
      <c r="K1048546" s="14"/>
      <c r="L1048546" s="14"/>
      <c r="M1048546" s="14"/>
    </row>
  </sheetData>
  <protectedRanges>
    <protectedRange algorithmName="SHA-512" hashValue="qwwFgwDzvfZtdNPXl+HufPnXy/ZYj1jezFOo+9mgwlM8nosdNSUiHCXIqc5pNVSAzJWwUMe46RDKwNiZjCVcjA==" saltValue="uZ0/lRArqsjkUynSe/+fGA==" spinCount="100000" sqref="A14:G18 C7:F11 A25:G1048576 A19:B24 D19:G24 C19 D12:G12 A7:B12 G7:G8" name="Range1"/>
    <protectedRange algorithmName="SHA-512" hashValue="VKObjOalI45udJLbVyG9wCxtpjUyA320kjRJN7kysAlg+vtgALRaSSvO8uk4Qh7/aL5ksD9LX/wqtVttNl6rvA==" saltValue="FrOuJT0TC1H5XkzMdD7DyA==" spinCount="100000" sqref="C20:C24 C12" name="Range1_1_2"/>
    <protectedRange algorithmName="SHA-512" hashValue="DxrPl6ocbu0jjFnsIl+sgIq4wZe4XLP+wEBHTeMZdK1i5Lbj21ybiyn5jVha8p0Z8EzIw8PrBHIda0MaKwEA9g==" saltValue="meliQwD4SGHZ6ULbhhgh/w==" spinCount="100000" sqref="A13:G13" name="Range1_2"/>
  </protectedRanges>
  <mergeCells count="71">
    <mergeCell ref="I65:J65"/>
    <mergeCell ref="I66:J66"/>
    <mergeCell ref="I67:J67"/>
    <mergeCell ref="I25:J25"/>
    <mergeCell ref="I26:J26"/>
    <mergeCell ref="I28:J28"/>
    <mergeCell ref="I59:J59"/>
    <mergeCell ref="I60:J60"/>
    <mergeCell ref="I61:J61"/>
    <mergeCell ref="I62:J62"/>
    <mergeCell ref="I63:J63"/>
    <mergeCell ref="I64:J64"/>
    <mergeCell ref="I53:J53"/>
    <mergeCell ref="I54:J54"/>
    <mergeCell ref="I55:J55"/>
    <mergeCell ref="I56:J56"/>
    <mergeCell ref="I57:J57"/>
    <mergeCell ref="I58:J58"/>
    <mergeCell ref="I47:J47"/>
    <mergeCell ref="I48:J48"/>
    <mergeCell ref="I49:J49"/>
    <mergeCell ref="I50:J50"/>
    <mergeCell ref="I51:J51"/>
    <mergeCell ref="I52:J52"/>
    <mergeCell ref="I46:J46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34:J34"/>
    <mergeCell ref="I20:J20"/>
    <mergeCell ref="I21:J21"/>
    <mergeCell ref="I22:J22"/>
    <mergeCell ref="I23:J23"/>
    <mergeCell ref="I24:J24"/>
    <mergeCell ref="I27:J27"/>
    <mergeCell ref="I29:J29"/>
    <mergeCell ref="I30:J30"/>
    <mergeCell ref="I31:J31"/>
    <mergeCell ref="I32:J32"/>
    <mergeCell ref="I33:J33"/>
    <mergeCell ref="I19:J19"/>
    <mergeCell ref="I8:J8"/>
    <mergeCell ref="I9:J9"/>
    <mergeCell ref="I11:J11"/>
    <mergeCell ref="I12:J12"/>
    <mergeCell ref="I13:J13"/>
    <mergeCell ref="I14:J14"/>
    <mergeCell ref="I15:J15"/>
    <mergeCell ref="I16:J16"/>
    <mergeCell ref="I17:J17"/>
    <mergeCell ref="I18:J18"/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</mergeCells>
  <conditionalFormatting sqref="B7:B12 B14:B67">
    <cfRule type="cellIs" dxfId="42" priority="4" operator="between">
      <formula>1</formula>
      <formula>9999999</formula>
    </cfRule>
  </conditionalFormatting>
  <conditionalFormatting sqref="D7:D11 E12:E26">
    <cfRule type="cellIs" dxfId="41" priority="3" operator="between">
      <formula>1</formula>
      <formula>100</formula>
    </cfRule>
  </conditionalFormatting>
  <conditionalFormatting sqref="D7:G11 E12:H12 E14:G23 H14:H648">
    <cfRule type="cellIs" dxfId="40" priority="5" operator="between">
      <formula>0.1</formula>
      <formula>99999999999</formula>
    </cfRule>
  </conditionalFormatting>
  <conditionalFormatting sqref="D7:G11 E12:H13 E14:G117 H14:H648">
    <cfRule type="cellIs" dxfId="39" priority="6" operator="between">
      <formula>1</formula>
      <formula>100</formula>
    </cfRule>
  </conditionalFormatting>
  <conditionalFormatting sqref="H7:H10">
    <cfRule type="cellIs" dxfId="38" priority="1" operator="between">
      <formula>0.1</formula>
      <formula>99999999999</formula>
    </cfRule>
  </conditionalFormatting>
  <conditionalFormatting sqref="H7:H12">
    <cfRule type="cellIs" dxfId="37" priority="2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B556-9815-450E-8BBE-E9791DE9B670}">
  <dimension ref="A1:M1048546"/>
  <sheetViews>
    <sheetView workbookViewId="0"/>
  </sheetViews>
  <sheetFormatPr defaultRowHeight="30" customHeight="1" x14ac:dyDescent="0.3"/>
  <cols>
    <col min="1" max="1" width="18.42578125" style="63" customWidth="1"/>
    <col min="2" max="2" width="30.28515625" style="41" customWidth="1"/>
    <col min="3" max="3" width="25.140625" style="41" customWidth="1"/>
    <col min="4" max="4" width="22.42578125" style="41" customWidth="1"/>
    <col min="5" max="6" width="17.7109375" style="64" customWidth="1"/>
    <col min="7" max="7" width="15.28515625" style="64" customWidth="1"/>
    <col min="8" max="8" width="21.28515625" style="67" customWidth="1"/>
    <col min="9" max="9" width="19.42578125" style="41" customWidth="1"/>
    <col min="10" max="10" width="20.28515625" style="41" customWidth="1"/>
    <col min="11" max="11" width="10.7109375" style="14" customWidth="1"/>
    <col min="12" max="12" width="12.28515625" style="14" customWidth="1"/>
    <col min="13" max="16384" width="9.140625" style="14"/>
  </cols>
  <sheetData>
    <row r="1" spans="1:13" ht="72" customHeight="1" x14ac:dyDescent="0.3">
      <c r="A1" s="46">
        <v>744</v>
      </c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5</v>
      </c>
      <c r="E2" s="108" t="s">
        <v>30</v>
      </c>
      <c r="F2" s="108"/>
      <c r="G2" s="108"/>
      <c r="H2" s="17"/>
      <c r="I2" s="16" t="s">
        <v>31</v>
      </c>
      <c r="J2" s="17"/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84" t="s">
        <v>440</v>
      </c>
      <c r="E3" s="112" t="s">
        <v>33</v>
      </c>
      <c r="F3" s="112"/>
      <c r="G3" s="112"/>
      <c r="H3" s="112"/>
      <c r="I3" s="69">
        <v>3017</v>
      </c>
      <c r="J3" s="21"/>
    </row>
    <row r="4" spans="1:13" ht="45" customHeight="1" x14ac:dyDescent="0.3">
      <c r="A4" s="117" t="s">
        <v>72</v>
      </c>
      <c r="B4" s="115" t="s">
        <v>35</v>
      </c>
      <c r="C4" s="117" t="s">
        <v>73</v>
      </c>
      <c r="D4" s="117" t="s">
        <v>74</v>
      </c>
      <c r="E4" s="48" t="s">
        <v>8</v>
      </c>
      <c r="F4" s="49" t="s">
        <v>9</v>
      </c>
      <c r="G4" s="49" t="s">
        <v>10</v>
      </c>
      <c r="H4" s="48" t="s">
        <v>11</v>
      </c>
      <c r="I4" s="119" t="s">
        <v>75</v>
      </c>
      <c r="J4" s="119"/>
    </row>
    <row r="5" spans="1:13" s="25" customFormat="1" ht="96.75" customHeight="1" x14ac:dyDescent="0.25">
      <c r="A5" s="118"/>
      <c r="B5" s="118"/>
      <c r="C5" s="118"/>
      <c r="D5" s="118"/>
      <c r="E5" s="50" t="s">
        <v>76</v>
      </c>
      <c r="F5" s="50" t="s">
        <v>77</v>
      </c>
      <c r="G5" s="50" t="s">
        <v>77</v>
      </c>
      <c r="H5" s="50" t="s">
        <v>77</v>
      </c>
      <c r="I5" s="119"/>
      <c r="J5" s="119"/>
    </row>
    <row r="6" spans="1:13" s="25" customFormat="1" ht="49.5" customHeight="1" x14ac:dyDescent="0.25">
      <c r="A6" s="26"/>
      <c r="B6" s="26"/>
      <c r="C6" s="26"/>
      <c r="D6" s="26"/>
      <c r="E6" s="91">
        <f>SUM(E7:E975)</f>
        <v>46</v>
      </c>
      <c r="F6" s="92">
        <f>SUM(F7:F975)</f>
        <v>0</v>
      </c>
      <c r="G6" s="92">
        <f>SUM(G7:G975)</f>
        <v>35</v>
      </c>
      <c r="H6" s="91">
        <f>SUM(E6-F6-G6)</f>
        <v>11</v>
      </c>
      <c r="I6" s="29"/>
      <c r="J6" s="30"/>
    </row>
    <row r="7" spans="1:13" ht="37.5" x14ac:dyDescent="0.3">
      <c r="A7" s="39">
        <v>45473</v>
      </c>
      <c r="B7" s="33" t="s">
        <v>441</v>
      </c>
      <c r="C7" s="33" t="s">
        <v>442</v>
      </c>
      <c r="D7" s="93" t="s">
        <v>443</v>
      </c>
      <c r="E7" s="94">
        <v>40</v>
      </c>
      <c r="F7" s="94">
        <v>0</v>
      </c>
      <c r="G7" s="94">
        <v>0</v>
      </c>
      <c r="H7" s="95">
        <v>40</v>
      </c>
      <c r="I7" s="110"/>
      <c r="J7" s="111"/>
    </row>
    <row r="8" spans="1:13" ht="37.5" x14ac:dyDescent="0.3">
      <c r="A8" s="39">
        <v>45480</v>
      </c>
      <c r="B8" s="33" t="s">
        <v>444</v>
      </c>
      <c r="C8" s="33" t="s">
        <v>445</v>
      </c>
      <c r="D8" s="93" t="s">
        <v>443</v>
      </c>
      <c r="E8" s="94">
        <v>0</v>
      </c>
      <c r="F8" s="94">
        <v>0</v>
      </c>
      <c r="G8" s="94">
        <v>15</v>
      </c>
      <c r="H8" s="95">
        <f>+H7+E8-F8-G8</f>
        <v>25</v>
      </c>
      <c r="I8" s="110"/>
      <c r="J8" s="111"/>
    </row>
    <row r="9" spans="1:13" ht="37.5" x14ac:dyDescent="0.3">
      <c r="A9" s="39">
        <v>45488</v>
      </c>
      <c r="B9" s="33" t="s">
        <v>446</v>
      </c>
      <c r="C9" s="33" t="s">
        <v>202</v>
      </c>
      <c r="D9" s="93" t="s">
        <v>443</v>
      </c>
      <c r="E9" s="36">
        <v>0</v>
      </c>
      <c r="F9" s="36">
        <v>0</v>
      </c>
      <c r="G9" s="58">
        <v>4</v>
      </c>
      <c r="H9" s="95">
        <f t="shared" ref="H9:H16" si="0">+H8+E9-F9-G9</f>
        <v>21</v>
      </c>
      <c r="I9" s="110"/>
      <c r="J9" s="111"/>
    </row>
    <row r="10" spans="1:13" ht="37.5" x14ac:dyDescent="0.3">
      <c r="A10" s="39">
        <v>45741</v>
      </c>
      <c r="B10" s="33" t="s">
        <v>447</v>
      </c>
      <c r="C10" s="33" t="s">
        <v>202</v>
      </c>
      <c r="D10" s="93" t="s">
        <v>443</v>
      </c>
      <c r="E10" s="36">
        <v>0</v>
      </c>
      <c r="F10" s="36">
        <v>0</v>
      </c>
      <c r="G10" s="58">
        <v>4</v>
      </c>
      <c r="H10" s="95">
        <f t="shared" si="0"/>
        <v>17</v>
      </c>
      <c r="I10" s="37"/>
      <c r="J10" s="38"/>
    </row>
    <row r="11" spans="1:13" ht="37.5" x14ac:dyDescent="0.3">
      <c r="A11" s="39">
        <v>45882</v>
      </c>
      <c r="B11" s="33" t="s">
        <v>448</v>
      </c>
      <c r="C11" s="33" t="s">
        <v>402</v>
      </c>
      <c r="D11" s="93" t="s">
        <v>443</v>
      </c>
      <c r="E11" s="36">
        <v>0</v>
      </c>
      <c r="F11" s="36">
        <v>0</v>
      </c>
      <c r="G11" s="58">
        <v>4</v>
      </c>
      <c r="H11" s="95">
        <f t="shared" si="0"/>
        <v>13</v>
      </c>
      <c r="I11" s="110"/>
      <c r="J11" s="111"/>
    </row>
    <row r="12" spans="1:13" ht="37.5" x14ac:dyDescent="0.3">
      <c r="A12" s="39">
        <v>45979</v>
      </c>
      <c r="B12" s="33" t="s">
        <v>449</v>
      </c>
      <c r="C12" s="33" t="s">
        <v>450</v>
      </c>
      <c r="D12" s="93" t="s">
        <v>443</v>
      </c>
      <c r="E12" s="36">
        <v>0</v>
      </c>
      <c r="F12" s="36">
        <v>0</v>
      </c>
      <c r="G12" s="58">
        <v>2</v>
      </c>
      <c r="H12" s="95">
        <f t="shared" si="0"/>
        <v>11</v>
      </c>
      <c r="I12" s="110"/>
      <c r="J12" s="111"/>
    </row>
    <row r="13" spans="1:13" ht="37.5" x14ac:dyDescent="0.3">
      <c r="A13" s="39">
        <v>45993</v>
      </c>
      <c r="B13" s="33" t="s">
        <v>451</v>
      </c>
      <c r="C13" s="33">
        <v>1176.925</v>
      </c>
      <c r="D13" s="93" t="s">
        <v>443</v>
      </c>
      <c r="E13" s="36">
        <v>0</v>
      </c>
      <c r="F13" s="36">
        <v>0</v>
      </c>
      <c r="G13" s="58">
        <v>2</v>
      </c>
      <c r="H13" s="95">
        <f t="shared" si="0"/>
        <v>9</v>
      </c>
      <c r="I13" s="110"/>
      <c r="J13" s="111"/>
    </row>
    <row r="14" spans="1:13" ht="37.5" x14ac:dyDescent="0.3">
      <c r="A14" s="39">
        <v>46051</v>
      </c>
      <c r="B14" s="33" t="s">
        <v>452</v>
      </c>
      <c r="C14" s="33" t="s">
        <v>453</v>
      </c>
      <c r="D14" s="93" t="s">
        <v>443</v>
      </c>
      <c r="E14" s="36">
        <v>0</v>
      </c>
      <c r="F14" s="36">
        <v>0</v>
      </c>
      <c r="G14" s="58">
        <v>2</v>
      </c>
      <c r="H14" s="95">
        <f t="shared" si="0"/>
        <v>7</v>
      </c>
      <c r="I14" s="110"/>
      <c r="J14" s="111"/>
    </row>
    <row r="15" spans="1:13" ht="37.5" x14ac:dyDescent="0.3">
      <c r="A15" s="39">
        <v>46078</v>
      </c>
      <c r="B15" s="32" t="s">
        <v>454</v>
      </c>
      <c r="C15" s="33" t="s">
        <v>455</v>
      </c>
      <c r="D15" s="93" t="s">
        <v>443</v>
      </c>
      <c r="E15" s="36">
        <v>6</v>
      </c>
      <c r="F15" s="36">
        <v>0</v>
      </c>
      <c r="G15" s="58">
        <v>0</v>
      </c>
      <c r="H15" s="95">
        <f t="shared" si="0"/>
        <v>13</v>
      </c>
      <c r="I15" s="110"/>
      <c r="J15" s="111"/>
    </row>
    <row r="16" spans="1:13" ht="37.5" x14ac:dyDescent="0.3">
      <c r="A16" s="39">
        <v>46078</v>
      </c>
      <c r="B16" s="33" t="s">
        <v>456</v>
      </c>
      <c r="C16" s="33" t="s">
        <v>457</v>
      </c>
      <c r="D16" s="93" t="s">
        <v>443</v>
      </c>
      <c r="E16" s="36">
        <v>0</v>
      </c>
      <c r="F16" s="36">
        <v>0</v>
      </c>
      <c r="G16" s="58">
        <v>2</v>
      </c>
      <c r="H16" s="95">
        <f t="shared" si="0"/>
        <v>11</v>
      </c>
      <c r="I16" s="110"/>
      <c r="J16" s="111"/>
    </row>
    <row r="17" spans="1:10" ht="30" customHeight="1" x14ac:dyDescent="0.3">
      <c r="A17" s="39"/>
      <c r="B17" s="40"/>
      <c r="C17" s="34"/>
      <c r="D17" s="34"/>
      <c r="E17" s="36"/>
      <c r="F17" s="36"/>
      <c r="G17" s="58"/>
      <c r="H17" s="95"/>
      <c r="I17" s="110"/>
      <c r="J17" s="111"/>
    </row>
    <row r="18" spans="1:10" ht="30" customHeight="1" x14ac:dyDescent="0.3">
      <c r="A18" s="39"/>
      <c r="B18" s="40"/>
      <c r="C18" s="34"/>
      <c r="D18" s="34"/>
      <c r="E18" s="36"/>
      <c r="F18" s="36"/>
      <c r="G18" s="58"/>
      <c r="H18" s="95"/>
      <c r="I18" s="110"/>
      <c r="J18" s="111"/>
    </row>
    <row r="19" spans="1:10" ht="30" customHeight="1" x14ac:dyDescent="0.3">
      <c r="A19" s="39"/>
      <c r="B19" s="40"/>
      <c r="C19" s="33"/>
      <c r="D19" s="34"/>
      <c r="E19" s="36"/>
      <c r="F19" s="36"/>
      <c r="G19" s="58"/>
      <c r="H19" s="95"/>
      <c r="I19" s="110"/>
      <c r="J19" s="111"/>
    </row>
    <row r="20" spans="1:10" ht="30" customHeight="1" x14ac:dyDescent="0.3">
      <c r="A20" s="39"/>
      <c r="B20" s="40"/>
      <c r="C20" s="33"/>
      <c r="D20" s="34"/>
      <c r="E20" s="36"/>
      <c r="F20" s="36"/>
      <c r="G20" s="58"/>
      <c r="H20" s="95"/>
      <c r="I20" s="110"/>
      <c r="J20" s="111"/>
    </row>
    <row r="21" spans="1:10" ht="30" customHeight="1" x14ac:dyDescent="0.3">
      <c r="A21" s="39"/>
      <c r="B21" s="34"/>
      <c r="C21" s="33"/>
      <c r="D21" s="34"/>
      <c r="E21" s="36"/>
      <c r="F21" s="36"/>
      <c r="G21" s="58"/>
      <c r="H21" s="95"/>
      <c r="I21" s="110"/>
      <c r="J21" s="111"/>
    </row>
    <row r="22" spans="1:10" ht="30" customHeight="1" x14ac:dyDescent="0.3">
      <c r="A22" s="39"/>
      <c r="B22" s="34"/>
      <c r="C22" s="33"/>
      <c r="D22" s="34"/>
      <c r="E22" s="36"/>
      <c r="F22" s="36"/>
      <c r="G22" s="58"/>
      <c r="H22" s="95"/>
      <c r="I22" s="110"/>
      <c r="J22" s="111"/>
    </row>
    <row r="23" spans="1:10" ht="30" customHeight="1" x14ac:dyDescent="0.3">
      <c r="A23" s="39"/>
      <c r="B23" s="34"/>
      <c r="C23" s="33"/>
      <c r="D23" s="34"/>
      <c r="E23" s="36"/>
      <c r="F23" s="36"/>
      <c r="G23" s="58"/>
      <c r="H23" s="95"/>
      <c r="I23" s="110"/>
      <c r="J23" s="111"/>
    </row>
    <row r="24" spans="1:10" ht="30" customHeight="1" x14ac:dyDescent="0.3">
      <c r="A24" s="39"/>
      <c r="B24" s="34"/>
      <c r="C24" s="33"/>
      <c r="D24" s="34"/>
      <c r="E24" s="36"/>
      <c r="F24" s="36"/>
      <c r="G24" s="58"/>
      <c r="H24" s="95"/>
      <c r="I24" s="110"/>
      <c r="J24" s="111"/>
    </row>
    <row r="25" spans="1:10" ht="30" customHeight="1" x14ac:dyDescent="0.3">
      <c r="A25" s="39"/>
      <c r="B25" s="34"/>
      <c r="C25" s="34"/>
      <c r="D25" s="34"/>
      <c r="E25" s="36"/>
      <c r="F25" s="36"/>
      <c r="G25" s="58"/>
      <c r="H25" s="95"/>
      <c r="I25" s="110"/>
      <c r="J25" s="111"/>
    </row>
    <row r="26" spans="1:10" ht="30" customHeight="1" x14ac:dyDescent="0.3">
      <c r="A26" s="39"/>
      <c r="B26" s="34"/>
      <c r="C26" s="34"/>
      <c r="E26" s="36"/>
      <c r="F26" s="36"/>
      <c r="G26" s="58"/>
      <c r="H26" s="95"/>
      <c r="I26" s="110"/>
      <c r="J26" s="111"/>
    </row>
    <row r="27" spans="1:10" ht="30" customHeight="1" x14ac:dyDescent="0.3">
      <c r="A27" s="39"/>
      <c r="B27" s="34"/>
      <c r="C27" s="34"/>
      <c r="D27" s="34"/>
      <c r="E27" s="36"/>
      <c r="F27" s="36"/>
      <c r="G27" s="58"/>
      <c r="H27" s="95"/>
      <c r="I27" s="110"/>
      <c r="J27" s="111"/>
    </row>
    <row r="28" spans="1:10" ht="30" customHeight="1" x14ac:dyDescent="0.3">
      <c r="A28" s="39"/>
      <c r="B28" s="34"/>
      <c r="C28" s="34"/>
      <c r="D28" s="34"/>
      <c r="E28" s="36"/>
      <c r="F28" s="36"/>
      <c r="G28" s="58"/>
      <c r="H28" s="95"/>
      <c r="I28" s="110"/>
      <c r="J28" s="111"/>
    </row>
    <row r="29" spans="1:10" ht="30" customHeight="1" x14ac:dyDescent="0.3">
      <c r="A29" s="39"/>
      <c r="B29" s="34"/>
      <c r="C29" s="34"/>
      <c r="D29" s="34"/>
      <c r="E29" s="36"/>
      <c r="F29" s="36"/>
      <c r="G29" s="58"/>
      <c r="H29" s="95"/>
      <c r="I29" s="110"/>
      <c r="J29" s="111"/>
    </row>
    <row r="30" spans="1:10" ht="30" customHeight="1" x14ac:dyDescent="0.3">
      <c r="A30" s="39"/>
      <c r="B30" s="34"/>
      <c r="C30" s="34"/>
      <c r="D30" s="34"/>
      <c r="E30" s="36"/>
      <c r="F30" s="36"/>
      <c r="G30" s="58"/>
      <c r="H30" s="95"/>
      <c r="I30" s="110"/>
      <c r="J30" s="111"/>
    </row>
    <row r="31" spans="1:10" ht="30" customHeight="1" x14ac:dyDescent="0.3">
      <c r="A31" s="39"/>
      <c r="B31" s="34"/>
      <c r="C31" s="34"/>
      <c r="D31" s="34"/>
      <c r="E31" s="36"/>
      <c r="F31" s="36"/>
      <c r="G31" s="58"/>
      <c r="H31" s="95"/>
      <c r="I31" s="110"/>
      <c r="J31" s="111"/>
    </row>
    <row r="32" spans="1:10" ht="30" customHeight="1" x14ac:dyDescent="0.3">
      <c r="A32" s="39"/>
      <c r="B32" s="34"/>
      <c r="C32" s="34"/>
      <c r="D32" s="34"/>
      <c r="E32" s="36"/>
      <c r="F32" s="36"/>
      <c r="G32" s="58"/>
      <c r="H32" s="95"/>
      <c r="I32" s="110"/>
      <c r="J32" s="111"/>
    </row>
    <row r="33" spans="1:10" ht="30" customHeight="1" x14ac:dyDescent="0.3">
      <c r="A33" s="39"/>
      <c r="B33" s="34"/>
      <c r="C33" s="34"/>
      <c r="D33" s="34"/>
      <c r="E33" s="36"/>
      <c r="F33" s="36"/>
      <c r="G33" s="58"/>
      <c r="H33" s="95"/>
      <c r="I33" s="110"/>
      <c r="J33" s="111"/>
    </row>
    <row r="34" spans="1:10" ht="30" customHeight="1" x14ac:dyDescent="0.3">
      <c r="A34" s="39"/>
      <c r="B34" s="34"/>
      <c r="C34" s="34"/>
      <c r="D34" s="34"/>
      <c r="E34" s="36"/>
      <c r="F34" s="36"/>
      <c r="G34" s="58"/>
      <c r="H34" s="95"/>
      <c r="I34" s="110"/>
      <c r="J34" s="111"/>
    </row>
    <row r="35" spans="1:10" ht="30" customHeight="1" x14ac:dyDescent="0.3">
      <c r="A35" s="39"/>
      <c r="B35" s="34"/>
      <c r="C35" s="34"/>
      <c r="D35" s="34"/>
      <c r="E35" s="36"/>
      <c r="F35" s="36"/>
      <c r="G35" s="58"/>
      <c r="H35" s="95"/>
      <c r="I35" s="110"/>
      <c r="J35" s="111"/>
    </row>
    <row r="36" spans="1:10" ht="30" customHeight="1" x14ac:dyDescent="0.3">
      <c r="A36" s="39"/>
      <c r="B36" s="34"/>
      <c r="C36" s="34"/>
      <c r="D36" s="34"/>
      <c r="E36" s="36"/>
      <c r="F36" s="36"/>
      <c r="G36" s="58"/>
      <c r="H36" s="95"/>
      <c r="I36" s="110"/>
      <c r="J36" s="111"/>
    </row>
    <row r="37" spans="1:10" ht="30" customHeight="1" x14ac:dyDescent="0.3">
      <c r="A37" s="39"/>
      <c r="B37" s="34"/>
      <c r="C37" s="34"/>
      <c r="D37" s="34"/>
      <c r="E37" s="36"/>
      <c r="F37" s="36"/>
      <c r="G37" s="58"/>
      <c r="H37" s="95"/>
      <c r="I37" s="110"/>
      <c r="J37" s="111"/>
    </row>
    <row r="38" spans="1:10" ht="30" customHeight="1" x14ac:dyDescent="0.3">
      <c r="A38" s="39"/>
      <c r="B38" s="34"/>
      <c r="C38" s="34"/>
      <c r="D38" s="34"/>
      <c r="E38" s="36"/>
      <c r="F38" s="36"/>
      <c r="G38" s="58"/>
      <c r="H38" s="95"/>
      <c r="I38" s="110"/>
      <c r="J38" s="111"/>
    </row>
    <row r="39" spans="1:10" ht="30" customHeight="1" x14ac:dyDescent="0.3">
      <c r="A39" s="39"/>
      <c r="B39" s="34"/>
      <c r="C39" s="34"/>
      <c r="D39" s="34"/>
      <c r="E39" s="36"/>
      <c r="F39" s="36"/>
      <c r="G39" s="58"/>
      <c r="H39" s="95"/>
      <c r="I39" s="110"/>
      <c r="J39" s="111"/>
    </row>
    <row r="40" spans="1:10" ht="30" customHeight="1" x14ac:dyDescent="0.3">
      <c r="A40" s="39"/>
      <c r="B40" s="34"/>
      <c r="C40" s="34"/>
      <c r="D40" s="34"/>
      <c r="E40" s="36"/>
      <c r="F40" s="36"/>
      <c r="G40" s="58"/>
      <c r="H40" s="95"/>
      <c r="I40" s="110"/>
      <c r="J40" s="111"/>
    </row>
    <row r="41" spans="1:10" ht="30" customHeight="1" x14ac:dyDescent="0.3">
      <c r="A41" s="39"/>
      <c r="B41" s="34"/>
      <c r="C41" s="34"/>
      <c r="D41" s="34"/>
      <c r="E41" s="36"/>
      <c r="F41" s="36"/>
      <c r="G41" s="58"/>
      <c r="H41" s="95"/>
      <c r="I41" s="110"/>
      <c r="J41" s="111"/>
    </row>
    <row r="42" spans="1:10" ht="30" customHeight="1" x14ac:dyDescent="0.3">
      <c r="A42" s="39"/>
      <c r="B42" s="34"/>
      <c r="C42" s="34"/>
      <c r="D42" s="34"/>
      <c r="E42" s="36"/>
      <c r="F42" s="36"/>
      <c r="G42" s="58"/>
      <c r="H42" s="95"/>
      <c r="I42" s="110"/>
      <c r="J42" s="111"/>
    </row>
    <row r="43" spans="1:10" ht="30" customHeight="1" x14ac:dyDescent="0.3">
      <c r="A43" s="39"/>
      <c r="B43" s="34"/>
      <c r="C43" s="34"/>
      <c r="D43" s="34"/>
      <c r="E43" s="36"/>
      <c r="F43" s="36"/>
      <c r="G43" s="58"/>
      <c r="H43" s="95"/>
      <c r="I43" s="110"/>
      <c r="J43" s="111"/>
    </row>
    <row r="44" spans="1:10" ht="30" customHeight="1" x14ac:dyDescent="0.3">
      <c r="A44" s="39"/>
      <c r="B44" s="34"/>
      <c r="C44" s="34"/>
      <c r="D44" s="34"/>
      <c r="E44" s="36"/>
      <c r="F44" s="36"/>
      <c r="G44" s="58"/>
      <c r="H44" s="95"/>
      <c r="I44" s="110"/>
      <c r="J44" s="111"/>
    </row>
    <row r="45" spans="1:10" ht="30" customHeight="1" x14ac:dyDescent="0.3">
      <c r="A45" s="39"/>
      <c r="B45" s="34"/>
      <c r="C45" s="34"/>
      <c r="D45" s="34"/>
      <c r="E45" s="36"/>
      <c r="F45" s="36"/>
      <c r="G45" s="58"/>
      <c r="H45" s="95"/>
      <c r="I45" s="110"/>
      <c r="J45" s="111"/>
    </row>
    <row r="46" spans="1:10" ht="30" customHeight="1" x14ac:dyDescent="0.3">
      <c r="A46" s="39"/>
      <c r="B46" s="34"/>
      <c r="C46" s="34"/>
      <c r="D46" s="34"/>
      <c r="E46" s="36"/>
      <c r="F46" s="36"/>
      <c r="G46" s="58"/>
      <c r="H46" s="95"/>
      <c r="I46" s="110"/>
      <c r="J46" s="111"/>
    </row>
    <row r="47" spans="1:10" ht="30" customHeight="1" x14ac:dyDescent="0.3">
      <c r="A47" s="39"/>
      <c r="B47" s="34"/>
      <c r="C47" s="34"/>
      <c r="D47" s="34"/>
      <c r="E47" s="36"/>
      <c r="F47" s="36"/>
      <c r="G47" s="58"/>
      <c r="H47" s="95"/>
      <c r="I47" s="110"/>
      <c r="J47" s="111"/>
    </row>
    <row r="48" spans="1:10" ht="30" customHeight="1" x14ac:dyDescent="0.3">
      <c r="A48" s="39"/>
      <c r="B48" s="34"/>
      <c r="C48" s="34"/>
      <c r="D48" s="34"/>
      <c r="E48" s="36"/>
      <c r="F48" s="36"/>
      <c r="G48" s="58"/>
      <c r="H48" s="95"/>
      <c r="I48" s="110"/>
      <c r="J48" s="111"/>
    </row>
    <row r="49" spans="1:10" ht="30" customHeight="1" x14ac:dyDescent="0.3">
      <c r="A49" s="39"/>
      <c r="B49" s="34"/>
      <c r="C49" s="34"/>
      <c r="D49" s="34"/>
      <c r="E49" s="36"/>
      <c r="F49" s="36"/>
      <c r="G49" s="58"/>
      <c r="H49" s="95"/>
      <c r="I49" s="110"/>
      <c r="J49" s="111"/>
    </row>
    <row r="50" spans="1:10" ht="30" customHeight="1" x14ac:dyDescent="0.3">
      <c r="A50" s="39"/>
      <c r="B50" s="34"/>
      <c r="C50" s="34"/>
      <c r="D50" s="34"/>
      <c r="E50" s="36"/>
      <c r="F50" s="36"/>
      <c r="G50" s="58"/>
      <c r="H50" s="95"/>
      <c r="I50" s="110"/>
      <c r="J50" s="111"/>
    </row>
    <row r="51" spans="1:10" ht="30" customHeight="1" x14ac:dyDescent="0.3">
      <c r="A51" s="39"/>
      <c r="B51" s="34"/>
      <c r="C51" s="34"/>
      <c r="D51" s="34"/>
      <c r="E51" s="36"/>
      <c r="F51" s="36"/>
      <c r="G51" s="58"/>
      <c r="H51" s="95"/>
      <c r="I51" s="110"/>
      <c r="J51" s="111"/>
    </row>
    <row r="52" spans="1:10" ht="30" customHeight="1" x14ac:dyDescent="0.3">
      <c r="A52" s="39"/>
      <c r="B52" s="34"/>
      <c r="C52" s="34"/>
      <c r="D52" s="34"/>
      <c r="E52" s="36"/>
      <c r="F52" s="36"/>
      <c r="G52" s="58"/>
      <c r="H52" s="95"/>
      <c r="I52" s="110"/>
      <c r="J52" s="111"/>
    </row>
    <row r="53" spans="1:10" ht="30" customHeight="1" x14ac:dyDescent="0.3">
      <c r="A53" s="39"/>
      <c r="B53" s="34"/>
      <c r="C53" s="34"/>
      <c r="D53" s="34"/>
      <c r="E53" s="36"/>
      <c r="F53" s="36"/>
      <c r="G53" s="58"/>
      <c r="H53" s="95"/>
      <c r="I53" s="110"/>
      <c r="J53" s="111"/>
    </row>
    <row r="54" spans="1:10" ht="30" customHeight="1" x14ac:dyDescent="0.3">
      <c r="A54" s="39"/>
      <c r="B54" s="34"/>
      <c r="C54" s="34"/>
      <c r="D54" s="34"/>
      <c r="E54" s="36"/>
      <c r="F54" s="36"/>
      <c r="G54" s="58"/>
      <c r="H54" s="95"/>
      <c r="I54" s="110"/>
      <c r="J54" s="111"/>
    </row>
    <row r="55" spans="1:10" ht="30" customHeight="1" x14ac:dyDescent="0.3">
      <c r="A55" s="39"/>
      <c r="B55" s="34"/>
      <c r="C55" s="34"/>
      <c r="D55" s="34"/>
      <c r="E55" s="36"/>
      <c r="F55" s="36"/>
      <c r="G55" s="58"/>
      <c r="H55" s="95"/>
      <c r="I55" s="110"/>
      <c r="J55" s="111"/>
    </row>
    <row r="56" spans="1:10" ht="30" customHeight="1" x14ac:dyDescent="0.3">
      <c r="A56" s="39"/>
      <c r="B56" s="34"/>
      <c r="C56" s="34"/>
      <c r="D56" s="34"/>
      <c r="E56" s="36"/>
      <c r="F56" s="36"/>
      <c r="G56" s="58"/>
      <c r="H56" s="95"/>
      <c r="I56" s="110"/>
      <c r="J56" s="111"/>
    </row>
    <row r="57" spans="1:10" ht="30" customHeight="1" x14ac:dyDescent="0.3">
      <c r="A57" s="39"/>
      <c r="B57" s="34"/>
      <c r="C57" s="34"/>
      <c r="D57" s="34"/>
      <c r="E57" s="36"/>
      <c r="F57" s="36"/>
      <c r="G57" s="58"/>
      <c r="H57" s="95"/>
      <c r="I57" s="110"/>
      <c r="J57" s="111"/>
    </row>
    <row r="58" spans="1:10" ht="30" customHeight="1" x14ac:dyDescent="0.3">
      <c r="A58" s="39"/>
      <c r="B58" s="34"/>
      <c r="C58" s="34"/>
      <c r="D58" s="34"/>
      <c r="E58" s="36"/>
      <c r="F58" s="36"/>
      <c r="G58" s="58"/>
      <c r="H58" s="95"/>
      <c r="I58" s="110"/>
      <c r="J58" s="111"/>
    </row>
    <row r="59" spans="1:10" ht="30" customHeight="1" x14ac:dyDescent="0.3">
      <c r="A59" s="39"/>
      <c r="B59" s="34"/>
      <c r="C59" s="34"/>
      <c r="D59" s="34"/>
      <c r="E59" s="36"/>
      <c r="F59" s="36"/>
      <c r="G59" s="58"/>
      <c r="H59" s="95"/>
      <c r="I59" s="110"/>
      <c r="J59" s="111"/>
    </row>
    <row r="60" spans="1:10" ht="30" customHeight="1" x14ac:dyDescent="0.3">
      <c r="A60" s="39"/>
      <c r="B60" s="34"/>
      <c r="C60" s="34"/>
      <c r="D60" s="34"/>
      <c r="E60" s="36"/>
      <c r="F60" s="36"/>
      <c r="G60" s="58"/>
      <c r="H60" s="95"/>
      <c r="I60" s="110"/>
      <c r="J60" s="111"/>
    </row>
    <row r="61" spans="1:10" ht="30" customHeight="1" x14ac:dyDescent="0.3">
      <c r="A61" s="39"/>
      <c r="B61" s="34"/>
      <c r="C61" s="34"/>
      <c r="D61" s="34"/>
      <c r="E61" s="36"/>
      <c r="F61" s="36"/>
      <c r="G61" s="58"/>
      <c r="H61" s="95"/>
      <c r="I61" s="110"/>
      <c r="J61" s="111"/>
    </row>
    <row r="62" spans="1:10" ht="30" customHeight="1" x14ac:dyDescent="0.3">
      <c r="A62" s="39"/>
      <c r="B62" s="34"/>
      <c r="C62" s="34"/>
      <c r="D62" s="34"/>
      <c r="E62" s="36"/>
      <c r="F62" s="36"/>
      <c r="G62" s="58"/>
      <c r="H62" s="95"/>
      <c r="I62" s="110"/>
      <c r="J62" s="111"/>
    </row>
    <row r="63" spans="1:10" ht="30" customHeight="1" x14ac:dyDescent="0.3">
      <c r="A63" s="39"/>
      <c r="B63" s="34"/>
      <c r="C63" s="34"/>
      <c r="D63" s="34"/>
      <c r="E63" s="36"/>
      <c r="F63" s="36"/>
      <c r="G63" s="58"/>
      <c r="H63" s="95"/>
      <c r="I63" s="110"/>
      <c r="J63" s="111"/>
    </row>
    <row r="64" spans="1:10" ht="30" customHeight="1" x14ac:dyDescent="0.3">
      <c r="A64" s="39"/>
      <c r="B64" s="34"/>
      <c r="C64" s="34"/>
      <c r="D64" s="34"/>
      <c r="E64" s="36"/>
      <c r="F64" s="36"/>
      <c r="G64" s="58"/>
      <c r="H64" s="95"/>
      <c r="I64" s="110"/>
      <c r="J64" s="111"/>
    </row>
    <row r="65" spans="1:13" ht="30" customHeight="1" x14ac:dyDescent="0.3">
      <c r="A65" s="39"/>
      <c r="B65" s="34"/>
      <c r="C65" s="34"/>
      <c r="D65" s="34"/>
      <c r="E65" s="36"/>
      <c r="F65" s="36"/>
      <c r="G65" s="58"/>
      <c r="H65" s="95"/>
      <c r="I65" s="110"/>
      <c r="J65" s="111"/>
    </row>
    <row r="66" spans="1:13" ht="30" customHeight="1" x14ac:dyDescent="0.3">
      <c r="A66" s="39"/>
      <c r="B66" s="34"/>
      <c r="C66" s="34"/>
      <c r="D66" s="34"/>
      <c r="E66" s="36"/>
      <c r="F66" s="36"/>
      <c r="G66" s="58"/>
      <c r="H66" s="95"/>
      <c r="I66" s="110"/>
      <c r="J66" s="111"/>
    </row>
    <row r="67" spans="1:13" ht="30" customHeight="1" x14ac:dyDescent="0.3">
      <c r="A67" s="39"/>
      <c r="B67" s="34"/>
      <c r="C67" s="34"/>
      <c r="D67" s="34"/>
      <c r="E67" s="36"/>
      <c r="F67" s="36"/>
      <c r="G67" s="58"/>
      <c r="H67" s="95"/>
      <c r="I67" s="110"/>
      <c r="J67" s="111"/>
    </row>
    <row r="68" spans="1:13" ht="30" customHeight="1" x14ac:dyDescent="0.3">
      <c r="E68" s="36"/>
      <c r="F68" s="36"/>
      <c r="G68" s="36"/>
      <c r="H68" s="97"/>
    </row>
    <row r="69" spans="1:13" ht="30" customHeight="1" x14ac:dyDescent="0.3">
      <c r="E69" s="36"/>
      <c r="F69" s="36"/>
      <c r="G69" s="36"/>
      <c r="H69" s="97"/>
    </row>
    <row r="70" spans="1:13" ht="30" customHeight="1" x14ac:dyDescent="0.3">
      <c r="E70" s="36"/>
      <c r="F70" s="36"/>
      <c r="G70" s="36"/>
      <c r="H70" s="97"/>
    </row>
    <row r="71" spans="1:13" ht="30" customHeight="1" x14ac:dyDescent="0.3">
      <c r="E71" s="36"/>
      <c r="F71" s="36"/>
      <c r="G71" s="36"/>
      <c r="H71" s="97"/>
    </row>
    <row r="72" spans="1:13" s="41" customFormat="1" ht="30" customHeight="1" x14ac:dyDescent="0.3">
      <c r="A72" s="63"/>
      <c r="E72" s="36"/>
      <c r="F72" s="36"/>
      <c r="G72" s="36"/>
      <c r="H72" s="97"/>
      <c r="K72" s="14"/>
      <c r="L72" s="14"/>
      <c r="M72" s="14"/>
    </row>
    <row r="73" spans="1:13" s="41" customFormat="1" ht="30" customHeight="1" x14ac:dyDescent="0.3">
      <c r="A73" s="63"/>
      <c r="E73" s="36"/>
      <c r="F73" s="36"/>
      <c r="G73" s="36"/>
      <c r="H73" s="97"/>
      <c r="K73" s="14"/>
      <c r="L73" s="14"/>
      <c r="M73" s="14"/>
    </row>
    <row r="74" spans="1:13" s="41" customFormat="1" ht="30" customHeight="1" x14ac:dyDescent="0.3">
      <c r="A74" s="63"/>
      <c r="E74" s="36"/>
      <c r="F74" s="36"/>
      <c r="G74" s="36"/>
      <c r="H74" s="97"/>
      <c r="K74" s="14"/>
      <c r="L74" s="14"/>
      <c r="M74" s="14"/>
    </row>
    <row r="75" spans="1:13" s="41" customFormat="1" ht="30" customHeight="1" x14ac:dyDescent="0.3">
      <c r="A75" s="63"/>
      <c r="E75" s="36"/>
      <c r="F75" s="36"/>
      <c r="G75" s="36"/>
      <c r="H75" s="97"/>
      <c r="K75" s="14"/>
      <c r="L75" s="14"/>
      <c r="M75" s="14"/>
    </row>
    <row r="76" spans="1:13" s="41" customFormat="1" ht="30" customHeight="1" x14ac:dyDescent="0.3">
      <c r="A76" s="63"/>
      <c r="E76" s="36"/>
      <c r="F76" s="36"/>
      <c r="G76" s="36"/>
      <c r="H76" s="97"/>
      <c r="K76" s="14"/>
      <c r="L76" s="14"/>
      <c r="M76" s="14"/>
    </row>
    <row r="77" spans="1:13" s="41" customFormat="1" ht="30" customHeight="1" x14ac:dyDescent="0.3">
      <c r="A77" s="63"/>
      <c r="E77" s="36"/>
      <c r="F77" s="36"/>
      <c r="G77" s="36"/>
      <c r="H77" s="97"/>
      <c r="K77" s="14"/>
      <c r="L77" s="14"/>
      <c r="M77" s="14"/>
    </row>
    <row r="78" spans="1:13" s="41" customFormat="1" ht="30" customHeight="1" x14ac:dyDescent="0.3">
      <c r="A78" s="63"/>
      <c r="E78" s="36"/>
      <c r="F78" s="36"/>
      <c r="G78" s="36"/>
      <c r="H78" s="97"/>
      <c r="K78" s="14"/>
      <c r="L78" s="14"/>
      <c r="M78" s="14"/>
    </row>
    <row r="79" spans="1:13" s="41" customFormat="1" ht="30" customHeight="1" x14ac:dyDescent="0.3">
      <c r="A79" s="63"/>
      <c r="E79" s="36"/>
      <c r="F79" s="36"/>
      <c r="G79" s="36"/>
      <c r="H79" s="97"/>
      <c r="K79" s="14"/>
      <c r="L79" s="14"/>
      <c r="M79" s="14"/>
    </row>
    <row r="80" spans="1:13" s="41" customFormat="1" ht="30" customHeight="1" x14ac:dyDescent="0.3">
      <c r="A80" s="63"/>
      <c r="E80" s="36"/>
      <c r="F80" s="36"/>
      <c r="G80" s="36"/>
      <c r="H80" s="97"/>
      <c r="K80" s="14"/>
      <c r="L80" s="14"/>
      <c r="M80" s="14"/>
    </row>
    <row r="81" spans="1:13" s="41" customFormat="1" ht="30" customHeight="1" x14ac:dyDescent="0.3">
      <c r="A81" s="63"/>
      <c r="E81" s="36"/>
      <c r="F81" s="36"/>
      <c r="G81" s="36"/>
      <c r="H81" s="97"/>
      <c r="K81" s="14"/>
      <c r="L81" s="14"/>
      <c r="M81" s="14"/>
    </row>
    <row r="82" spans="1:13" s="41" customFormat="1" ht="30" customHeight="1" x14ac:dyDescent="0.3">
      <c r="A82" s="63"/>
      <c r="E82" s="36"/>
      <c r="F82" s="36"/>
      <c r="G82" s="36"/>
      <c r="H82" s="97"/>
      <c r="K82" s="14"/>
      <c r="L82" s="14"/>
      <c r="M82" s="14"/>
    </row>
    <row r="83" spans="1:13" s="41" customFormat="1" ht="30" customHeight="1" x14ac:dyDescent="0.3">
      <c r="A83" s="63"/>
      <c r="E83" s="36"/>
      <c r="F83" s="36"/>
      <c r="G83" s="36"/>
      <c r="H83" s="97"/>
      <c r="K83" s="14"/>
      <c r="L83" s="14"/>
      <c r="M83" s="14"/>
    </row>
    <row r="84" spans="1:13" s="41" customFormat="1" ht="30" customHeight="1" x14ac:dyDescent="0.3">
      <c r="A84" s="63"/>
      <c r="E84" s="36"/>
      <c r="F84" s="36"/>
      <c r="G84" s="36"/>
      <c r="H84" s="97"/>
      <c r="K84" s="14"/>
      <c r="L84" s="14"/>
      <c r="M84" s="14"/>
    </row>
    <row r="85" spans="1:13" s="41" customFormat="1" ht="30" customHeight="1" x14ac:dyDescent="0.3">
      <c r="A85" s="63"/>
      <c r="E85" s="36"/>
      <c r="F85" s="36"/>
      <c r="G85" s="36"/>
      <c r="H85" s="97"/>
      <c r="K85" s="14"/>
      <c r="L85" s="14"/>
      <c r="M85" s="14"/>
    </row>
    <row r="86" spans="1:13" s="41" customFormat="1" ht="30" customHeight="1" x14ac:dyDescent="0.3">
      <c r="A86" s="63"/>
      <c r="E86" s="36"/>
      <c r="F86" s="36"/>
      <c r="G86" s="36"/>
      <c r="H86" s="97"/>
      <c r="K86" s="14"/>
      <c r="L86" s="14"/>
      <c r="M86" s="14"/>
    </row>
    <row r="87" spans="1:13" s="41" customFormat="1" ht="30" customHeight="1" x14ac:dyDescent="0.3">
      <c r="A87" s="63"/>
      <c r="E87" s="36"/>
      <c r="F87" s="36"/>
      <c r="G87" s="36"/>
      <c r="H87" s="97"/>
      <c r="K87" s="14"/>
      <c r="L87" s="14"/>
      <c r="M87" s="14"/>
    </row>
    <row r="88" spans="1:13" s="41" customFormat="1" ht="30" customHeight="1" x14ac:dyDescent="0.3">
      <c r="A88" s="63"/>
      <c r="E88" s="36"/>
      <c r="F88" s="36"/>
      <c r="G88" s="36"/>
      <c r="H88" s="97"/>
      <c r="K88" s="14"/>
      <c r="L88" s="14"/>
      <c r="M88" s="14"/>
    </row>
    <row r="89" spans="1:13" s="41" customFormat="1" ht="30" customHeight="1" x14ac:dyDescent="0.3">
      <c r="A89" s="63"/>
      <c r="E89" s="36"/>
      <c r="F89" s="36"/>
      <c r="G89" s="36"/>
      <c r="H89" s="97"/>
      <c r="K89" s="14"/>
      <c r="L89" s="14"/>
      <c r="M89" s="14"/>
    </row>
    <row r="90" spans="1:13" s="41" customFormat="1" ht="30" customHeight="1" x14ac:dyDescent="0.3">
      <c r="A90" s="63"/>
      <c r="E90" s="36"/>
      <c r="F90" s="36"/>
      <c r="G90" s="36"/>
      <c r="H90" s="97"/>
      <c r="K90" s="14"/>
      <c r="L90" s="14"/>
      <c r="M90" s="14"/>
    </row>
    <row r="91" spans="1:13" s="41" customFormat="1" ht="30" customHeight="1" x14ac:dyDescent="0.3">
      <c r="A91" s="63"/>
      <c r="E91" s="36"/>
      <c r="F91" s="36"/>
      <c r="G91" s="36"/>
      <c r="H91" s="97"/>
      <c r="K91" s="14"/>
      <c r="L91" s="14"/>
      <c r="M91" s="14"/>
    </row>
    <row r="92" spans="1:13" s="41" customFormat="1" ht="30" customHeight="1" x14ac:dyDescent="0.3">
      <c r="A92" s="63"/>
      <c r="E92" s="36"/>
      <c r="F92" s="36"/>
      <c r="G92" s="36"/>
      <c r="H92" s="97"/>
      <c r="K92" s="14"/>
      <c r="L92" s="14"/>
      <c r="M92" s="14"/>
    </row>
    <row r="93" spans="1:13" s="41" customFormat="1" ht="30" customHeight="1" x14ac:dyDescent="0.3">
      <c r="A93" s="63"/>
      <c r="E93" s="36"/>
      <c r="F93" s="36"/>
      <c r="G93" s="36"/>
      <c r="H93" s="97"/>
      <c r="K93" s="14"/>
      <c r="L93" s="14"/>
      <c r="M93" s="14"/>
    </row>
    <row r="94" spans="1:13" s="41" customFormat="1" ht="30" customHeight="1" x14ac:dyDescent="0.3">
      <c r="A94" s="63"/>
      <c r="E94" s="36"/>
      <c r="F94" s="36"/>
      <c r="G94" s="36"/>
      <c r="H94" s="97"/>
      <c r="K94" s="14"/>
      <c r="L94" s="14"/>
      <c r="M94" s="14"/>
    </row>
    <row r="95" spans="1:13" s="41" customFormat="1" ht="30" customHeight="1" x14ac:dyDescent="0.3">
      <c r="A95" s="63"/>
      <c r="E95" s="36"/>
      <c r="F95" s="36"/>
      <c r="G95" s="36"/>
      <c r="H95" s="97"/>
      <c r="K95" s="14"/>
      <c r="L95" s="14"/>
      <c r="M95" s="14"/>
    </row>
    <row r="96" spans="1:13" s="41" customFormat="1" ht="30" customHeight="1" x14ac:dyDescent="0.3">
      <c r="A96" s="63"/>
      <c r="E96" s="36"/>
      <c r="F96" s="36"/>
      <c r="G96" s="36"/>
      <c r="H96" s="97"/>
      <c r="K96" s="14"/>
      <c r="L96" s="14"/>
      <c r="M96" s="14"/>
    </row>
    <row r="97" spans="1:13" s="41" customFormat="1" ht="30" customHeight="1" x14ac:dyDescent="0.3">
      <c r="A97" s="63"/>
      <c r="E97" s="36"/>
      <c r="F97" s="36"/>
      <c r="G97" s="36"/>
      <c r="H97" s="97"/>
      <c r="K97" s="14"/>
      <c r="L97" s="14"/>
      <c r="M97" s="14"/>
    </row>
    <row r="98" spans="1:13" s="41" customFormat="1" ht="30" customHeight="1" x14ac:dyDescent="0.3">
      <c r="A98" s="63"/>
      <c r="E98" s="36"/>
      <c r="F98" s="36"/>
      <c r="G98" s="36"/>
      <c r="H98" s="97"/>
      <c r="K98" s="14"/>
      <c r="L98" s="14"/>
      <c r="M98" s="14"/>
    </row>
    <row r="99" spans="1:13" s="41" customFormat="1" ht="30" customHeight="1" x14ac:dyDescent="0.3">
      <c r="A99" s="63"/>
      <c r="E99" s="36"/>
      <c r="F99" s="36"/>
      <c r="G99" s="36"/>
      <c r="H99" s="97"/>
      <c r="K99" s="14"/>
      <c r="L99" s="14"/>
      <c r="M99" s="14"/>
    </row>
    <row r="100" spans="1:13" s="41" customFormat="1" ht="30" customHeight="1" x14ac:dyDescent="0.3">
      <c r="A100" s="63"/>
      <c r="E100" s="36"/>
      <c r="F100" s="36"/>
      <c r="G100" s="36"/>
      <c r="H100" s="97"/>
      <c r="K100" s="14"/>
      <c r="L100" s="14"/>
      <c r="M100" s="14"/>
    </row>
    <row r="101" spans="1:13" s="41" customFormat="1" ht="30" customHeight="1" x14ac:dyDescent="0.3">
      <c r="A101" s="63"/>
      <c r="E101" s="36"/>
      <c r="F101" s="36"/>
      <c r="G101" s="36"/>
      <c r="H101" s="97"/>
      <c r="K101" s="14"/>
      <c r="L101" s="14"/>
      <c r="M101" s="14"/>
    </row>
    <row r="102" spans="1:13" s="41" customFormat="1" ht="30" customHeight="1" x14ac:dyDescent="0.3">
      <c r="A102" s="63"/>
      <c r="E102" s="36"/>
      <c r="F102" s="36"/>
      <c r="G102" s="36"/>
      <c r="H102" s="97"/>
      <c r="K102" s="14"/>
      <c r="L102" s="14"/>
      <c r="M102" s="14"/>
    </row>
    <row r="103" spans="1:13" s="41" customFormat="1" ht="30" customHeight="1" x14ac:dyDescent="0.3">
      <c r="A103" s="63"/>
      <c r="E103" s="36"/>
      <c r="F103" s="36"/>
      <c r="G103" s="36"/>
      <c r="H103" s="97"/>
      <c r="K103" s="14"/>
      <c r="L103" s="14"/>
      <c r="M103" s="14"/>
    </row>
    <row r="104" spans="1:13" s="41" customFormat="1" ht="30" customHeight="1" x14ac:dyDescent="0.3">
      <c r="A104" s="63"/>
      <c r="E104" s="36"/>
      <c r="F104" s="36"/>
      <c r="G104" s="36"/>
      <c r="H104" s="97"/>
      <c r="K104" s="14"/>
      <c r="L104" s="14"/>
      <c r="M104" s="14"/>
    </row>
    <row r="105" spans="1:13" s="41" customFormat="1" ht="30" customHeight="1" x14ac:dyDescent="0.3">
      <c r="A105" s="63"/>
      <c r="E105" s="36"/>
      <c r="F105" s="36"/>
      <c r="G105" s="36"/>
      <c r="H105" s="97"/>
      <c r="K105" s="14"/>
      <c r="L105" s="14"/>
      <c r="M105" s="14"/>
    </row>
    <row r="106" spans="1:13" s="41" customFormat="1" ht="30" customHeight="1" x14ac:dyDescent="0.3">
      <c r="A106" s="63"/>
      <c r="E106" s="36"/>
      <c r="F106" s="36"/>
      <c r="G106" s="36"/>
      <c r="H106" s="97"/>
      <c r="K106" s="14"/>
      <c r="L106" s="14"/>
      <c r="M106" s="14"/>
    </row>
    <row r="107" spans="1:13" s="41" customFormat="1" ht="30" customHeight="1" x14ac:dyDescent="0.3">
      <c r="A107" s="63"/>
      <c r="E107" s="36"/>
      <c r="F107" s="36"/>
      <c r="G107" s="36"/>
      <c r="H107" s="97"/>
      <c r="K107" s="14"/>
      <c r="L107" s="14"/>
      <c r="M107" s="14"/>
    </row>
    <row r="108" spans="1:13" s="41" customFormat="1" ht="30" customHeight="1" x14ac:dyDescent="0.3">
      <c r="A108" s="63"/>
      <c r="E108" s="36"/>
      <c r="F108" s="36"/>
      <c r="G108" s="36"/>
      <c r="H108" s="97"/>
      <c r="K108" s="14"/>
      <c r="L108" s="14"/>
      <c r="M108" s="14"/>
    </row>
    <row r="109" spans="1:13" s="41" customFormat="1" ht="30" customHeight="1" x14ac:dyDescent="0.3">
      <c r="A109" s="63"/>
      <c r="E109" s="36"/>
      <c r="F109" s="36"/>
      <c r="G109" s="36"/>
      <c r="H109" s="97"/>
      <c r="K109" s="14"/>
      <c r="L109" s="14"/>
      <c r="M109" s="14"/>
    </row>
    <row r="110" spans="1:13" s="41" customFormat="1" ht="30" customHeight="1" x14ac:dyDescent="0.3">
      <c r="A110" s="63"/>
      <c r="E110" s="36"/>
      <c r="F110" s="36"/>
      <c r="G110" s="36"/>
      <c r="H110" s="97"/>
      <c r="K110" s="14"/>
      <c r="L110" s="14"/>
      <c r="M110" s="14"/>
    </row>
    <row r="111" spans="1:13" s="41" customFormat="1" ht="30" customHeight="1" x14ac:dyDescent="0.3">
      <c r="A111" s="63"/>
      <c r="E111" s="36"/>
      <c r="F111" s="36"/>
      <c r="G111" s="36"/>
      <c r="H111" s="97"/>
      <c r="K111" s="14"/>
      <c r="L111" s="14"/>
      <c r="M111" s="14"/>
    </row>
    <row r="112" spans="1:13" s="41" customFormat="1" ht="30" customHeight="1" x14ac:dyDescent="0.3">
      <c r="A112" s="63"/>
      <c r="E112" s="36"/>
      <c r="F112" s="36"/>
      <c r="G112" s="36"/>
      <c r="H112" s="97"/>
      <c r="K112" s="14"/>
      <c r="L112" s="14"/>
      <c r="M112" s="14"/>
    </row>
    <row r="113" spans="1:13" s="41" customFormat="1" ht="30" customHeight="1" x14ac:dyDescent="0.3">
      <c r="A113" s="63"/>
      <c r="E113" s="36"/>
      <c r="F113" s="36"/>
      <c r="G113" s="36"/>
      <c r="H113" s="97"/>
      <c r="K113" s="14"/>
      <c r="L113" s="14"/>
      <c r="M113" s="14"/>
    </row>
    <row r="114" spans="1:13" s="41" customFormat="1" ht="30" customHeight="1" x14ac:dyDescent="0.3">
      <c r="A114" s="63"/>
      <c r="E114" s="36"/>
      <c r="F114" s="36"/>
      <c r="G114" s="36"/>
      <c r="H114" s="97"/>
      <c r="K114" s="14"/>
      <c r="L114" s="14"/>
      <c r="M114" s="14"/>
    </row>
    <row r="115" spans="1:13" s="41" customFormat="1" ht="30" customHeight="1" x14ac:dyDescent="0.3">
      <c r="A115" s="63"/>
      <c r="E115" s="36"/>
      <c r="F115" s="36"/>
      <c r="G115" s="36"/>
      <c r="H115" s="97"/>
      <c r="K115" s="14"/>
      <c r="L115" s="14"/>
      <c r="M115" s="14"/>
    </row>
    <row r="116" spans="1:13" s="41" customFormat="1" ht="30" customHeight="1" x14ac:dyDescent="0.3">
      <c r="A116" s="63"/>
      <c r="E116" s="36"/>
      <c r="F116" s="36"/>
      <c r="G116" s="36"/>
      <c r="H116" s="97"/>
      <c r="K116" s="14"/>
      <c r="L116" s="14"/>
      <c r="M116" s="14"/>
    </row>
    <row r="117" spans="1:13" s="41" customFormat="1" ht="30" customHeight="1" x14ac:dyDescent="0.3">
      <c r="A117" s="63"/>
      <c r="E117" s="36"/>
      <c r="F117" s="36"/>
      <c r="G117" s="36"/>
      <c r="H117" s="97"/>
      <c r="K117" s="14"/>
      <c r="L117" s="14"/>
      <c r="M117" s="14"/>
    </row>
    <row r="118" spans="1:13" s="41" customFormat="1" ht="30" customHeight="1" x14ac:dyDescent="0.3">
      <c r="A118" s="63"/>
      <c r="E118" s="36"/>
      <c r="F118" s="36"/>
      <c r="G118" s="36"/>
      <c r="H118" s="97"/>
      <c r="K118" s="14"/>
      <c r="L118" s="14"/>
      <c r="M118" s="14"/>
    </row>
    <row r="119" spans="1:13" s="41" customFormat="1" ht="30" customHeight="1" x14ac:dyDescent="0.3">
      <c r="A119" s="63"/>
      <c r="E119" s="36"/>
      <c r="F119" s="36"/>
      <c r="G119" s="36"/>
      <c r="H119" s="97"/>
      <c r="K119" s="14"/>
      <c r="L119" s="14"/>
      <c r="M119" s="14"/>
    </row>
    <row r="120" spans="1:13" s="41" customFormat="1" ht="30" customHeight="1" x14ac:dyDescent="0.3">
      <c r="A120" s="63"/>
      <c r="E120" s="36"/>
      <c r="F120" s="36"/>
      <c r="G120" s="36"/>
      <c r="H120" s="97"/>
      <c r="K120" s="14"/>
      <c r="L120" s="14"/>
      <c r="M120" s="14"/>
    </row>
    <row r="121" spans="1:13" s="41" customFormat="1" ht="30" customHeight="1" x14ac:dyDescent="0.3">
      <c r="A121" s="63"/>
      <c r="E121" s="36"/>
      <c r="F121" s="36"/>
      <c r="G121" s="36"/>
      <c r="H121" s="97"/>
      <c r="K121" s="14"/>
      <c r="L121" s="14"/>
      <c r="M121" s="14"/>
    </row>
    <row r="122" spans="1:13" s="41" customFormat="1" ht="30" customHeight="1" x14ac:dyDescent="0.3">
      <c r="A122" s="63"/>
      <c r="E122" s="36"/>
      <c r="F122" s="36"/>
      <c r="G122" s="36"/>
      <c r="H122" s="97"/>
      <c r="K122" s="14"/>
      <c r="L122" s="14"/>
      <c r="M122" s="14"/>
    </row>
    <row r="123" spans="1:13" s="41" customFormat="1" ht="30" customHeight="1" x14ac:dyDescent="0.3">
      <c r="A123" s="63"/>
      <c r="E123" s="36"/>
      <c r="F123" s="36"/>
      <c r="G123" s="36"/>
      <c r="H123" s="97"/>
      <c r="K123" s="14"/>
      <c r="L123" s="14"/>
      <c r="M123" s="14"/>
    </row>
    <row r="124" spans="1:13" s="41" customFormat="1" ht="30" customHeight="1" x14ac:dyDescent="0.3">
      <c r="A124" s="63"/>
      <c r="E124" s="36"/>
      <c r="F124" s="36"/>
      <c r="G124" s="36"/>
      <c r="H124" s="97"/>
      <c r="K124" s="14"/>
      <c r="L124" s="14"/>
      <c r="M124" s="14"/>
    </row>
    <row r="125" spans="1:13" s="41" customFormat="1" ht="30" customHeight="1" x14ac:dyDescent="0.3">
      <c r="A125" s="63"/>
      <c r="E125" s="36"/>
      <c r="F125" s="36"/>
      <c r="G125" s="36"/>
      <c r="H125" s="97"/>
      <c r="K125" s="14"/>
      <c r="L125" s="14"/>
      <c r="M125" s="14"/>
    </row>
    <row r="126" spans="1:13" s="41" customFormat="1" ht="30" customHeight="1" x14ac:dyDescent="0.3">
      <c r="A126" s="63"/>
      <c r="E126" s="36"/>
      <c r="F126" s="36"/>
      <c r="G126" s="36"/>
      <c r="H126" s="97"/>
      <c r="K126" s="14"/>
      <c r="L126" s="14"/>
      <c r="M126" s="14"/>
    </row>
    <row r="127" spans="1:13" s="41" customFormat="1" ht="30" customHeight="1" x14ac:dyDescent="0.3">
      <c r="A127" s="63"/>
      <c r="E127" s="36"/>
      <c r="F127" s="36"/>
      <c r="G127" s="36"/>
      <c r="H127" s="97"/>
      <c r="K127" s="14"/>
      <c r="L127" s="14"/>
      <c r="M127" s="14"/>
    </row>
    <row r="128" spans="1:13" s="41" customFormat="1" ht="30" customHeight="1" x14ac:dyDescent="0.3">
      <c r="A128" s="63"/>
      <c r="E128" s="36"/>
      <c r="F128" s="36"/>
      <c r="G128" s="36"/>
      <c r="H128" s="97"/>
      <c r="K128" s="14"/>
      <c r="L128" s="14"/>
      <c r="M128" s="14"/>
    </row>
    <row r="129" spans="1:13" s="41" customFormat="1" ht="30" customHeight="1" x14ac:dyDescent="0.3">
      <c r="A129" s="63"/>
      <c r="E129" s="36"/>
      <c r="F129" s="36"/>
      <c r="G129" s="36"/>
      <c r="H129" s="97"/>
      <c r="K129" s="14"/>
      <c r="L129" s="14"/>
      <c r="M129" s="14"/>
    </row>
    <row r="130" spans="1:13" s="41" customFormat="1" ht="30" customHeight="1" x14ac:dyDescent="0.3">
      <c r="A130" s="63"/>
      <c r="E130" s="36"/>
      <c r="F130" s="36"/>
      <c r="G130" s="36"/>
      <c r="H130" s="97"/>
      <c r="K130" s="14"/>
      <c r="L130" s="14"/>
      <c r="M130" s="14"/>
    </row>
    <row r="131" spans="1:13" s="41" customFormat="1" ht="30" customHeight="1" x14ac:dyDescent="0.3">
      <c r="A131" s="63"/>
      <c r="E131" s="36"/>
      <c r="F131" s="36"/>
      <c r="G131" s="36"/>
      <c r="H131" s="97"/>
      <c r="K131" s="14"/>
      <c r="L131" s="14"/>
      <c r="M131" s="14"/>
    </row>
    <row r="132" spans="1:13" s="41" customFormat="1" ht="30" customHeight="1" x14ac:dyDescent="0.3">
      <c r="A132" s="63"/>
      <c r="E132" s="36"/>
      <c r="F132" s="36"/>
      <c r="G132" s="36"/>
      <c r="H132" s="97"/>
      <c r="K132" s="14"/>
      <c r="L132" s="14"/>
      <c r="M132" s="14"/>
    </row>
    <row r="133" spans="1:13" s="41" customFormat="1" ht="30" customHeight="1" x14ac:dyDescent="0.3">
      <c r="A133" s="63"/>
      <c r="E133" s="36"/>
      <c r="F133" s="36"/>
      <c r="G133" s="36"/>
      <c r="H133" s="97"/>
      <c r="K133" s="14"/>
      <c r="L133" s="14"/>
      <c r="M133" s="14"/>
    </row>
    <row r="134" spans="1:13" s="41" customFormat="1" ht="30" customHeight="1" x14ac:dyDescent="0.3">
      <c r="A134" s="63"/>
      <c r="E134" s="36"/>
      <c r="F134" s="36"/>
      <c r="G134" s="36"/>
      <c r="H134" s="97"/>
      <c r="K134" s="14"/>
      <c r="L134" s="14"/>
      <c r="M134" s="14"/>
    </row>
    <row r="135" spans="1:13" s="41" customFormat="1" ht="30" customHeight="1" x14ac:dyDescent="0.3">
      <c r="A135" s="63"/>
      <c r="E135" s="36"/>
      <c r="F135" s="36"/>
      <c r="G135" s="36"/>
      <c r="H135" s="97"/>
      <c r="K135" s="14"/>
      <c r="L135" s="14"/>
      <c r="M135" s="14"/>
    </row>
    <row r="136" spans="1:13" s="41" customFormat="1" ht="30" customHeight="1" x14ac:dyDescent="0.3">
      <c r="A136" s="63"/>
      <c r="E136" s="36"/>
      <c r="F136" s="36"/>
      <c r="G136" s="36"/>
      <c r="H136" s="97"/>
      <c r="K136" s="14"/>
      <c r="L136" s="14"/>
      <c r="M136" s="14"/>
    </row>
    <row r="137" spans="1:13" s="41" customFormat="1" ht="30" customHeight="1" x14ac:dyDescent="0.3">
      <c r="A137" s="63"/>
      <c r="E137" s="36"/>
      <c r="F137" s="36"/>
      <c r="G137" s="36"/>
      <c r="H137" s="97"/>
      <c r="K137" s="14"/>
      <c r="L137" s="14"/>
      <c r="M137" s="14"/>
    </row>
    <row r="138" spans="1:13" s="41" customFormat="1" ht="30" customHeight="1" x14ac:dyDescent="0.3">
      <c r="A138" s="63"/>
      <c r="E138" s="36"/>
      <c r="F138" s="36"/>
      <c r="G138" s="36"/>
      <c r="H138" s="97"/>
      <c r="K138" s="14"/>
      <c r="L138" s="14"/>
      <c r="M138" s="14"/>
    </row>
    <row r="139" spans="1:13" s="41" customFormat="1" ht="30" customHeight="1" x14ac:dyDescent="0.3">
      <c r="A139" s="63"/>
      <c r="E139" s="36"/>
      <c r="F139" s="36"/>
      <c r="G139" s="36"/>
      <c r="H139" s="97"/>
      <c r="K139" s="14"/>
      <c r="L139" s="14"/>
      <c r="M139" s="14"/>
    </row>
    <row r="140" spans="1:13" s="41" customFormat="1" ht="30" customHeight="1" x14ac:dyDescent="0.3">
      <c r="A140" s="63"/>
      <c r="E140" s="36"/>
      <c r="F140" s="36"/>
      <c r="G140" s="36"/>
      <c r="H140" s="97"/>
      <c r="K140" s="14"/>
      <c r="L140" s="14"/>
      <c r="M140" s="14"/>
    </row>
    <row r="141" spans="1:13" s="41" customFormat="1" ht="30" customHeight="1" x14ac:dyDescent="0.3">
      <c r="A141" s="63"/>
      <c r="E141" s="36"/>
      <c r="F141" s="36"/>
      <c r="G141" s="36"/>
      <c r="H141" s="97"/>
      <c r="K141" s="14"/>
      <c r="L141" s="14"/>
      <c r="M141" s="14"/>
    </row>
    <row r="142" spans="1:13" s="41" customFormat="1" ht="30" customHeight="1" x14ac:dyDescent="0.3">
      <c r="A142" s="63"/>
      <c r="E142" s="36"/>
      <c r="F142" s="36"/>
      <c r="G142" s="36"/>
      <c r="H142" s="97"/>
      <c r="K142" s="14"/>
      <c r="L142" s="14"/>
      <c r="M142" s="14"/>
    </row>
    <row r="143" spans="1:13" s="41" customFormat="1" ht="30" customHeight="1" x14ac:dyDescent="0.3">
      <c r="A143" s="63"/>
      <c r="E143" s="36"/>
      <c r="F143" s="36"/>
      <c r="G143" s="36"/>
      <c r="H143" s="97"/>
      <c r="K143" s="14"/>
      <c r="L143" s="14"/>
      <c r="M143" s="14"/>
    </row>
    <row r="144" spans="1:13" s="41" customFormat="1" ht="30" customHeight="1" x14ac:dyDescent="0.3">
      <c r="A144" s="63"/>
      <c r="E144" s="36"/>
      <c r="F144" s="36"/>
      <c r="G144" s="36"/>
      <c r="H144" s="97"/>
      <c r="K144" s="14"/>
      <c r="L144" s="14"/>
      <c r="M144" s="14"/>
    </row>
    <row r="145" spans="1:13" s="41" customFormat="1" ht="30" customHeight="1" x14ac:dyDescent="0.3">
      <c r="A145" s="63"/>
      <c r="E145" s="36"/>
      <c r="F145" s="36"/>
      <c r="G145" s="36"/>
      <c r="H145" s="97"/>
      <c r="K145" s="14"/>
      <c r="L145" s="14"/>
      <c r="M145" s="14"/>
    </row>
    <row r="146" spans="1:13" s="41" customFormat="1" ht="30" customHeight="1" x14ac:dyDescent="0.3">
      <c r="A146" s="63"/>
      <c r="E146" s="36"/>
      <c r="F146" s="36"/>
      <c r="G146" s="36"/>
      <c r="H146" s="97"/>
      <c r="K146" s="14"/>
      <c r="L146" s="14"/>
      <c r="M146" s="14"/>
    </row>
    <row r="147" spans="1:13" s="41" customFormat="1" ht="30" customHeight="1" x14ac:dyDescent="0.3">
      <c r="A147" s="63"/>
      <c r="E147" s="36"/>
      <c r="F147" s="36"/>
      <c r="G147" s="36"/>
      <c r="H147" s="97"/>
      <c r="K147" s="14"/>
      <c r="L147" s="14"/>
      <c r="M147" s="14"/>
    </row>
    <row r="148" spans="1:13" s="41" customFormat="1" ht="30" customHeight="1" x14ac:dyDescent="0.3">
      <c r="A148" s="63"/>
      <c r="E148" s="36"/>
      <c r="F148" s="36"/>
      <c r="G148" s="36"/>
      <c r="H148" s="97"/>
      <c r="K148" s="14"/>
      <c r="L148" s="14"/>
      <c r="M148" s="14"/>
    </row>
    <row r="149" spans="1:13" s="41" customFormat="1" ht="30" customHeight="1" x14ac:dyDescent="0.3">
      <c r="A149" s="63"/>
      <c r="E149" s="36"/>
      <c r="F149" s="36"/>
      <c r="G149" s="36"/>
      <c r="H149" s="97"/>
      <c r="K149" s="14"/>
      <c r="L149" s="14"/>
      <c r="M149" s="14"/>
    </row>
    <row r="150" spans="1:13" s="41" customFormat="1" ht="30" customHeight="1" x14ac:dyDescent="0.3">
      <c r="A150" s="63"/>
      <c r="E150" s="36"/>
      <c r="F150" s="36"/>
      <c r="G150" s="36"/>
      <c r="H150" s="97"/>
      <c r="K150" s="14"/>
      <c r="L150" s="14"/>
      <c r="M150" s="14"/>
    </row>
    <row r="151" spans="1:13" s="41" customFormat="1" ht="30" customHeight="1" x14ac:dyDescent="0.3">
      <c r="A151" s="63"/>
      <c r="E151" s="36"/>
      <c r="F151" s="36"/>
      <c r="G151" s="36"/>
      <c r="H151" s="97"/>
      <c r="K151" s="14"/>
      <c r="L151" s="14"/>
      <c r="M151" s="14"/>
    </row>
    <row r="152" spans="1:13" s="41" customFormat="1" ht="30" customHeight="1" x14ac:dyDescent="0.3">
      <c r="A152" s="63"/>
      <c r="E152" s="36"/>
      <c r="F152" s="36"/>
      <c r="G152" s="36"/>
      <c r="H152" s="97"/>
      <c r="K152" s="14"/>
      <c r="L152" s="14"/>
      <c r="M152" s="14"/>
    </row>
    <row r="153" spans="1:13" s="41" customFormat="1" ht="30" customHeight="1" x14ac:dyDescent="0.3">
      <c r="A153" s="63"/>
      <c r="E153" s="36"/>
      <c r="F153" s="36"/>
      <c r="G153" s="36"/>
      <c r="H153" s="97"/>
      <c r="K153" s="14"/>
      <c r="L153" s="14"/>
      <c r="M153" s="14"/>
    </row>
    <row r="154" spans="1:13" s="41" customFormat="1" ht="30" customHeight="1" x14ac:dyDescent="0.3">
      <c r="A154" s="63"/>
      <c r="E154" s="36"/>
      <c r="F154" s="36"/>
      <c r="G154" s="36"/>
      <c r="H154" s="97"/>
      <c r="K154" s="14"/>
      <c r="L154" s="14"/>
      <c r="M154" s="14"/>
    </row>
    <row r="155" spans="1:13" s="41" customFormat="1" ht="30" customHeight="1" x14ac:dyDescent="0.3">
      <c r="A155" s="63"/>
      <c r="E155" s="36"/>
      <c r="F155" s="36"/>
      <c r="G155" s="36"/>
      <c r="H155" s="97"/>
      <c r="K155" s="14"/>
      <c r="L155" s="14"/>
      <c r="M155" s="14"/>
    </row>
    <row r="156" spans="1:13" s="41" customFormat="1" ht="30" customHeight="1" x14ac:dyDescent="0.3">
      <c r="A156" s="63"/>
      <c r="E156" s="36"/>
      <c r="F156" s="36"/>
      <c r="G156" s="36"/>
      <c r="H156" s="97"/>
      <c r="K156" s="14"/>
      <c r="L156" s="14"/>
      <c r="M156" s="14"/>
    </row>
    <row r="157" spans="1:13" s="41" customFormat="1" ht="30" customHeight="1" x14ac:dyDescent="0.3">
      <c r="A157" s="63"/>
      <c r="E157" s="36"/>
      <c r="F157" s="36"/>
      <c r="G157" s="36"/>
      <c r="H157" s="97"/>
      <c r="K157" s="14"/>
      <c r="L157" s="14"/>
      <c r="M157" s="14"/>
    </row>
    <row r="158" spans="1:13" s="41" customFormat="1" ht="30" customHeight="1" x14ac:dyDescent="0.3">
      <c r="A158" s="63"/>
      <c r="E158" s="36"/>
      <c r="F158" s="36"/>
      <c r="G158" s="36"/>
      <c r="H158" s="97"/>
      <c r="K158" s="14"/>
      <c r="L158" s="14"/>
      <c r="M158" s="14"/>
    </row>
    <row r="159" spans="1:13" s="41" customFormat="1" ht="30" customHeight="1" x14ac:dyDescent="0.3">
      <c r="A159" s="63"/>
      <c r="E159" s="36"/>
      <c r="F159" s="36"/>
      <c r="G159" s="36"/>
      <c r="H159" s="97"/>
      <c r="K159" s="14"/>
      <c r="L159" s="14"/>
      <c r="M159" s="14"/>
    </row>
    <row r="160" spans="1:13" s="41" customFormat="1" ht="30" customHeight="1" x14ac:dyDescent="0.3">
      <c r="A160" s="63"/>
      <c r="E160" s="36"/>
      <c r="F160" s="36"/>
      <c r="G160" s="36"/>
      <c r="H160" s="97"/>
      <c r="K160" s="14"/>
      <c r="L160" s="14"/>
      <c r="M160" s="14"/>
    </row>
    <row r="161" spans="1:13" s="41" customFormat="1" ht="30" customHeight="1" x14ac:dyDescent="0.3">
      <c r="A161" s="63"/>
      <c r="E161" s="36"/>
      <c r="F161" s="36"/>
      <c r="G161" s="36"/>
      <c r="H161" s="97"/>
      <c r="K161" s="14"/>
      <c r="L161" s="14"/>
      <c r="M161" s="14"/>
    </row>
    <row r="162" spans="1:13" s="41" customFormat="1" ht="30" customHeight="1" x14ac:dyDescent="0.3">
      <c r="A162" s="63"/>
      <c r="E162" s="36"/>
      <c r="F162" s="36"/>
      <c r="G162" s="36"/>
      <c r="H162" s="97"/>
      <c r="K162" s="14"/>
      <c r="L162" s="14"/>
      <c r="M162" s="14"/>
    </row>
    <row r="163" spans="1:13" s="41" customFormat="1" ht="30" customHeight="1" x14ac:dyDescent="0.3">
      <c r="A163" s="63"/>
      <c r="E163" s="36"/>
      <c r="F163" s="36"/>
      <c r="G163" s="36"/>
      <c r="H163" s="97"/>
      <c r="K163" s="14"/>
      <c r="L163" s="14"/>
      <c r="M163" s="14"/>
    </row>
    <row r="164" spans="1:13" s="41" customFormat="1" ht="30" customHeight="1" x14ac:dyDescent="0.3">
      <c r="A164" s="63"/>
      <c r="E164" s="36"/>
      <c r="F164" s="36"/>
      <c r="G164" s="36"/>
      <c r="H164" s="97"/>
      <c r="K164" s="14"/>
      <c r="L164" s="14"/>
      <c r="M164" s="14"/>
    </row>
    <row r="165" spans="1:13" s="41" customFormat="1" ht="30" customHeight="1" x14ac:dyDescent="0.3">
      <c r="A165" s="63"/>
      <c r="E165" s="36"/>
      <c r="F165" s="36"/>
      <c r="G165" s="36"/>
      <c r="H165" s="97"/>
      <c r="K165" s="14"/>
      <c r="L165" s="14"/>
      <c r="M165" s="14"/>
    </row>
    <row r="166" spans="1:13" s="41" customFormat="1" ht="30" customHeight="1" x14ac:dyDescent="0.3">
      <c r="A166" s="63"/>
      <c r="E166" s="36"/>
      <c r="F166" s="36"/>
      <c r="G166" s="36"/>
      <c r="H166" s="97"/>
      <c r="K166" s="14"/>
      <c r="L166" s="14"/>
      <c r="M166" s="14"/>
    </row>
    <row r="167" spans="1:13" s="41" customFormat="1" ht="30" customHeight="1" x14ac:dyDescent="0.3">
      <c r="A167" s="63"/>
      <c r="E167" s="36"/>
      <c r="F167" s="36"/>
      <c r="G167" s="36"/>
      <c r="H167" s="97"/>
      <c r="K167" s="14"/>
      <c r="L167" s="14"/>
      <c r="M167" s="14"/>
    </row>
    <row r="168" spans="1:13" s="41" customFormat="1" ht="30" customHeight="1" x14ac:dyDescent="0.3">
      <c r="A168" s="63"/>
      <c r="E168" s="36"/>
      <c r="F168" s="36"/>
      <c r="G168" s="36"/>
      <c r="H168" s="97"/>
      <c r="K168" s="14"/>
      <c r="L168" s="14"/>
      <c r="M168" s="14"/>
    </row>
    <row r="169" spans="1:13" s="41" customFormat="1" ht="30" customHeight="1" x14ac:dyDescent="0.3">
      <c r="A169" s="63"/>
      <c r="E169" s="36"/>
      <c r="F169" s="36"/>
      <c r="G169" s="36"/>
      <c r="H169" s="97"/>
      <c r="K169" s="14"/>
      <c r="L169" s="14"/>
      <c r="M169" s="14"/>
    </row>
    <row r="170" spans="1:13" s="41" customFormat="1" ht="30" customHeight="1" x14ac:dyDescent="0.3">
      <c r="A170" s="63"/>
      <c r="E170" s="36"/>
      <c r="F170" s="36"/>
      <c r="G170" s="36"/>
      <c r="H170" s="97"/>
      <c r="K170" s="14"/>
      <c r="L170" s="14"/>
      <c r="M170" s="14"/>
    </row>
    <row r="171" spans="1:13" s="41" customFormat="1" ht="30" customHeight="1" x14ac:dyDescent="0.3">
      <c r="A171" s="63"/>
      <c r="E171" s="36"/>
      <c r="F171" s="36"/>
      <c r="G171" s="36"/>
      <c r="H171" s="97"/>
      <c r="K171" s="14"/>
      <c r="L171" s="14"/>
      <c r="M171" s="14"/>
    </row>
    <row r="172" spans="1:13" s="41" customFormat="1" ht="30" customHeight="1" x14ac:dyDescent="0.3">
      <c r="A172" s="63"/>
      <c r="E172" s="36"/>
      <c r="F172" s="36"/>
      <c r="G172" s="36"/>
      <c r="H172" s="97"/>
      <c r="K172" s="14"/>
      <c r="L172" s="14"/>
      <c r="M172" s="14"/>
    </row>
    <row r="173" spans="1:13" s="41" customFormat="1" ht="30" customHeight="1" x14ac:dyDescent="0.3">
      <c r="A173" s="63"/>
      <c r="E173" s="36"/>
      <c r="F173" s="36"/>
      <c r="G173" s="36"/>
      <c r="H173" s="97"/>
      <c r="K173" s="14"/>
      <c r="L173" s="14"/>
      <c r="M173" s="14"/>
    </row>
    <row r="174" spans="1:13" s="41" customFormat="1" ht="30" customHeight="1" x14ac:dyDescent="0.3">
      <c r="A174" s="63"/>
      <c r="E174" s="36"/>
      <c r="F174" s="36"/>
      <c r="G174" s="36"/>
      <c r="H174" s="97"/>
      <c r="K174" s="14"/>
      <c r="L174" s="14"/>
      <c r="M174" s="14"/>
    </row>
    <row r="175" spans="1:13" s="41" customFormat="1" ht="30" customHeight="1" x14ac:dyDescent="0.3">
      <c r="A175" s="63"/>
      <c r="E175" s="36"/>
      <c r="F175" s="36"/>
      <c r="G175" s="36"/>
      <c r="H175" s="97"/>
      <c r="K175" s="14"/>
      <c r="L175" s="14"/>
      <c r="M175" s="14"/>
    </row>
    <row r="176" spans="1:13" s="41" customFormat="1" ht="30" customHeight="1" x14ac:dyDescent="0.3">
      <c r="A176" s="63"/>
      <c r="E176" s="36"/>
      <c r="F176" s="36"/>
      <c r="G176" s="36"/>
      <c r="H176" s="97"/>
      <c r="K176" s="14"/>
      <c r="L176" s="14"/>
      <c r="M176" s="14"/>
    </row>
    <row r="177" spans="1:13" s="41" customFormat="1" ht="30" customHeight="1" x14ac:dyDescent="0.3">
      <c r="A177" s="63"/>
      <c r="E177" s="36"/>
      <c r="F177" s="36"/>
      <c r="G177" s="36"/>
      <c r="H177" s="97"/>
      <c r="K177" s="14"/>
      <c r="L177" s="14"/>
      <c r="M177" s="14"/>
    </row>
    <row r="178" spans="1:13" s="41" customFormat="1" ht="30" customHeight="1" x14ac:dyDescent="0.3">
      <c r="A178" s="63"/>
      <c r="E178" s="36"/>
      <c r="F178" s="36"/>
      <c r="G178" s="36"/>
      <c r="H178" s="97"/>
      <c r="K178" s="14"/>
      <c r="L178" s="14"/>
      <c r="M178" s="14"/>
    </row>
    <row r="179" spans="1:13" s="41" customFormat="1" ht="30" customHeight="1" x14ac:dyDescent="0.3">
      <c r="A179" s="63"/>
      <c r="E179" s="36"/>
      <c r="F179" s="36"/>
      <c r="G179" s="36"/>
      <c r="H179" s="97"/>
      <c r="K179" s="14"/>
      <c r="L179" s="14"/>
      <c r="M179" s="14"/>
    </row>
    <row r="180" spans="1:13" s="41" customFormat="1" ht="30" customHeight="1" x14ac:dyDescent="0.3">
      <c r="A180" s="63"/>
      <c r="E180" s="36"/>
      <c r="F180" s="36"/>
      <c r="G180" s="36"/>
      <c r="H180" s="97"/>
      <c r="K180" s="14"/>
      <c r="L180" s="14"/>
      <c r="M180" s="14"/>
    </row>
    <row r="181" spans="1:13" s="41" customFormat="1" ht="30" customHeight="1" x14ac:dyDescent="0.3">
      <c r="A181" s="63"/>
      <c r="E181" s="36"/>
      <c r="F181" s="36"/>
      <c r="G181" s="36"/>
      <c r="H181" s="97"/>
      <c r="K181" s="14"/>
      <c r="L181" s="14"/>
      <c r="M181" s="14"/>
    </row>
    <row r="182" spans="1:13" s="41" customFormat="1" ht="30" customHeight="1" x14ac:dyDescent="0.3">
      <c r="A182" s="63"/>
      <c r="E182" s="36"/>
      <c r="F182" s="36"/>
      <c r="G182" s="36"/>
      <c r="H182" s="97"/>
      <c r="K182" s="14"/>
      <c r="L182" s="14"/>
      <c r="M182" s="14"/>
    </row>
    <row r="183" spans="1:13" s="41" customFormat="1" ht="30" customHeight="1" x14ac:dyDescent="0.3">
      <c r="A183" s="63"/>
      <c r="E183" s="36"/>
      <c r="F183" s="36"/>
      <c r="G183" s="36"/>
      <c r="H183" s="97"/>
      <c r="K183" s="14"/>
      <c r="L183" s="14"/>
      <c r="M183" s="14"/>
    </row>
    <row r="184" spans="1:13" s="41" customFormat="1" ht="30" customHeight="1" x14ac:dyDescent="0.3">
      <c r="A184" s="63"/>
      <c r="E184" s="36"/>
      <c r="F184" s="36"/>
      <c r="G184" s="36"/>
      <c r="H184" s="97"/>
      <c r="K184" s="14"/>
      <c r="L184" s="14"/>
      <c r="M184" s="14"/>
    </row>
    <row r="185" spans="1:13" s="41" customFormat="1" ht="30" customHeight="1" x14ac:dyDescent="0.3">
      <c r="A185" s="63"/>
      <c r="E185" s="36"/>
      <c r="F185" s="36"/>
      <c r="G185" s="36"/>
      <c r="H185" s="97"/>
      <c r="K185" s="14"/>
      <c r="L185" s="14"/>
      <c r="M185" s="14"/>
    </row>
    <row r="186" spans="1:13" s="41" customFormat="1" ht="30" customHeight="1" x14ac:dyDescent="0.3">
      <c r="A186" s="63"/>
      <c r="E186" s="36"/>
      <c r="F186" s="36"/>
      <c r="G186" s="36"/>
      <c r="H186" s="97"/>
      <c r="K186" s="14"/>
      <c r="L186" s="14"/>
      <c r="M186" s="14"/>
    </row>
    <row r="187" spans="1:13" s="41" customFormat="1" ht="30" customHeight="1" x14ac:dyDescent="0.3">
      <c r="A187" s="63"/>
      <c r="E187" s="36"/>
      <c r="F187" s="36"/>
      <c r="G187" s="36"/>
      <c r="H187" s="97"/>
      <c r="K187" s="14"/>
      <c r="L187" s="14"/>
      <c r="M187" s="14"/>
    </row>
    <row r="188" spans="1:13" s="41" customFormat="1" ht="30" customHeight="1" x14ac:dyDescent="0.3">
      <c r="A188" s="63"/>
      <c r="E188" s="36"/>
      <c r="F188" s="36"/>
      <c r="G188" s="36"/>
      <c r="H188" s="97"/>
      <c r="K188" s="14"/>
      <c r="L188" s="14"/>
      <c r="M188" s="14"/>
    </row>
    <row r="189" spans="1:13" s="41" customFormat="1" ht="30" customHeight="1" x14ac:dyDescent="0.3">
      <c r="A189" s="63"/>
      <c r="E189" s="36"/>
      <c r="F189" s="36"/>
      <c r="G189" s="36"/>
      <c r="H189" s="97"/>
      <c r="K189" s="14"/>
      <c r="L189" s="14"/>
      <c r="M189" s="14"/>
    </row>
    <row r="190" spans="1:13" s="41" customFormat="1" ht="30" customHeight="1" x14ac:dyDescent="0.3">
      <c r="A190" s="63"/>
      <c r="E190" s="36"/>
      <c r="F190" s="36"/>
      <c r="G190" s="36"/>
      <c r="H190" s="97"/>
      <c r="K190" s="14"/>
      <c r="L190" s="14"/>
      <c r="M190" s="14"/>
    </row>
    <row r="191" spans="1:13" s="41" customFormat="1" ht="30" customHeight="1" x14ac:dyDescent="0.3">
      <c r="A191" s="63"/>
      <c r="E191" s="36"/>
      <c r="F191" s="36"/>
      <c r="G191" s="36"/>
      <c r="H191" s="97"/>
      <c r="K191" s="14"/>
      <c r="L191" s="14"/>
      <c r="M191" s="14"/>
    </row>
    <row r="192" spans="1:13" s="41" customFormat="1" ht="30" customHeight="1" x14ac:dyDescent="0.3">
      <c r="A192" s="63"/>
      <c r="E192" s="36"/>
      <c r="F192" s="36"/>
      <c r="G192" s="36"/>
      <c r="H192" s="97"/>
      <c r="K192" s="14"/>
      <c r="L192" s="14"/>
      <c r="M192" s="14"/>
    </row>
    <row r="193" spans="1:13" s="41" customFormat="1" ht="30" customHeight="1" x14ac:dyDescent="0.3">
      <c r="A193" s="63"/>
      <c r="E193" s="36"/>
      <c r="F193" s="36"/>
      <c r="G193" s="36"/>
      <c r="H193" s="97"/>
      <c r="K193" s="14"/>
      <c r="L193" s="14"/>
      <c r="M193" s="14"/>
    </row>
    <row r="194" spans="1:13" s="41" customFormat="1" ht="30" customHeight="1" x14ac:dyDescent="0.3">
      <c r="A194" s="63"/>
      <c r="E194" s="36"/>
      <c r="F194" s="36"/>
      <c r="G194" s="36"/>
      <c r="H194" s="97"/>
      <c r="K194" s="14"/>
      <c r="L194" s="14"/>
      <c r="M194" s="14"/>
    </row>
    <row r="195" spans="1:13" s="41" customFormat="1" ht="30" customHeight="1" x14ac:dyDescent="0.3">
      <c r="A195" s="63"/>
      <c r="E195" s="36"/>
      <c r="F195" s="36"/>
      <c r="G195" s="36"/>
      <c r="H195" s="97"/>
      <c r="K195" s="14"/>
      <c r="L195" s="14"/>
      <c r="M195" s="14"/>
    </row>
    <row r="196" spans="1:13" s="41" customFormat="1" ht="30" customHeight="1" x14ac:dyDescent="0.3">
      <c r="A196" s="63"/>
      <c r="E196" s="36"/>
      <c r="F196" s="36"/>
      <c r="G196" s="36"/>
      <c r="H196" s="97"/>
      <c r="K196" s="14"/>
      <c r="L196" s="14"/>
      <c r="M196" s="14"/>
    </row>
    <row r="197" spans="1:13" s="41" customFormat="1" ht="30" customHeight="1" x14ac:dyDescent="0.3">
      <c r="A197" s="63"/>
      <c r="E197" s="36"/>
      <c r="F197" s="36"/>
      <c r="G197" s="36"/>
      <c r="H197" s="97"/>
      <c r="K197" s="14"/>
      <c r="L197" s="14"/>
      <c r="M197" s="14"/>
    </row>
    <row r="198" spans="1:13" s="41" customFormat="1" ht="30" customHeight="1" x14ac:dyDescent="0.3">
      <c r="A198" s="63"/>
      <c r="E198" s="36"/>
      <c r="F198" s="36"/>
      <c r="G198" s="36"/>
      <c r="H198" s="97"/>
      <c r="K198" s="14"/>
      <c r="L198" s="14"/>
      <c r="M198" s="14"/>
    </row>
    <row r="199" spans="1:13" s="41" customFormat="1" ht="30" customHeight="1" x14ac:dyDescent="0.3">
      <c r="A199" s="63"/>
      <c r="E199" s="36"/>
      <c r="F199" s="36"/>
      <c r="G199" s="36"/>
      <c r="H199" s="97"/>
      <c r="K199" s="14"/>
      <c r="L199" s="14"/>
      <c r="M199" s="14"/>
    </row>
    <row r="200" spans="1:13" s="41" customFormat="1" ht="30" customHeight="1" x14ac:dyDescent="0.3">
      <c r="A200" s="63"/>
      <c r="E200" s="36"/>
      <c r="F200" s="36"/>
      <c r="G200" s="36"/>
      <c r="H200" s="97"/>
      <c r="K200" s="14"/>
      <c r="L200" s="14"/>
      <c r="M200" s="14"/>
    </row>
    <row r="201" spans="1:13" s="41" customFormat="1" ht="30" customHeight="1" x14ac:dyDescent="0.3">
      <c r="A201" s="63"/>
      <c r="E201" s="36"/>
      <c r="F201" s="36"/>
      <c r="G201" s="36"/>
      <c r="H201" s="97"/>
      <c r="K201" s="14"/>
      <c r="L201" s="14"/>
      <c r="M201" s="14"/>
    </row>
    <row r="202" spans="1:13" s="41" customFormat="1" ht="30" customHeight="1" x14ac:dyDescent="0.3">
      <c r="A202" s="63"/>
      <c r="E202" s="36"/>
      <c r="F202" s="36"/>
      <c r="G202" s="36"/>
      <c r="H202" s="97"/>
      <c r="K202" s="14"/>
      <c r="L202" s="14"/>
      <c r="M202" s="14"/>
    </row>
    <row r="203" spans="1:13" s="41" customFormat="1" ht="30" customHeight="1" x14ac:dyDescent="0.3">
      <c r="A203" s="63"/>
      <c r="E203" s="36"/>
      <c r="F203" s="36"/>
      <c r="G203" s="36"/>
      <c r="H203" s="97"/>
      <c r="K203" s="14"/>
      <c r="L203" s="14"/>
      <c r="M203" s="14"/>
    </row>
    <row r="204" spans="1:13" s="41" customFormat="1" ht="30" customHeight="1" x14ac:dyDescent="0.3">
      <c r="A204" s="63"/>
      <c r="E204" s="36"/>
      <c r="F204" s="36"/>
      <c r="G204" s="36"/>
      <c r="H204" s="97"/>
      <c r="K204" s="14"/>
      <c r="L204" s="14"/>
      <c r="M204" s="14"/>
    </row>
    <row r="205" spans="1:13" s="41" customFormat="1" ht="30" customHeight="1" x14ac:dyDescent="0.3">
      <c r="A205" s="63"/>
      <c r="E205" s="36"/>
      <c r="F205" s="36"/>
      <c r="G205" s="36"/>
      <c r="H205" s="97"/>
      <c r="K205" s="14"/>
      <c r="L205" s="14"/>
      <c r="M205" s="14"/>
    </row>
    <row r="206" spans="1:13" s="41" customFormat="1" ht="30" customHeight="1" x14ac:dyDescent="0.3">
      <c r="A206" s="63"/>
      <c r="E206" s="36"/>
      <c r="F206" s="36"/>
      <c r="G206" s="36"/>
      <c r="H206" s="97"/>
      <c r="K206" s="14"/>
      <c r="L206" s="14"/>
      <c r="M206" s="14"/>
    </row>
    <row r="207" spans="1:13" s="41" customFormat="1" ht="30" customHeight="1" x14ac:dyDescent="0.3">
      <c r="A207" s="63"/>
      <c r="E207" s="36"/>
      <c r="F207" s="36"/>
      <c r="G207" s="36"/>
      <c r="H207" s="97"/>
      <c r="K207" s="14"/>
      <c r="L207" s="14"/>
      <c r="M207" s="14"/>
    </row>
    <row r="208" spans="1:13" s="41" customFormat="1" ht="30" customHeight="1" x14ac:dyDescent="0.3">
      <c r="A208" s="63"/>
      <c r="E208" s="36"/>
      <c r="F208" s="36"/>
      <c r="G208" s="36"/>
      <c r="H208" s="97"/>
      <c r="K208" s="14"/>
      <c r="L208" s="14"/>
      <c r="M208" s="14"/>
    </row>
    <row r="209" spans="1:13" s="41" customFormat="1" ht="30" customHeight="1" x14ac:dyDescent="0.3">
      <c r="A209" s="63"/>
      <c r="E209" s="36"/>
      <c r="F209" s="36"/>
      <c r="G209" s="36"/>
      <c r="H209" s="97"/>
      <c r="K209" s="14"/>
      <c r="L209" s="14"/>
      <c r="M209" s="14"/>
    </row>
    <row r="210" spans="1:13" s="41" customFormat="1" ht="30" customHeight="1" x14ac:dyDescent="0.3">
      <c r="A210" s="63"/>
      <c r="E210" s="36"/>
      <c r="F210" s="36"/>
      <c r="G210" s="36"/>
      <c r="H210" s="97"/>
      <c r="K210" s="14"/>
      <c r="L210" s="14"/>
      <c r="M210" s="14"/>
    </row>
    <row r="211" spans="1:13" s="41" customFormat="1" ht="30" customHeight="1" x14ac:dyDescent="0.3">
      <c r="A211" s="63"/>
      <c r="E211" s="36"/>
      <c r="F211" s="36"/>
      <c r="G211" s="36"/>
      <c r="H211" s="97"/>
      <c r="K211" s="14"/>
      <c r="L211" s="14"/>
      <c r="M211" s="14"/>
    </row>
    <row r="212" spans="1:13" s="41" customFormat="1" ht="30" customHeight="1" x14ac:dyDescent="0.3">
      <c r="A212" s="63"/>
      <c r="E212" s="36"/>
      <c r="F212" s="36"/>
      <c r="G212" s="36"/>
      <c r="H212" s="97"/>
      <c r="K212" s="14"/>
      <c r="L212" s="14"/>
      <c r="M212" s="14"/>
    </row>
    <row r="213" spans="1:13" s="41" customFormat="1" ht="30" customHeight="1" x14ac:dyDescent="0.3">
      <c r="A213" s="63"/>
      <c r="E213" s="36"/>
      <c r="F213" s="36"/>
      <c r="G213" s="36"/>
      <c r="H213" s="97"/>
      <c r="K213" s="14"/>
      <c r="L213" s="14"/>
      <c r="M213" s="14"/>
    </row>
    <row r="214" spans="1:13" s="41" customFormat="1" ht="30" customHeight="1" x14ac:dyDescent="0.3">
      <c r="A214" s="63"/>
      <c r="E214" s="36"/>
      <c r="F214" s="36"/>
      <c r="G214" s="36"/>
      <c r="H214" s="97"/>
      <c r="K214" s="14"/>
      <c r="L214" s="14"/>
      <c r="M214" s="14"/>
    </row>
    <row r="215" spans="1:13" s="41" customFormat="1" ht="30" customHeight="1" x14ac:dyDescent="0.3">
      <c r="A215" s="63"/>
      <c r="E215" s="36"/>
      <c r="F215" s="36"/>
      <c r="G215" s="36"/>
      <c r="H215" s="97"/>
      <c r="K215" s="14"/>
      <c r="L215" s="14"/>
      <c r="M215" s="14"/>
    </row>
    <row r="216" spans="1:13" s="41" customFormat="1" ht="30" customHeight="1" x14ac:dyDescent="0.3">
      <c r="A216" s="63"/>
      <c r="E216" s="36"/>
      <c r="F216" s="36"/>
      <c r="G216" s="36"/>
      <c r="H216" s="97"/>
      <c r="K216" s="14"/>
      <c r="L216" s="14"/>
      <c r="M216" s="14"/>
    </row>
    <row r="217" spans="1:13" s="41" customFormat="1" ht="30" customHeight="1" x14ac:dyDescent="0.3">
      <c r="A217" s="63"/>
      <c r="E217" s="36"/>
      <c r="F217" s="36"/>
      <c r="G217" s="36"/>
      <c r="H217" s="97"/>
      <c r="K217" s="14"/>
      <c r="L217" s="14"/>
      <c r="M217" s="14"/>
    </row>
    <row r="218" spans="1:13" s="41" customFormat="1" ht="30" customHeight="1" x14ac:dyDescent="0.3">
      <c r="A218" s="63"/>
      <c r="E218" s="36"/>
      <c r="F218" s="36"/>
      <c r="G218" s="36"/>
      <c r="H218" s="97"/>
      <c r="K218" s="14"/>
      <c r="L218" s="14"/>
      <c r="M218" s="14"/>
    </row>
    <row r="219" spans="1:13" s="41" customFormat="1" ht="30" customHeight="1" x14ac:dyDescent="0.3">
      <c r="A219" s="63"/>
      <c r="E219" s="36"/>
      <c r="F219" s="36"/>
      <c r="G219" s="36"/>
      <c r="H219" s="97"/>
      <c r="K219" s="14"/>
      <c r="L219" s="14"/>
      <c r="M219" s="14"/>
    </row>
    <row r="220" spans="1:13" s="41" customFormat="1" ht="30" customHeight="1" x14ac:dyDescent="0.3">
      <c r="A220" s="63"/>
      <c r="E220" s="36"/>
      <c r="F220" s="36"/>
      <c r="G220" s="36"/>
      <c r="H220" s="97"/>
      <c r="K220" s="14"/>
      <c r="L220" s="14"/>
      <c r="M220" s="14"/>
    </row>
    <row r="221" spans="1:13" s="41" customFormat="1" ht="30" customHeight="1" x14ac:dyDescent="0.3">
      <c r="A221" s="63"/>
      <c r="E221" s="36"/>
      <c r="F221" s="36"/>
      <c r="G221" s="36"/>
      <c r="H221" s="97"/>
      <c r="K221" s="14"/>
      <c r="L221" s="14"/>
      <c r="M221" s="14"/>
    </row>
    <row r="222" spans="1:13" s="41" customFormat="1" ht="30" customHeight="1" x14ac:dyDescent="0.3">
      <c r="A222" s="63"/>
      <c r="E222" s="36"/>
      <c r="F222" s="36"/>
      <c r="G222" s="36"/>
      <c r="H222" s="97"/>
      <c r="K222" s="14"/>
      <c r="L222" s="14"/>
      <c r="M222" s="14"/>
    </row>
    <row r="223" spans="1:13" s="41" customFormat="1" ht="30" customHeight="1" x14ac:dyDescent="0.3">
      <c r="A223" s="63"/>
      <c r="E223" s="36"/>
      <c r="F223" s="36"/>
      <c r="G223" s="36"/>
      <c r="H223" s="97"/>
      <c r="K223" s="14"/>
      <c r="L223" s="14"/>
      <c r="M223" s="14"/>
    </row>
    <row r="224" spans="1:13" s="41" customFormat="1" ht="30" customHeight="1" x14ac:dyDescent="0.3">
      <c r="A224" s="63"/>
      <c r="E224" s="36"/>
      <c r="F224" s="36"/>
      <c r="G224" s="36"/>
      <c r="H224" s="97"/>
      <c r="K224" s="14"/>
      <c r="L224" s="14"/>
      <c r="M224" s="14"/>
    </row>
    <row r="225" spans="1:13" s="41" customFormat="1" ht="30" customHeight="1" x14ac:dyDescent="0.3">
      <c r="A225" s="63"/>
      <c r="E225" s="36"/>
      <c r="F225" s="36"/>
      <c r="G225" s="36"/>
      <c r="H225" s="97"/>
      <c r="K225" s="14"/>
      <c r="L225" s="14"/>
      <c r="M225" s="14"/>
    </row>
    <row r="226" spans="1:13" s="41" customFormat="1" ht="30" customHeight="1" x14ac:dyDescent="0.3">
      <c r="A226" s="63"/>
      <c r="E226" s="36"/>
      <c r="F226" s="36"/>
      <c r="G226" s="36"/>
      <c r="H226" s="97"/>
      <c r="K226" s="14"/>
      <c r="L226" s="14"/>
      <c r="M226" s="14"/>
    </row>
    <row r="227" spans="1:13" s="41" customFormat="1" ht="30" customHeight="1" x14ac:dyDescent="0.3">
      <c r="A227" s="63"/>
      <c r="E227" s="36"/>
      <c r="F227" s="36"/>
      <c r="G227" s="36"/>
      <c r="H227" s="97"/>
      <c r="K227" s="14"/>
      <c r="L227" s="14"/>
      <c r="M227" s="14"/>
    </row>
    <row r="228" spans="1:13" s="41" customFormat="1" ht="30" customHeight="1" x14ac:dyDescent="0.3">
      <c r="A228" s="63"/>
      <c r="E228" s="36"/>
      <c r="F228" s="36"/>
      <c r="G228" s="36"/>
      <c r="H228" s="97"/>
      <c r="K228" s="14"/>
      <c r="L228" s="14"/>
      <c r="M228" s="14"/>
    </row>
    <row r="229" spans="1:13" s="41" customFormat="1" ht="30" customHeight="1" x14ac:dyDescent="0.3">
      <c r="A229" s="63"/>
      <c r="E229" s="36"/>
      <c r="F229" s="36"/>
      <c r="G229" s="36"/>
      <c r="H229" s="97"/>
      <c r="K229" s="14"/>
      <c r="L229" s="14"/>
      <c r="M229" s="14"/>
    </row>
    <row r="230" spans="1:13" s="41" customFormat="1" ht="30" customHeight="1" x14ac:dyDescent="0.3">
      <c r="A230" s="63"/>
      <c r="E230" s="36"/>
      <c r="F230" s="36"/>
      <c r="G230" s="36"/>
      <c r="H230" s="97"/>
      <c r="K230" s="14"/>
      <c r="L230" s="14"/>
      <c r="M230" s="14"/>
    </row>
    <row r="231" spans="1:13" s="41" customFormat="1" ht="30" customHeight="1" x14ac:dyDescent="0.3">
      <c r="A231" s="63"/>
      <c r="E231" s="36"/>
      <c r="F231" s="36"/>
      <c r="G231" s="36"/>
      <c r="H231" s="97"/>
      <c r="K231" s="14"/>
      <c r="L231" s="14"/>
      <c r="M231" s="14"/>
    </row>
    <row r="232" spans="1:13" s="41" customFormat="1" ht="30" customHeight="1" x14ac:dyDescent="0.3">
      <c r="A232" s="63"/>
      <c r="E232" s="36"/>
      <c r="F232" s="36"/>
      <c r="G232" s="36"/>
      <c r="H232" s="97"/>
      <c r="K232" s="14"/>
      <c r="L232" s="14"/>
      <c r="M232" s="14"/>
    </row>
    <row r="233" spans="1:13" s="41" customFormat="1" ht="30" customHeight="1" x14ac:dyDescent="0.3">
      <c r="A233" s="63"/>
      <c r="E233" s="36"/>
      <c r="F233" s="36"/>
      <c r="G233" s="36"/>
      <c r="H233" s="97"/>
      <c r="K233" s="14"/>
      <c r="L233" s="14"/>
      <c r="M233" s="14"/>
    </row>
    <row r="234" spans="1:13" s="41" customFormat="1" ht="30" customHeight="1" x14ac:dyDescent="0.3">
      <c r="A234" s="63"/>
      <c r="E234" s="36"/>
      <c r="F234" s="36"/>
      <c r="G234" s="36"/>
      <c r="H234" s="97"/>
      <c r="K234" s="14"/>
      <c r="L234" s="14"/>
      <c r="M234" s="14"/>
    </row>
    <row r="235" spans="1:13" s="41" customFormat="1" ht="30" customHeight="1" x14ac:dyDescent="0.3">
      <c r="A235" s="63"/>
      <c r="E235" s="36"/>
      <c r="F235" s="36"/>
      <c r="G235" s="36"/>
      <c r="H235" s="97"/>
      <c r="K235" s="14"/>
      <c r="L235" s="14"/>
      <c r="M235" s="14"/>
    </row>
    <row r="236" spans="1:13" s="41" customFormat="1" ht="30" customHeight="1" x14ac:dyDescent="0.3">
      <c r="A236" s="63"/>
      <c r="E236" s="36"/>
      <c r="F236" s="36"/>
      <c r="G236" s="36"/>
      <c r="H236" s="97"/>
      <c r="K236" s="14"/>
      <c r="L236" s="14"/>
      <c r="M236" s="14"/>
    </row>
    <row r="237" spans="1:13" s="41" customFormat="1" ht="30" customHeight="1" x14ac:dyDescent="0.3">
      <c r="A237" s="63"/>
      <c r="E237" s="36"/>
      <c r="F237" s="36"/>
      <c r="G237" s="36"/>
      <c r="H237" s="97"/>
      <c r="K237" s="14"/>
      <c r="L237" s="14"/>
      <c r="M237" s="14"/>
    </row>
    <row r="238" spans="1:13" s="41" customFormat="1" ht="30" customHeight="1" x14ac:dyDescent="0.3">
      <c r="A238" s="63"/>
      <c r="E238" s="36"/>
      <c r="F238" s="36"/>
      <c r="G238" s="36"/>
      <c r="H238" s="97"/>
      <c r="K238" s="14"/>
      <c r="L238" s="14"/>
      <c r="M238" s="14"/>
    </row>
    <row r="239" spans="1:13" s="41" customFormat="1" ht="30" customHeight="1" x14ac:dyDescent="0.3">
      <c r="A239" s="63"/>
      <c r="E239" s="36"/>
      <c r="F239" s="36"/>
      <c r="G239" s="36"/>
      <c r="H239" s="97"/>
      <c r="K239" s="14"/>
      <c r="L239" s="14"/>
      <c r="M239" s="14"/>
    </row>
    <row r="240" spans="1:13" s="41" customFormat="1" ht="30" customHeight="1" x14ac:dyDescent="0.3">
      <c r="A240" s="63"/>
      <c r="E240" s="36"/>
      <c r="F240" s="36"/>
      <c r="G240" s="36"/>
      <c r="H240" s="97"/>
      <c r="K240" s="14"/>
      <c r="L240" s="14"/>
      <c r="M240" s="14"/>
    </row>
    <row r="241" spans="1:13" s="41" customFormat="1" ht="30" customHeight="1" x14ac:dyDescent="0.3">
      <c r="A241" s="63"/>
      <c r="E241" s="36"/>
      <c r="F241" s="36"/>
      <c r="G241" s="36"/>
      <c r="H241" s="97"/>
      <c r="K241" s="14"/>
      <c r="L241" s="14"/>
      <c r="M241" s="14"/>
    </row>
    <row r="242" spans="1:13" s="41" customFormat="1" ht="30" customHeight="1" x14ac:dyDescent="0.3">
      <c r="A242" s="63"/>
      <c r="E242" s="36"/>
      <c r="F242" s="36"/>
      <c r="G242" s="36"/>
      <c r="H242" s="97"/>
      <c r="K242" s="14"/>
      <c r="L242" s="14"/>
      <c r="M242" s="14"/>
    </row>
    <row r="243" spans="1:13" s="41" customFormat="1" ht="30" customHeight="1" x14ac:dyDescent="0.3">
      <c r="A243" s="63"/>
      <c r="E243" s="36"/>
      <c r="F243" s="36"/>
      <c r="G243" s="36"/>
      <c r="H243" s="97"/>
      <c r="K243" s="14"/>
      <c r="L243" s="14"/>
      <c r="M243" s="14"/>
    </row>
    <row r="244" spans="1:13" s="41" customFormat="1" ht="30" customHeight="1" x14ac:dyDescent="0.3">
      <c r="A244" s="63"/>
      <c r="E244" s="36"/>
      <c r="F244" s="36"/>
      <c r="G244" s="36"/>
      <c r="H244" s="97"/>
      <c r="K244" s="14"/>
      <c r="L244" s="14"/>
      <c r="M244" s="14"/>
    </row>
    <row r="245" spans="1:13" s="41" customFormat="1" ht="30" customHeight="1" x14ac:dyDescent="0.3">
      <c r="A245" s="63"/>
      <c r="E245" s="36"/>
      <c r="F245" s="36"/>
      <c r="G245" s="36"/>
      <c r="H245" s="97"/>
      <c r="K245" s="14"/>
      <c r="L245" s="14"/>
      <c r="M245" s="14"/>
    </row>
    <row r="246" spans="1:13" s="41" customFormat="1" ht="30" customHeight="1" x14ac:dyDescent="0.3">
      <c r="A246" s="63"/>
      <c r="E246" s="36"/>
      <c r="F246" s="36"/>
      <c r="G246" s="36"/>
      <c r="H246" s="97"/>
      <c r="K246" s="14"/>
      <c r="L246" s="14"/>
      <c r="M246" s="14"/>
    </row>
    <row r="247" spans="1:13" s="41" customFormat="1" ht="30" customHeight="1" x14ac:dyDescent="0.3">
      <c r="A247" s="63"/>
      <c r="E247" s="36"/>
      <c r="F247" s="36"/>
      <c r="G247" s="36"/>
      <c r="H247" s="97"/>
      <c r="K247" s="14"/>
      <c r="L247" s="14"/>
      <c r="M247" s="14"/>
    </row>
    <row r="248" spans="1:13" s="41" customFormat="1" ht="30" customHeight="1" x14ac:dyDescent="0.3">
      <c r="A248" s="63"/>
      <c r="E248" s="36"/>
      <c r="F248" s="36"/>
      <c r="G248" s="36"/>
      <c r="H248" s="97"/>
      <c r="K248" s="14"/>
      <c r="L248" s="14"/>
      <c r="M248" s="14"/>
    </row>
    <row r="249" spans="1:13" s="41" customFormat="1" ht="30" customHeight="1" x14ac:dyDescent="0.3">
      <c r="A249" s="63"/>
      <c r="E249" s="36"/>
      <c r="F249" s="36"/>
      <c r="G249" s="36"/>
      <c r="H249" s="97"/>
      <c r="K249" s="14"/>
      <c r="L249" s="14"/>
      <c r="M249" s="14"/>
    </row>
    <row r="250" spans="1:13" s="41" customFormat="1" ht="30" customHeight="1" x14ac:dyDescent="0.3">
      <c r="A250" s="63"/>
      <c r="E250" s="36"/>
      <c r="F250" s="36"/>
      <c r="G250" s="36"/>
      <c r="H250" s="97"/>
      <c r="K250" s="14"/>
      <c r="L250" s="14"/>
      <c r="M250" s="14"/>
    </row>
    <row r="251" spans="1:13" s="41" customFormat="1" ht="30" customHeight="1" x14ac:dyDescent="0.3">
      <c r="A251" s="63"/>
      <c r="E251" s="36"/>
      <c r="F251" s="36"/>
      <c r="G251" s="36"/>
      <c r="H251" s="97"/>
      <c r="K251" s="14"/>
      <c r="L251" s="14"/>
      <c r="M251" s="14"/>
    </row>
    <row r="252" spans="1:13" s="41" customFormat="1" ht="30" customHeight="1" x14ac:dyDescent="0.3">
      <c r="A252" s="63"/>
      <c r="E252" s="36"/>
      <c r="F252" s="36"/>
      <c r="G252" s="36"/>
      <c r="H252" s="97"/>
      <c r="K252" s="14"/>
      <c r="L252" s="14"/>
      <c r="M252" s="14"/>
    </row>
    <row r="253" spans="1:13" s="41" customFormat="1" ht="30" customHeight="1" x14ac:dyDescent="0.3">
      <c r="A253" s="63"/>
      <c r="E253" s="36"/>
      <c r="F253" s="36"/>
      <c r="G253" s="36"/>
      <c r="H253" s="97"/>
      <c r="K253" s="14"/>
      <c r="L253" s="14"/>
      <c r="M253" s="14"/>
    </row>
    <row r="254" spans="1:13" s="41" customFormat="1" ht="30" customHeight="1" x14ac:dyDescent="0.3">
      <c r="A254" s="63"/>
      <c r="E254" s="36"/>
      <c r="F254" s="36"/>
      <c r="G254" s="36"/>
      <c r="H254" s="97"/>
      <c r="K254" s="14"/>
      <c r="L254" s="14"/>
      <c r="M254" s="14"/>
    </row>
    <row r="255" spans="1:13" s="41" customFormat="1" ht="30" customHeight="1" x14ac:dyDescent="0.3">
      <c r="A255" s="63"/>
      <c r="E255" s="36"/>
      <c r="F255" s="36"/>
      <c r="G255" s="36"/>
      <c r="H255" s="97"/>
      <c r="K255" s="14"/>
      <c r="L255" s="14"/>
      <c r="M255" s="14"/>
    </row>
    <row r="256" spans="1:13" s="41" customFormat="1" ht="30" customHeight="1" x14ac:dyDescent="0.3">
      <c r="A256" s="63"/>
      <c r="E256" s="36"/>
      <c r="F256" s="36"/>
      <c r="G256" s="36"/>
      <c r="H256" s="97"/>
      <c r="K256" s="14"/>
      <c r="L256" s="14"/>
      <c r="M256" s="14"/>
    </row>
    <row r="257" spans="1:13" s="41" customFormat="1" ht="30" customHeight="1" x14ac:dyDescent="0.3">
      <c r="A257" s="63"/>
      <c r="E257" s="36"/>
      <c r="F257" s="36"/>
      <c r="G257" s="36"/>
      <c r="H257" s="97"/>
      <c r="K257" s="14"/>
      <c r="L257" s="14"/>
      <c r="M257" s="14"/>
    </row>
    <row r="258" spans="1:13" s="41" customFormat="1" ht="30" customHeight="1" x14ac:dyDescent="0.3">
      <c r="A258" s="63"/>
      <c r="E258" s="36"/>
      <c r="F258" s="36"/>
      <c r="G258" s="36"/>
      <c r="H258" s="97"/>
      <c r="K258" s="14"/>
      <c r="L258" s="14"/>
      <c r="M258" s="14"/>
    </row>
    <row r="259" spans="1:13" s="41" customFormat="1" ht="30" customHeight="1" x14ac:dyDescent="0.3">
      <c r="A259" s="63"/>
      <c r="E259" s="36"/>
      <c r="F259" s="36"/>
      <c r="G259" s="36"/>
      <c r="H259" s="97"/>
      <c r="K259" s="14"/>
      <c r="L259" s="14"/>
      <c r="M259" s="14"/>
    </row>
    <row r="260" spans="1:13" s="41" customFormat="1" ht="30" customHeight="1" x14ac:dyDescent="0.3">
      <c r="A260" s="63"/>
      <c r="E260" s="36"/>
      <c r="F260" s="36"/>
      <c r="G260" s="36"/>
      <c r="H260" s="97"/>
      <c r="K260" s="14"/>
      <c r="L260" s="14"/>
      <c r="M260" s="14"/>
    </row>
    <row r="261" spans="1:13" s="41" customFormat="1" ht="30" customHeight="1" x14ac:dyDescent="0.3">
      <c r="A261" s="63"/>
      <c r="E261" s="36"/>
      <c r="F261" s="36"/>
      <c r="G261" s="36"/>
      <c r="H261" s="97"/>
      <c r="K261" s="14"/>
      <c r="L261" s="14"/>
      <c r="M261" s="14"/>
    </row>
    <row r="262" spans="1:13" s="41" customFormat="1" ht="30" customHeight="1" x14ac:dyDescent="0.3">
      <c r="A262" s="63"/>
      <c r="E262" s="36"/>
      <c r="F262" s="36"/>
      <c r="G262" s="36"/>
      <c r="H262" s="97"/>
      <c r="K262" s="14"/>
      <c r="L262" s="14"/>
      <c r="M262" s="14"/>
    </row>
    <row r="263" spans="1:13" s="41" customFormat="1" ht="30" customHeight="1" x14ac:dyDescent="0.3">
      <c r="A263" s="63"/>
      <c r="E263" s="36"/>
      <c r="F263" s="36"/>
      <c r="G263" s="36"/>
      <c r="H263" s="97"/>
      <c r="K263" s="14"/>
      <c r="L263" s="14"/>
      <c r="M263" s="14"/>
    </row>
    <row r="264" spans="1:13" s="41" customFormat="1" ht="30" customHeight="1" x14ac:dyDescent="0.3">
      <c r="A264" s="63"/>
      <c r="E264" s="36"/>
      <c r="F264" s="36"/>
      <c r="G264" s="36"/>
      <c r="H264" s="97"/>
      <c r="K264" s="14"/>
      <c r="L264" s="14"/>
      <c r="M264" s="14"/>
    </row>
    <row r="265" spans="1:13" s="41" customFormat="1" ht="30" customHeight="1" x14ac:dyDescent="0.3">
      <c r="A265" s="63"/>
      <c r="E265" s="36"/>
      <c r="F265" s="36"/>
      <c r="G265" s="36"/>
      <c r="H265" s="97"/>
      <c r="K265" s="14"/>
      <c r="L265" s="14"/>
      <c r="M265" s="14"/>
    </row>
    <row r="266" spans="1:13" s="41" customFormat="1" ht="30" customHeight="1" x14ac:dyDescent="0.3">
      <c r="A266" s="63"/>
      <c r="E266" s="36"/>
      <c r="F266" s="36"/>
      <c r="G266" s="36"/>
      <c r="H266" s="97"/>
      <c r="K266" s="14"/>
      <c r="L266" s="14"/>
      <c r="M266" s="14"/>
    </row>
    <row r="267" spans="1:13" s="41" customFormat="1" ht="30" customHeight="1" x14ac:dyDescent="0.3">
      <c r="A267" s="63"/>
      <c r="E267" s="36"/>
      <c r="F267" s="36"/>
      <c r="G267" s="36"/>
      <c r="H267" s="97"/>
      <c r="K267" s="14"/>
      <c r="L267" s="14"/>
      <c r="M267" s="14"/>
    </row>
    <row r="268" spans="1:13" s="41" customFormat="1" ht="30" customHeight="1" x14ac:dyDescent="0.3">
      <c r="A268" s="63"/>
      <c r="E268" s="36"/>
      <c r="F268" s="36"/>
      <c r="G268" s="36"/>
      <c r="H268" s="97"/>
      <c r="K268" s="14"/>
      <c r="L268" s="14"/>
      <c r="M268" s="14"/>
    </row>
    <row r="269" spans="1:13" s="41" customFormat="1" ht="30" customHeight="1" x14ac:dyDescent="0.3">
      <c r="A269" s="63"/>
      <c r="E269" s="36"/>
      <c r="F269" s="36"/>
      <c r="G269" s="36"/>
      <c r="H269" s="97"/>
      <c r="K269" s="14"/>
      <c r="L269" s="14"/>
      <c r="M269" s="14"/>
    </row>
    <row r="270" spans="1:13" s="41" customFormat="1" ht="30" customHeight="1" x14ac:dyDescent="0.3">
      <c r="A270" s="63"/>
      <c r="E270" s="36"/>
      <c r="F270" s="36"/>
      <c r="G270" s="36"/>
      <c r="H270" s="97"/>
      <c r="K270" s="14"/>
      <c r="L270" s="14"/>
      <c r="M270" s="14"/>
    </row>
    <row r="271" spans="1:13" s="41" customFormat="1" ht="30" customHeight="1" x14ac:dyDescent="0.3">
      <c r="A271" s="63"/>
      <c r="E271" s="36"/>
      <c r="F271" s="36"/>
      <c r="G271" s="36"/>
      <c r="H271" s="97"/>
      <c r="K271" s="14"/>
      <c r="L271" s="14"/>
      <c r="M271" s="14"/>
    </row>
    <row r="272" spans="1:13" s="41" customFormat="1" ht="30" customHeight="1" x14ac:dyDescent="0.3">
      <c r="A272" s="63"/>
      <c r="E272" s="36"/>
      <c r="F272" s="36"/>
      <c r="G272" s="36"/>
      <c r="H272" s="97"/>
      <c r="K272" s="14"/>
      <c r="L272" s="14"/>
      <c r="M272" s="14"/>
    </row>
    <row r="273" spans="1:13" s="41" customFormat="1" ht="30" customHeight="1" x14ac:dyDescent="0.3">
      <c r="A273" s="63"/>
      <c r="E273" s="36"/>
      <c r="F273" s="36"/>
      <c r="G273" s="36"/>
      <c r="H273" s="97"/>
      <c r="K273" s="14"/>
      <c r="L273" s="14"/>
      <c r="M273" s="14"/>
    </row>
    <row r="274" spans="1:13" s="41" customFormat="1" ht="30" customHeight="1" x14ac:dyDescent="0.3">
      <c r="A274" s="63"/>
      <c r="E274" s="36"/>
      <c r="F274" s="36"/>
      <c r="G274" s="36"/>
      <c r="H274" s="97"/>
      <c r="K274" s="14"/>
      <c r="L274" s="14"/>
      <c r="M274" s="14"/>
    </row>
    <row r="275" spans="1:13" s="41" customFormat="1" ht="30" customHeight="1" x14ac:dyDescent="0.3">
      <c r="A275" s="63"/>
      <c r="E275" s="36"/>
      <c r="F275" s="36"/>
      <c r="G275" s="36"/>
      <c r="H275" s="97"/>
      <c r="K275" s="14"/>
      <c r="L275" s="14"/>
      <c r="M275" s="14"/>
    </row>
    <row r="276" spans="1:13" s="41" customFormat="1" ht="30" customHeight="1" x14ac:dyDescent="0.3">
      <c r="A276" s="63"/>
      <c r="E276" s="36"/>
      <c r="F276" s="36"/>
      <c r="G276" s="36"/>
      <c r="H276" s="97"/>
      <c r="K276" s="14"/>
      <c r="L276" s="14"/>
      <c r="M276" s="14"/>
    </row>
    <row r="277" spans="1:13" s="41" customFormat="1" ht="30" customHeight="1" x14ac:dyDescent="0.3">
      <c r="A277" s="63"/>
      <c r="E277" s="36"/>
      <c r="F277" s="36"/>
      <c r="G277" s="36"/>
      <c r="H277" s="97"/>
      <c r="K277" s="14"/>
      <c r="L277" s="14"/>
      <c r="M277" s="14"/>
    </row>
    <row r="278" spans="1:13" s="41" customFormat="1" ht="30" customHeight="1" x14ac:dyDescent="0.3">
      <c r="A278" s="63"/>
      <c r="E278" s="36"/>
      <c r="F278" s="36"/>
      <c r="G278" s="36"/>
      <c r="H278" s="97"/>
      <c r="K278" s="14"/>
      <c r="L278" s="14"/>
      <c r="M278" s="14"/>
    </row>
    <row r="279" spans="1:13" s="41" customFormat="1" ht="30" customHeight="1" x14ac:dyDescent="0.3">
      <c r="A279" s="63"/>
      <c r="E279" s="36"/>
      <c r="F279" s="36"/>
      <c r="G279" s="36"/>
      <c r="H279" s="97"/>
      <c r="K279" s="14"/>
      <c r="L279" s="14"/>
      <c r="M279" s="14"/>
    </row>
    <row r="280" spans="1:13" s="41" customFormat="1" ht="30" customHeight="1" x14ac:dyDescent="0.3">
      <c r="A280" s="63"/>
      <c r="E280" s="36"/>
      <c r="F280" s="36"/>
      <c r="G280" s="36"/>
      <c r="H280" s="97"/>
      <c r="K280" s="14"/>
      <c r="L280" s="14"/>
      <c r="M280" s="14"/>
    </row>
    <row r="281" spans="1:13" s="41" customFormat="1" ht="30" customHeight="1" x14ac:dyDescent="0.3">
      <c r="A281" s="63"/>
      <c r="E281" s="36"/>
      <c r="F281" s="36"/>
      <c r="G281" s="36"/>
      <c r="H281" s="97"/>
      <c r="K281" s="14"/>
      <c r="L281" s="14"/>
      <c r="M281" s="14"/>
    </row>
    <row r="282" spans="1:13" s="41" customFormat="1" ht="30" customHeight="1" x14ac:dyDescent="0.3">
      <c r="A282" s="63"/>
      <c r="E282" s="36"/>
      <c r="F282" s="36"/>
      <c r="G282" s="36"/>
      <c r="H282" s="97"/>
      <c r="K282" s="14"/>
      <c r="L282" s="14"/>
      <c r="M282" s="14"/>
    </row>
    <row r="283" spans="1:13" s="41" customFormat="1" ht="30" customHeight="1" x14ac:dyDescent="0.3">
      <c r="A283" s="63"/>
      <c r="E283" s="36"/>
      <c r="F283" s="36"/>
      <c r="G283" s="36"/>
      <c r="H283" s="97"/>
      <c r="K283" s="14"/>
      <c r="L283" s="14"/>
      <c r="M283" s="14"/>
    </row>
    <row r="284" spans="1:13" s="41" customFormat="1" ht="30" customHeight="1" x14ac:dyDescent="0.3">
      <c r="A284" s="63"/>
      <c r="E284" s="36"/>
      <c r="F284" s="36"/>
      <c r="G284" s="36"/>
      <c r="H284" s="97"/>
      <c r="K284" s="14"/>
      <c r="L284" s="14"/>
      <c r="M284" s="14"/>
    </row>
    <row r="285" spans="1:13" s="41" customFormat="1" ht="30" customHeight="1" x14ac:dyDescent="0.3">
      <c r="A285" s="63"/>
      <c r="E285" s="36"/>
      <c r="F285" s="36"/>
      <c r="G285" s="36"/>
      <c r="H285" s="97"/>
      <c r="K285" s="14"/>
      <c r="L285" s="14"/>
      <c r="M285" s="14"/>
    </row>
    <row r="286" spans="1:13" s="41" customFormat="1" ht="30" customHeight="1" x14ac:dyDescent="0.3">
      <c r="A286" s="63"/>
      <c r="E286" s="36"/>
      <c r="F286" s="36"/>
      <c r="G286" s="36"/>
      <c r="H286" s="97"/>
      <c r="K286" s="14"/>
      <c r="L286" s="14"/>
      <c r="M286" s="14"/>
    </row>
    <row r="287" spans="1:13" s="41" customFormat="1" ht="30" customHeight="1" x14ac:dyDescent="0.3">
      <c r="A287" s="63"/>
      <c r="E287" s="36"/>
      <c r="F287" s="36"/>
      <c r="G287" s="36"/>
      <c r="H287" s="97"/>
      <c r="K287" s="14"/>
      <c r="L287" s="14"/>
      <c r="M287" s="14"/>
    </row>
    <row r="288" spans="1:13" s="41" customFormat="1" ht="30" customHeight="1" x14ac:dyDescent="0.3">
      <c r="A288" s="63"/>
      <c r="E288" s="36"/>
      <c r="F288" s="36"/>
      <c r="G288" s="36"/>
      <c r="H288" s="97"/>
      <c r="K288" s="14"/>
      <c r="L288" s="14"/>
      <c r="M288" s="14"/>
    </row>
    <row r="289" spans="1:13" s="41" customFormat="1" ht="30" customHeight="1" x14ac:dyDescent="0.3">
      <c r="A289" s="63"/>
      <c r="E289" s="36"/>
      <c r="F289" s="36"/>
      <c r="G289" s="36"/>
      <c r="H289" s="97"/>
      <c r="K289" s="14"/>
      <c r="L289" s="14"/>
      <c r="M289" s="14"/>
    </row>
    <row r="290" spans="1:13" s="41" customFormat="1" ht="30" customHeight="1" x14ac:dyDescent="0.3">
      <c r="A290" s="63"/>
      <c r="E290" s="36"/>
      <c r="F290" s="36"/>
      <c r="G290" s="36"/>
      <c r="H290" s="97"/>
      <c r="K290" s="14"/>
      <c r="L290" s="14"/>
      <c r="M290" s="14"/>
    </row>
    <row r="291" spans="1:13" s="41" customFormat="1" ht="30" customHeight="1" x14ac:dyDescent="0.3">
      <c r="A291" s="63"/>
      <c r="E291" s="36"/>
      <c r="F291" s="36"/>
      <c r="G291" s="36"/>
      <c r="H291" s="97"/>
      <c r="K291" s="14"/>
      <c r="L291" s="14"/>
      <c r="M291" s="14"/>
    </row>
    <row r="292" spans="1:13" s="41" customFormat="1" ht="30" customHeight="1" x14ac:dyDescent="0.3">
      <c r="A292" s="63"/>
      <c r="E292" s="36"/>
      <c r="F292" s="36"/>
      <c r="G292" s="36"/>
      <c r="H292" s="97"/>
      <c r="K292" s="14"/>
      <c r="L292" s="14"/>
      <c r="M292" s="14"/>
    </row>
    <row r="293" spans="1:13" s="41" customFormat="1" ht="30" customHeight="1" x14ac:dyDescent="0.3">
      <c r="A293" s="63"/>
      <c r="E293" s="36"/>
      <c r="F293" s="36"/>
      <c r="G293" s="36"/>
      <c r="H293" s="97"/>
      <c r="K293" s="14"/>
      <c r="L293" s="14"/>
      <c r="M293" s="14"/>
    </row>
    <row r="294" spans="1:13" s="41" customFormat="1" ht="30" customHeight="1" x14ac:dyDescent="0.3">
      <c r="A294" s="63"/>
      <c r="E294" s="36"/>
      <c r="F294" s="36"/>
      <c r="G294" s="36"/>
      <c r="H294" s="97"/>
      <c r="K294" s="14"/>
      <c r="L294" s="14"/>
      <c r="M294" s="14"/>
    </row>
    <row r="295" spans="1:13" s="41" customFormat="1" ht="30" customHeight="1" x14ac:dyDescent="0.3">
      <c r="A295" s="63"/>
      <c r="E295" s="36"/>
      <c r="F295" s="36"/>
      <c r="G295" s="36"/>
      <c r="H295" s="97"/>
      <c r="K295" s="14"/>
      <c r="L295" s="14"/>
      <c r="M295" s="14"/>
    </row>
    <row r="296" spans="1:13" s="41" customFormat="1" ht="30" customHeight="1" x14ac:dyDescent="0.3">
      <c r="A296" s="63"/>
      <c r="E296" s="36"/>
      <c r="F296" s="36"/>
      <c r="G296" s="36"/>
      <c r="H296" s="97"/>
      <c r="K296" s="14"/>
      <c r="L296" s="14"/>
      <c r="M296" s="14"/>
    </row>
    <row r="297" spans="1:13" s="41" customFormat="1" ht="30" customHeight="1" x14ac:dyDescent="0.3">
      <c r="A297" s="63"/>
      <c r="E297" s="36"/>
      <c r="F297" s="36"/>
      <c r="G297" s="36"/>
      <c r="H297" s="97"/>
      <c r="K297" s="14"/>
      <c r="L297" s="14"/>
      <c r="M297" s="14"/>
    </row>
    <row r="298" spans="1:13" s="41" customFormat="1" ht="30" customHeight="1" x14ac:dyDescent="0.3">
      <c r="A298" s="63"/>
      <c r="E298" s="36"/>
      <c r="F298" s="36"/>
      <c r="G298" s="36"/>
      <c r="H298" s="97"/>
      <c r="K298" s="14"/>
      <c r="L298" s="14"/>
      <c r="M298" s="14"/>
    </row>
    <row r="299" spans="1:13" s="41" customFormat="1" ht="30" customHeight="1" x14ac:dyDescent="0.3">
      <c r="A299" s="63"/>
      <c r="E299" s="36"/>
      <c r="F299" s="36"/>
      <c r="G299" s="36"/>
      <c r="H299" s="97"/>
      <c r="K299" s="14"/>
      <c r="L299" s="14"/>
      <c r="M299" s="14"/>
    </row>
    <row r="300" spans="1:13" s="41" customFormat="1" ht="30" customHeight="1" x14ac:dyDescent="0.3">
      <c r="A300" s="63"/>
      <c r="E300" s="36"/>
      <c r="F300" s="36"/>
      <c r="G300" s="36"/>
      <c r="H300" s="97"/>
      <c r="K300" s="14"/>
      <c r="L300" s="14"/>
      <c r="M300" s="14"/>
    </row>
    <row r="301" spans="1:13" s="41" customFormat="1" ht="30" customHeight="1" x14ac:dyDescent="0.3">
      <c r="A301" s="63"/>
      <c r="E301" s="36"/>
      <c r="F301" s="36"/>
      <c r="G301" s="36"/>
      <c r="H301" s="97"/>
      <c r="K301" s="14"/>
      <c r="L301" s="14"/>
      <c r="M301" s="14"/>
    </row>
    <row r="302" spans="1:13" s="41" customFormat="1" ht="30" customHeight="1" x14ac:dyDescent="0.3">
      <c r="A302" s="63"/>
      <c r="E302" s="36"/>
      <c r="F302" s="36"/>
      <c r="G302" s="36"/>
      <c r="H302" s="97"/>
      <c r="K302" s="14"/>
      <c r="L302" s="14"/>
      <c r="M302" s="14"/>
    </row>
    <row r="303" spans="1:13" s="41" customFormat="1" ht="30" customHeight="1" x14ac:dyDescent="0.3">
      <c r="A303" s="63"/>
      <c r="E303" s="36"/>
      <c r="F303" s="36"/>
      <c r="G303" s="36"/>
      <c r="H303" s="97"/>
      <c r="K303" s="14"/>
      <c r="L303" s="14"/>
      <c r="M303" s="14"/>
    </row>
    <row r="304" spans="1:13" s="41" customFormat="1" ht="30" customHeight="1" x14ac:dyDescent="0.3">
      <c r="A304" s="63"/>
      <c r="E304" s="36"/>
      <c r="F304" s="36"/>
      <c r="G304" s="36"/>
      <c r="H304" s="97"/>
      <c r="K304" s="14"/>
      <c r="L304" s="14"/>
      <c r="M304" s="14"/>
    </row>
    <row r="305" spans="1:13" s="41" customFormat="1" ht="30" customHeight="1" x14ac:dyDescent="0.3">
      <c r="A305" s="63"/>
      <c r="E305" s="36"/>
      <c r="F305" s="36"/>
      <c r="G305" s="36"/>
      <c r="H305" s="97"/>
      <c r="K305" s="14"/>
      <c r="L305" s="14"/>
      <c r="M305" s="14"/>
    </row>
    <row r="306" spans="1:13" s="41" customFormat="1" ht="30" customHeight="1" x14ac:dyDescent="0.3">
      <c r="A306" s="63"/>
      <c r="E306" s="36"/>
      <c r="F306" s="36"/>
      <c r="G306" s="36"/>
      <c r="H306" s="97"/>
      <c r="K306" s="14"/>
      <c r="L306" s="14"/>
      <c r="M306" s="14"/>
    </row>
    <row r="307" spans="1:13" s="41" customFormat="1" ht="30" customHeight="1" x14ac:dyDescent="0.3">
      <c r="A307" s="63"/>
      <c r="E307" s="36"/>
      <c r="F307" s="36"/>
      <c r="G307" s="36"/>
      <c r="H307" s="97"/>
      <c r="K307" s="14"/>
      <c r="L307" s="14"/>
      <c r="M307" s="14"/>
    </row>
    <row r="308" spans="1:13" s="41" customFormat="1" ht="30" customHeight="1" x14ac:dyDescent="0.3">
      <c r="A308" s="63"/>
      <c r="E308" s="36"/>
      <c r="F308" s="36"/>
      <c r="G308" s="36"/>
      <c r="H308" s="97"/>
      <c r="K308" s="14"/>
      <c r="L308" s="14"/>
      <c r="M308" s="14"/>
    </row>
    <row r="309" spans="1:13" s="41" customFormat="1" ht="30" customHeight="1" x14ac:dyDescent="0.3">
      <c r="A309" s="63"/>
      <c r="E309" s="36"/>
      <c r="F309" s="36"/>
      <c r="G309" s="36"/>
      <c r="H309" s="97"/>
      <c r="K309" s="14"/>
      <c r="L309" s="14"/>
      <c r="M309" s="14"/>
    </row>
    <row r="310" spans="1:13" s="41" customFormat="1" ht="30" customHeight="1" x14ac:dyDescent="0.3">
      <c r="A310" s="63"/>
      <c r="E310" s="36"/>
      <c r="F310" s="36"/>
      <c r="G310" s="36"/>
      <c r="H310" s="97"/>
      <c r="K310" s="14"/>
      <c r="L310" s="14"/>
      <c r="M310" s="14"/>
    </row>
    <row r="311" spans="1:13" s="41" customFormat="1" ht="30" customHeight="1" x14ac:dyDescent="0.3">
      <c r="A311" s="63"/>
      <c r="E311" s="36"/>
      <c r="F311" s="36"/>
      <c r="G311" s="36"/>
      <c r="H311" s="97"/>
      <c r="K311" s="14"/>
      <c r="L311" s="14"/>
      <c r="M311" s="14"/>
    </row>
    <row r="312" spans="1:13" s="41" customFormat="1" ht="30" customHeight="1" x14ac:dyDescent="0.3">
      <c r="A312" s="63"/>
      <c r="E312" s="36"/>
      <c r="F312" s="36"/>
      <c r="G312" s="36"/>
      <c r="H312" s="97"/>
      <c r="K312" s="14"/>
      <c r="L312" s="14"/>
      <c r="M312" s="14"/>
    </row>
    <row r="313" spans="1:13" s="41" customFormat="1" ht="30" customHeight="1" x14ac:dyDescent="0.3">
      <c r="A313" s="63"/>
      <c r="E313" s="36"/>
      <c r="F313" s="36"/>
      <c r="G313" s="36"/>
      <c r="H313" s="97"/>
      <c r="K313" s="14"/>
      <c r="L313" s="14"/>
      <c r="M313" s="14"/>
    </row>
    <row r="314" spans="1:13" s="41" customFormat="1" ht="30" customHeight="1" x14ac:dyDescent="0.3">
      <c r="A314" s="63"/>
      <c r="E314" s="36"/>
      <c r="F314" s="36"/>
      <c r="G314" s="36"/>
      <c r="H314" s="97"/>
      <c r="K314" s="14"/>
      <c r="L314" s="14"/>
      <c r="M314" s="14"/>
    </row>
    <row r="315" spans="1:13" s="41" customFormat="1" ht="30" customHeight="1" x14ac:dyDescent="0.3">
      <c r="A315" s="63"/>
      <c r="E315" s="36"/>
      <c r="F315" s="36"/>
      <c r="G315" s="36"/>
      <c r="H315" s="97"/>
      <c r="K315" s="14"/>
      <c r="L315" s="14"/>
      <c r="M315" s="14"/>
    </row>
    <row r="316" spans="1:13" s="41" customFormat="1" ht="30" customHeight="1" x14ac:dyDescent="0.3">
      <c r="A316" s="63"/>
      <c r="E316" s="36"/>
      <c r="F316" s="36"/>
      <c r="G316" s="36"/>
      <c r="H316" s="97"/>
      <c r="K316" s="14"/>
      <c r="L316" s="14"/>
      <c r="M316" s="14"/>
    </row>
    <row r="317" spans="1:13" s="41" customFormat="1" ht="30" customHeight="1" x14ac:dyDescent="0.3">
      <c r="A317" s="63"/>
      <c r="E317" s="36"/>
      <c r="F317" s="36"/>
      <c r="G317" s="36"/>
      <c r="H317" s="97"/>
      <c r="K317" s="14"/>
      <c r="L317" s="14"/>
      <c r="M317" s="14"/>
    </row>
    <row r="318" spans="1:13" s="41" customFormat="1" ht="30" customHeight="1" x14ac:dyDescent="0.3">
      <c r="A318" s="63"/>
      <c r="E318" s="36"/>
      <c r="F318" s="36"/>
      <c r="G318" s="36"/>
      <c r="H318" s="97"/>
      <c r="K318" s="14"/>
      <c r="L318" s="14"/>
      <c r="M318" s="14"/>
    </row>
    <row r="319" spans="1:13" s="41" customFormat="1" ht="30" customHeight="1" x14ac:dyDescent="0.3">
      <c r="A319" s="63"/>
      <c r="E319" s="36"/>
      <c r="F319" s="36"/>
      <c r="G319" s="36"/>
      <c r="H319" s="97"/>
      <c r="K319" s="14"/>
      <c r="L319" s="14"/>
      <c r="M319" s="14"/>
    </row>
    <row r="320" spans="1:13" s="41" customFormat="1" ht="30" customHeight="1" x14ac:dyDescent="0.3">
      <c r="A320" s="63"/>
      <c r="E320" s="36"/>
      <c r="F320" s="36"/>
      <c r="G320" s="36"/>
      <c r="H320" s="97"/>
      <c r="K320" s="14"/>
      <c r="L320" s="14"/>
      <c r="M320" s="14"/>
    </row>
    <row r="321" spans="1:13" s="41" customFormat="1" ht="30" customHeight="1" x14ac:dyDescent="0.3">
      <c r="A321" s="63"/>
      <c r="E321" s="36"/>
      <c r="F321" s="36"/>
      <c r="G321" s="36"/>
      <c r="H321" s="97"/>
      <c r="K321" s="14"/>
      <c r="L321" s="14"/>
      <c r="M321" s="14"/>
    </row>
    <row r="322" spans="1:13" s="41" customFormat="1" ht="30" customHeight="1" x14ac:dyDescent="0.3">
      <c r="A322" s="63"/>
      <c r="E322" s="36"/>
      <c r="F322" s="36"/>
      <c r="G322" s="36"/>
      <c r="H322" s="97"/>
      <c r="K322" s="14"/>
      <c r="L322" s="14"/>
      <c r="M322" s="14"/>
    </row>
    <row r="323" spans="1:13" s="41" customFormat="1" ht="30" customHeight="1" x14ac:dyDescent="0.3">
      <c r="A323" s="63"/>
      <c r="E323" s="36"/>
      <c r="F323" s="36"/>
      <c r="G323" s="36"/>
      <c r="H323" s="97"/>
      <c r="K323" s="14"/>
      <c r="L323" s="14"/>
      <c r="M323" s="14"/>
    </row>
    <row r="324" spans="1:13" s="41" customFormat="1" ht="30" customHeight="1" x14ac:dyDescent="0.3">
      <c r="A324" s="63"/>
      <c r="E324" s="36"/>
      <c r="F324" s="36"/>
      <c r="G324" s="36"/>
      <c r="H324" s="97"/>
      <c r="K324" s="14"/>
      <c r="L324" s="14"/>
      <c r="M324" s="14"/>
    </row>
    <row r="325" spans="1:13" s="41" customFormat="1" ht="30" customHeight="1" x14ac:dyDescent="0.3">
      <c r="A325" s="63"/>
      <c r="E325" s="36"/>
      <c r="F325" s="36"/>
      <c r="G325" s="36"/>
      <c r="H325" s="97"/>
      <c r="K325" s="14"/>
      <c r="L325" s="14"/>
      <c r="M325" s="14"/>
    </row>
    <row r="326" spans="1:13" s="41" customFormat="1" ht="30" customHeight="1" x14ac:dyDescent="0.3">
      <c r="A326" s="63"/>
      <c r="E326" s="36"/>
      <c r="F326" s="36"/>
      <c r="G326" s="36"/>
      <c r="H326" s="97"/>
      <c r="K326" s="14"/>
      <c r="L326" s="14"/>
      <c r="M326" s="14"/>
    </row>
    <row r="327" spans="1:13" s="41" customFormat="1" ht="30" customHeight="1" x14ac:dyDescent="0.3">
      <c r="A327" s="63"/>
      <c r="E327" s="36"/>
      <c r="F327" s="36"/>
      <c r="G327" s="36"/>
      <c r="H327" s="97"/>
      <c r="K327" s="14"/>
      <c r="L327" s="14"/>
      <c r="M327" s="14"/>
    </row>
    <row r="328" spans="1:13" s="41" customFormat="1" ht="30" customHeight="1" x14ac:dyDescent="0.3">
      <c r="A328" s="63"/>
      <c r="E328" s="36"/>
      <c r="F328" s="36"/>
      <c r="G328" s="36"/>
      <c r="H328" s="97"/>
      <c r="K328" s="14"/>
      <c r="L328" s="14"/>
      <c r="M328" s="14"/>
    </row>
    <row r="329" spans="1:13" s="41" customFormat="1" ht="30" customHeight="1" x14ac:dyDescent="0.3">
      <c r="A329" s="63"/>
      <c r="E329" s="36"/>
      <c r="F329" s="36"/>
      <c r="G329" s="36"/>
      <c r="H329" s="97"/>
      <c r="K329" s="14"/>
      <c r="L329" s="14"/>
      <c r="M329" s="14"/>
    </row>
    <row r="330" spans="1:13" s="41" customFormat="1" ht="30" customHeight="1" x14ac:dyDescent="0.3">
      <c r="A330" s="63"/>
      <c r="E330" s="36"/>
      <c r="F330" s="36"/>
      <c r="G330" s="36"/>
      <c r="H330" s="97"/>
      <c r="K330" s="14"/>
      <c r="L330" s="14"/>
      <c r="M330" s="14"/>
    </row>
    <row r="331" spans="1:13" s="41" customFormat="1" ht="30" customHeight="1" x14ac:dyDescent="0.3">
      <c r="A331" s="63"/>
      <c r="E331" s="36"/>
      <c r="F331" s="36"/>
      <c r="G331" s="36"/>
      <c r="H331" s="97"/>
      <c r="K331" s="14"/>
      <c r="L331" s="14"/>
      <c r="M331" s="14"/>
    </row>
    <row r="332" spans="1:13" s="41" customFormat="1" ht="30" customHeight="1" x14ac:dyDescent="0.3">
      <c r="A332" s="63"/>
      <c r="E332" s="36"/>
      <c r="F332" s="36"/>
      <c r="G332" s="36"/>
      <c r="H332" s="97"/>
      <c r="K332" s="14"/>
      <c r="L332" s="14"/>
      <c r="M332" s="14"/>
    </row>
    <row r="333" spans="1:13" s="41" customFormat="1" ht="30" customHeight="1" x14ac:dyDescent="0.3">
      <c r="A333" s="63"/>
      <c r="E333" s="36"/>
      <c r="F333" s="36"/>
      <c r="G333" s="36"/>
      <c r="H333" s="97"/>
      <c r="K333" s="14"/>
      <c r="L333" s="14"/>
      <c r="M333" s="14"/>
    </row>
    <row r="334" spans="1:13" s="41" customFormat="1" ht="30" customHeight="1" x14ac:dyDescent="0.3">
      <c r="A334" s="63"/>
      <c r="E334" s="36"/>
      <c r="F334" s="36"/>
      <c r="G334" s="36"/>
      <c r="H334" s="97"/>
      <c r="K334" s="14"/>
      <c r="L334" s="14"/>
      <c r="M334" s="14"/>
    </row>
    <row r="335" spans="1:13" s="41" customFormat="1" ht="30" customHeight="1" x14ac:dyDescent="0.3">
      <c r="A335" s="63"/>
      <c r="E335" s="36"/>
      <c r="F335" s="36"/>
      <c r="G335" s="36"/>
      <c r="H335" s="97"/>
      <c r="K335" s="14"/>
      <c r="L335" s="14"/>
      <c r="M335" s="14"/>
    </row>
    <row r="336" spans="1:13" s="41" customFormat="1" ht="30" customHeight="1" x14ac:dyDescent="0.3">
      <c r="A336" s="63"/>
      <c r="E336" s="36"/>
      <c r="F336" s="36"/>
      <c r="G336" s="36"/>
      <c r="H336" s="97"/>
      <c r="K336" s="14"/>
      <c r="L336" s="14"/>
      <c r="M336" s="14"/>
    </row>
    <row r="337" spans="1:13" s="41" customFormat="1" ht="30" customHeight="1" x14ac:dyDescent="0.3">
      <c r="A337" s="63"/>
      <c r="E337" s="36"/>
      <c r="F337" s="36"/>
      <c r="G337" s="36"/>
      <c r="H337" s="97"/>
      <c r="K337" s="14"/>
      <c r="L337" s="14"/>
      <c r="M337" s="14"/>
    </row>
    <row r="338" spans="1:13" s="41" customFormat="1" ht="30" customHeight="1" x14ac:dyDescent="0.3">
      <c r="A338" s="63"/>
      <c r="E338" s="36"/>
      <c r="F338" s="36"/>
      <c r="G338" s="36"/>
      <c r="H338" s="97"/>
      <c r="K338" s="14"/>
      <c r="L338" s="14"/>
      <c r="M338" s="14"/>
    </row>
    <row r="339" spans="1:13" s="41" customFormat="1" ht="30" customHeight="1" x14ac:dyDescent="0.3">
      <c r="A339" s="63"/>
      <c r="E339" s="36"/>
      <c r="F339" s="36"/>
      <c r="G339" s="36"/>
      <c r="H339" s="97"/>
      <c r="K339" s="14"/>
      <c r="L339" s="14"/>
      <c r="M339" s="14"/>
    </row>
    <row r="340" spans="1:13" s="41" customFormat="1" ht="30" customHeight="1" x14ac:dyDescent="0.3">
      <c r="A340" s="63"/>
      <c r="E340" s="36"/>
      <c r="F340" s="36"/>
      <c r="G340" s="36"/>
      <c r="H340" s="97"/>
      <c r="K340" s="14"/>
      <c r="L340" s="14"/>
      <c r="M340" s="14"/>
    </row>
    <row r="341" spans="1:13" s="41" customFormat="1" ht="30" customHeight="1" x14ac:dyDescent="0.3">
      <c r="A341" s="63"/>
      <c r="E341" s="36"/>
      <c r="F341" s="36"/>
      <c r="G341" s="36"/>
      <c r="H341" s="97"/>
      <c r="K341" s="14"/>
      <c r="L341" s="14"/>
      <c r="M341" s="14"/>
    </row>
    <row r="342" spans="1:13" s="41" customFormat="1" ht="30" customHeight="1" x14ac:dyDescent="0.3">
      <c r="A342" s="63"/>
      <c r="E342" s="36"/>
      <c r="F342" s="36"/>
      <c r="G342" s="36"/>
      <c r="H342" s="97"/>
      <c r="K342" s="14"/>
      <c r="L342" s="14"/>
      <c r="M342" s="14"/>
    </row>
    <row r="343" spans="1:13" s="41" customFormat="1" ht="30" customHeight="1" x14ac:dyDescent="0.3">
      <c r="A343" s="63"/>
      <c r="E343" s="36"/>
      <c r="F343" s="36"/>
      <c r="G343" s="36"/>
      <c r="H343" s="97"/>
      <c r="K343" s="14"/>
      <c r="L343" s="14"/>
      <c r="M343" s="14"/>
    </row>
    <row r="344" spans="1:13" s="41" customFormat="1" ht="30" customHeight="1" x14ac:dyDescent="0.3">
      <c r="A344" s="63"/>
      <c r="E344" s="36"/>
      <c r="F344" s="36"/>
      <c r="G344" s="36"/>
      <c r="H344" s="97"/>
      <c r="K344" s="14"/>
      <c r="L344" s="14"/>
      <c r="M344" s="14"/>
    </row>
    <row r="345" spans="1:13" s="41" customFormat="1" ht="30" customHeight="1" x14ac:dyDescent="0.3">
      <c r="A345" s="63"/>
      <c r="E345" s="36"/>
      <c r="F345" s="36"/>
      <c r="G345" s="36"/>
      <c r="H345" s="97"/>
      <c r="K345" s="14"/>
      <c r="L345" s="14"/>
      <c r="M345" s="14"/>
    </row>
    <row r="346" spans="1:13" s="41" customFormat="1" ht="30" customHeight="1" x14ac:dyDescent="0.3">
      <c r="A346" s="63"/>
      <c r="E346" s="36"/>
      <c r="F346" s="36"/>
      <c r="G346" s="36"/>
      <c r="H346" s="97"/>
      <c r="K346" s="14"/>
      <c r="L346" s="14"/>
      <c r="M346" s="14"/>
    </row>
    <row r="347" spans="1:13" s="41" customFormat="1" ht="30" customHeight="1" x14ac:dyDescent="0.3">
      <c r="A347" s="63"/>
      <c r="E347" s="36"/>
      <c r="F347" s="36"/>
      <c r="G347" s="36"/>
      <c r="H347" s="97"/>
      <c r="K347" s="14"/>
      <c r="L347" s="14"/>
      <c r="M347" s="14"/>
    </row>
    <row r="348" spans="1:13" s="41" customFormat="1" ht="30" customHeight="1" x14ac:dyDescent="0.3">
      <c r="A348" s="63"/>
      <c r="E348" s="36"/>
      <c r="F348" s="36"/>
      <c r="G348" s="36"/>
      <c r="H348" s="97"/>
      <c r="K348" s="14"/>
      <c r="L348" s="14"/>
      <c r="M348" s="14"/>
    </row>
    <row r="349" spans="1:13" s="41" customFormat="1" ht="30" customHeight="1" x14ac:dyDescent="0.3">
      <c r="A349" s="63"/>
      <c r="E349" s="36"/>
      <c r="F349" s="36"/>
      <c r="G349" s="36"/>
      <c r="H349" s="97"/>
      <c r="K349" s="14"/>
      <c r="L349" s="14"/>
      <c r="M349" s="14"/>
    </row>
    <row r="350" spans="1:13" s="41" customFormat="1" ht="30" customHeight="1" x14ac:dyDescent="0.3">
      <c r="A350" s="63"/>
      <c r="E350" s="36"/>
      <c r="F350" s="36"/>
      <c r="G350" s="36"/>
      <c r="H350" s="97"/>
      <c r="K350" s="14"/>
      <c r="L350" s="14"/>
      <c r="M350" s="14"/>
    </row>
    <row r="351" spans="1:13" s="41" customFormat="1" ht="30" customHeight="1" x14ac:dyDescent="0.3">
      <c r="A351" s="63"/>
      <c r="E351" s="36"/>
      <c r="F351" s="36"/>
      <c r="G351" s="36"/>
      <c r="H351" s="97"/>
      <c r="K351" s="14"/>
      <c r="L351" s="14"/>
      <c r="M351" s="14"/>
    </row>
    <row r="352" spans="1:13" s="41" customFormat="1" ht="30" customHeight="1" x14ac:dyDescent="0.3">
      <c r="A352" s="63"/>
      <c r="E352" s="36"/>
      <c r="F352" s="36"/>
      <c r="G352" s="36"/>
      <c r="H352" s="97"/>
      <c r="K352" s="14"/>
      <c r="L352" s="14"/>
      <c r="M352" s="14"/>
    </row>
    <row r="353" spans="1:13" s="41" customFormat="1" ht="30" customHeight="1" x14ac:dyDescent="0.3">
      <c r="A353" s="63"/>
      <c r="E353" s="36"/>
      <c r="F353" s="36"/>
      <c r="G353" s="36"/>
      <c r="H353" s="97"/>
      <c r="K353" s="14"/>
      <c r="L353" s="14"/>
      <c r="M353" s="14"/>
    </row>
    <row r="354" spans="1:13" s="41" customFormat="1" ht="30" customHeight="1" x14ac:dyDescent="0.3">
      <c r="A354" s="63"/>
      <c r="E354" s="36"/>
      <c r="F354" s="36"/>
      <c r="G354" s="36"/>
      <c r="H354" s="97"/>
      <c r="K354" s="14"/>
      <c r="L354" s="14"/>
      <c r="M354" s="14"/>
    </row>
    <row r="355" spans="1:13" s="41" customFormat="1" ht="30" customHeight="1" x14ac:dyDescent="0.3">
      <c r="A355" s="63"/>
      <c r="E355" s="36"/>
      <c r="F355" s="36"/>
      <c r="G355" s="36"/>
      <c r="H355" s="97"/>
      <c r="K355" s="14"/>
      <c r="L355" s="14"/>
      <c r="M355" s="14"/>
    </row>
    <row r="356" spans="1:13" s="41" customFormat="1" ht="30" customHeight="1" x14ac:dyDescent="0.3">
      <c r="A356" s="63"/>
      <c r="E356" s="36"/>
      <c r="F356" s="36"/>
      <c r="G356" s="36"/>
      <c r="H356" s="97"/>
      <c r="K356" s="14"/>
      <c r="L356" s="14"/>
      <c r="M356" s="14"/>
    </row>
    <row r="357" spans="1:13" s="41" customFormat="1" ht="30" customHeight="1" x14ac:dyDescent="0.3">
      <c r="A357" s="63"/>
      <c r="E357" s="36"/>
      <c r="F357" s="36"/>
      <c r="G357" s="36"/>
      <c r="H357" s="97"/>
      <c r="K357" s="14"/>
      <c r="L357" s="14"/>
      <c r="M357" s="14"/>
    </row>
    <row r="358" spans="1:13" s="41" customFormat="1" ht="30" customHeight="1" x14ac:dyDescent="0.3">
      <c r="A358" s="63"/>
      <c r="E358" s="36"/>
      <c r="F358" s="36"/>
      <c r="G358" s="36"/>
      <c r="H358" s="97"/>
      <c r="K358" s="14"/>
      <c r="L358" s="14"/>
      <c r="M358" s="14"/>
    </row>
    <row r="359" spans="1:13" s="41" customFormat="1" ht="30" customHeight="1" x14ac:dyDescent="0.3">
      <c r="A359" s="63"/>
      <c r="E359" s="36"/>
      <c r="F359" s="36"/>
      <c r="G359" s="36"/>
      <c r="H359" s="97"/>
      <c r="K359" s="14"/>
      <c r="L359" s="14"/>
      <c r="M359" s="14"/>
    </row>
    <row r="360" spans="1:13" s="41" customFormat="1" ht="30" customHeight="1" x14ac:dyDescent="0.3">
      <c r="A360" s="63"/>
      <c r="E360" s="36"/>
      <c r="F360" s="36"/>
      <c r="G360" s="36"/>
      <c r="H360" s="97"/>
      <c r="K360" s="14"/>
      <c r="L360" s="14"/>
      <c r="M360" s="14"/>
    </row>
    <row r="361" spans="1:13" s="41" customFormat="1" ht="30" customHeight="1" x14ac:dyDescent="0.3">
      <c r="A361" s="63"/>
      <c r="E361" s="36"/>
      <c r="F361" s="36"/>
      <c r="G361" s="36"/>
      <c r="H361" s="97"/>
      <c r="K361" s="14"/>
      <c r="L361" s="14"/>
      <c r="M361" s="14"/>
    </row>
    <row r="362" spans="1:13" s="41" customFormat="1" ht="30" customHeight="1" x14ac:dyDescent="0.3">
      <c r="A362" s="63"/>
      <c r="E362" s="36"/>
      <c r="F362" s="36"/>
      <c r="G362" s="36"/>
      <c r="H362" s="97"/>
      <c r="K362" s="14"/>
      <c r="L362" s="14"/>
      <c r="M362" s="14"/>
    </row>
    <row r="363" spans="1:13" s="41" customFormat="1" ht="30" customHeight="1" x14ac:dyDescent="0.3">
      <c r="A363" s="63"/>
      <c r="E363" s="36"/>
      <c r="F363" s="36"/>
      <c r="G363" s="36"/>
      <c r="H363" s="97"/>
      <c r="K363" s="14"/>
      <c r="L363" s="14"/>
      <c r="M363" s="14"/>
    </row>
    <row r="364" spans="1:13" s="41" customFormat="1" ht="30" customHeight="1" x14ac:dyDescent="0.3">
      <c r="A364" s="63"/>
      <c r="E364" s="36"/>
      <c r="F364" s="36"/>
      <c r="G364" s="36"/>
      <c r="H364" s="97"/>
      <c r="K364" s="14"/>
      <c r="L364" s="14"/>
      <c r="M364" s="14"/>
    </row>
    <row r="365" spans="1:13" s="41" customFormat="1" ht="30" customHeight="1" x14ac:dyDescent="0.3">
      <c r="A365" s="63"/>
      <c r="E365" s="36"/>
      <c r="F365" s="36"/>
      <c r="G365" s="36"/>
      <c r="H365" s="97"/>
      <c r="K365" s="14"/>
      <c r="L365" s="14"/>
      <c r="M365" s="14"/>
    </row>
    <row r="366" spans="1:13" s="41" customFormat="1" ht="30" customHeight="1" x14ac:dyDescent="0.3">
      <c r="A366" s="63"/>
      <c r="E366" s="36"/>
      <c r="F366" s="36"/>
      <c r="G366" s="36"/>
      <c r="H366" s="97"/>
      <c r="K366" s="14"/>
      <c r="L366" s="14"/>
      <c r="M366" s="14"/>
    </row>
    <row r="367" spans="1:13" s="41" customFormat="1" ht="30" customHeight="1" x14ac:dyDescent="0.3">
      <c r="A367" s="63"/>
      <c r="E367" s="36"/>
      <c r="F367" s="36"/>
      <c r="G367" s="36"/>
      <c r="H367" s="97"/>
      <c r="K367" s="14"/>
      <c r="L367" s="14"/>
      <c r="M367" s="14"/>
    </row>
    <row r="368" spans="1:13" s="41" customFormat="1" ht="30" customHeight="1" x14ac:dyDescent="0.3">
      <c r="A368" s="63"/>
      <c r="E368" s="36"/>
      <c r="F368" s="36"/>
      <c r="G368" s="36"/>
      <c r="H368" s="97"/>
      <c r="K368" s="14"/>
      <c r="L368" s="14"/>
      <c r="M368" s="14"/>
    </row>
    <row r="369" spans="1:13" s="41" customFormat="1" ht="30" customHeight="1" x14ac:dyDescent="0.3">
      <c r="A369" s="63"/>
      <c r="E369" s="36"/>
      <c r="F369" s="36"/>
      <c r="G369" s="36"/>
      <c r="H369" s="97"/>
      <c r="K369" s="14"/>
      <c r="L369" s="14"/>
      <c r="M369" s="14"/>
    </row>
    <row r="370" spans="1:13" s="41" customFormat="1" ht="30" customHeight="1" x14ac:dyDescent="0.3">
      <c r="A370" s="63"/>
      <c r="E370" s="36"/>
      <c r="F370" s="36"/>
      <c r="G370" s="36"/>
      <c r="H370" s="97"/>
      <c r="K370" s="14"/>
      <c r="L370" s="14"/>
      <c r="M370" s="14"/>
    </row>
    <row r="371" spans="1:13" s="41" customFormat="1" ht="30" customHeight="1" x14ac:dyDescent="0.3">
      <c r="A371" s="63"/>
      <c r="E371" s="36"/>
      <c r="F371" s="36"/>
      <c r="G371" s="36"/>
      <c r="H371" s="97"/>
      <c r="K371" s="14"/>
      <c r="L371" s="14"/>
      <c r="M371" s="14"/>
    </row>
    <row r="372" spans="1:13" s="41" customFormat="1" ht="30" customHeight="1" x14ac:dyDescent="0.3">
      <c r="A372" s="63"/>
      <c r="E372" s="36"/>
      <c r="F372" s="36"/>
      <c r="G372" s="36"/>
      <c r="H372" s="97"/>
      <c r="K372" s="14"/>
      <c r="L372" s="14"/>
      <c r="M372" s="14"/>
    </row>
    <row r="373" spans="1:13" s="41" customFormat="1" ht="30" customHeight="1" x14ac:dyDescent="0.3">
      <c r="A373" s="63"/>
      <c r="E373" s="36"/>
      <c r="F373" s="36"/>
      <c r="G373" s="36"/>
      <c r="H373" s="97"/>
      <c r="K373" s="14"/>
      <c r="L373" s="14"/>
      <c r="M373" s="14"/>
    </row>
    <row r="374" spans="1:13" s="41" customFormat="1" ht="30" customHeight="1" x14ac:dyDescent="0.3">
      <c r="A374" s="63"/>
      <c r="E374" s="36"/>
      <c r="F374" s="36"/>
      <c r="G374" s="36"/>
      <c r="H374" s="97"/>
      <c r="K374" s="14"/>
      <c r="L374" s="14"/>
      <c r="M374" s="14"/>
    </row>
    <row r="375" spans="1:13" s="41" customFormat="1" ht="30" customHeight="1" x14ac:dyDescent="0.3">
      <c r="A375" s="63"/>
      <c r="E375" s="36"/>
      <c r="F375" s="36"/>
      <c r="G375" s="36"/>
      <c r="H375" s="97"/>
      <c r="K375" s="14"/>
      <c r="L375" s="14"/>
      <c r="M375" s="14"/>
    </row>
    <row r="376" spans="1:13" s="41" customFormat="1" ht="30" customHeight="1" x14ac:dyDescent="0.3">
      <c r="A376" s="63"/>
      <c r="E376" s="36"/>
      <c r="F376" s="36"/>
      <c r="G376" s="36"/>
      <c r="H376" s="97"/>
      <c r="K376" s="14"/>
      <c r="L376" s="14"/>
      <c r="M376" s="14"/>
    </row>
    <row r="377" spans="1:13" s="41" customFormat="1" ht="30" customHeight="1" x14ac:dyDescent="0.3">
      <c r="A377" s="63"/>
      <c r="E377" s="36"/>
      <c r="F377" s="36"/>
      <c r="G377" s="36"/>
      <c r="H377" s="97"/>
      <c r="K377" s="14"/>
      <c r="L377" s="14"/>
      <c r="M377" s="14"/>
    </row>
    <row r="378" spans="1:13" s="41" customFormat="1" ht="30" customHeight="1" x14ac:dyDescent="0.3">
      <c r="A378" s="63"/>
      <c r="E378" s="36"/>
      <c r="F378" s="36"/>
      <c r="G378" s="36"/>
      <c r="H378" s="97"/>
      <c r="K378" s="14"/>
      <c r="L378" s="14"/>
      <c r="M378" s="14"/>
    </row>
    <row r="379" spans="1:13" s="41" customFormat="1" ht="30" customHeight="1" x14ac:dyDescent="0.3">
      <c r="A379" s="63"/>
      <c r="E379" s="36"/>
      <c r="F379" s="36"/>
      <c r="G379" s="36"/>
      <c r="H379" s="97"/>
      <c r="K379" s="14"/>
      <c r="L379" s="14"/>
      <c r="M379" s="14"/>
    </row>
    <row r="380" spans="1:13" s="41" customFormat="1" ht="30" customHeight="1" x14ac:dyDescent="0.3">
      <c r="A380" s="63"/>
      <c r="E380" s="36"/>
      <c r="F380" s="36"/>
      <c r="G380" s="36"/>
      <c r="H380" s="97"/>
      <c r="K380" s="14"/>
      <c r="L380" s="14"/>
      <c r="M380" s="14"/>
    </row>
    <row r="381" spans="1:13" s="41" customFormat="1" ht="30" customHeight="1" x14ac:dyDescent="0.3">
      <c r="A381" s="63"/>
      <c r="E381" s="36"/>
      <c r="F381" s="36"/>
      <c r="G381" s="36"/>
      <c r="H381" s="97"/>
      <c r="K381" s="14"/>
      <c r="L381" s="14"/>
      <c r="M381" s="14"/>
    </row>
    <row r="382" spans="1:13" s="41" customFormat="1" ht="30" customHeight="1" x14ac:dyDescent="0.3">
      <c r="A382" s="63"/>
      <c r="E382" s="36"/>
      <c r="F382" s="36"/>
      <c r="G382" s="36"/>
      <c r="H382" s="97"/>
      <c r="K382" s="14"/>
      <c r="L382" s="14"/>
      <c r="M382" s="14"/>
    </row>
    <row r="383" spans="1:13" s="41" customFormat="1" ht="30" customHeight="1" x14ac:dyDescent="0.3">
      <c r="A383" s="63"/>
      <c r="E383" s="36"/>
      <c r="F383" s="36"/>
      <c r="G383" s="36"/>
      <c r="H383" s="97"/>
      <c r="K383" s="14"/>
      <c r="L383" s="14"/>
      <c r="M383" s="14"/>
    </row>
    <row r="384" spans="1:13" s="41" customFormat="1" ht="30" customHeight="1" x14ac:dyDescent="0.3">
      <c r="A384" s="63"/>
      <c r="E384" s="36"/>
      <c r="F384" s="36"/>
      <c r="G384" s="36"/>
      <c r="H384" s="97"/>
      <c r="K384" s="14"/>
      <c r="L384" s="14"/>
      <c r="M384" s="14"/>
    </row>
    <row r="385" spans="1:13" s="41" customFormat="1" ht="30" customHeight="1" x14ac:dyDescent="0.3">
      <c r="A385" s="63"/>
      <c r="E385" s="36"/>
      <c r="F385" s="36"/>
      <c r="G385" s="36"/>
      <c r="H385" s="97"/>
      <c r="K385" s="14"/>
      <c r="L385" s="14"/>
      <c r="M385" s="14"/>
    </row>
    <row r="386" spans="1:13" s="41" customFormat="1" ht="30" customHeight="1" x14ac:dyDescent="0.3">
      <c r="A386" s="63"/>
      <c r="E386" s="36"/>
      <c r="F386" s="36"/>
      <c r="G386" s="36"/>
      <c r="H386" s="97"/>
      <c r="K386" s="14"/>
      <c r="L386" s="14"/>
      <c r="M386" s="14"/>
    </row>
    <row r="387" spans="1:13" s="41" customFormat="1" ht="30" customHeight="1" x14ac:dyDescent="0.3">
      <c r="A387" s="63"/>
      <c r="E387" s="36"/>
      <c r="F387" s="36"/>
      <c r="G387" s="36"/>
      <c r="H387" s="97"/>
      <c r="K387" s="14"/>
      <c r="L387" s="14"/>
      <c r="M387" s="14"/>
    </row>
    <row r="388" spans="1:13" s="41" customFormat="1" ht="30" customHeight="1" x14ac:dyDescent="0.3">
      <c r="A388" s="63"/>
      <c r="E388" s="36"/>
      <c r="F388" s="36"/>
      <c r="G388" s="36"/>
      <c r="H388" s="97"/>
      <c r="K388" s="14"/>
      <c r="L388" s="14"/>
      <c r="M388" s="14"/>
    </row>
    <row r="389" spans="1:13" s="41" customFormat="1" ht="30" customHeight="1" x14ac:dyDescent="0.3">
      <c r="A389" s="63"/>
      <c r="E389" s="36"/>
      <c r="F389" s="36"/>
      <c r="G389" s="36"/>
      <c r="H389" s="97"/>
      <c r="K389" s="14"/>
      <c r="L389" s="14"/>
      <c r="M389" s="14"/>
    </row>
    <row r="390" spans="1:13" s="41" customFormat="1" ht="30" customHeight="1" x14ac:dyDescent="0.3">
      <c r="A390" s="63"/>
      <c r="E390" s="36"/>
      <c r="F390" s="36"/>
      <c r="G390" s="36"/>
      <c r="H390" s="97"/>
      <c r="K390" s="14"/>
      <c r="L390" s="14"/>
      <c r="M390" s="14"/>
    </row>
    <row r="391" spans="1:13" s="41" customFormat="1" ht="30" customHeight="1" x14ac:dyDescent="0.3">
      <c r="A391" s="63"/>
      <c r="E391" s="36"/>
      <c r="F391" s="36"/>
      <c r="G391" s="36"/>
      <c r="H391" s="97"/>
      <c r="K391" s="14"/>
      <c r="L391" s="14"/>
      <c r="M391" s="14"/>
    </row>
    <row r="392" spans="1:13" s="41" customFormat="1" ht="30" customHeight="1" x14ac:dyDescent="0.3">
      <c r="A392" s="63"/>
      <c r="E392" s="36"/>
      <c r="F392" s="36"/>
      <c r="G392" s="36"/>
      <c r="H392" s="97"/>
      <c r="K392" s="14"/>
      <c r="L392" s="14"/>
      <c r="M392" s="14"/>
    </row>
    <row r="393" spans="1:13" s="41" customFormat="1" ht="30" customHeight="1" x14ac:dyDescent="0.3">
      <c r="A393" s="63"/>
      <c r="E393" s="36"/>
      <c r="F393" s="36"/>
      <c r="G393" s="36"/>
      <c r="H393" s="97"/>
      <c r="K393" s="14"/>
      <c r="L393" s="14"/>
      <c r="M393" s="14"/>
    </row>
    <row r="394" spans="1:13" s="41" customFormat="1" ht="30" customHeight="1" x14ac:dyDescent="0.3">
      <c r="A394" s="63"/>
      <c r="E394" s="36"/>
      <c r="F394" s="36"/>
      <c r="G394" s="36"/>
      <c r="H394" s="97"/>
      <c r="K394" s="14"/>
      <c r="L394" s="14"/>
      <c r="M394" s="14"/>
    </row>
    <row r="395" spans="1:13" s="41" customFormat="1" ht="30" customHeight="1" x14ac:dyDescent="0.3">
      <c r="A395" s="63"/>
      <c r="E395" s="36"/>
      <c r="F395" s="36"/>
      <c r="G395" s="36"/>
      <c r="H395" s="97"/>
      <c r="K395" s="14"/>
      <c r="L395" s="14"/>
      <c r="M395" s="14"/>
    </row>
    <row r="396" spans="1:13" s="41" customFormat="1" ht="30" customHeight="1" x14ac:dyDescent="0.3">
      <c r="A396" s="63"/>
      <c r="E396" s="36"/>
      <c r="F396" s="36"/>
      <c r="G396" s="36"/>
      <c r="H396" s="97"/>
      <c r="K396" s="14"/>
      <c r="L396" s="14"/>
      <c r="M396" s="14"/>
    </row>
    <row r="397" spans="1:13" s="41" customFormat="1" ht="30" customHeight="1" x14ac:dyDescent="0.3">
      <c r="A397" s="63"/>
      <c r="E397" s="36"/>
      <c r="F397" s="36"/>
      <c r="G397" s="36"/>
      <c r="H397" s="97"/>
      <c r="K397" s="14"/>
      <c r="L397" s="14"/>
      <c r="M397" s="14"/>
    </row>
    <row r="398" spans="1:13" s="41" customFormat="1" ht="30" customHeight="1" x14ac:dyDescent="0.3">
      <c r="A398" s="63"/>
      <c r="E398" s="36"/>
      <c r="F398" s="36"/>
      <c r="G398" s="36"/>
      <c r="H398" s="97"/>
      <c r="K398" s="14"/>
      <c r="L398" s="14"/>
      <c r="M398" s="14"/>
    </row>
    <row r="399" spans="1:13" s="41" customFormat="1" ht="30" customHeight="1" x14ac:dyDescent="0.3">
      <c r="A399" s="63"/>
      <c r="E399" s="36"/>
      <c r="F399" s="36"/>
      <c r="G399" s="36"/>
      <c r="H399" s="97"/>
      <c r="K399" s="14"/>
      <c r="L399" s="14"/>
      <c r="M399" s="14"/>
    </row>
    <row r="400" spans="1:13" s="41" customFormat="1" ht="30" customHeight="1" x14ac:dyDescent="0.3">
      <c r="A400" s="63"/>
      <c r="E400" s="36"/>
      <c r="F400" s="36"/>
      <c r="G400" s="36"/>
      <c r="H400" s="97"/>
      <c r="K400" s="14"/>
      <c r="L400" s="14"/>
      <c r="M400" s="14"/>
    </row>
    <row r="401" spans="1:13" s="41" customFormat="1" ht="30" customHeight="1" x14ac:dyDescent="0.3">
      <c r="A401" s="63"/>
      <c r="E401" s="36"/>
      <c r="F401" s="36"/>
      <c r="G401" s="36"/>
      <c r="H401" s="97"/>
      <c r="K401" s="14"/>
      <c r="L401" s="14"/>
      <c r="M401" s="14"/>
    </row>
    <row r="402" spans="1:13" s="41" customFormat="1" ht="30" customHeight="1" x14ac:dyDescent="0.3">
      <c r="A402" s="63"/>
      <c r="E402" s="36"/>
      <c r="F402" s="36"/>
      <c r="G402" s="36"/>
      <c r="H402" s="97"/>
      <c r="K402" s="14"/>
      <c r="L402" s="14"/>
      <c r="M402" s="14"/>
    </row>
    <row r="403" spans="1:13" s="41" customFormat="1" ht="30" customHeight="1" x14ac:dyDescent="0.3">
      <c r="A403" s="63"/>
      <c r="E403" s="36"/>
      <c r="F403" s="36"/>
      <c r="G403" s="36"/>
      <c r="H403" s="97"/>
      <c r="K403" s="14"/>
      <c r="L403" s="14"/>
      <c r="M403" s="14"/>
    </row>
    <row r="404" spans="1:13" s="41" customFormat="1" ht="30" customHeight="1" x14ac:dyDescent="0.3">
      <c r="A404" s="63"/>
      <c r="E404" s="36"/>
      <c r="F404" s="36"/>
      <c r="G404" s="36"/>
      <c r="H404" s="97"/>
      <c r="K404" s="14"/>
      <c r="L404" s="14"/>
      <c r="M404" s="14"/>
    </row>
    <row r="405" spans="1:13" s="41" customFormat="1" ht="30" customHeight="1" x14ac:dyDescent="0.3">
      <c r="A405" s="63"/>
      <c r="E405" s="36"/>
      <c r="F405" s="36"/>
      <c r="G405" s="36"/>
      <c r="H405" s="97"/>
      <c r="K405" s="14"/>
      <c r="L405" s="14"/>
      <c r="M405" s="14"/>
    </row>
    <row r="406" spans="1:13" s="41" customFormat="1" ht="30" customHeight="1" x14ac:dyDescent="0.3">
      <c r="A406" s="63"/>
      <c r="E406" s="36"/>
      <c r="F406" s="36"/>
      <c r="G406" s="36"/>
      <c r="H406" s="97"/>
      <c r="K406" s="14"/>
      <c r="L406" s="14"/>
      <c r="M406" s="14"/>
    </row>
    <row r="407" spans="1:13" s="41" customFormat="1" ht="30" customHeight="1" x14ac:dyDescent="0.3">
      <c r="A407" s="63"/>
      <c r="E407" s="36"/>
      <c r="F407" s="36"/>
      <c r="G407" s="36"/>
      <c r="H407" s="97"/>
      <c r="K407" s="14"/>
      <c r="L407" s="14"/>
      <c r="M407" s="14"/>
    </row>
    <row r="408" spans="1:13" s="41" customFormat="1" ht="30" customHeight="1" x14ac:dyDescent="0.3">
      <c r="A408" s="63"/>
      <c r="E408" s="36"/>
      <c r="F408" s="36"/>
      <c r="G408" s="36"/>
      <c r="H408" s="97"/>
      <c r="K408" s="14"/>
      <c r="L408" s="14"/>
      <c r="M408" s="14"/>
    </row>
    <row r="409" spans="1:13" s="41" customFormat="1" ht="30" customHeight="1" x14ac:dyDescent="0.3">
      <c r="A409" s="63"/>
      <c r="E409" s="36"/>
      <c r="F409" s="36"/>
      <c r="G409" s="36"/>
      <c r="H409" s="97"/>
      <c r="K409" s="14"/>
      <c r="L409" s="14"/>
      <c r="M409" s="14"/>
    </row>
    <row r="410" spans="1:13" s="41" customFormat="1" ht="30" customHeight="1" x14ac:dyDescent="0.3">
      <c r="A410" s="63"/>
      <c r="E410" s="36"/>
      <c r="F410" s="36"/>
      <c r="G410" s="36"/>
      <c r="H410" s="97"/>
      <c r="K410" s="14"/>
      <c r="L410" s="14"/>
      <c r="M410" s="14"/>
    </row>
    <row r="411" spans="1:13" s="41" customFormat="1" ht="30" customHeight="1" x14ac:dyDescent="0.3">
      <c r="A411" s="63"/>
      <c r="E411" s="36"/>
      <c r="F411" s="36"/>
      <c r="G411" s="36"/>
      <c r="H411" s="97"/>
      <c r="K411" s="14"/>
      <c r="L411" s="14"/>
      <c r="M411" s="14"/>
    </row>
    <row r="412" spans="1:13" s="41" customFormat="1" ht="30" customHeight="1" x14ac:dyDescent="0.3">
      <c r="A412" s="63"/>
      <c r="E412" s="36"/>
      <c r="F412" s="36"/>
      <c r="G412" s="36"/>
      <c r="H412" s="97"/>
      <c r="K412" s="14"/>
      <c r="L412" s="14"/>
      <c r="M412" s="14"/>
    </row>
    <row r="413" spans="1:13" s="41" customFormat="1" ht="30" customHeight="1" x14ac:dyDescent="0.3">
      <c r="A413" s="63"/>
      <c r="E413" s="36"/>
      <c r="F413" s="36"/>
      <c r="G413" s="36"/>
      <c r="H413" s="97"/>
      <c r="K413" s="14"/>
      <c r="L413" s="14"/>
      <c r="M413" s="14"/>
    </row>
    <row r="414" spans="1:13" s="41" customFormat="1" ht="30" customHeight="1" x14ac:dyDescent="0.3">
      <c r="A414" s="63"/>
      <c r="E414" s="36"/>
      <c r="F414" s="36"/>
      <c r="G414" s="36"/>
      <c r="H414" s="97"/>
      <c r="K414" s="14"/>
      <c r="L414" s="14"/>
      <c r="M414" s="14"/>
    </row>
    <row r="415" spans="1:13" s="41" customFormat="1" ht="30" customHeight="1" x14ac:dyDescent="0.3">
      <c r="A415" s="63"/>
      <c r="E415" s="36"/>
      <c r="F415" s="36"/>
      <c r="G415" s="36"/>
      <c r="H415" s="97"/>
      <c r="K415" s="14"/>
      <c r="L415" s="14"/>
      <c r="M415" s="14"/>
    </row>
    <row r="416" spans="1:13" s="41" customFormat="1" ht="30" customHeight="1" x14ac:dyDescent="0.3">
      <c r="A416" s="63"/>
      <c r="E416" s="36"/>
      <c r="F416" s="36"/>
      <c r="G416" s="36"/>
      <c r="H416" s="97"/>
      <c r="K416" s="14"/>
      <c r="L416" s="14"/>
      <c r="M416" s="14"/>
    </row>
    <row r="417" spans="1:13" s="41" customFormat="1" ht="30" customHeight="1" x14ac:dyDescent="0.3">
      <c r="A417" s="63"/>
      <c r="E417" s="36"/>
      <c r="F417" s="36"/>
      <c r="G417" s="36"/>
      <c r="H417" s="97"/>
      <c r="K417" s="14"/>
      <c r="L417" s="14"/>
      <c r="M417" s="14"/>
    </row>
    <row r="418" spans="1:13" s="41" customFormat="1" ht="30" customHeight="1" x14ac:dyDescent="0.3">
      <c r="A418" s="63"/>
      <c r="E418" s="36"/>
      <c r="F418" s="36"/>
      <c r="G418" s="36"/>
      <c r="H418" s="97"/>
      <c r="K418" s="14"/>
      <c r="L418" s="14"/>
      <c r="M418" s="14"/>
    </row>
    <row r="419" spans="1:13" s="41" customFormat="1" ht="30" customHeight="1" x14ac:dyDescent="0.3">
      <c r="A419" s="63"/>
      <c r="E419" s="36"/>
      <c r="F419" s="36"/>
      <c r="G419" s="36"/>
      <c r="H419" s="97"/>
      <c r="K419" s="14"/>
      <c r="L419" s="14"/>
      <c r="M419" s="14"/>
    </row>
    <row r="420" spans="1:13" s="41" customFormat="1" ht="30" customHeight="1" x14ac:dyDescent="0.3">
      <c r="A420" s="63"/>
      <c r="E420" s="36"/>
      <c r="F420" s="36"/>
      <c r="G420" s="36"/>
      <c r="H420" s="97"/>
      <c r="K420" s="14"/>
      <c r="L420" s="14"/>
      <c r="M420" s="14"/>
    </row>
    <row r="421" spans="1:13" s="41" customFormat="1" ht="30" customHeight="1" x14ac:dyDescent="0.3">
      <c r="A421" s="63"/>
      <c r="E421" s="36"/>
      <c r="F421" s="36"/>
      <c r="G421" s="36"/>
      <c r="H421" s="97"/>
      <c r="K421" s="14"/>
      <c r="L421" s="14"/>
      <c r="M421" s="14"/>
    </row>
    <row r="422" spans="1:13" s="41" customFormat="1" ht="30" customHeight="1" x14ac:dyDescent="0.3">
      <c r="A422" s="63"/>
      <c r="E422" s="36"/>
      <c r="F422" s="36"/>
      <c r="G422" s="36"/>
      <c r="H422" s="97"/>
      <c r="K422" s="14"/>
      <c r="L422" s="14"/>
      <c r="M422" s="14"/>
    </row>
    <row r="423" spans="1:13" s="41" customFormat="1" ht="30" customHeight="1" x14ac:dyDescent="0.3">
      <c r="A423" s="63"/>
      <c r="E423" s="36"/>
      <c r="F423" s="36"/>
      <c r="G423" s="36"/>
      <c r="H423" s="97"/>
      <c r="K423" s="14"/>
      <c r="L423" s="14"/>
      <c r="M423" s="14"/>
    </row>
    <row r="424" spans="1:13" s="41" customFormat="1" ht="30" customHeight="1" x14ac:dyDescent="0.3">
      <c r="A424" s="63"/>
      <c r="E424" s="36"/>
      <c r="F424" s="36"/>
      <c r="G424" s="36"/>
      <c r="H424" s="97"/>
      <c r="K424" s="14"/>
      <c r="L424" s="14"/>
      <c r="M424" s="14"/>
    </row>
    <row r="425" spans="1:13" s="41" customFormat="1" ht="30" customHeight="1" x14ac:dyDescent="0.3">
      <c r="A425" s="63"/>
      <c r="E425" s="36"/>
      <c r="F425" s="36"/>
      <c r="G425" s="36"/>
      <c r="H425" s="97"/>
      <c r="K425" s="14"/>
      <c r="L425" s="14"/>
      <c r="M425" s="14"/>
    </row>
    <row r="426" spans="1:13" s="41" customFormat="1" ht="30" customHeight="1" x14ac:dyDescent="0.3">
      <c r="A426" s="63"/>
      <c r="E426" s="36"/>
      <c r="F426" s="36"/>
      <c r="G426" s="36"/>
      <c r="H426" s="97"/>
      <c r="K426" s="14"/>
      <c r="L426" s="14"/>
      <c r="M426" s="14"/>
    </row>
    <row r="427" spans="1:13" s="41" customFormat="1" ht="30" customHeight="1" x14ac:dyDescent="0.3">
      <c r="A427" s="63"/>
      <c r="E427" s="36"/>
      <c r="F427" s="36"/>
      <c r="G427" s="36"/>
      <c r="H427" s="97"/>
      <c r="K427" s="14"/>
      <c r="L427" s="14"/>
      <c r="M427" s="14"/>
    </row>
    <row r="428" spans="1:13" s="41" customFormat="1" ht="30" customHeight="1" x14ac:dyDescent="0.3">
      <c r="A428" s="63"/>
      <c r="E428" s="36"/>
      <c r="F428" s="36"/>
      <c r="G428" s="36"/>
      <c r="H428" s="97"/>
      <c r="K428" s="14"/>
      <c r="L428" s="14"/>
      <c r="M428" s="14"/>
    </row>
    <row r="429" spans="1:13" s="41" customFormat="1" ht="30" customHeight="1" x14ac:dyDescent="0.3">
      <c r="A429" s="63"/>
      <c r="E429" s="36"/>
      <c r="F429" s="36"/>
      <c r="G429" s="36"/>
      <c r="H429" s="97"/>
      <c r="K429" s="14"/>
      <c r="L429" s="14"/>
      <c r="M429" s="14"/>
    </row>
    <row r="430" spans="1:13" s="41" customFormat="1" ht="30" customHeight="1" x14ac:dyDescent="0.3">
      <c r="A430" s="63"/>
      <c r="E430" s="36"/>
      <c r="F430" s="36"/>
      <c r="G430" s="36"/>
      <c r="H430" s="97"/>
      <c r="K430" s="14"/>
      <c r="L430" s="14"/>
      <c r="M430" s="14"/>
    </row>
    <row r="431" spans="1:13" s="41" customFormat="1" ht="30" customHeight="1" x14ac:dyDescent="0.3">
      <c r="A431" s="63"/>
      <c r="E431" s="36"/>
      <c r="F431" s="36"/>
      <c r="G431" s="36"/>
      <c r="H431" s="97"/>
      <c r="K431" s="14"/>
      <c r="L431" s="14"/>
      <c r="M431" s="14"/>
    </row>
    <row r="432" spans="1:13" s="41" customFormat="1" ht="30" customHeight="1" x14ac:dyDescent="0.3">
      <c r="A432" s="63"/>
      <c r="E432" s="36"/>
      <c r="F432" s="36"/>
      <c r="G432" s="36"/>
      <c r="H432" s="97"/>
      <c r="K432" s="14"/>
      <c r="L432" s="14"/>
      <c r="M432" s="14"/>
    </row>
    <row r="433" spans="1:13" s="41" customFormat="1" ht="30" customHeight="1" x14ac:dyDescent="0.3">
      <c r="A433" s="63"/>
      <c r="E433" s="36"/>
      <c r="F433" s="36"/>
      <c r="G433" s="36"/>
      <c r="H433" s="97"/>
      <c r="K433" s="14"/>
      <c r="L433" s="14"/>
      <c r="M433" s="14"/>
    </row>
    <row r="434" spans="1:13" s="41" customFormat="1" ht="30" customHeight="1" x14ac:dyDescent="0.3">
      <c r="A434" s="63"/>
      <c r="E434" s="36"/>
      <c r="F434" s="36"/>
      <c r="G434" s="36"/>
      <c r="H434" s="97"/>
      <c r="K434" s="14"/>
      <c r="L434" s="14"/>
      <c r="M434" s="14"/>
    </row>
    <row r="435" spans="1:13" s="41" customFormat="1" ht="30" customHeight="1" x14ac:dyDescent="0.3">
      <c r="A435" s="63"/>
      <c r="E435" s="36"/>
      <c r="F435" s="36"/>
      <c r="G435" s="36"/>
      <c r="H435" s="97"/>
      <c r="K435" s="14"/>
      <c r="L435" s="14"/>
      <c r="M435" s="14"/>
    </row>
    <row r="436" spans="1:13" s="41" customFormat="1" ht="30" customHeight="1" x14ac:dyDescent="0.3">
      <c r="A436" s="63"/>
      <c r="E436" s="36"/>
      <c r="F436" s="36"/>
      <c r="G436" s="36"/>
      <c r="H436" s="97"/>
      <c r="K436" s="14"/>
      <c r="L436" s="14"/>
      <c r="M436" s="14"/>
    </row>
    <row r="437" spans="1:13" s="41" customFormat="1" ht="30" customHeight="1" x14ac:dyDescent="0.3">
      <c r="A437" s="63"/>
      <c r="E437" s="36"/>
      <c r="F437" s="36"/>
      <c r="G437" s="36"/>
      <c r="H437" s="97"/>
      <c r="K437" s="14"/>
      <c r="L437" s="14"/>
      <c r="M437" s="14"/>
    </row>
    <row r="438" spans="1:13" s="41" customFormat="1" ht="30" customHeight="1" x14ac:dyDescent="0.3">
      <c r="A438" s="63"/>
      <c r="E438" s="36"/>
      <c r="F438" s="36"/>
      <c r="G438" s="36"/>
      <c r="H438" s="97"/>
      <c r="K438" s="14"/>
      <c r="L438" s="14"/>
      <c r="M438" s="14"/>
    </row>
    <row r="439" spans="1:13" s="41" customFormat="1" ht="30" customHeight="1" x14ac:dyDescent="0.3">
      <c r="A439" s="63"/>
      <c r="E439" s="36"/>
      <c r="F439" s="36"/>
      <c r="G439" s="36"/>
      <c r="H439" s="97"/>
      <c r="K439" s="14"/>
      <c r="L439" s="14"/>
      <c r="M439" s="14"/>
    </row>
    <row r="440" spans="1:13" s="41" customFormat="1" ht="30" customHeight="1" x14ac:dyDescent="0.3">
      <c r="A440" s="63"/>
      <c r="E440" s="36"/>
      <c r="F440" s="36"/>
      <c r="G440" s="36"/>
      <c r="H440" s="97"/>
      <c r="K440" s="14"/>
      <c r="L440" s="14"/>
      <c r="M440" s="14"/>
    </row>
    <row r="441" spans="1:13" s="41" customFormat="1" ht="30" customHeight="1" x14ac:dyDescent="0.3">
      <c r="A441" s="63"/>
      <c r="E441" s="36"/>
      <c r="F441" s="36"/>
      <c r="G441" s="36"/>
      <c r="H441" s="97"/>
      <c r="K441" s="14"/>
      <c r="L441" s="14"/>
      <c r="M441" s="14"/>
    </row>
    <row r="442" spans="1:13" s="41" customFormat="1" ht="30" customHeight="1" x14ac:dyDescent="0.3">
      <c r="A442" s="63"/>
      <c r="E442" s="36"/>
      <c r="F442" s="36"/>
      <c r="G442" s="36"/>
      <c r="H442" s="97"/>
      <c r="K442" s="14"/>
      <c r="L442" s="14"/>
      <c r="M442" s="14"/>
    </row>
    <row r="443" spans="1:13" s="41" customFormat="1" ht="30" customHeight="1" x14ac:dyDescent="0.3">
      <c r="A443" s="63"/>
      <c r="E443" s="36"/>
      <c r="F443" s="36"/>
      <c r="G443" s="36"/>
      <c r="H443" s="97"/>
      <c r="K443" s="14"/>
      <c r="L443" s="14"/>
      <c r="M443" s="14"/>
    </row>
    <row r="444" spans="1:13" s="41" customFormat="1" ht="30" customHeight="1" x14ac:dyDescent="0.3">
      <c r="A444" s="63"/>
      <c r="E444" s="36"/>
      <c r="F444" s="36"/>
      <c r="G444" s="36"/>
      <c r="H444" s="97"/>
      <c r="K444" s="14"/>
      <c r="L444" s="14"/>
      <c r="M444" s="14"/>
    </row>
    <row r="445" spans="1:13" s="41" customFormat="1" ht="30" customHeight="1" x14ac:dyDescent="0.3">
      <c r="A445" s="63"/>
      <c r="E445" s="36"/>
      <c r="F445" s="36"/>
      <c r="G445" s="36"/>
      <c r="H445" s="97"/>
      <c r="K445" s="14"/>
      <c r="L445" s="14"/>
      <c r="M445" s="14"/>
    </row>
    <row r="446" spans="1:13" s="41" customFormat="1" ht="30" customHeight="1" x14ac:dyDescent="0.3">
      <c r="A446" s="63"/>
      <c r="E446" s="36"/>
      <c r="F446" s="36"/>
      <c r="G446" s="36"/>
      <c r="H446" s="97"/>
      <c r="K446" s="14"/>
      <c r="L446" s="14"/>
      <c r="M446" s="14"/>
    </row>
    <row r="447" spans="1:13" s="41" customFormat="1" ht="30" customHeight="1" x14ac:dyDescent="0.3">
      <c r="A447" s="63"/>
      <c r="E447" s="36"/>
      <c r="F447" s="36"/>
      <c r="G447" s="36"/>
      <c r="H447" s="97"/>
      <c r="K447" s="14"/>
      <c r="L447" s="14"/>
      <c r="M447" s="14"/>
    </row>
    <row r="448" spans="1:13" s="41" customFormat="1" ht="30" customHeight="1" x14ac:dyDescent="0.3">
      <c r="A448" s="63"/>
      <c r="E448" s="36"/>
      <c r="F448" s="36"/>
      <c r="G448" s="36"/>
      <c r="H448" s="97"/>
      <c r="K448" s="14"/>
      <c r="L448" s="14"/>
      <c r="M448" s="14"/>
    </row>
    <row r="449" spans="1:13" s="41" customFormat="1" ht="30" customHeight="1" x14ac:dyDescent="0.3">
      <c r="A449" s="63"/>
      <c r="E449" s="36"/>
      <c r="F449" s="36"/>
      <c r="G449" s="36"/>
      <c r="H449" s="97"/>
      <c r="K449" s="14"/>
      <c r="L449" s="14"/>
      <c r="M449" s="14"/>
    </row>
    <row r="450" spans="1:13" s="41" customFormat="1" ht="30" customHeight="1" x14ac:dyDescent="0.3">
      <c r="A450" s="63"/>
      <c r="E450" s="36"/>
      <c r="F450" s="36"/>
      <c r="G450" s="36"/>
      <c r="H450" s="97"/>
      <c r="K450" s="14"/>
      <c r="L450" s="14"/>
      <c r="M450" s="14"/>
    </row>
    <row r="451" spans="1:13" s="41" customFormat="1" ht="30" customHeight="1" x14ac:dyDescent="0.3">
      <c r="A451" s="63"/>
      <c r="E451" s="36"/>
      <c r="F451" s="36"/>
      <c r="G451" s="36"/>
      <c r="H451" s="97"/>
      <c r="K451" s="14"/>
      <c r="L451" s="14"/>
      <c r="M451" s="14"/>
    </row>
    <row r="452" spans="1:13" s="41" customFormat="1" ht="30" customHeight="1" x14ac:dyDescent="0.3">
      <c r="A452" s="63"/>
      <c r="E452" s="36"/>
      <c r="F452" s="36"/>
      <c r="G452" s="36"/>
      <c r="H452" s="97"/>
      <c r="K452" s="14"/>
      <c r="L452" s="14"/>
      <c r="M452" s="14"/>
    </row>
    <row r="453" spans="1:13" s="41" customFormat="1" ht="30" customHeight="1" x14ac:dyDescent="0.3">
      <c r="A453" s="63"/>
      <c r="E453" s="36"/>
      <c r="F453" s="36"/>
      <c r="G453" s="36"/>
      <c r="H453" s="97"/>
      <c r="K453" s="14"/>
      <c r="L453" s="14"/>
      <c r="M453" s="14"/>
    </row>
    <row r="454" spans="1:13" s="41" customFormat="1" ht="30" customHeight="1" x14ac:dyDescent="0.3">
      <c r="A454" s="63"/>
      <c r="E454" s="36"/>
      <c r="F454" s="36"/>
      <c r="G454" s="36"/>
      <c r="H454" s="97"/>
      <c r="K454" s="14"/>
      <c r="L454" s="14"/>
      <c r="M454" s="14"/>
    </row>
    <row r="455" spans="1:13" s="41" customFormat="1" ht="30" customHeight="1" x14ac:dyDescent="0.3">
      <c r="A455" s="63"/>
      <c r="E455" s="36"/>
      <c r="F455" s="36"/>
      <c r="G455" s="36"/>
      <c r="H455" s="97"/>
      <c r="K455" s="14"/>
      <c r="L455" s="14"/>
      <c r="M455" s="14"/>
    </row>
    <row r="456" spans="1:13" s="41" customFormat="1" ht="30" customHeight="1" x14ac:dyDescent="0.3">
      <c r="A456" s="63"/>
      <c r="E456" s="36"/>
      <c r="F456" s="36"/>
      <c r="G456" s="36"/>
      <c r="H456" s="97"/>
      <c r="K456" s="14"/>
      <c r="L456" s="14"/>
      <c r="M456" s="14"/>
    </row>
    <row r="457" spans="1:13" s="41" customFormat="1" ht="30" customHeight="1" x14ac:dyDescent="0.3">
      <c r="A457" s="63"/>
      <c r="E457" s="36"/>
      <c r="F457" s="36"/>
      <c r="G457" s="36"/>
      <c r="H457" s="97"/>
      <c r="K457" s="14"/>
      <c r="L457" s="14"/>
      <c r="M457" s="14"/>
    </row>
    <row r="458" spans="1:13" s="41" customFormat="1" ht="30" customHeight="1" x14ac:dyDescent="0.3">
      <c r="A458" s="63"/>
      <c r="E458" s="36"/>
      <c r="F458" s="36"/>
      <c r="G458" s="36"/>
      <c r="H458" s="97"/>
      <c r="K458" s="14"/>
      <c r="L458" s="14"/>
      <c r="M458" s="14"/>
    </row>
    <row r="459" spans="1:13" s="41" customFormat="1" ht="30" customHeight="1" x14ac:dyDescent="0.3">
      <c r="A459" s="63"/>
      <c r="E459" s="36"/>
      <c r="F459" s="36"/>
      <c r="G459" s="36"/>
      <c r="H459" s="97"/>
      <c r="K459" s="14"/>
      <c r="L459" s="14"/>
      <c r="M459" s="14"/>
    </row>
    <row r="460" spans="1:13" s="41" customFormat="1" ht="30" customHeight="1" x14ac:dyDescent="0.3">
      <c r="A460" s="63"/>
      <c r="E460" s="36"/>
      <c r="F460" s="36"/>
      <c r="G460" s="36"/>
      <c r="H460" s="97"/>
      <c r="K460" s="14"/>
      <c r="L460" s="14"/>
      <c r="M460" s="14"/>
    </row>
    <row r="461" spans="1:13" s="41" customFormat="1" ht="30" customHeight="1" x14ac:dyDescent="0.3">
      <c r="A461" s="63"/>
      <c r="E461" s="36"/>
      <c r="F461" s="36"/>
      <c r="G461" s="36"/>
      <c r="H461" s="97"/>
      <c r="K461" s="14"/>
      <c r="L461" s="14"/>
      <c r="M461" s="14"/>
    </row>
    <row r="462" spans="1:13" s="41" customFormat="1" ht="30" customHeight="1" x14ac:dyDescent="0.3">
      <c r="A462" s="63"/>
      <c r="E462" s="36"/>
      <c r="F462" s="36"/>
      <c r="G462" s="36"/>
      <c r="H462" s="97"/>
      <c r="K462" s="14"/>
      <c r="L462" s="14"/>
      <c r="M462" s="14"/>
    </row>
    <row r="463" spans="1:13" s="41" customFormat="1" ht="30" customHeight="1" x14ac:dyDescent="0.3">
      <c r="A463" s="63"/>
      <c r="E463" s="36"/>
      <c r="F463" s="36"/>
      <c r="G463" s="36"/>
      <c r="H463" s="97"/>
      <c r="K463" s="14"/>
      <c r="L463" s="14"/>
      <c r="M463" s="14"/>
    </row>
    <row r="464" spans="1:13" s="41" customFormat="1" ht="30" customHeight="1" x14ac:dyDescent="0.3">
      <c r="A464" s="63"/>
      <c r="E464" s="36"/>
      <c r="F464" s="36"/>
      <c r="G464" s="36"/>
      <c r="H464" s="97">
        <f t="shared" ref="H464:H527" si="1">H463-G464-F464+E464</f>
        <v>0</v>
      </c>
      <c r="K464" s="14"/>
      <c r="L464" s="14"/>
      <c r="M464" s="14"/>
    </row>
    <row r="465" spans="1:13" s="41" customFormat="1" ht="30" customHeight="1" x14ac:dyDescent="0.3">
      <c r="A465" s="63"/>
      <c r="E465" s="36"/>
      <c r="F465" s="36"/>
      <c r="G465" s="36"/>
      <c r="H465" s="97">
        <f t="shared" si="1"/>
        <v>0</v>
      </c>
      <c r="K465" s="14"/>
      <c r="L465" s="14"/>
      <c r="M465" s="14"/>
    </row>
    <row r="466" spans="1:13" s="41" customFormat="1" ht="30" customHeight="1" x14ac:dyDescent="0.3">
      <c r="A466" s="63"/>
      <c r="E466" s="36"/>
      <c r="F466" s="36"/>
      <c r="G466" s="36"/>
      <c r="H466" s="97">
        <f t="shared" si="1"/>
        <v>0</v>
      </c>
      <c r="K466" s="14"/>
      <c r="L466" s="14"/>
      <c r="M466" s="14"/>
    </row>
    <row r="467" spans="1:13" s="41" customFormat="1" ht="30" customHeight="1" x14ac:dyDescent="0.3">
      <c r="A467" s="63"/>
      <c r="E467" s="36"/>
      <c r="F467" s="36"/>
      <c r="G467" s="36"/>
      <c r="H467" s="97">
        <f t="shared" si="1"/>
        <v>0</v>
      </c>
      <c r="K467" s="14"/>
      <c r="L467" s="14"/>
      <c r="M467" s="14"/>
    </row>
    <row r="468" spans="1:13" s="41" customFormat="1" ht="30" customHeight="1" x14ac:dyDescent="0.3">
      <c r="A468" s="63"/>
      <c r="E468" s="36"/>
      <c r="F468" s="36"/>
      <c r="G468" s="36"/>
      <c r="H468" s="97">
        <f t="shared" si="1"/>
        <v>0</v>
      </c>
      <c r="K468" s="14"/>
      <c r="L468" s="14"/>
      <c r="M468" s="14"/>
    </row>
    <row r="469" spans="1:13" s="41" customFormat="1" ht="30" customHeight="1" x14ac:dyDescent="0.3">
      <c r="A469" s="63"/>
      <c r="E469" s="36"/>
      <c r="F469" s="36"/>
      <c r="G469" s="36"/>
      <c r="H469" s="97">
        <f t="shared" si="1"/>
        <v>0</v>
      </c>
      <c r="K469" s="14"/>
      <c r="L469" s="14"/>
      <c r="M469" s="14"/>
    </row>
    <row r="470" spans="1:13" s="41" customFormat="1" ht="30" customHeight="1" x14ac:dyDescent="0.3">
      <c r="A470" s="63"/>
      <c r="E470" s="36"/>
      <c r="F470" s="36"/>
      <c r="G470" s="36"/>
      <c r="H470" s="97">
        <f t="shared" si="1"/>
        <v>0</v>
      </c>
      <c r="K470" s="14"/>
      <c r="L470" s="14"/>
      <c r="M470" s="14"/>
    </row>
    <row r="471" spans="1:13" s="41" customFormat="1" ht="30" customHeight="1" x14ac:dyDescent="0.3">
      <c r="A471" s="63"/>
      <c r="E471" s="36"/>
      <c r="F471" s="36"/>
      <c r="G471" s="36"/>
      <c r="H471" s="97">
        <f t="shared" si="1"/>
        <v>0</v>
      </c>
      <c r="K471" s="14"/>
      <c r="L471" s="14"/>
      <c r="M471" s="14"/>
    </row>
    <row r="472" spans="1:13" s="41" customFormat="1" ht="30" customHeight="1" x14ac:dyDescent="0.3">
      <c r="A472" s="63"/>
      <c r="E472" s="36"/>
      <c r="F472" s="36"/>
      <c r="G472" s="36"/>
      <c r="H472" s="97">
        <f t="shared" si="1"/>
        <v>0</v>
      </c>
      <c r="K472" s="14"/>
      <c r="L472" s="14"/>
      <c r="M472" s="14"/>
    </row>
    <row r="473" spans="1:13" s="41" customFormat="1" ht="30" customHeight="1" x14ac:dyDescent="0.3">
      <c r="A473" s="63"/>
      <c r="E473" s="36"/>
      <c r="F473" s="36"/>
      <c r="G473" s="36"/>
      <c r="H473" s="97">
        <f t="shared" si="1"/>
        <v>0</v>
      </c>
      <c r="K473" s="14"/>
      <c r="L473" s="14"/>
      <c r="M473" s="14"/>
    </row>
    <row r="474" spans="1:13" s="41" customFormat="1" ht="30" customHeight="1" x14ac:dyDescent="0.3">
      <c r="A474" s="63"/>
      <c r="E474" s="36"/>
      <c r="F474" s="36"/>
      <c r="G474" s="36"/>
      <c r="H474" s="97">
        <f t="shared" si="1"/>
        <v>0</v>
      </c>
      <c r="K474" s="14"/>
      <c r="L474" s="14"/>
      <c r="M474" s="14"/>
    </row>
    <row r="475" spans="1:13" s="41" customFormat="1" ht="30" customHeight="1" x14ac:dyDescent="0.3">
      <c r="A475" s="63"/>
      <c r="E475" s="36"/>
      <c r="F475" s="36"/>
      <c r="G475" s="36"/>
      <c r="H475" s="97">
        <f t="shared" si="1"/>
        <v>0</v>
      </c>
      <c r="K475" s="14"/>
      <c r="L475" s="14"/>
      <c r="M475" s="14"/>
    </row>
    <row r="476" spans="1:13" s="41" customFormat="1" ht="30" customHeight="1" x14ac:dyDescent="0.3">
      <c r="A476" s="63"/>
      <c r="E476" s="36"/>
      <c r="F476" s="36"/>
      <c r="G476" s="36"/>
      <c r="H476" s="97">
        <f t="shared" si="1"/>
        <v>0</v>
      </c>
      <c r="K476" s="14"/>
      <c r="L476" s="14"/>
      <c r="M476" s="14"/>
    </row>
    <row r="477" spans="1:13" s="41" customFormat="1" ht="30" customHeight="1" x14ac:dyDescent="0.3">
      <c r="A477" s="63"/>
      <c r="E477" s="36"/>
      <c r="F477" s="36"/>
      <c r="G477" s="36"/>
      <c r="H477" s="97">
        <f t="shared" si="1"/>
        <v>0</v>
      </c>
      <c r="K477" s="14"/>
      <c r="L477" s="14"/>
      <c r="M477" s="14"/>
    </row>
    <row r="478" spans="1:13" s="41" customFormat="1" ht="30" customHeight="1" x14ac:dyDescent="0.3">
      <c r="A478" s="63"/>
      <c r="E478" s="36"/>
      <c r="F478" s="36"/>
      <c r="G478" s="36"/>
      <c r="H478" s="97">
        <f t="shared" si="1"/>
        <v>0</v>
      </c>
      <c r="K478" s="14"/>
      <c r="L478" s="14"/>
      <c r="M478" s="14"/>
    </row>
    <row r="479" spans="1:13" s="41" customFormat="1" ht="30" customHeight="1" x14ac:dyDescent="0.3">
      <c r="A479" s="63"/>
      <c r="E479" s="36"/>
      <c r="F479" s="36"/>
      <c r="G479" s="36"/>
      <c r="H479" s="97">
        <f t="shared" si="1"/>
        <v>0</v>
      </c>
      <c r="K479" s="14"/>
      <c r="L479" s="14"/>
      <c r="M479" s="14"/>
    </row>
    <row r="480" spans="1:13" s="41" customFormat="1" ht="30" customHeight="1" x14ac:dyDescent="0.3">
      <c r="A480" s="63"/>
      <c r="E480" s="36"/>
      <c r="F480" s="36"/>
      <c r="G480" s="36"/>
      <c r="H480" s="97">
        <f t="shared" si="1"/>
        <v>0</v>
      </c>
      <c r="K480" s="14"/>
      <c r="L480" s="14"/>
      <c r="M480" s="14"/>
    </row>
    <row r="481" spans="1:13" s="41" customFormat="1" ht="30" customHeight="1" x14ac:dyDescent="0.3">
      <c r="A481" s="63"/>
      <c r="E481" s="36"/>
      <c r="F481" s="36"/>
      <c r="G481" s="36"/>
      <c r="H481" s="97">
        <f t="shared" si="1"/>
        <v>0</v>
      </c>
      <c r="K481" s="14"/>
      <c r="L481" s="14"/>
      <c r="M481" s="14"/>
    </row>
    <row r="482" spans="1:13" s="41" customFormat="1" ht="30" customHeight="1" x14ac:dyDescent="0.3">
      <c r="A482" s="63"/>
      <c r="E482" s="36"/>
      <c r="F482" s="36"/>
      <c r="G482" s="36"/>
      <c r="H482" s="97">
        <f t="shared" si="1"/>
        <v>0</v>
      </c>
      <c r="K482" s="14"/>
      <c r="L482" s="14"/>
      <c r="M482" s="14"/>
    </row>
    <row r="483" spans="1:13" s="41" customFormat="1" ht="30" customHeight="1" x14ac:dyDescent="0.3">
      <c r="A483" s="63"/>
      <c r="E483" s="36"/>
      <c r="F483" s="36"/>
      <c r="G483" s="36"/>
      <c r="H483" s="97">
        <f t="shared" si="1"/>
        <v>0</v>
      </c>
      <c r="K483" s="14"/>
      <c r="L483" s="14"/>
      <c r="M483" s="14"/>
    </row>
    <row r="484" spans="1:13" s="41" customFormat="1" ht="30" customHeight="1" x14ac:dyDescent="0.3">
      <c r="A484" s="63"/>
      <c r="E484" s="36"/>
      <c r="F484" s="36"/>
      <c r="G484" s="36"/>
      <c r="H484" s="97">
        <f t="shared" si="1"/>
        <v>0</v>
      </c>
      <c r="K484" s="14"/>
      <c r="L484" s="14"/>
      <c r="M484" s="14"/>
    </row>
    <row r="485" spans="1:13" s="41" customFormat="1" ht="30" customHeight="1" x14ac:dyDescent="0.3">
      <c r="A485" s="63"/>
      <c r="E485" s="36"/>
      <c r="F485" s="36"/>
      <c r="G485" s="36"/>
      <c r="H485" s="97">
        <f t="shared" si="1"/>
        <v>0</v>
      </c>
      <c r="K485" s="14"/>
      <c r="L485" s="14"/>
      <c r="M485" s="14"/>
    </row>
    <row r="486" spans="1:13" s="41" customFormat="1" ht="30" customHeight="1" x14ac:dyDescent="0.3">
      <c r="A486" s="63"/>
      <c r="E486" s="36"/>
      <c r="F486" s="36"/>
      <c r="G486" s="36"/>
      <c r="H486" s="97">
        <f t="shared" si="1"/>
        <v>0</v>
      </c>
      <c r="K486" s="14"/>
      <c r="L486" s="14"/>
      <c r="M486" s="14"/>
    </row>
    <row r="487" spans="1:13" s="41" customFormat="1" ht="30" customHeight="1" x14ac:dyDescent="0.3">
      <c r="A487" s="63"/>
      <c r="E487" s="36"/>
      <c r="F487" s="36"/>
      <c r="G487" s="36"/>
      <c r="H487" s="97">
        <f t="shared" si="1"/>
        <v>0</v>
      </c>
      <c r="K487" s="14"/>
      <c r="L487" s="14"/>
      <c r="M487" s="14"/>
    </row>
    <row r="488" spans="1:13" s="41" customFormat="1" ht="30" customHeight="1" x14ac:dyDescent="0.3">
      <c r="A488" s="63"/>
      <c r="E488" s="36"/>
      <c r="F488" s="36"/>
      <c r="G488" s="36"/>
      <c r="H488" s="97">
        <f t="shared" si="1"/>
        <v>0</v>
      </c>
      <c r="K488" s="14"/>
      <c r="L488" s="14"/>
      <c r="M488" s="14"/>
    </row>
    <row r="489" spans="1:13" s="41" customFormat="1" ht="30" customHeight="1" x14ac:dyDescent="0.3">
      <c r="A489" s="63"/>
      <c r="E489" s="36"/>
      <c r="F489" s="36"/>
      <c r="G489" s="36"/>
      <c r="H489" s="97">
        <f t="shared" si="1"/>
        <v>0</v>
      </c>
      <c r="K489" s="14"/>
      <c r="L489" s="14"/>
      <c r="M489" s="14"/>
    </row>
    <row r="490" spans="1:13" s="41" customFormat="1" ht="30" customHeight="1" x14ac:dyDescent="0.3">
      <c r="A490" s="63"/>
      <c r="E490" s="36"/>
      <c r="F490" s="36"/>
      <c r="G490" s="36"/>
      <c r="H490" s="97">
        <f t="shared" si="1"/>
        <v>0</v>
      </c>
      <c r="K490" s="14"/>
      <c r="L490" s="14"/>
      <c r="M490" s="14"/>
    </row>
    <row r="491" spans="1:13" s="41" customFormat="1" ht="30" customHeight="1" x14ac:dyDescent="0.3">
      <c r="A491" s="63"/>
      <c r="E491" s="36"/>
      <c r="F491" s="36"/>
      <c r="G491" s="36"/>
      <c r="H491" s="97">
        <f t="shared" si="1"/>
        <v>0</v>
      </c>
      <c r="K491" s="14"/>
      <c r="L491" s="14"/>
      <c r="M491" s="14"/>
    </row>
    <row r="492" spans="1:13" s="41" customFormat="1" ht="30" customHeight="1" x14ac:dyDescent="0.3">
      <c r="A492" s="63"/>
      <c r="E492" s="36"/>
      <c r="F492" s="36"/>
      <c r="G492" s="36"/>
      <c r="H492" s="97">
        <f t="shared" si="1"/>
        <v>0</v>
      </c>
      <c r="K492" s="14"/>
      <c r="L492" s="14"/>
      <c r="M492" s="14"/>
    </row>
    <row r="493" spans="1:13" s="41" customFormat="1" ht="30" customHeight="1" x14ac:dyDescent="0.3">
      <c r="A493" s="63"/>
      <c r="E493" s="36"/>
      <c r="F493" s="36"/>
      <c r="G493" s="36"/>
      <c r="H493" s="97">
        <f t="shared" si="1"/>
        <v>0</v>
      </c>
      <c r="K493" s="14"/>
      <c r="L493" s="14"/>
      <c r="M493" s="14"/>
    </row>
    <row r="494" spans="1:13" s="41" customFormat="1" ht="30" customHeight="1" x14ac:dyDescent="0.3">
      <c r="A494" s="63"/>
      <c r="E494" s="36"/>
      <c r="F494" s="36"/>
      <c r="G494" s="36"/>
      <c r="H494" s="97">
        <f t="shared" si="1"/>
        <v>0</v>
      </c>
      <c r="K494" s="14"/>
      <c r="L494" s="14"/>
      <c r="M494" s="14"/>
    </row>
    <row r="495" spans="1:13" s="41" customFormat="1" ht="30" customHeight="1" x14ac:dyDescent="0.3">
      <c r="A495" s="63"/>
      <c r="E495" s="36"/>
      <c r="F495" s="36"/>
      <c r="G495" s="36"/>
      <c r="H495" s="97">
        <f t="shared" si="1"/>
        <v>0</v>
      </c>
      <c r="K495" s="14"/>
      <c r="L495" s="14"/>
      <c r="M495" s="14"/>
    </row>
    <row r="496" spans="1:13" s="41" customFormat="1" ht="30" customHeight="1" x14ac:dyDescent="0.3">
      <c r="A496" s="63"/>
      <c r="E496" s="36"/>
      <c r="F496" s="36"/>
      <c r="G496" s="36"/>
      <c r="H496" s="97">
        <f t="shared" si="1"/>
        <v>0</v>
      </c>
      <c r="K496" s="14"/>
      <c r="L496" s="14"/>
      <c r="M496" s="14"/>
    </row>
    <row r="497" spans="1:13" s="41" customFormat="1" ht="30" customHeight="1" x14ac:dyDescent="0.3">
      <c r="A497" s="63"/>
      <c r="E497" s="36"/>
      <c r="F497" s="36"/>
      <c r="G497" s="36"/>
      <c r="H497" s="97">
        <f t="shared" si="1"/>
        <v>0</v>
      </c>
      <c r="K497" s="14"/>
      <c r="L497" s="14"/>
      <c r="M497" s="14"/>
    </row>
    <row r="498" spans="1:13" s="41" customFormat="1" ht="30" customHeight="1" x14ac:dyDescent="0.3">
      <c r="A498" s="63"/>
      <c r="E498" s="36"/>
      <c r="F498" s="36"/>
      <c r="G498" s="36"/>
      <c r="H498" s="97">
        <f t="shared" si="1"/>
        <v>0</v>
      </c>
      <c r="K498" s="14"/>
      <c r="L498" s="14"/>
      <c r="M498" s="14"/>
    </row>
    <row r="499" spans="1:13" s="41" customFormat="1" ht="30" customHeight="1" x14ac:dyDescent="0.3">
      <c r="A499" s="63"/>
      <c r="E499" s="36"/>
      <c r="F499" s="36"/>
      <c r="G499" s="36"/>
      <c r="H499" s="97">
        <f t="shared" si="1"/>
        <v>0</v>
      </c>
      <c r="K499" s="14"/>
      <c r="L499" s="14"/>
      <c r="M499" s="14"/>
    </row>
    <row r="500" spans="1:13" s="41" customFormat="1" ht="30" customHeight="1" x14ac:dyDescent="0.3">
      <c r="A500" s="63"/>
      <c r="E500" s="36"/>
      <c r="F500" s="36"/>
      <c r="G500" s="36"/>
      <c r="H500" s="97">
        <f t="shared" si="1"/>
        <v>0</v>
      </c>
      <c r="K500" s="14"/>
      <c r="L500" s="14"/>
      <c r="M500" s="14"/>
    </row>
    <row r="501" spans="1:13" s="41" customFormat="1" ht="30" customHeight="1" x14ac:dyDescent="0.3">
      <c r="A501" s="63"/>
      <c r="E501" s="36"/>
      <c r="F501" s="36"/>
      <c r="G501" s="36"/>
      <c r="H501" s="97">
        <f t="shared" si="1"/>
        <v>0</v>
      </c>
      <c r="K501" s="14"/>
      <c r="L501" s="14"/>
      <c r="M501" s="14"/>
    </row>
    <row r="502" spans="1:13" s="41" customFormat="1" ht="30" customHeight="1" x14ac:dyDescent="0.3">
      <c r="A502" s="63"/>
      <c r="E502" s="36"/>
      <c r="F502" s="36"/>
      <c r="G502" s="36"/>
      <c r="H502" s="97">
        <f t="shared" si="1"/>
        <v>0</v>
      </c>
      <c r="K502" s="14"/>
      <c r="L502" s="14"/>
      <c r="M502" s="14"/>
    </row>
    <row r="503" spans="1:13" s="41" customFormat="1" ht="30" customHeight="1" x14ac:dyDescent="0.3">
      <c r="A503" s="63"/>
      <c r="E503" s="36"/>
      <c r="F503" s="36"/>
      <c r="G503" s="36"/>
      <c r="H503" s="97">
        <f t="shared" si="1"/>
        <v>0</v>
      </c>
      <c r="K503" s="14"/>
      <c r="L503" s="14"/>
      <c r="M503" s="14"/>
    </row>
    <row r="504" spans="1:13" s="41" customFormat="1" ht="30" customHeight="1" x14ac:dyDescent="0.3">
      <c r="A504" s="63"/>
      <c r="E504" s="36"/>
      <c r="F504" s="36"/>
      <c r="G504" s="36"/>
      <c r="H504" s="97">
        <f t="shared" si="1"/>
        <v>0</v>
      </c>
      <c r="K504" s="14"/>
      <c r="L504" s="14"/>
      <c r="M504" s="14"/>
    </row>
    <row r="505" spans="1:13" s="41" customFormat="1" ht="30" customHeight="1" x14ac:dyDescent="0.3">
      <c r="A505" s="63"/>
      <c r="E505" s="36"/>
      <c r="F505" s="36"/>
      <c r="G505" s="36"/>
      <c r="H505" s="97">
        <f t="shared" si="1"/>
        <v>0</v>
      </c>
      <c r="K505" s="14"/>
      <c r="L505" s="14"/>
      <c r="M505" s="14"/>
    </row>
    <row r="506" spans="1:13" s="41" customFormat="1" ht="30" customHeight="1" x14ac:dyDescent="0.3">
      <c r="A506" s="63"/>
      <c r="E506" s="36"/>
      <c r="F506" s="36"/>
      <c r="G506" s="36"/>
      <c r="H506" s="97">
        <f t="shared" si="1"/>
        <v>0</v>
      </c>
      <c r="K506" s="14"/>
      <c r="L506" s="14"/>
      <c r="M506" s="14"/>
    </row>
    <row r="507" spans="1:13" s="41" customFormat="1" ht="30" customHeight="1" x14ac:dyDescent="0.3">
      <c r="A507" s="63"/>
      <c r="E507" s="36"/>
      <c r="F507" s="36"/>
      <c r="G507" s="36"/>
      <c r="H507" s="97">
        <f t="shared" si="1"/>
        <v>0</v>
      </c>
      <c r="K507" s="14"/>
      <c r="L507" s="14"/>
      <c r="M507" s="14"/>
    </row>
    <row r="508" spans="1:13" s="41" customFormat="1" ht="30" customHeight="1" x14ac:dyDescent="0.3">
      <c r="A508" s="63"/>
      <c r="E508" s="36"/>
      <c r="F508" s="36"/>
      <c r="G508" s="36"/>
      <c r="H508" s="97">
        <f t="shared" si="1"/>
        <v>0</v>
      </c>
      <c r="K508" s="14"/>
      <c r="L508" s="14"/>
      <c r="M508" s="14"/>
    </row>
    <row r="509" spans="1:13" s="41" customFormat="1" ht="30" customHeight="1" x14ac:dyDescent="0.3">
      <c r="A509" s="63"/>
      <c r="E509" s="36"/>
      <c r="F509" s="36"/>
      <c r="G509" s="36"/>
      <c r="H509" s="97">
        <f t="shared" si="1"/>
        <v>0</v>
      </c>
      <c r="K509" s="14"/>
      <c r="L509" s="14"/>
      <c r="M509" s="14"/>
    </row>
    <row r="510" spans="1:13" s="41" customFormat="1" ht="30" customHeight="1" x14ac:dyDescent="0.3">
      <c r="A510" s="63"/>
      <c r="E510" s="36"/>
      <c r="F510" s="36"/>
      <c r="G510" s="36"/>
      <c r="H510" s="97">
        <f t="shared" si="1"/>
        <v>0</v>
      </c>
      <c r="K510" s="14"/>
      <c r="L510" s="14"/>
      <c r="M510" s="14"/>
    </row>
    <row r="511" spans="1:13" s="41" customFormat="1" ht="30" customHeight="1" x14ac:dyDescent="0.3">
      <c r="A511" s="63"/>
      <c r="E511" s="36"/>
      <c r="F511" s="36"/>
      <c r="G511" s="36"/>
      <c r="H511" s="97">
        <f t="shared" si="1"/>
        <v>0</v>
      </c>
      <c r="K511" s="14"/>
      <c r="L511" s="14"/>
      <c r="M511" s="14"/>
    </row>
    <row r="512" spans="1:13" s="41" customFormat="1" ht="30" customHeight="1" x14ac:dyDescent="0.3">
      <c r="A512" s="63"/>
      <c r="E512" s="36"/>
      <c r="F512" s="36"/>
      <c r="G512" s="36"/>
      <c r="H512" s="97">
        <f t="shared" si="1"/>
        <v>0</v>
      </c>
      <c r="K512" s="14"/>
      <c r="L512" s="14"/>
      <c r="M512" s="14"/>
    </row>
    <row r="513" spans="1:13" s="41" customFormat="1" ht="30" customHeight="1" x14ac:dyDescent="0.3">
      <c r="A513" s="63"/>
      <c r="E513" s="36"/>
      <c r="F513" s="36"/>
      <c r="G513" s="36"/>
      <c r="H513" s="97">
        <f t="shared" si="1"/>
        <v>0</v>
      </c>
      <c r="K513" s="14"/>
      <c r="L513" s="14"/>
      <c r="M513" s="14"/>
    </row>
    <row r="514" spans="1:13" s="41" customFormat="1" ht="30" customHeight="1" x14ac:dyDescent="0.3">
      <c r="A514" s="63"/>
      <c r="E514" s="36"/>
      <c r="F514" s="36"/>
      <c r="G514" s="36"/>
      <c r="H514" s="97">
        <f t="shared" si="1"/>
        <v>0</v>
      </c>
      <c r="K514" s="14"/>
      <c r="L514" s="14"/>
      <c r="M514" s="14"/>
    </row>
    <row r="515" spans="1:13" s="41" customFormat="1" ht="30" customHeight="1" x14ac:dyDescent="0.3">
      <c r="A515" s="63"/>
      <c r="E515" s="36"/>
      <c r="F515" s="36"/>
      <c r="G515" s="36"/>
      <c r="H515" s="97">
        <f t="shared" si="1"/>
        <v>0</v>
      </c>
      <c r="K515" s="14"/>
      <c r="L515" s="14"/>
      <c r="M515" s="14"/>
    </row>
    <row r="516" spans="1:13" s="41" customFormat="1" ht="30" customHeight="1" x14ac:dyDescent="0.3">
      <c r="A516" s="63"/>
      <c r="E516" s="36"/>
      <c r="F516" s="36"/>
      <c r="G516" s="36"/>
      <c r="H516" s="97">
        <f t="shared" si="1"/>
        <v>0</v>
      </c>
      <c r="K516" s="14"/>
      <c r="L516" s="14"/>
      <c r="M516" s="14"/>
    </row>
    <row r="517" spans="1:13" s="41" customFormat="1" ht="30" customHeight="1" x14ac:dyDescent="0.3">
      <c r="A517" s="63"/>
      <c r="E517" s="36"/>
      <c r="F517" s="36"/>
      <c r="G517" s="36"/>
      <c r="H517" s="97">
        <f t="shared" si="1"/>
        <v>0</v>
      </c>
      <c r="K517" s="14"/>
      <c r="L517" s="14"/>
      <c r="M517" s="14"/>
    </row>
    <row r="518" spans="1:13" s="41" customFormat="1" ht="30" customHeight="1" x14ac:dyDescent="0.3">
      <c r="A518" s="63"/>
      <c r="E518" s="36"/>
      <c r="F518" s="36"/>
      <c r="G518" s="36"/>
      <c r="H518" s="97">
        <f t="shared" si="1"/>
        <v>0</v>
      </c>
      <c r="K518" s="14"/>
      <c r="L518" s="14"/>
      <c r="M518" s="14"/>
    </row>
    <row r="519" spans="1:13" s="41" customFormat="1" ht="30" customHeight="1" x14ac:dyDescent="0.3">
      <c r="A519" s="63"/>
      <c r="E519" s="36"/>
      <c r="F519" s="36"/>
      <c r="G519" s="36"/>
      <c r="H519" s="97">
        <f t="shared" si="1"/>
        <v>0</v>
      </c>
      <c r="K519" s="14"/>
      <c r="L519" s="14"/>
      <c r="M519" s="14"/>
    </row>
    <row r="520" spans="1:13" s="41" customFormat="1" ht="30" customHeight="1" x14ac:dyDescent="0.3">
      <c r="A520" s="63"/>
      <c r="E520" s="36"/>
      <c r="F520" s="36"/>
      <c r="G520" s="36"/>
      <c r="H520" s="97">
        <f t="shared" si="1"/>
        <v>0</v>
      </c>
      <c r="K520" s="14"/>
      <c r="L520" s="14"/>
      <c r="M520" s="14"/>
    </row>
    <row r="521" spans="1:13" s="41" customFormat="1" ht="30" customHeight="1" x14ac:dyDescent="0.3">
      <c r="A521" s="63"/>
      <c r="E521" s="36"/>
      <c r="F521" s="36"/>
      <c r="G521" s="36"/>
      <c r="H521" s="97">
        <f t="shared" si="1"/>
        <v>0</v>
      </c>
      <c r="K521" s="14"/>
      <c r="L521" s="14"/>
      <c r="M521" s="14"/>
    </row>
    <row r="522" spans="1:13" s="41" customFormat="1" ht="30" customHeight="1" x14ac:dyDescent="0.3">
      <c r="A522" s="63"/>
      <c r="E522" s="36"/>
      <c r="F522" s="36"/>
      <c r="G522" s="36"/>
      <c r="H522" s="97">
        <f t="shared" si="1"/>
        <v>0</v>
      </c>
      <c r="K522" s="14"/>
      <c r="L522" s="14"/>
      <c r="M522" s="14"/>
    </row>
    <row r="523" spans="1:13" s="41" customFormat="1" ht="30" customHeight="1" x14ac:dyDescent="0.3">
      <c r="A523" s="63"/>
      <c r="E523" s="36"/>
      <c r="F523" s="36"/>
      <c r="G523" s="36"/>
      <c r="H523" s="97">
        <f t="shared" si="1"/>
        <v>0</v>
      </c>
      <c r="K523" s="14"/>
      <c r="L523" s="14"/>
      <c r="M523" s="14"/>
    </row>
    <row r="524" spans="1:13" s="41" customFormat="1" ht="30" customHeight="1" x14ac:dyDescent="0.3">
      <c r="A524" s="63"/>
      <c r="E524" s="36"/>
      <c r="F524" s="36"/>
      <c r="G524" s="36"/>
      <c r="H524" s="97">
        <f t="shared" si="1"/>
        <v>0</v>
      </c>
      <c r="K524" s="14"/>
      <c r="L524" s="14"/>
      <c r="M524" s="14"/>
    </row>
    <row r="525" spans="1:13" s="41" customFormat="1" ht="30" customHeight="1" x14ac:dyDescent="0.3">
      <c r="A525" s="63"/>
      <c r="E525" s="36"/>
      <c r="F525" s="36"/>
      <c r="G525" s="36"/>
      <c r="H525" s="97">
        <f t="shared" si="1"/>
        <v>0</v>
      </c>
      <c r="K525" s="14"/>
      <c r="L525" s="14"/>
      <c r="M525" s="14"/>
    </row>
    <row r="526" spans="1:13" s="41" customFormat="1" ht="30" customHeight="1" x14ac:dyDescent="0.3">
      <c r="A526" s="63"/>
      <c r="E526" s="36"/>
      <c r="F526" s="36"/>
      <c r="G526" s="36"/>
      <c r="H526" s="97">
        <f t="shared" si="1"/>
        <v>0</v>
      </c>
      <c r="K526" s="14"/>
      <c r="L526" s="14"/>
      <c r="M526" s="14"/>
    </row>
    <row r="527" spans="1:13" s="41" customFormat="1" ht="30" customHeight="1" x14ac:dyDescent="0.3">
      <c r="A527" s="63"/>
      <c r="E527" s="36"/>
      <c r="F527" s="36"/>
      <c r="G527" s="36"/>
      <c r="H527" s="97">
        <f t="shared" si="1"/>
        <v>0</v>
      </c>
      <c r="K527" s="14"/>
      <c r="L527" s="14"/>
      <c r="M527" s="14"/>
    </row>
    <row r="528" spans="1:13" s="41" customFormat="1" ht="30" customHeight="1" x14ac:dyDescent="0.3">
      <c r="A528" s="63"/>
      <c r="E528" s="36"/>
      <c r="F528" s="36"/>
      <c r="G528" s="36"/>
      <c r="H528" s="97">
        <f t="shared" ref="H528:H591" si="2">H527-G528-F528+E528</f>
        <v>0</v>
      </c>
      <c r="K528" s="14"/>
      <c r="L528" s="14"/>
      <c r="M528" s="14"/>
    </row>
    <row r="529" spans="1:13" s="41" customFormat="1" ht="30" customHeight="1" x14ac:dyDescent="0.3">
      <c r="A529" s="63"/>
      <c r="E529" s="36"/>
      <c r="F529" s="36"/>
      <c r="G529" s="36"/>
      <c r="H529" s="97">
        <f t="shared" si="2"/>
        <v>0</v>
      </c>
      <c r="K529" s="14"/>
      <c r="L529" s="14"/>
      <c r="M529" s="14"/>
    </row>
    <row r="530" spans="1:13" s="41" customFormat="1" ht="30" customHeight="1" x14ac:dyDescent="0.3">
      <c r="A530" s="63"/>
      <c r="E530" s="36"/>
      <c r="F530" s="36"/>
      <c r="G530" s="36"/>
      <c r="H530" s="97">
        <f t="shared" si="2"/>
        <v>0</v>
      </c>
      <c r="K530" s="14"/>
      <c r="L530" s="14"/>
      <c r="M530" s="14"/>
    </row>
    <row r="531" spans="1:13" s="41" customFormat="1" ht="30" customHeight="1" x14ac:dyDescent="0.3">
      <c r="A531" s="63"/>
      <c r="E531" s="36"/>
      <c r="F531" s="36"/>
      <c r="G531" s="36"/>
      <c r="H531" s="97">
        <f t="shared" si="2"/>
        <v>0</v>
      </c>
      <c r="K531" s="14"/>
      <c r="L531" s="14"/>
      <c r="M531" s="14"/>
    </row>
    <row r="532" spans="1:13" s="41" customFormat="1" ht="30" customHeight="1" x14ac:dyDescent="0.3">
      <c r="A532" s="63"/>
      <c r="E532" s="36"/>
      <c r="F532" s="36"/>
      <c r="G532" s="36"/>
      <c r="H532" s="97">
        <f t="shared" si="2"/>
        <v>0</v>
      </c>
      <c r="K532" s="14"/>
      <c r="L532" s="14"/>
      <c r="M532" s="14"/>
    </row>
    <row r="533" spans="1:13" s="41" customFormat="1" ht="30" customHeight="1" x14ac:dyDescent="0.3">
      <c r="A533" s="63"/>
      <c r="E533" s="36"/>
      <c r="F533" s="36"/>
      <c r="G533" s="36"/>
      <c r="H533" s="97">
        <f t="shared" si="2"/>
        <v>0</v>
      </c>
      <c r="K533" s="14"/>
      <c r="L533" s="14"/>
      <c r="M533" s="14"/>
    </row>
    <row r="534" spans="1:13" s="41" customFormat="1" ht="30" customHeight="1" x14ac:dyDescent="0.3">
      <c r="A534" s="63"/>
      <c r="E534" s="36"/>
      <c r="F534" s="36"/>
      <c r="G534" s="36"/>
      <c r="H534" s="97">
        <f t="shared" si="2"/>
        <v>0</v>
      </c>
      <c r="K534" s="14"/>
      <c r="L534" s="14"/>
      <c r="M534" s="14"/>
    </row>
    <row r="535" spans="1:13" s="41" customFormat="1" ht="30" customHeight="1" x14ac:dyDescent="0.3">
      <c r="A535" s="63"/>
      <c r="E535" s="36"/>
      <c r="F535" s="36"/>
      <c r="G535" s="36"/>
      <c r="H535" s="97">
        <f t="shared" si="2"/>
        <v>0</v>
      </c>
      <c r="K535" s="14"/>
      <c r="L535" s="14"/>
      <c r="M535" s="14"/>
    </row>
    <row r="536" spans="1:13" s="41" customFormat="1" ht="30" customHeight="1" x14ac:dyDescent="0.3">
      <c r="A536" s="63"/>
      <c r="E536" s="36"/>
      <c r="F536" s="36"/>
      <c r="G536" s="36"/>
      <c r="H536" s="97">
        <f t="shared" si="2"/>
        <v>0</v>
      </c>
      <c r="K536" s="14"/>
      <c r="L536" s="14"/>
      <c r="M536" s="14"/>
    </row>
    <row r="537" spans="1:13" s="41" customFormat="1" ht="30" customHeight="1" x14ac:dyDescent="0.3">
      <c r="A537" s="63"/>
      <c r="E537" s="36"/>
      <c r="F537" s="36"/>
      <c r="G537" s="36"/>
      <c r="H537" s="97">
        <f t="shared" si="2"/>
        <v>0</v>
      </c>
      <c r="K537" s="14"/>
      <c r="L537" s="14"/>
      <c r="M537" s="14"/>
    </row>
    <row r="538" spans="1:13" s="41" customFormat="1" ht="30" customHeight="1" x14ac:dyDescent="0.3">
      <c r="A538" s="63"/>
      <c r="E538" s="36"/>
      <c r="F538" s="36"/>
      <c r="G538" s="36"/>
      <c r="H538" s="97">
        <f t="shared" si="2"/>
        <v>0</v>
      </c>
      <c r="K538" s="14"/>
      <c r="L538" s="14"/>
      <c r="M538" s="14"/>
    </row>
    <row r="539" spans="1:13" s="41" customFormat="1" ht="30" customHeight="1" x14ac:dyDescent="0.3">
      <c r="A539" s="63"/>
      <c r="E539" s="36"/>
      <c r="F539" s="36"/>
      <c r="G539" s="36"/>
      <c r="H539" s="97">
        <f t="shared" si="2"/>
        <v>0</v>
      </c>
      <c r="K539" s="14"/>
      <c r="L539" s="14"/>
      <c r="M539" s="14"/>
    </row>
    <row r="540" spans="1:13" s="41" customFormat="1" ht="30" customHeight="1" x14ac:dyDescent="0.3">
      <c r="A540" s="63"/>
      <c r="E540" s="36"/>
      <c r="F540" s="36"/>
      <c r="G540" s="36"/>
      <c r="H540" s="97">
        <f t="shared" si="2"/>
        <v>0</v>
      </c>
      <c r="K540" s="14"/>
      <c r="L540" s="14"/>
      <c r="M540" s="14"/>
    </row>
    <row r="541" spans="1:13" s="41" customFormat="1" ht="30" customHeight="1" x14ac:dyDescent="0.3">
      <c r="A541" s="63"/>
      <c r="E541" s="36"/>
      <c r="F541" s="36"/>
      <c r="G541" s="36"/>
      <c r="H541" s="97">
        <f t="shared" si="2"/>
        <v>0</v>
      </c>
      <c r="K541" s="14"/>
      <c r="L541" s="14"/>
      <c r="M541" s="14"/>
    </row>
    <row r="542" spans="1:13" s="41" customFormat="1" ht="30" customHeight="1" x14ac:dyDescent="0.3">
      <c r="A542" s="63"/>
      <c r="E542" s="36"/>
      <c r="F542" s="36"/>
      <c r="G542" s="36"/>
      <c r="H542" s="97">
        <f t="shared" si="2"/>
        <v>0</v>
      </c>
      <c r="K542" s="14"/>
      <c r="L542" s="14"/>
      <c r="M542" s="14"/>
    </row>
    <row r="543" spans="1:13" s="41" customFormat="1" ht="30" customHeight="1" x14ac:dyDescent="0.3">
      <c r="A543" s="63"/>
      <c r="E543" s="36"/>
      <c r="F543" s="36"/>
      <c r="G543" s="36"/>
      <c r="H543" s="97">
        <f t="shared" si="2"/>
        <v>0</v>
      </c>
      <c r="K543" s="14"/>
      <c r="L543" s="14"/>
      <c r="M543" s="14"/>
    </row>
    <row r="544" spans="1:13" s="41" customFormat="1" ht="30" customHeight="1" x14ac:dyDescent="0.3">
      <c r="A544" s="63"/>
      <c r="E544" s="36"/>
      <c r="F544" s="36"/>
      <c r="G544" s="36"/>
      <c r="H544" s="97">
        <f t="shared" si="2"/>
        <v>0</v>
      </c>
      <c r="K544" s="14"/>
      <c r="L544" s="14"/>
      <c r="M544" s="14"/>
    </row>
    <row r="545" spans="1:13" s="41" customFormat="1" ht="30" customHeight="1" x14ac:dyDescent="0.3">
      <c r="A545" s="63"/>
      <c r="E545" s="36"/>
      <c r="F545" s="36"/>
      <c r="G545" s="36"/>
      <c r="H545" s="97">
        <f t="shared" si="2"/>
        <v>0</v>
      </c>
      <c r="K545" s="14"/>
      <c r="L545" s="14"/>
      <c r="M545" s="14"/>
    </row>
    <row r="546" spans="1:13" s="41" customFormat="1" ht="30" customHeight="1" x14ac:dyDescent="0.3">
      <c r="A546" s="63"/>
      <c r="E546" s="36"/>
      <c r="F546" s="36"/>
      <c r="G546" s="36"/>
      <c r="H546" s="97">
        <f t="shared" si="2"/>
        <v>0</v>
      </c>
      <c r="K546" s="14"/>
      <c r="L546" s="14"/>
      <c r="M546" s="14"/>
    </row>
    <row r="547" spans="1:13" s="41" customFormat="1" ht="30" customHeight="1" x14ac:dyDescent="0.3">
      <c r="A547" s="63"/>
      <c r="E547" s="36"/>
      <c r="F547" s="36"/>
      <c r="G547" s="36"/>
      <c r="H547" s="97">
        <f t="shared" si="2"/>
        <v>0</v>
      </c>
      <c r="K547" s="14"/>
      <c r="L547" s="14"/>
      <c r="M547" s="14"/>
    </row>
    <row r="548" spans="1:13" s="41" customFormat="1" ht="30" customHeight="1" x14ac:dyDescent="0.3">
      <c r="A548" s="63"/>
      <c r="E548" s="36"/>
      <c r="F548" s="36"/>
      <c r="G548" s="36"/>
      <c r="H548" s="97">
        <f t="shared" si="2"/>
        <v>0</v>
      </c>
      <c r="K548" s="14"/>
      <c r="L548" s="14"/>
      <c r="M548" s="14"/>
    </row>
    <row r="549" spans="1:13" s="41" customFormat="1" ht="30" customHeight="1" x14ac:dyDescent="0.3">
      <c r="A549" s="63"/>
      <c r="E549" s="36"/>
      <c r="F549" s="36"/>
      <c r="G549" s="36"/>
      <c r="H549" s="97">
        <f t="shared" si="2"/>
        <v>0</v>
      </c>
      <c r="K549" s="14"/>
      <c r="L549" s="14"/>
      <c r="M549" s="14"/>
    </row>
    <row r="550" spans="1:13" s="41" customFormat="1" ht="30" customHeight="1" x14ac:dyDescent="0.3">
      <c r="A550" s="63"/>
      <c r="E550" s="36"/>
      <c r="F550" s="36"/>
      <c r="G550" s="36"/>
      <c r="H550" s="97">
        <f t="shared" si="2"/>
        <v>0</v>
      </c>
      <c r="K550" s="14"/>
      <c r="L550" s="14"/>
      <c r="M550" s="14"/>
    </row>
    <row r="551" spans="1:13" s="41" customFormat="1" ht="30" customHeight="1" x14ac:dyDescent="0.3">
      <c r="A551" s="63"/>
      <c r="E551" s="36"/>
      <c r="F551" s="36"/>
      <c r="G551" s="36"/>
      <c r="H551" s="97">
        <f t="shared" si="2"/>
        <v>0</v>
      </c>
      <c r="K551" s="14"/>
      <c r="L551" s="14"/>
      <c r="M551" s="14"/>
    </row>
    <row r="552" spans="1:13" s="41" customFormat="1" ht="30" customHeight="1" x14ac:dyDescent="0.3">
      <c r="A552" s="63"/>
      <c r="E552" s="36"/>
      <c r="F552" s="36"/>
      <c r="G552" s="36"/>
      <c r="H552" s="97">
        <f t="shared" si="2"/>
        <v>0</v>
      </c>
      <c r="K552" s="14"/>
      <c r="L552" s="14"/>
      <c r="M552" s="14"/>
    </row>
    <row r="553" spans="1:13" s="41" customFormat="1" ht="30" customHeight="1" x14ac:dyDescent="0.3">
      <c r="A553" s="63"/>
      <c r="E553" s="36"/>
      <c r="F553" s="36"/>
      <c r="G553" s="36"/>
      <c r="H553" s="97">
        <f t="shared" si="2"/>
        <v>0</v>
      </c>
      <c r="K553" s="14"/>
      <c r="L553" s="14"/>
      <c r="M553" s="14"/>
    </row>
    <row r="554" spans="1:13" s="41" customFormat="1" ht="30" customHeight="1" x14ac:dyDescent="0.3">
      <c r="A554" s="63"/>
      <c r="E554" s="36"/>
      <c r="F554" s="36"/>
      <c r="G554" s="36"/>
      <c r="H554" s="97">
        <f t="shared" si="2"/>
        <v>0</v>
      </c>
      <c r="K554" s="14"/>
      <c r="L554" s="14"/>
      <c r="M554" s="14"/>
    </row>
    <row r="555" spans="1:13" s="41" customFormat="1" ht="30" customHeight="1" x14ac:dyDescent="0.3">
      <c r="A555" s="63"/>
      <c r="E555" s="36"/>
      <c r="F555" s="36"/>
      <c r="G555" s="36"/>
      <c r="H555" s="97">
        <f t="shared" si="2"/>
        <v>0</v>
      </c>
      <c r="K555" s="14"/>
      <c r="L555" s="14"/>
      <c r="M555" s="14"/>
    </row>
    <row r="556" spans="1:13" s="41" customFormat="1" ht="30" customHeight="1" x14ac:dyDescent="0.3">
      <c r="A556" s="63"/>
      <c r="E556" s="36"/>
      <c r="F556" s="36"/>
      <c r="G556" s="36"/>
      <c r="H556" s="97">
        <f t="shared" si="2"/>
        <v>0</v>
      </c>
      <c r="K556" s="14"/>
      <c r="L556" s="14"/>
      <c r="M556" s="14"/>
    </row>
    <row r="557" spans="1:13" s="41" customFormat="1" ht="30" customHeight="1" x14ac:dyDescent="0.3">
      <c r="A557" s="63"/>
      <c r="E557" s="36"/>
      <c r="F557" s="36"/>
      <c r="G557" s="36"/>
      <c r="H557" s="97">
        <f t="shared" si="2"/>
        <v>0</v>
      </c>
      <c r="K557" s="14"/>
      <c r="L557" s="14"/>
      <c r="M557" s="14"/>
    </row>
    <row r="558" spans="1:13" s="41" customFormat="1" ht="30" customHeight="1" x14ac:dyDescent="0.3">
      <c r="A558" s="63"/>
      <c r="E558" s="36"/>
      <c r="F558" s="36"/>
      <c r="G558" s="36"/>
      <c r="H558" s="97">
        <f t="shared" si="2"/>
        <v>0</v>
      </c>
      <c r="K558" s="14"/>
      <c r="L558" s="14"/>
      <c r="M558" s="14"/>
    </row>
    <row r="559" spans="1:13" s="41" customFormat="1" ht="30" customHeight="1" x14ac:dyDescent="0.3">
      <c r="A559" s="63"/>
      <c r="E559" s="36"/>
      <c r="F559" s="36"/>
      <c r="G559" s="36"/>
      <c r="H559" s="97">
        <f t="shared" si="2"/>
        <v>0</v>
      </c>
      <c r="K559" s="14"/>
      <c r="L559" s="14"/>
      <c r="M559" s="14"/>
    </row>
    <row r="560" spans="1:13" s="41" customFormat="1" ht="30" customHeight="1" x14ac:dyDescent="0.3">
      <c r="A560" s="63"/>
      <c r="E560" s="36"/>
      <c r="F560" s="36"/>
      <c r="G560" s="36"/>
      <c r="H560" s="97">
        <f t="shared" si="2"/>
        <v>0</v>
      </c>
      <c r="K560" s="14"/>
      <c r="L560" s="14"/>
      <c r="M560" s="14"/>
    </row>
    <row r="561" spans="1:13" s="41" customFormat="1" ht="30" customHeight="1" x14ac:dyDescent="0.3">
      <c r="A561" s="63"/>
      <c r="E561" s="36"/>
      <c r="F561" s="36"/>
      <c r="G561" s="36"/>
      <c r="H561" s="97">
        <f t="shared" si="2"/>
        <v>0</v>
      </c>
      <c r="K561" s="14"/>
      <c r="L561" s="14"/>
      <c r="M561" s="14"/>
    </row>
    <row r="562" spans="1:13" s="41" customFormat="1" ht="30" customHeight="1" x14ac:dyDescent="0.3">
      <c r="A562" s="63"/>
      <c r="E562" s="36"/>
      <c r="F562" s="36"/>
      <c r="G562" s="36"/>
      <c r="H562" s="97">
        <f t="shared" si="2"/>
        <v>0</v>
      </c>
      <c r="K562" s="14"/>
      <c r="L562" s="14"/>
      <c r="M562" s="14"/>
    </row>
    <row r="563" spans="1:13" s="41" customFormat="1" ht="30" customHeight="1" x14ac:dyDescent="0.3">
      <c r="A563" s="63"/>
      <c r="E563" s="36"/>
      <c r="F563" s="36"/>
      <c r="G563" s="36"/>
      <c r="H563" s="97">
        <f t="shared" si="2"/>
        <v>0</v>
      </c>
      <c r="K563" s="14"/>
      <c r="L563" s="14"/>
      <c r="M563" s="14"/>
    </row>
    <row r="564" spans="1:13" s="41" customFormat="1" ht="30" customHeight="1" x14ac:dyDescent="0.3">
      <c r="A564" s="63"/>
      <c r="E564" s="36"/>
      <c r="F564" s="36"/>
      <c r="G564" s="36"/>
      <c r="H564" s="97">
        <f t="shared" si="2"/>
        <v>0</v>
      </c>
      <c r="K564" s="14"/>
      <c r="L564" s="14"/>
      <c r="M564" s="14"/>
    </row>
    <row r="565" spans="1:13" s="41" customFormat="1" ht="30" customHeight="1" x14ac:dyDescent="0.3">
      <c r="A565" s="63"/>
      <c r="E565" s="36"/>
      <c r="F565" s="36"/>
      <c r="G565" s="36"/>
      <c r="H565" s="97">
        <f t="shared" si="2"/>
        <v>0</v>
      </c>
      <c r="K565" s="14"/>
      <c r="L565" s="14"/>
      <c r="M565" s="14"/>
    </row>
    <row r="566" spans="1:13" s="41" customFormat="1" ht="30" customHeight="1" x14ac:dyDescent="0.3">
      <c r="A566" s="63"/>
      <c r="E566" s="36"/>
      <c r="F566" s="36"/>
      <c r="G566" s="36"/>
      <c r="H566" s="97">
        <f t="shared" si="2"/>
        <v>0</v>
      </c>
      <c r="K566" s="14"/>
      <c r="L566" s="14"/>
      <c r="M566" s="14"/>
    </row>
    <row r="567" spans="1:13" s="41" customFormat="1" ht="30" customHeight="1" x14ac:dyDescent="0.3">
      <c r="A567" s="63"/>
      <c r="E567" s="36"/>
      <c r="F567" s="36"/>
      <c r="G567" s="36"/>
      <c r="H567" s="97">
        <f t="shared" si="2"/>
        <v>0</v>
      </c>
      <c r="K567" s="14"/>
      <c r="L567" s="14"/>
      <c r="M567" s="14"/>
    </row>
    <row r="568" spans="1:13" s="41" customFormat="1" ht="30" customHeight="1" x14ac:dyDescent="0.3">
      <c r="A568" s="63"/>
      <c r="E568" s="36"/>
      <c r="F568" s="36"/>
      <c r="G568" s="36"/>
      <c r="H568" s="97">
        <f t="shared" si="2"/>
        <v>0</v>
      </c>
      <c r="K568" s="14"/>
      <c r="L568" s="14"/>
      <c r="M568" s="14"/>
    </row>
    <row r="569" spans="1:13" s="41" customFormat="1" ht="30" customHeight="1" x14ac:dyDescent="0.3">
      <c r="A569" s="63"/>
      <c r="E569" s="36"/>
      <c r="F569" s="36"/>
      <c r="G569" s="36"/>
      <c r="H569" s="97">
        <f t="shared" si="2"/>
        <v>0</v>
      </c>
      <c r="K569" s="14"/>
      <c r="L569" s="14"/>
      <c r="M569" s="14"/>
    </row>
    <row r="570" spans="1:13" s="41" customFormat="1" ht="30" customHeight="1" x14ac:dyDescent="0.3">
      <c r="A570" s="63"/>
      <c r="E570" s="36"/>
      <c r="F570" s="36"/>
      <c r="G570" s="36"/>
      <c r="H570" s="97">
        <f t="shared" si="2"/>
        <v>0</v>
      </c>
      <c r="K570" s="14"/>
      <c r="L570" s="14"/>
      <c r="M570" s="14"/>
    </row>
    <row r="571" spans="1:13" s="41" customFormat="1" ht="30" customHeight="1" x14ac:dyDescent="0.3">
      <c r="A571" s="63"/>
      <c r="E571" s="36"/>
      <c r="F571" s="36"/>
      <c r="G571" s="36"/>
      <c r="H571" s="97">
        <f t="shared" si="2"/>
        <v>0</v>
      </c>
      <c r="K571" s="14"/>
      <c r="L571" s="14"/>
      <c r="M571" s="14"/>
    </row>
    <row r="572" spans="1:13" s="41" customFormat="1" ht="30" customHeight="1" x14ac:dyDescent="0.3">
      <c r="A572" s="63"/>
      <c r="E572" s="36"/>
      <c r="F572" s="36"/>
      <c r="G572" s="36"/>
      <c r="H572" s="97">
        <f t="shared" si="2"/>
        <v>0</v>
      </c>
      <c r="K572" s="14"/>
      <c r="L572" s="14"/>
      <c r="M572" s="14"/>
    </row>
    <row r="573" spans="1:13" s="41" customFormat="1" ht="30" customHeight="1" x14ac:dyDescent="0.3">
      <c r="A573" s="63"/>
      <c r="E573" s="36"/>
      <c r="F573" s="36"/>
      <c r="G573" s="36"/>
      <c r="H573" s="97">
        <f t="shared" si="2"/>
        <v>0</v>
      </c>
      <c r="K573" s="14"/>
      <c r="L573" s="14"/>
      <c r="M573" s="14"/>
    </row>
    <row r="574" spans="1:13" s="41" customFormat="1" ht="30" customHeight="1" x14ac:dyDescent="0.3">
      <c r="A574" s="63"/>
      <c r="E574" s="36"/>
      <c r="F574" s="36"/>
      <c r="G574" s="36"/>
      <c r="H574" s="97">
        <f t="shared" si="2"/>
        <v>0</v>
      </c>
      <c r="K574" s="14"/>
      <c r="L574" s="14"/>
      <c r="M574" s="14"/>
    </row>
    <row r="575" spans="1:13" s="41" customFormat="1" ht="30" customHeight="1" x14ac:dyDescent="0.3">
      <c r="A575" s="63"/>
      <c r="E575" s="36"/>
      <c r="F575" s="36"/>
      <c r="G575" s="36"/>
      <c r="H575" s="97">
        <f t="shared" si="2"/>
        <v>0</v>
      </c>
      <c r="K575" s="14"/>
      <c r="L575" s="14"/>
      <c r="M575" s="14"/>
    </row>
    <row r="576" spans="1:13" s="41" customFormat="1" ht="30" customHeight="1" x14ac:dyDescent="0.3">
      <c r="A576" s="63"/>
      <c r="E576" s="36"/>
      <c r="F576" s="36"/>
      <c r="G576" s="36"/>
      <c r="H576" s="97">
        <f t="shared" si="2"/>
        <v>0</v>
      </c>
      <c r="K576" s="14"/>
      <c r="L576" s="14"/>
      <c r="M576" s="14"/>
    </row>
    <row r="577" spans="1:13" s="41" customFormat="1" ht="30" customHeight="1" x14ac:dyDescent="0.3">
      <c r="A577" s="63"/>
      <c r="E577" s="36"/>
      <c r="F577" s="36"/>
      <c r="G577" s="36"/>
      <c r="H577" s="97">
        <f t="shared" si="2"/>
        <v>0</v>
      </c>
      <c r="K577" s="14"/>
      <c r="L577" s="14"/>
      <c r="M577" s="14"/>
    </row>
    <row r="578" spans="1:13" s="41" customFormat="1" ht="30" customHeight="1" x14ac:dyDescent="0.3">
      <c r="A578" s="63"/>
      <c r="E578" s="36"/>
      <c r="F578" s="36"/>
      <c r="G578" s="36"/>
      <c r="H578" s="97">
        <f t="shared" si="2"/>
        <v>0</v>
      </c>
      <c r="K578" s="14"/>
      <c r="L578" s="14"/>
      <c r="M578" s="14"/>
    </row>
    <row r="579" spans="1:13" s="41" customFormat="1" ht="30" customHeight="1" x14ac:dyDescent="0.3">
      <c r="A579" s="63"/>
      <c r="E579" s="36"/>
      <c r="F579" s="36"/>
      <c r="G579" s="36"/>
      <c r="H579" s="97">
        <f t="shared" si="2"/>
        <v>0</v>
      </c>
      <c r="K579" s="14"/>
      <c r="L579" s="14"/>
      <c r="M579" s="14"/>
    </row>
    <row r="580" spans="1:13" s="41" customFormat="1" ht="30" customHeight="1" x14ac:dyDescent="0.3">
      <c r="A580" s="63"/>
      <c r="E580" s="36"/>
      <c r="F580" s="36"/>
      <c r="G580" s="36"/>
      <c r="H580" s="97">
        <f t="shared" si="2"/>
        <v>0</v>
      </c>
      <c r="K580" s="14"/>
      <c r="L580" s="14"/>
      <c r="M580" s="14"/>
    </row>
    <row r="581" spans="1:13" s="41" customFormat="1" ht="30" customHeight="1" x14ac:dyDescent="0.3">
      <c r="A581" s="63"/>
      <c r="E581" s="36"/>
      <c r="F581" s="36"/>
      <c r="G581" s="36"/>
      <c r="H581" s="97">
        <f t="shared" si="2"/>
        <v>0</v>
      </c>
      <c r="K581" s="14"/>
      <c r="L581" s="14"/>
      <c r="M581" s="14"/>
    </row>
    <row r="582" spans="1:13" s="41" customFormat="1" ht="30" customHeight="1" x14ac:dyDescent="0.3">
      <c r="A582" s="63"/>
      <c r="E582" s="36"/>
      <c r="F582" s="36"/>
      <c r="G582" s="36"/>
      <c r="H582" s="97">
        <f t="shared" si="2"/>
        <v>0</v>
      </c>
      <c r="K582" s="14"/>
      <c r="L582" s="14"/>
      <c r="M582" s="14"/>
    </row>
    <row r="583" spans="1:13" s="41" customFormat="1" ht="30" customHeight="1" x14ac:dyDescent="0.3">
      <c r="A583" s="63"/>
      <c r="E583" s="36"/>
      <c r="F583" s="36"/>
      <c r="G583" s="36"/>
      <c r="H583" s="97">
        <f t="shared" si="2"/>
        <v>0</v>
      </c>
      <c r="K583" s="14"/>
      <c r="L583" s="14"/>
      <c r="M583" s="14"/>
    </row>
    <row r="584" spans="1:13" s="41" customFormat="1" ht="30" customHeight="1" x14ac:dyDescent="0.3">
      <c r="A584" s="63"/>
      <c r="E584" s="36"/>
      <c r="F584" s="36"/>
      <c r="G584" s="36"/>
      <c r="H584" s="97">
        <f t="shared" si="2"/>
        <v>0</v>
      </c>
      <c r="K584" s="14"/>
      <c r="L584" s="14"/>
      <c r="M584" s="14"/>
    </row>
    <row r="585" spans="1:13" s="41" customFormat="1" ht="30" customHeight="1" x14ac:dyDescent="0.3">
      <c r="A585" s="63"/>
      <c r="E585" s="36"/>
      <c r="F585" s="36"/>
      <c r="G585" s="36"/>
      <c r="H585" s="97">
        <f t="shared" si="2"/>
        <v>0</v>
      </c>
      <c r="K585" s="14"/>
      <c r="L585" s="14"/>
      <c r="M585" s="14"/>
    </row>
    <row r="586" spans="1:13" s="41" customFormat="1" ht="30" customHeight="1" x14ac:dyDescent="0.3">
      <c r="A586" s="63"/>
      <c r="E586" s="36"/>
      <c r="F586" s="36"/>
      <c r="G586" s="36"/>
      <c r="H586" s="97">
        <f t="shared" si="2"/>
        <v>0</v>
      </c>
      <c r="K586" s="14"/>
      <c r="L586" s="14"/>
      <c r="M586" s="14"/>
    </row>
    <row r="587" spans="1:13" s="41" customFormat="1" ht="30" customHeight="1" x14ac:dyDescent="0.3">
      <c r="A587" s="63"/>
      <c r="E587" s="36"/>
      <c r="F587" s="36"/>
      <c r="G587" s="36"/>
      <c r="H587" s="97">
        <f t="shared" si="2"/>
        <v>0</v>
      </c>
      <c r="K587" s="14"/>
      <c r="L587" s="14"/>
      <c r="M587" s="14"/>
    </row>
    <row r="588" spans="1:13" s="41" customFormat="1" ht="30" customHeight="1" x14ac:dyDescent="0.3">
      <c r="A588" s="63"/>
      <c r="E588" s="36"/>
      <c r="F588" s="36"/>
      <c r="G588" s="36"/>
      <c r="H588" s="97">
        <f t="shared" si="2"/>
        <v>0</v>
      </c>
      <c r="K588" s="14"/>
      <c r="L588" s="14"/>
      <c r="M588" s="14"/>
    </row>
    <row r="589" spans="1:13" s="41" customFormat="1" ht="30" customHeight="1" x14ac:dyDescent="0.3">
      <c r="A589" s="63"/>
      <c r="E589" s="36"/>
      <c r="F589" s="36"/>
      <c r="G589" s="36"/>
      <c r="H589" s="97">
        <f t="shared" si="2"/>
        <v>0</v>
      </c>
      <c r="K589" s="14"/>
      <c r="L589" s="14"/>
      <c r="M589" s="14"/>
    </row>
    <row r="590" spans="1:13" s="41" customFormat="1" ht="30" customHeight="1" x14ac:dyDescent="0.3">
      <c r="A590" s="63"/>
      <c r="E590" s="36"/>
      <c r="F590" s="36"/>
      <c r="G590" s="36"/>
      <c r="H590" s="97">
        <f t="shared" si="2"/>
        <v>0</v>
      </c>
      <c r="K590" s="14"/>
      <c r="L590" s="14"/>
      <c r="M590" s="14"/>
    </row>
    <row r="591" spans="1:13" s="41" customFormat="1" ht="30" customHeight="1" x14ac:dyDescent="0.3">
      <c r="A591" s="63"/>
      <c r="E591" s="36"/>
      <c r="F591" s="36"/>
      <c r="G591" s="36"/>
      <c r="H591" s="97">
        <f t="shared" si="2"/>
        <v>0</v>
      </c>
      <c r="K591" s="14"/>
      <c r="L591" s="14"/>
      <c r="M591" s="14"/>
    </row>
    <row r="592" spans="1:13" s="41" customFormat="1" ht="30" customHeight="1" x14ac:dyDescent="0.3">
      <c r="A592" s="63"/>
      <c r="E592" s="36"/>
      <c r="F592" s="36"/>
      <c r="G592" s="36"/>
      <c r="H592" s="97">
        <f t="shared" ref="H592:H648" si="3">H591-G592-F592+E592</f>
        <v>0</v>
      </c>
      <c r="K592" s="14"/>
      <c r="L592" s="14"/>
      <c r="M592" s="14"/>
    </row>
    <row r="593" spans="1:13" s="41" customFormat="1" ht="30" customHeight="1" x14ac:dyDescent="0.3">
      <c r="A593" s="63"/>
      <c r="E593" s="36"/>
      <c r="F593" s="36"/>
      <c r="G593" s="36"/>
      <c r="H593" s="97">
        <f t="shared" si="3"/>
        <v>0</v>
      </c>
      <c r="K593" s="14"/>
      <c r="L593" s="14"/>
      <c r="M593" s="14"/>
    </row>
    <row r="594" spans="1:13" s="41" customFormat="1" ht="30" customHeight="1" x14ac:dyDescent="0.3">
      <c r="A594" s="63"/>
      <c r="E594" s="36"/>
      <c r="F594" s="36"/>
      <c r="G594" s="36"/>
      <c r="H594" s="97">
        <f t="shared" si="3"/>
        <v>0</v>
      </c>
      <c r="K594" s="14"/>
      <c r="L594" s="14"/>
      <c r="M594" s="14"/>
    </row>
    <row r="595" spans="1:13" s="41" customFormat="1" ht="30" customHeight="1" x14ac:dyDescent="0.3">
      <c r="A595" s="63"/>
      <c r="E595" s="36"/>
      <c r="F595" s="36"/>
      <c r="G595" s="36"/>
      <c r="H595" s="97">
        <f t="shared" si="3"/>
        <v>0</v>
      </c>
      <c r="K595" s="14"/>
      <c r="L595" s="14"/>
      <c r="M595" s="14"/>
    </row>
    <row r="596" spans="1:13" s="41" customFormat="1" ht="30" customHeight="1" x14ac:dyDescent="0.3">
      <c r="A596" s="63"/>
      <c r="E596" s="36"/>
      <c r="F596" s="36"/>
      <c r="G596" s="36"/>
      <c r="H596" s="97">
        <f t="shared" si="3"/>
        <v>0</v>
      </c>
      <c r="K596" s="14"/>
      <c r="L596" s="14"/>
      <c r="M596" s="14"/>
    </row>
    <row r="597" spans="1:13" s="41" customFormat="1" ht="30" customHeight="1" x14ac:dyDescent="0.3">
      <c r="A597" s="63"/>
      <c r="E597" s="36"/>
      <c r="F597" s="36"/>
      <c r="G597" s="36"/>
      <c r="H597" s="97">
        <f t="shared" si="3"/>
        <v>0</v>
      </c>
      <c r="K597" s="14"/>
      <c r="L597" s="14"/>
      <c r="M597" s="14"/>
    </row>
    <row r="598" spans="1:13" s="41" customFormat="1" ht="30" customHeight="1" x14ac:dyDescent="0.3">
      <c r="A598" s="63"/>
      <c r="E598" s="36"/>
      <c r="F598" s="36"/>
      <c r="G598" s="36"/>
      <c r="H598" s="97">
        <f t="shared" si="3"/>
        <v>0</v>
      </c>
      <c r="K598" s="14"/>
      <c r="L598" s="14"/>
      <c r="M598" s="14"/>
    </row>
    <row r="599" spans="1:13" s="41" customFormat="1" ht="30" customHeight="1" x14ac:dyDescent="0.3">
      <c r="A599" s="63"/>
      <c r="E599" s="36"/>
      <c r="F599" s="36"/>
      <c r="G599" s="36"/>
      <c r="H599" s="97">
        <f t="shared" si="3"/>
        <v>0</v>
      </c>
      <c r="K599" s="14"/>
      <c r="L599" s="14"/>
      <c r="M599" s="14"/>
    </row>
    <row r="600" spans="1:13" s="41" customFormat="1" ht="30" customHeight="1" x14ac:dyDescent="0.3">
      <c r="A600" s="63"/>
      <c r="E600" s="36"/>
      <c r="F600" s="36"/>
      <c r="G600" s="36"/>
      <c r="H600" s="97">
        <f t="shared" si="3"/>
        <v>0</v>
      </c>
      <c r="K600" s="14"/>
      <c r="L600" s="14"/>
      <c r="M600" s="14"/>
    </row>
    <row r="601" spans="1:13" s="41" customFormat="1" ht="30" customHeight="1" x14ac:dyDescent="0.3">
      <c r="A601" s="63"/>
      <c r="E601" s="36"/>
      <c r="F601" s="36"/>
      <c r="G601" s="36"/>
      <c r="H601" s="97">
        <f t="shared" si="3"/>
        <v>0</v>
      </c>
      <c r="K601" s="14"/>
      <c r="L601" s="14"/>
      <c r="M601" s="14"/>
    </row>
    <row r="602" spans="1:13" s="41" customFormat="1" ht="30" customHeight="1" x14ac:dyDescent="0.3">
      <c r="A602" s="63"/>
      <c r="E602" s="36"/>
      <c r="F602" s="36"/>
      <c r="G602" s="36"/>
      <c r="H602" s="97">
        <f t="shared" si="3"/>
        <v>0</v>
      </c>
      <c r="K602" s="14"/>
      <c r="L602" s="14"/>
      <c r="M602" s="14"/>
    </row>
    <row r="603" spans="1:13" s="41" customFormat="1" ht="30" customHeight="1" x14ac:dyDescent="0.3">
      <c r="A603" s="63"/>
      <c r="E603" s="36"/>
      <c r="F603" s="36"/>
      <c r="G603" s="36"/>
      <c r="H603" s="97">
        <f t="shared" si="3"/>
        <v>0</v>
      </c>
      <c r="K603" s="14"/>
      <c r="L603" s="14"/>
      <c r="M603" s="14"/>
    </row>
    <row r="604" spans="1:13" s="41" customFormat="1" ht="30" customHeight="1" x14ac:dyDescent="0.3">
      <c r="A604" s="63"/>
      <c r="E604" s="36"/>
      <c r="F604" s="36"/>
      <c r="G604" s="36"/>
      <c r="H604" s="97">
        <f t="shared" si="3"/>
        <v>0</v>
      </c>
      <c r="K604" s="14"/>
      <c r="L604" s="14"/>
      <c r="M604" s="14"/>
    </row>
    <row r="605" spans="1:13" s="41" customFormat="1" ht="30" customHeight="1" x14ac:dyDescent="0.3">
      <c r="A605" s="63"/>
      <c r="E605" s="36"/>
      <c r="F605" s="36"/>
      <c r="G605" s="36"/>
      <c r="H605" s="97">
        <f t="shared" si="3"/>
        <v>0</v>
      </c>
      <c r="K605" s="14"/>
      <c r="L605" s="14"/>
      <c r="M605" s="14"/>
    </row>
    <row r="606" spans="1:13" s="41" customFormat="1" ht="30" customHeight="1" x14ac:dyDescent="0.3">
      <c r="A606" s="63"/>
      <c r="E606" s="36"/>
      <c r="F606" s="36"/>
      <c r="G606" s="36"/>
      <c r="H606" s="97">
        <f t="shared" si="3"/>
        <v>0</v>
      </c>
      <c r="K606" s="14"/>
      <c r="L606" s="14"/>
      <c r="M606" s="14"/>
    </row>
    <row r="607" spans="1:13" s="41" customFormat="1" ht="30" customHeight="1" x14ac:dyDescent="0.3">
      <c r="A607" s="63"/>
      <c r="E607" s="36"/>
      <c r="F607" s="36"/>
      <c r="G607" s="36"/>
      <c r="H607" s="97">
        <f t="shared" si="3"/>
        <v>0</v>
      </c>
      <c r="K607" s="14"/>
      <c r="L607" s="14"/>
      <c r="M607" s="14"/>
    </row>
    <row r="608" spans="1:13" s="41" customFormat="1" ht="30" customHeight="1" x14ac:dyDescent="0.3">
      <c r="A608" s="63"/>
      <c r="E608" s="36"/>
      <c r="F608" s="36"/>
      <c r="G608" s="36"/>
      <c r="H608" s="97">
        <f t="shared" si="3"/>
        <v>0</v>
      </c>
      <c r="K608" s="14"/>
      <c r="L608" s="14"/>
      <c r="M608" s="14"/>
    </row>
    <row r="609" spans="1:13" s="41" customFormat="1" ht="30" customHeight="1" x14ac:dyDescent="0.3">
      <c r="A609" s="63"/>
      <c r="E609" s="36"/>
      <c r="F609" s="36"/>
      <c r="G609" s="36"/>
      <c r="H609" s="97">
        <f t="shared" si="3"/>
        <v>0</v>
      </c>
      <c r="K609" s="14"/>
      <c r="L609" s="14"/>
      <c r="M609" s="14"/>
    </row>
    <row r="610" spans="1:13" s="41" customFormat="1" ht="30" customHeight="1" x14ac:dyDescent="0.3">
      <c r="A610" s="63"/>
      <c r="E610" s="36"/>
      <c r="F610" s="36"/>
      <c r="G610" s="36"/>
      <c r="H610" s="97">
        <f t="shared" si="3"/>
        <v>0</v>
      </c>
      <c r="K610" s="14"/>
      <c r="L610" s="14"/>
      <c r="M610" s="14"/>
    </row>
    <row r="611" spans="1:13" s="41" customFormat="1" ht="30" customHeight="1" x14ac:dyDescent="0.3">
      <c r="A611" s="63"/>
      <c r="E611" s="36"/>
      <c r="F611" s="36"/>
      <c r="G611" s="36"/>
      <c r="H611" s="97">
        <f t="shared" si="3"/>
        <v>0</v>
      </c>
      <c r="K611" s="14"/>
      <c r="L611" s="14"/>
      <c r="M611" s="14"/>
    </row>
    <row r="612" spans="1:13" s="41" customFormat="1" ht="30" customHeight="1" x14ac:dyDescent="0.3">
      <c r="A612" s="63"/>
      <c r="E612" s="36"/>
      <c r="F612" s="36"/>
      <c r="G612" s="36"/>
      <c r="H612" s="97">
        <f t="shared" si="3"/>
        <v>0</v>
      </c>
      <c r="K612" s="14"/>
      <c r="L612" s="14"/>
      <c r="M612" s="14"/>
    </row>
    <row r="613" spans="1:13" s="41" customFormat="1" ht="30" customHeight="1" x14ac:dyDescent="0.3">
      <c r="A613" s="63"/>
      <c r="E613" s="36"/>
      <c r="F613" s="36"/>
      <c r="G613" s="36"/>
      <c r="H613" s="97">
        <f t="shared" si="3"/>
        <v>0</v>
      </c>
      <c r="K613" s="14"/>
      <c r="L613" s="14"/>
      <c r="M613" s="14"/>
    </row>
    <row r="614" spans="1:13" s="41" customFormat="1" ht="30" customHeight="1" x14ac:dyDescent="0.3">
      <c r="A614" s="63"/>
      <c r="E614" s="36"/>
      <c r="F614" s="36"/>
      <c r="G614" s="36"/>
      <c r="H614" s="97">
        <f t="shared" si="3"/>
        <v>0</v>
      </c>
      <c r="K614" s="14"/>
      <c r="L614" s="14"/>
      <c r="M614" s="14"/>
    </row>
    <row r="615" spans="1:13" s="41" customFormat="1" ht="30" customHeight="1" x14ac:dyDescent="0.3">
      <c r="A615" s="63"/>
      <c r="E615" s="36"/>
      <c r="F615" s="36"/>
      <c r="G615" s="36"/>
      <c r="H615" s="97">
        <f t="shared" si="3"/>
        <v>0</v>
      </c>
      <c r="K615" s="14"/>
      <c r="L615" s="14"/>
      <c r="M615" s="14"/>
    </row>
    <row r="616" spans="1:13" s="41" customFormat="1" ht="30" customHeight="1" x14ac:dyDescent="0.3">
      <c r="A616" s="63"/>
      <c r="E616" s="36"/>
      <c r="F616" s="36"/>
      <c r="G616" s="36"/>
      <c r="H616" s="97">
        <f t="shared" si="3"/>
        <v>0</v>
      </c>
      <c r="K616" s="14"/>
      <c r="L616" s="14"/>
      <c r="M616" s="14"/>
    </row>
    <row r="617" spans="1:13" s="41" customFormat="1" ht="30" customHeight="1" x14ac:dyDescent="0.3">
      <c r="A617" s="63"/>
      <c r="E617" s="36"/>
      <c r="F617" s="36"/>
      <c r="G617" s="36"/>
      <c r="H617" s="97">
        <f t="shared" si="3"/>
        <v>0</v>
      </c>
      <c r="K617" s="14"/>
      <c r="L617" s="14"/>
      <c r="M617" s="14"/>
    </row>
    <row r="618" spans="1:13" s="41" customFormat="1" ht="30" customHeight="1" x14ac:dyDescent="0.3">
      <c r="A618" s="63"/>
      <c r="E618" s="36"/>
      <c r="F618" s="36"/>
      <c r="G618" s="36"/>
      <c r="H618" s="97">
        <f t="shared" si="3"/>
        <v>0</v>
      </c>
      <c r="K618" s="14"/>
      <c r="L618" s="14"/>
      <c r="M618" s="14"/>
    </row>
    <row r="619" spans="1:13" s="41" customFormat="1" ht="30" customHeight="1" x14ac:dyDescent="0.3">
      <c r="A619" s="63"/>
      <c r="E619" s="36"/>
      <c r="F619" s="36"/>
      <c r="G619" s="36"/>
      <c r="H619" s="97">
        <f t="shared" si="3"/>
        <v>0</v>
      </c>
      <c r="K619" s="14"/>
      <c r="L619" s="14"/>
      <c r="M619" s="14"/>
    </row>
    <row r="620" spans="1:13" s="41" customFormat="1" ht="30" customHeight="1" x14ac:dyDescent="0.3">
      <c r="A620" s="63"/>
      <c r="E620" s="36"/>
      <c r="F620" s="36"/>
      <c r="G620" s="36"/>
      <c r="H620" s="97">
        <f t="shared" si="3"/>
        <v>0</v>
      </c>
      <c r="K620" s="14"/>
      <c r="L620" s="14"/>
      <c r="M620" s="14"/>
    </row>
    <row r="621" spans="1:13" s="41" customFormat="1" ht="30" customHeight="1" x14ac:dyDescent="0.3">
      <c r="A621" s="63"/>
      <c r="E621" s="36"/>
      <c r="F621" s="36"/>
      <c r="G621" s="36"/>
      <c r="H621" s="97">
        <f t="shared" si="3"/>
        <v>0</v>
      </c>
      <c r="K621" s="14"/>
      <c r="L621" s="14"/>
      <c r="M621" s="14"/>
    </row>
    <row r="622" spans="1:13" s="41" customFormat="1" ht="30" customHeight="1" x14ac:dyDescent="0.3">
      <c r="A622" s="63"/>
      <c r="E622" s="36"/>
      <c r="F622" s="36"/>
      <c r="G622" s="36"/>
      <c r="H622" s="97">
        <f t="shared" si="3"/>
        <v>0</v>
      </c>
      <c r="K622" s="14"/>
      <c r="L622" s="14"/>
      <c r="M622" s="14"/>
    </row>
    <row r="623" spans="1:13" s="41" customFormat="1" ht="30" customHeight="1" x14ac:dyDescent="0.3">
      <c r="A623" s="63"/>
      <c r="E623" s="36"/>
      <c r="F623" s="36"/>
      <c r="G623" s="36"/>
      <c r="H623" s="97">
        <f t="shared" si="3"/>
        <v>0</v>
      </c>
      <c r="K623" s="14"/>
      <c r="L623" s="14"/>
      <c r="M623" s="14"/>
    </row>
    <row r="624" spans="1:13" s="41" customFormat="1" ht="30" customHeight="1" x14ac:dyDescent="0.3">
      <c r="A624" s="63"/>
      <c r="E624" s="36"/>
      <c r="F624" s="36"/>
      <c r="G624" s="36"/>
      <c r="H624" s="97">
        <f t="shared" si="3"/>
        <v>0</v>
      </c>
      <c r="K624" s="14"/>
      <c r="L624" s="14"/>
      <c r="M624" s="14"/>
    </row>
    <row r="625" spans="1:13" s="41" customFormat="1" ht="30" customHeight="1" x14ac:dyDescent="0.3">
      <c r="A625" s="63"/>
      <c r="E625" s="36"/>
      <c r="F625" s="36"/>
      <c r="G625" s="36"/>
      <c r="H625" s="97">
        <f t="shared" si="3"/>
        <v>0</v>
      </c>
      <c r="K625" s="14"/>
      <c r="L625" s="14"/>
      <c r="M625" s="14"/>
    </row>
    <row r="626" spans="1:13" s="41" customFormat="1" ht="30" customHeight="1" x14ac:dyDescent="0.3">
      <c r="A626" s="63"/>
      <c r="E626" s="36"/>
      <c r="F626" s="36"/>
      <c r="G626" s="36"/>
      <c r="H626" s="97">
        <f t="shared" si="3"/>
        <v>0</v>
      </c>
      <c r="K626" s="14"/>
      <c r="L626" s="14"/>
      <c r="M626" s="14"/>
    </row>
    <row r="627" spans="1:13" s="41" customFormat="1" ht="30" customHeight="1" x14ac:dyDescent="0.3">
      <c r="A627" s="63"/>
      <c r="E627" s="36"/>
      <c r="F627" s="36"/>
      <c r="G627" s="36"/>
      <c r="H627" s="97">
        <f t="shared" si="3"/>
        <v>0</v>
      </c>
      <c r="K627" s="14"/>
      <c r="L627" s="14"/>
      <c r="M627" s="14"/>
    </row>
    <row r="628" spans="1:13" s="41" customFormat="1" ht="30" customHeight="1" x14ac:dyDescent="0.3">
      <c r="A628" s="63"/>
      <c r="E628" s="36"/>
      <c r="F628" s="36"/>
      <c r="G628" s="36"/>
      <c r="H628" s="97">
        <f t="shared" si="3"/>
        <v>0</v>
      </c>
      <c r="K628" s="14"/>
      <c r="L628" s="14"/>
      <c r="M628" s="14"/>
    </row>
    <row r="629" spans="1:13" s="41" customFormat="1" ht="30" customHeight="1" x14ac:dyDescent="0.3">
      <c r="A629" s="63"/>
      <c r="E629" s="36"/>
      <c r="F629" s="36"/>
      <c r="G629" s="36"/>
      <c r="H629" s="97">
        <f t="shared" si="3"/>
        <v>0</v>
      </c>
      <c r="K629" s="14"/>
      <c r="L629" s="14"/>
      <c r="M629" s="14"/>
    </row>
    <row r="630" spans="1:13" s="41" customFormat="1" ht="30" customHeight="1" x14ac:dyDescent="0.3">
      <c r="A630" s="63"/>
      <c r="E630" s="36"/>
      <c r="F630" s="36"/>
      <c r="G630" s="36"/>
      <c r="H630" s="97">
        <f t="shared" si="3"/>
        <v>0</v>
      </c>
      <c r="K630" s="14"/>
      <c r="L630" s="14"/>
      <c r="M630" s="14"/>
    </row>
    <row r="631" spans="1:13" s="41" customFormat="1" ht="30" customHeight="1" x14ac:dyDescent="0.3">
      <c r="A631" s="63"/>
      <c r="E631" s="36"/>
      <c r="F631" s="36"/>
      <c r="G631" s="36"/>
      <c r="H631" s="97">
        <f t="shared" si="3"/>
        <v>0</v>
      </c>
      <c r="K631" s="14"/>
      <c r="L631" s="14"/>
      <c r="M631" s="14"/>
    </row>
    <row r="632" spans="1:13" s="41" customFormat="1" ht="30" customHeight="1" x14ac:dyDescent="0.3">
      <c r="A632" s="63"/>
      <c r="E632" s="36"/>
      <c r="F632" s="36"/>
      <c r="G632" s="36"/>
      <c r="H632" s="97">
        <f t="shared" si="3"/>
        <v>0</v>
      </c>
      <c r="K632" s="14"/>
      <c r="L632" s="14"/>
      <c r="M632" s="14"/>
    </row>
    <row r="633" spans="1:13" s="41" customFormat="1" ht="30" customHeight="1" x14ac:dyDescent="0.3">
      <c r="A633" s="63"/>
      <c r="E633" s="36"/>
      <c r="F633" s="36"/>
      <c r="G633" s="36"/>
      <c r="H633" s="97">
        <f t="shared" si="3"/>
        <v>0</v>
      </c>
      <c r="K633" s="14"/>
      <c r="L633" s="14"/>
      <c r="M633" s="14"/>
    </row>
    <row r="634" spans="1:13" s="41" customFormat="1" ht="30" customHeight="1" x14ac:dyDescent="0.3">
      <c r="A634" s="63"/>
      <c r="E634" s="36"/>
      <c r="F634" s="36"/>
      <c r="G634" s="36"/>
      <c r="H634" s="97">
        <f t="shared" si="3"/>
        <v>0</v>
      </c>
      <c r="K634" s="14"/>
      <c r="L634" s="14"/>
      <c r="M634" s="14"/>
    </row>
    <row r="635" spans="1:13" s="41" customFormat="1" ht="30" customHeight="1" x14ac:dyDescent="0.3">
      <c r="A635" s="63"/>
      <c r="E635" s="36"/>
      <c r="F635" s="36"/>
      <c r="G635" s="36"/>
      <c r="H635" s="97">
        <f t="shared" si="3"/>
        <v>0</v>
      </c>
      <c r="K635" s="14"/>
      <c r="L635" s="14"/>
      <c r="M635" s="14"/>
    </row>
    <row r="636" spans="1:13" s="41" customFormat="1" ht="30" customHeight="1" x14ac:dyDescent="0.3">
      <c r="A636" s="63"/>
      <c r="E636" s="36"/>
      <c r="F636" s="36"/>
      <c r="G636" s="36"/>
      <c r="H636" s="97">
        <f t="shared" si="3"/>
        <v>0</v>
      </c>
      <c r="K636" s="14"/>
      <c r="L636" s="14"/>
      <c r="M636" s="14"/>
    </row>
    <row r="637" spans="1:13" s="41" customFormat="1" ht="30" customHeight="1" x14ac:dyDescent="0.3">
      <c r="A637" s="63"/>
      <c r="E637" s="36"/>
      <c r="F637" s="36"/>
      <c r="G637" s="36"/>
      <c r="H637" s="97">
        <f t="shared" si="3"/>
        <v>0</v>
      </c>
      <c r="K637" s="14"/>
      <c r="L637" s="14"/>
      <c r="M637" s="14"/>
    </row>
    <row r="638" spans="1:13" s="41" customFormat="1" ht="30" customHeight="1" x14ac:dyDescent="0.3">
      <c r="A638" s="63"/>
      <c r="E638" s="36"/>
      <c r="F638" s="36"/>
      <c r="G638" s="36"/>
      <c r="H638" s="97">
        <f t="shared" si="3"/>
        <v>0</v>
      </c>
      <c r="K638" s="14"/>
      <c r="L638" s="14"/>
      <c r="M638" s="14"/>
    </row>
    <row r="639" spans="1:13" s="41" customFormat="1" ht="30" customHeight="1" x14ac:dyDescent="0.3">
      <c r="A639" s="63"/>
      <c r="E639" s="36"/>
      <c r="F639" s="36"/>
      <c r="G639" s="36"/>
      <c r="H639" s="97">
        <f t="shared" si="3"/>
        <v>0</v>
      </c>
      <c r="K639" s="14"/>
      <c r="L639" s="14"/>
      <c r="M639" s="14"/>
    </row>
    <row r="640" spans="1:13" s="41" customFormat="1" ht="30" customHeight="1" x14ac:dyDescent="0.3">
      <c r="A640" s="63"/>
      <c r="E640" s="36"/>
      <c r="F640" s="36"/>
      <c r="G640" s="36"/>
      <c r="H640" s="97">
        <f t="shared" si="3"/>
        <v>0</v>
      </c>
      <c r="K640" s="14"/>
      <c r="L640" s="14"/>
      <c r="M640" s="14"/>
    </row>
    <row r="641" spans="1:13" s="41" customFormat="1" ht="30" customHeight="1" x14ac:dyDescent="0.3">
      <c r="A641" s="63"/>
      <c r="E641" s="36"/>
      <c r="F641" s="36"/>
      <c r="G641" s="36"/>
      <c r="H641" s="97">
        <f t="shared" si="3"/>
        <v>0</v>
      </c>
      <c r="K641" s="14"/>
      <c r="L641" s="14"/>
      <c r="M641" s="14"/>
    </row>
    <row r="642" spans="1:13" s="41" customFormat="1" ht="30" customHeight="1" x14ac:dyDescent="0.3">
      <c r="A642" s="63"/>
      <c r="E642" s="36"/>
      <c r="F642" s="36"/>
      <c r="G642" s="36"/>
      <c r="H642" s="97">
        <f t="shared" si="3"/>
        <v>0</v>
      </c>
      <c r="K642" s="14"/>
      <c r="L642" s="14"/>
      <c r="M642" s="14"/>
    </row>
    <row r="643" spans="1:13" s="41" customFormat="1" ht="30" customHeight="1" x14ac:dyDescent="0.3">
      <c r="A643" s="63"/>
      <c r="E643" s="36"/>
      <c r="F643" s="36"/>
      <c r="G643" s="36"/>
      <c r="H643" s="97">
        <f t="shared" si="3"/>
        <v>0</v>
      </c>
      <c r="K643" s="14"/>
      <c r="L643" s="14"/>
      <c r="M643" s="14"/>
    </row>
    <row r="644" spans="1:13" s="41" customFormat="1" ht="30" customHeight="1" x14ac:dyDescent="0.3">
      <c r="A644" s="63"/>
      <c r="E644" s="36"/>
      <c r="F644" s="36"/>
      <c r="G644" s="36"/>
      <c r="H644" s="97">
        <f t="shared" si="3"/>
        <v>0</v>
      </c>
      <c r="K644" s="14"/>
      <c r="L644" s="14"/>
      <c r="M644" s="14"/>
    </row>
    <row r="645" spans="1:13" s="41" customFormat="1" ht="30" customHeight="1" x14ac:dyDescent="0.3">
      <c r="A645" s="63"/>
      <c r="E645" s="36"/>
      <c r="F645" s="36"/>
      <c r="G645" s="36"/>
      <c r="H645" s="97">
        <f t="shared" si="3"/>
        <v>0</v>
      </c>
      <c r="K645" s="14"/>
      <c r="L645" s="14"/>
      <c r="M645" s="14"/>
    </row>
    <row r="646" spans="1:13" s="41" customFormat="1" ht="30" customHeight="1" x14ac:dyDescent="0.3">
      <c r="A646" s="63"/>
      <c r="E646" s="36"/>
      <c r="F646" s="36"/>
      <c r="G646" s="36"/>
      <c r="H646" s="97">
        <f t="shared" si="3"/>
        <v>0</v>
      </c>
      <c r="K646" s="14"/>
      <c r="L646" s="14"/>
      <c r="M646" s="14"/>
    </row>
    <row r="647" spans="1:13" s="41" customFormat="1" ht="30" customHeight="1" x14ac:dyDescent="0.3">
      <c r="A647" s="63"/>
      <c r="E647" s="36"/>
      <c r="F647" s="36"/>
      <c r="G647" s="36"/>
      <c r="H647" s="97">
        <f t="shared" si="3"/>
        <v>0</v>
      </c>
      <c r="K647" s="14"/>
      <c r="L647" s="14"/>
      <c r="M647" s="14"/>
    </row>
    <row r="648" spans="1:13" s="41" customFormat="1" ht="30" customHeight="1" x14ac:dyDescent="0.3">
      <c r="A648" s="63"/>
      <c r="E648" s="36"/>
      <c r="F648" s="36"/>
      <c r="G648" s="36"/>
      <c r="H648" s="97">
        <f t="shared" si="3"/>
        <v>0</v>
      </c>
      <c r="K648" s="14"/>
      <c r="L648" s="14"/>
      <c r="M648" s="14"/>
    </row>
    <row r="1048513" spans="1:13" s="41" customFormat="1" ht="30" customHeight="1" x14ac:dyDescent="0.3">
      <c r="A1048513" s="63"/>
      <c r="E1048513" s="64"/>
      <c r="F1048513" s="64"/>
      <c r="G1048513" s="64"/>
      <c r="H1048513" s="65"/>
      <c r="K1048513" s="14"/>
      <c r="L1048513" s="14"/>
      <c r="M1048513" s="14"/>
    </row>
    <row r="1048546" spans="1:13" s="64" customFormat="1" ht="30" customHeight="1" x14ac:dyDescent="0.3">
      <c r="A1048546" s="63"/>
      <c r="B1048546" s="41"/>
      <c r="C1048546" s="41"/>
      <c r="D1048546" s="41"/>
      <c r="E1048546" s="66">
        <v>2</v>
      </c>
      <c r="H1048546" s="67"/>
      <c r="I1048546" s="41"/>
      <c r="J1048546" s="41"/>
      <c r="K1048546" s="14"/>
      <c r="L1048546" s="14"/>
      <c r="M1048546" s="14"/>
    </row>
  </sheetData>
  <protectedRanges>
    <protectedRange algorithmName="SHA-512" hashValue="qwwFgwDzvfZtdNPXl+HufPnXy/ZYj1jezFOo+9mgwlM8nosdNSUiHCXIqc5pNVSAzJWwUMe46RDKwNiZjCVcjA==" saltValue="uZ0/lRArqsjkUynSe/+fGA==" spinCount="100000" sqref="A68:G1048576 A19:B24 C19 G7:G8 C7:F9 D19:D25 E10:F67 C10:D11 A7:B12 B13 D12:D13 A25:C67 D27:D67 A14:D18" name="Range1"/>
    <protectedRange algorithmName="SHA-512" hashValue="VKObjOalI45udJLbVyG9wCxtpjUyA320kjRJN7kysAlg+vtgALRaSSvO8uk4Qh7/aL5ksD9LX/wqtVttNl6rvA==" saltValue="FrOuJT0TC1H5XkzMdD7DyA==" spinCount="100000" sqref="C20:C24 C12" name="Range1_1_2"/>
    <protectedRange algorithmName="SHA-512" hashValue="DxrPl6ocbu0jjFnsIl+sgIq4wZe4XLP+wEBHTeMZdK1i5Lbj21ybiyn5jVha8p0Z8EzIw8PrBHIda0MaKwEA9g==" saltValue="meliQwD4SGHZ6ULbhhgh/w==" spinCount="100000" sqref="A13 C13" name="Range1_2"/>
  </protectedRanges>
  <mergeCells count="71">
    <mergeCell ref="I63:J63"/>
    <mergeCell ref="I64:J64"/>
    <mergeCell ref="I65:J65"/>
    <mergeCell ref="I66:J66"/>
    <mergeCell ref="I67:J67"/>
    <mergeCell ref="I62:J62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phoneticPr fontId="38" type="noConversion"/>
  <conditionalFormatting sqref="B7:B67">
    <cfRule type="cellIs" dxfId="36" priority="4" operator="between">
      <formula>1</formula>
      <formula>9999999</formula>
    </cfRule>
  </conditionalFormatting>
  <conditionalFormatting sqref="D7:D16">
    <cfRule type="cellIs" dxfId="35" priority="3" operator="between">
      <formula>1</formula>
      <formula>100</formula>
    </cfRule>
  </conditionalFormatting>
  <conditionalFormatting sqref="D7:G9 D10:D16 E10:G67">
    <cfRule type="cellIs" dxfId="34" priority="5" operator="between">
      <formula>0.1</formula>
      <formula>99999999999</formula>
    </cfRule>
  </conditionalFormatting>
  <conditionalFormatting sqref="D7:G9 D10:D16 E10:G117">
    <cfRule type="cellIs" dxfId="33" priority="6" operator="between">
      <formula>1</formula>
      <formula>100</formula>
    </cfRule>
  </conditionalFormatting>
  <conditionalFormatting sqref="H7:H648">
    <cfRule type="cellIs" dxfId="32" priority="1" operator="between">
      <formula>0.1</formula>
      <formula>99999999999</formula>
    </cfRule>
    <cfRule type="cellIs" dxfId="31" priority="2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DA53-B555-4013-ABE7-B0B7BA5AE74D}">
  <dimension ref="A1:M24"/>
  <sheetViews>
    <sheetView workbookViewId="0">
      <selection activeCell="H13" sqref="H13"/>
    </sheetView>
  </sheetViews>
  <sheetFormatPr defaultRowHeight="30" customHeight="1" x14ac:dyDescent="0.3"/>
  <cols>
    <col min="1" max="1" width="18.42578125" style="41" customWidth="1"/>
    <col min="2" max="2" width="23.42578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57.75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4.75" customHeight="1" x14ac:dyDescent="0.3">
      <c r="A2" s="107" t="s">
        <v>29</v>
      </c>
      <c r="B2" s="107"/>
      <c r="C2" s="107"/>
      <c r="D2" s="15">
        <v>7</v>
      </c>
      <c r="E2" s="108" t="s">
        <v>30</v>
      </c>
      <c r="F2" s="108"/>
      <c r="G2" s="108"/>
      <c r="H2" s="17">
        <v>2</v>
      </c>
      <c r="I2" s="16" t="s">
        <v>31</v>
      </c>
      <c r="J2" s="17">
        <v>6</v>
      </c>
      <c r="K2" s="18"/>
      <c r="L2" s="109"/>
      <c r="M2" s="109"/>
    </row>
    <row r="3" spans="1:13" ht="22.5" customHeight="1" x14ac:dyDescent="0.3">
      <c r="A3" s="107" t="s">
        <v>32</v>
      </c>
      <c r="B3" s="107"/>
      <c r="C3" s="107"/>
      <c r="D3" s="98" t="s">
        <v>141</v>
      </c>
      <c r="E3" s="112" t="s">
        <v>33</v>
      </c>
      <c r="F3" s="112"/>
      <c r="G3" s="112"/>
      <c r="H3" s="112"/>
      <c r="I3" s="20">
        <v>3020</v>
      </c>
      <c r="J3" s="21"/>
    </row>
    <row r="4" spans="1:13" ht="45" customHeight="1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16" t="s">
        <v>42</v>
      </c>
      <c r="J4" s="116"/>
    </row>
    <row r="5" spans="1:13" s="25" customFormat="1" ht="55.5" customHeight="1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55.5" customHeight="1" x14ac:dyDescent="0.25">
      <c r="A6" s="51"/>
      <c r="B6" s="51"/>
      <c r="C6" s="51"/>
      <c r="D6" s="51"/>
      <c r="E6" s="1">
        <f>SUM(E7:E1001)</f>
        <v>48</v>
      </c>
      <c r="F6" s="1">
        <f t="shared" ref="F6:G6" si="0">SUM(F7:F1001)</f>
        <v>0</v>
      </c>
      <c r="G6" s="1">
        <f t="shared" si="0"/>
        <v>40</v>
      </c>
      <c r="H6" s="1">
        <f>+E6-F6-G6</f>
        <v>8</v>
      </c>
      <c r="I6" s="52"/>
      <c r="J6" s="53"/>
    </row>
    <row r="7" spans="1:13" s="25" customFormat="1" ht="65.25" customHeight="1" x14ac:dyDescent="0.25">
      <c r="A7" s="31" t="s">
        <v>142</v>
      </c>
      <c r="B7" s="32" t="s">
        <v>143</v>
      </c>
      <c r="C7" s="33" t="s">
        <v>144</v>
      </c>
      <c r="D7" s="34" t="s">
        <v>145</v>
      </c>
      <c r="E7" s="35">
        <v>42</v>
      </c>
      <c r="F7" s="36">
        <v>0</v>
      </c>
      <c r="G7" s="36">
        <v>0</v>
      </c>
      <c r="H7" s="35">
        <f>SUM(E7:G7)</f>
        <v>42</v>
      </c>
      <c r="I7" s="110"/>
      <c r="J7" s="111"/>
    </row>
    <row r="8" spans="1:13" s="25" customFormat="1" ht="73.5" customHeight="1" x14ac:dyDescent="0.25">
      <c r="A8" s="39">
        <v>45480</v>
      </c>
      <c r="B8" s="32" t="s">
        <v>146</v>
      </c>
      <c r="C8" s="33" t="s">
        <v>147</v>
      </c>
      <c r="D8" s="33" t="s">
        <v>148</v>
      </c>
      <c r="E8" s="35">
        <v>0</v>
      </c>
      <c r="F8" s="36">
        <v>0</v>
      </c>
      <c r="G8" s="36">
        <v>15</v>
      </c>
      <c r="H8" s="35">
        <f>H7-G8-F8+E8</f>
        <v>27</v>
      </c>
      <c r="I8" s="110"/>
      <c r="J8" s="111"/>
    </row>
    <row r="9" spans="1:13" s="25" customFormat="1" ht="57.75" customHeight="1" x14ac:dyDescent="0.25">
      <c r="A9" s="39" t="s">
        <v>149</v>
      </c>
      <c r="B9" s="32" t="s">
        <v>150</v>
      </c>
      <c r="C9" s="33" t="s">
        <v>151</v>
      </c>
      <c r="D9" s="33" t="s">
        <v>148</v>
      </c>
      <c r="E9" s="35">
        <v>0</v>
      </c>
      <c r="F9" s="36">
        <v>0</v>
      </c>
      <c r="G9" s="36">
        <v>5</v>
      </c>
      <c r="H9" s="35">
        <f t="shared" ref="H9:H10" si="1">H8-G9-F9+E9</f>
        <v>22</v>
      </c>
      <c r="I9" s="110"/>
      <c r="J9" s="111"/>
    </row>
    <row r="10" spans="1:13" s="25" customFormat="1" ht="79.5" customHeight="1" x14ac:dyDescent="0.25">
      <c r="A10" s="39" t="s">
        <v>152</v>
      </c>
      <c r="B10" s="32" t="s">
        <v>153</v>
      </c>
      <c r="C10" s="33" t="s">
        <v>154</v>
      </c>
      <c r="D10" s="34" t="s">
        <v>148</v>
      </c>
      <c r="E10" s="35">
        <v>0</v>
      </c>
      <c r="F10" s="36">
        <v>0</v>
      </c>
      <c r="G10" s="36">
        <v>4</v>
      </c>
      <c r="H10" s="35">
        <f t="shared" si="1"/>
        <v>18</v>
      </c>
      <c r="I10" s="110"/>
      <c r="J10" s="111"/>
    </row>
    <row r="11" spans="1:13" s="25" customFormat="1" ht="70.5" customHeight="1" x14ac:dyDescent="0.25">
      <c r="A11" s="39" t="s">
        <v>88</v>
      </c>
      <c r="B11" s="32" t="s">
        <v>155</v>
      </c>
      <c r="C11" s="33" t="s">
        <v>156</v>
      </c>
      <c r="D11" s="34" t="s">
        <v>148</v>
      </c>
      <c r="E11" s="35">
        <v>0</v>
      </c>
      <c r="F11" s="36">
        <v>0</v>
      </c>
      <c r="G11" s="36">
        <v>6</v>
      </c>
      <c r="H11" s="35">
        <v>12</v>
      </c>
      <c r="I11" s="110"/>
      <c r="J11" s="111"/>
    </row>
    <row r="12" spans="1:13" s="25" customFormat="1" ht="52.5" customHeight="1" x14ac:dyDescent="0.25">
      <c r="A12" s="39" t="s">
        <v>157</v>
      </c>
      <c r="B12" s="32" t="s">
        <v>158</v>
      </c>
      <c r="C12" s="33" t="s">
        <v>159</v>
      </c>
      <c r="D12" s="34" t="s">
        <v>148</v>
      </c>
      <c r="E12" s="35">
        <v>0</v>
      </c>
      <c r="F12" s="36">
        <v>0</v>
      </c>
      <c r="G12" s="36">
        <v>3</v>
      </c>
      <c r="H12" s="35">
        <v>9</v>
      </c>
      <c r="I12" s="37"/>
      <c r="J12" s="38"/>
    </row>
    <row r="13" spans="1:13" s="25" customFormat="1" ht="45.75" customHeight="1" x14ac:dyDescent="0.25">
      <c r="A13" s="39">
        <v>45700</v>
      </c>
      <c r="B13" s="32" t="s">
        <v>160</v>
      </c>
      <c r="C13" s="33" t="s">
        <v>161</v>
      </c>
      <c r="D13" s="34" t="s">
        <v>148</v>
      </c>
      <c r="E13" s="35">
        <v>0</v>
      </c>
      <c r="F13" s="36">
        <v>0</v>
      </c>
      <c r="G13" s="36">
        <v>2</v>
      </c>
      <c r="H13" s="35">
        <v>7</v>
      </c>
      <c r="I13" s="110"/>
      <c r="J13" s="111"/>
    </row>
    <row r="14" spans="1:13" s="25" customFormat="1" ht="45" customHeight="1" x14ac:dyDescent="0.25">
      <c r="A14" s="39" t="s">
        <v>162</v>
      </c>
      <c r="B14" s="32" t="s">
        <v>163</v>
      </c>
      <c r="C14" s="33" t="s">
        <v>164</v>
      </c>
      <c r="D14" s="34" t="s">
        <v>148</v>
      </c>
      <c r="E14" s="35">
        <v>0</v>
      </c>
      <c r="F14" s="36">
        <v>0</v>
      </c>
      <c r="G14" s="36">
        <v>3</v>
      </c>
      <c r="H14" s="35">
        <v>4</v>
      </c>
      <c r="I14" s="110"/>
      <c r="J14" s="111"/>
    </row>
    <row r="15" spans="1:13" s="25" customFormat="1" ht="62.25" customHeight="1" x14ac:dyDescent="0.25">
      <c r="A15" s="39" t="s">
        <v>165</v>
      </c>
      <c r="B15" s="32" t="s">
        <v>166</v>
      </c>
      <c r="C15" s="33" t="s">
        <v>167</v>
      </c>
      <c r="D15" s="34" t="s">
        <v>148</v>
      </c>
      <c r="E15" s="35">
        <v>6</v>
      </c>
      <c r="F15" s="36">
        <v>0</v>
      </c>
      <c r="G15" s="36">
        <v>0</v>
      </c>
      <c r="H15" s="35">
        <v>10</v>
      </c>
      <c r="I15" s="110"/>
      <c r="J15" s="111"/>
    </row>
    <row r="16" spans="1:13" s="25" customFormat="1" ht="63.75" customHeight="1" x14ac:dyDescent="0.25">
      <c r="A16" s="39" t="s">
        <v>165</v>
      </c>
      <c r="B16" s="32" t="s">
        <v>168</v>
      </c>
      <c r="C16" s="33" t="s">
        <v>169</v>
      </c>
      <c r="D16" s="34" t="s">
        <v>148</v>
      </c>
      <c r="E16" s="35">
        <v>0</v>
      </c>
      <c r="F16" s="36">
        <v>0</v>
      </c>
      <c r="G16" s="36">
        <v>2</v>
      </c>
      <c r="H16" s="35">
        <v>8</v>
      </c>
      <c r="I16" s="110"/>
      <c r="J16" s="111"/>
    </row>
    <row r="17" spans="1:10" s="25" customFormat="1" ht="28.5" customHeight="1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28.5" customHeigh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28.5" customHeigh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28.5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28.5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28.5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28.5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  <row r="24" spans="1:10" s="25" customFormat="1" ht="28.5" customHeight="1" x14ac:dyDescent="0.25">
      <c r="A24" s="39"/>
      <c r="B24" s="40"/>
      <c r="C24" s="33"/>
      <c r="D24" s="34"/>
      <c r="E24" s="35"/>
      <c r="F24" s="36"/>
      <c r="G24" s="36"/>
      <c r="H24" s="35"/>
      <c r="I24" s="110"/>
      <c r="J24" s="111"/>
    </row>
  </sheetData>
  <protectedRanges>
    <protectedRange algorithmName="SHA-512" hashValue="w6vOy6gaWv7RKp7tkLrp7nrHA6RmzXKKrxhAURGVJNeJ+tWzcydALHZnJcvW3Xd6J2aTxgJ4vzpBns4Tppy+Tg==" saltValue="wFqfSvUJGsYlHEHwlJdPRg==" spinCount="100000" sqref="A7:B7 A9:G1048576" name="Range1_1"/>
  </protectedRanges>
  <mergeCells count="28">
    <mergeCell ref="I21:J21"/>
    <mergeCell ref="I22:J22"/>
    <mergeCell ref="I23:J23"/>
    <mergeCell ref="I24:J24"/>
    <mergeCell ref="I15:J15"/>
    <mergeCell ref="I16:J16"/>
    <mergeCell ref="I17:J17"/>
    <mergeCell ref="I18:J18"/>
    <mergeCell ref="I19:J19"/>
    <mergeCell ref="I20:J20"/>
    <mergeCell ref="I8:J8"/>
    <mergeCell ref="I9:J9"/>
    <mergeCell ref="I11:J11"/>
    <mergeCell ref="I13:J13"/>
    <mergeCell ref="I14:J14"/>
    <mergeCell ref="I10:J10"/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</mergeCells>
  <conditionalFormatting sqref="B8:B24">
    <cfRule type="cellIs" priority="2" operator="between">
      <formula>1</formula>
      <formula>100000000</formula>
    </cfRule>
  </conditionalFormatting>
  <conditionalFormatting sqref="E7:E24 H7:H24">
    <cfRule type="cellIs" dxfId="3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9236-5503-49E2-93C5-AC35EAA05C4D}">
  <dimension ref="A1:M23"/>
  <sheetViews>
    <sheetView zoomScale="115" zoomScaleNormal="115" workbookViewId="0">
      <selection activeCell="G16" sqref="G16"/>
    </sheetView>
  </sheetViews>
  <sheetFormatPr defaultRowHeight="30" customHeight="1" x14ac:dyDescent="0.3"/>
  <cols>
    <col min="1" max="1" width="18.42578125" style="41" customWidth="1"/>
    <col min="2" max="2" width="26.285156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8</v>
      </c>
      <c r="E2" s="108" t="s">
        <v>30</v>
      </c>
      <c r="F2" s="108"/>
      <c r="G2" s="108"/>
      <c r="H2" s="17">
        <v>2</v>
      </c>
      <c r="I2" s="16" t="s">
        <v>31</v>
      </c>
      <c r="J2" s="17">
        <v>8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19" t="s">
        <v>170</v>
      </c>
      <c r="E3" s="112" t="s">
        <v>33</v>
      </c>
      <c r="F3" s="112"/>
      <c r="G3" s="112"/>
      <c r="H3" s="112"/>
      <c r="I3" s="20">
        <v>3023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16" t="s">
        <v>42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30" customHeight="1" x14ac:dyDescent="0.25">
      <c r="A6" s="51"/>
      <c r="B6" s="51"/>
      <c r="C6" s="51"/>
      <c r="D6" s="51"/>
      <c r="E6" s="1">
        <f>SUM(E7:E1000)</f>
        <v>46</v>
      </c>
      <c r="F6" s="1">
        <f t="shared" ref="F6:G6" si="0">SUM(F7:F1000)</f>
        <v>0</v>
      </c>
      <c r="G6" s="1">
        <f t="shared" si="0"/>
        <v>36</v>
      </c>
      <c r="H6" s="1">
        <f>+E6-F6-G6</f>
        <v>10</v>
      </c>
      <c r="I6" s="52"/>
      <c r="J6" s="53"/>
    </row>
    <row r="7" spans="1:13" s="25" customFormat="1" ht="37.5" x14ac:dyDescent="0.25">
      <c r="A7" s="31" t="s">
        <v>171</v>
      </c>
      <c r="B7" s="32" t="s">
        <v>143</v>
      </c>
      <c r="C7" s="33" t="s">
        <v>172</v>
      </c>
      <c r="D7" s="34" t="s">
        <v>173</v>
      </c>
      <c r="E7" s="35">
        <v>40</v>
      </c>
      <c r="F7" s="36">
        <v>0</v>
      </c>
      <c r="G7" s="36">
        <v>0</v>
      </c>
      <c r="H7" s="35">
        <f>SUM(E7:G7)</f>
        <v>40</v>
      </c>
      <c r="I7" s="110"/>
      <c r="J7" s="111"/>
    </row>
    <row r="8" spans="1:13" s="25" customFormat="1" ht="56.25" x14ac:dyDescent="0.25">
      <c r="A8" s="39">
        <v>45480</v>
      </c>
      <c r="B8" s="32" t="s">
        <v>174</v>
      </c>
      <c r="C8" s="33" t="s">
        <v>175</v>
      </c>
      <c r="D8" s="33" t="s">
        <v>176</v>
      </c>
      <c r="E8" s="35">
        <v>0</v>
      </c>
      <c r="F8" s="36">
        <v>0</v>
      </c>
      <c r="G8" s="36">
        <v>15</v>
      </c>
      <c r="H8" s="35">
        <f>H7-G8-F8+E8</f>
        <v>25</v>
      </c>
      <c r="I8" s="110"/>
      <c r="J8" s="111"/>
    </row>
    <row r="9" spans="1:13" s="25" customFormat="1" ht="37.5" x14ac:dyDescent="0.25">
      <c r="A9" s="39" t="s">
        <v>177</v>
      </c>
      <c r="B9" s="32" t="s">
        <v>178</v>
      </c>
      <c r="C9" s="33" t="s">
        <v>179</v>
      </c>
      <c r="D9" s="33" t="s">
        <v>176</v>
      </c>
      <c r="E9" s="35">
        <v>0</v>
      </c>
      <c r="F9" s="36">
        <v>0</v>
      </c>
      <c r="G9" s="36">
        <v>4</v>
      </c>
      <c r="H9" s="35">
        <f t="shared" ref="H9:H10" si="1">H8-G9-F9+E9</f>
        <v>21</v>
      </c>
      <c r="I9" s="110"/>
      <c r="J9" s="111"/>
    </row>
    <row r="10" spans="1:13" s="25" customFormat="1" ht="35.25" customHeight="1" x14ac:dyDescent="0.25">
      <c r="A10" s="39" t="s">
        <v>152</v>
      </c>
      <c r="B10" s="32" t="s">
        <v>463</v>
      </c>
      <c r="C10" s="33" t="s">
        <v>179</v>
      </c>
      <c r="D10" s="34" t="s">
        <v>176</v>
      </c>
      <c r="E10" s="35">
        <v>0</v>
      </c>
      <c r="F10" s="36">
        <v>0</v>
      </c>
      <c r="G10" s="36">
        <v>4</v>
      </c>
      <c r="H10" s="35">
        <f t="shared" si="1"/>
        <v>17</v>
      </c>
      <c r="I10" s="110"/>
      <c r="J10" s="111"/>
    </row>
    <row r="11" spans="1:13" s="25" customFormat="1" ht="37.5" x14ac:dyDescent="0.25">
      <c r="A11" s="39" t="s">
        <v>180</v>
      </c>
      <c r="B11" s="32" t="s">
        <v>181</v>
      </c>
      <c r="C11" s="33" t="s">
        <v>182</v>
      </c>
      <c r="D11" s="34" t="s">
        <v>176</v>
      </c>
      <c r="E11" s="35">
        <v>0</v>
      </c>
      <c r="F11" s="36">
        <v>0</v>
      </c>
      <c r="G11" s="36">
        <v>5</v>
      </c>
      <c r="H11" s="35">
        <v>12</v>
      </c>
      <c r="I11" s="110"/>
      <c r="J11" s="111"/>
    </row>
    <row r="12" spans="1:13" s="25" customFormat="1" ht="37.5" x14ac:dyDescent="0.25">
      <c r="A12" s="39" t="s">
        <v>183</v>
      </c>
      <c r="B12" s="32" t="s">
        <v>184</v>
      </c>
      <c r="C12" s="33" t="s">
        <v>185</v>
      </c>
      <c r="D12" s="34" t="s">
        <v>176</v>
      </c>
      <c r="E12" s="35">
        <v>0</v>
      </c>
      <c r="F12" s="36">
        <v>0</v>
      </c>
      <c r="G12" s="36">
        <v>2</v>
      </c>
      <c r="H12" s="35">
        <v>10</v>
      </c>
      <c r="I12" s="110"/>
      <c r="J12" s="111"/>
    </row>
    <row r="13" spans="1:13" s="25" customFormat="1" ht="37.5" x14ac:dyDescent="0.25">
      <c r="A13" s="39">
        <v>45700</v>
      </c>
      <c r="B13" s="32" t="s">
        <v>186</v>
      </c>
      <c r="C13" s="33" t="s">
        <v>187</v>
      </c>
      <c r="D13" s="34" t="s">
        <v>176</v>
      </c>
      <c r="E13" s="35">
        <v>0</v>
      </c>
      <c r="F13" s="36">
        <v>0</v>
      </c>
      <c r="G13" s="36">
        <v>2</v>
      </c>
      <c r="H13" s="35">
        <v>8</v>
      </c>
      <c r="I13" s="110"/>
      <c r="J13" s="111"/>
    </row>
    <row r="14" spans="1:13" s="25" customFormat="1" ht="37.5" x14ac:dyDescent="0.25">
      <c r="A14" s="39" t="s">
        <v>162</v>
      </c>
      <c r="B14" s="32" t="s">
        <v>188</v>
      </c>
      <c r="C14" s="33" t="s">
        <v>189</v>
      </c>
      <c r="D14" s="34" t="s">
        <v>176</v>
      </c>
      <c r="E14" s="35">
        <v>0</v>
      </c>
      <c r="F14" s="36">
        <v>0</v>
      </c>
      <c r="G14" s="36">
        <v>2</v>
      </c>
      <c r="H14" s="35">
        <v>6</v>
      </c>
      <c r="I14" s="110"/>
      <c r="J14" s="111"/>
    </row>
    <row r="15" spans="1:13" s="25" customFormat="1" ht="75" x14ac:dyDescent="0.25">
      <c r="A15" s="39" t="s">
        <v>165</v>
      </c>
      <c r="B15" s="32" t="s">
        <v>190</v>
      </c>
      <c r="C15" s="33" t="s">
        <v>191</v>
      </c>
      <c r="D15" s="34" t="s">
        <v>176</v>
      </c>
      <c r="E15" s="35">
        <v>6</v>
      </c>
      <c r="F15" s="36">
        <v>0</v>
      </c>
      <c r="G15" s="36">
        <v>0</v>
      </c>
      <c r="H15" s="35">
        <v>12</v>
      </c>
      <c r="I15" s="110"/>
      <c r="J15" s="111"/>
    </row>
    <row r="16" spans="1:13" s="25" customFormat="1" ht="37.5" x14ac:dyDescent="0.25">
      <c r="A16" s="39" t="s">
        <v>165</v>
      </c>
      <c r="B16" s="32" t="s">
        <v>192</v>
      </c>
      <c r="C16" s="33" t="s">
        <v>193</v>
      </c>
      <c r="D16" s="34" t="s">
        <v>176</v>
      </c>
      <c r="E16" s="35">
        <v>0</v>
      </c>
      <c r="F16" s="36">
        <v>0</v>
      </c>
      <c r="G16" s="36">
        <v>2</v>
      </c>
      <c r="H16" s="35">
        <v>10</v>
      </c>
      <c r="I16" s="110"/>
      <c r="J16" s="111"/>
    </row>
    <row r="17" spans="1:10" s="25" customFormat="1" ht="30" customHeight="1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30" customHeigh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30" customHeigh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30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30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30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30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9:G1048576" name="Range1"/>
  </protectedRanges>
  <mergeCells count="28">
    <mergeCell ref="I21:J21"/>
    <mergeCell ref="I22:J22"/>
    <mergeCell ref="I23:J23"/>
    <mergeCell ref="I12:J12"/>
    <mergeCell ref="I15:J15"/>
    <mergeCell ref="I16:J16"/>
    <mergeCell ref="I17:J17"/>
    <mergeCell ref="I18:J18"/>
    <mergeCell ref="I19:J19"/>
    <mergeCell ref="I20:J20"/>
    <mergeCell ref="I14:J14"/>
    <mergeCell ref="I8:J8"/>
    <mergeCell ref="I9:J9"/>
    <mergeCell ref="I10:J10"/>
    <mergeCell ref="I11:J11"/>
    <mergeCell ref="I13:J13"/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29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9138-490C-444C-90BB-19A371A7F403}">
  <dimension ref="A1:M23"/>
  <sheetViews>
    <sheetView workbookViewId="0">
      <selection activeCell="G18" sqref="G18"/>
    </sheetView>
  </sheetViews>
  <sheetFormatPr defaultRowHeight="30" customHeight="1" x14ac:dyDescent="0.3"/>
  <cols>
    <col min="1" max="1" width="18.42578125" style="41" customWidth="1"/>
    <col min="2" max="2" width="24.710937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9</v>
      </c>
      <c r="E2" s="108" t="s">
        <v>30</v>
      </c>
      <c r="F2" s="108"/>
      <c r="G2" s="108"/>
      <c r="H2" s="17">
        <v>2</v>
      </c>
      <c r="I2" s="16" t="s">
        <v>31</v>
      </c>
      <c r="J2" s="17">
        <v>9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19" t="s">
        <v>209</v>
      </c>
      <c r="E3" s="112" t="s">
        <v>33</v>
      </c>
      <c r="F3" s="112"/>
      <c r="G3" s="112"/>
      <c r="H3" s="112"/>
      <c r="I3" s="20">
        <v>3026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16" t="s">
        <v>42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30" customHeight="1" x14ac:dyDescent="0.25">
      <c r="A6" s="51"/>
      <c r="B6" s="51"/>
      <c r="C6" s="51"/>
      <c r="D6" s="51"/>
      <c r="E6" s="1">
        <f>SUM(E7:E998)</f>
        <v>51</v>
      </c>
      <c r="F6" s="1">
        <f>SUM(F7:F998)</f>
        <v>0</v>
      </c>
      <c r="G6" s="1">
        <f>SUM(G7:G998)</f>
        <v>48</v>
      </c>
      <c r="H6" s="1">
        <f>+E6-F6-G6</f>
        <v>3</v>
      </c>
      <c r="I6" s="52"/>
      <c r="J6" s="99"/>
    </row>
    <row r="7" spans="1:13" s="25" customFormat="1" ht="37.5" x14ac:dyDescent="0.25">
      <c r="A7" s="31" t="s">
        <v>195</v>
      </c>
      <c r="B7" s="32" t="s">
        <v>143</v>
      </c>
      <c r="C7" s="33" t="s">
        <v>210</v>
      </c>
      <c r="D7" s="34" t="s">
        <v>197</v>
      </c>
      <c r="E7" s="35">
        <v>45</v>
      </c>
      <c r="F7" s="36">
        <v>0</v>
      </c>
      <c r="G7" s="36">
        <v>0</v>
      </c>
      <c r="H7" s="35">
        <f>SUM(E7:G7)</f>
        <v>45</v>
      </c>
      <c r="I7" s="110"/>
      <c r="J7" s="111"/>
    </row>
    <row r="8" spans="1:13" s="25" customFormat="1" ht="37.5" x14ac:dyDescent="0.25">
      <c r="A8" s="39">
        <v>45480</v>
      </c>
      <c r="B8" s="32" t="s">
        <v>211</v>
      </c>
      <c r="C8" s="33" t="s">
        <v>212</v>
      </c>
      <c r="D8" s="33" t="s">
        <v>83</v>
      </c>
      <c r="E8" s="35">
        <v>0</v>
      </c>
      <c r="F8" s="36">
        <v>0</v>
      </c>
      <c r="G8" s="36">
        <v>15</v>
      </c>
      <c r="H8" s="35">
        <f>H7+E8-F8-G8</f>
        <v>30</v>
      </c>
      <c r="I8" s="110"/>
      <c r="J8" s="111"/>
    </row>
    <row r="9" spans="1:13" s="25" customFormat="1" ht="37.5" x14ac:dyDescent="0.25">
      <c r="A9" s="39" t="s">
        <v>201</v>
      </c>
      <c r="B9" s="32" t="s">
        <v>213</v>
      </c>
      <c r="C9" s="33" t="s">
        <v>179</v>
      </c>
      <c r="D9" s="33" t="s">
        <v>83</v>
      </c>
      <c r="E9" s="35">
        <v>0</v>
      </c>
      <c r="F9" s="36">
        <v>0</v>
      </c>
      <c r="G9" s="36">
        <v>4</v>
      </c>
      <c r="H9" s="35">
        <f t="shared" ref="H9:H16" si="0">H8+E9-F9-G9</f>
        <v>26</v>
      </c>
      <c r="I9" s="110"/>
      <c r="J9" s="111"/>
    </row>
    <row r="10" spans="1:13" s="25" customFormat="1" ht="56.25" x14ac:dyDescent="0.25">
      <c r="A10" s="39" t="s">
        <v>152</v>
      </c>
      <c r="B10" s="32" t="s">
        <v>214</v>
      </c>
      <c r="C10" s="33" t="s">
        <v>179</v>
      </c>
      <c r="D10" s="34" t="s">
        <v>83</v>
      </c>
      <c r="E10" s="35">
        <v>0</v>
      </c>
      <c r="F10" s="36">
        <v>0</v>
      </c>
      <c r="G10" s="36">
        <v>4</v>
      </c>
      <c r="H10" s="35">
        <f t="shared" si="0"/>
        <v>22</v>
      </c>
      <c r="I10" s="110"/>
      <c r="J10" s="111"/>
    </row>
    <row r="11" spans="1:13" s="25" customFormat="1" ht="37.5" x14ac:dyDescent="0.25">
      <c r="A11" s="39" t="s">
        <v>88</v>
      </c>
      <c r="B11" s="32" t="s">
        <v>215</v>
      </c>
      <c r="C11" s="33" t="s">
        <v>216</v>
      </c>
      <c r="D11" s="34" t="s">
        <v>83</v>
      </c>
      <c r="E11" s="35">
        <v>0</v>
      </c>
      <c r="F11" s="36">
        <v>0</v>
      </c>
      <c r="G11" s="36">
        <v>11</v>
      </c>
      <c r="H11" s="35">
        <f t="shared" si="0"/>
        <v>11</v>
      </c>
      <c r="I11" s="110"/>
      <c r="J11" s="111"/>
    </row>
    <row r="12" spans="1:13" s="25" customFormat="1" ht="37.5" x14ac:dyDescent="0.25">
      <c r="A12" s="39">
        <v>45969</v>
      </c>
      <c r="B12" s="32" t="s">
        <v>217</v>
      </c>
      <c r="C12" s="33" t="s">
        <v>185</v>
      </c>
      <c r="D12" s="34" t="s">
        <v>83</v>
      </c>
      <c r="E12" s="35">
        <v>0</v>
      </c>
      <c r="F12" s="36">
        <v>0</v>
      </c>
      <c r="G12" s="36">
        <v>5</v>
      </c>
      <c r="H12" s="35">
        <f t="shared" si="0"/>
        <v>6</v>
      </c>
      <c r="I12" s="110"/>
      <c r="J12" s="111"/>
    </row>
    <row r="13" spans="1:13" s="25" customFormat="1" ht="56.25" x14ac:dyDescent="0.25">
      <c r="A13" s="39">
        <v>45993</v>
      </c>
      <c r="B13" s="32" t="s">
        <v>218</v>
      </c>
      <c r="C13" s="33" t="s">
        <v>219</v>
      </c>
      <c r="D13" s="34" t="s">
        <v>83</v>
      </c>
      <c r="E13" s="35">
        <v>0</v>
      </c>
      <c r="F13" s="36">
        <v>0</v>
      </c>
      <c r="G13" s="36">
        <v>3</v>
      </c>
      <c r="H13" s="35">
        <f t="shared" si="0"/>
        <v>3</v>
      </c>
      <c r="I13" s="110"/>
      <c r="J13" s="111"/>
    </row>
    <row r="14" spans="1:13" s="25" customFormat="1" ht="37.5" x14ac:dyDescent="0.25">
      <c r="A14" s="39" t="s">
        <v>162</v>
      </c>
      <c r="B14" s="32" t="s">
        <v>220</v>
      </c>
      <c r="C14" s="33" t="s">
        <v>221</v>
      </c>
      <c r="D14" s="34" t="s">
        <v>83</v>
      </c>
      <c r="E14" s="35">
        <v>0</v>
      </c>
      <c r="F14" s="36">
        <v>0</v>
      </c>
      <c r="G14" s="36">
        <v>2</v>
      </c>
      <c r="H14" s="35">
        <f t="shared" si="0"/>
        <v>1</v>
      </c>
      <c r="I14" s="110"/>
      <c r="J14" s="111"/>
    </row>
    <row r="15" spans="1:13" s="25" customFormat="1" ht="56.25" x14ac:dyDescent="0.25">
      <c r="A15" s="39" t="s">
        <v>165</v>
      </c>
      <c r="B15" s="32" t="s">
        <v>439</v>
      </c>
      <c r="C15" s="33" t="s">
        <v>222</v>
      </c>
      <c r="D15" s="34" t="s">
        <v>83</v>
      </c>
      <c r="E15" s="35">
        <v>6</v>
      </c>
      <c r="F15" s="36">
        <v>0</v>
      </c>
      <c r="G15" s="36">
        <v>0</v>
      </c>
      <c r="H15" s="35">
        <f t="shared" si="0"/>
        <v>7</v>
      </c>
      <c r="I15" s="110"/>
      <c r="J15" s="111"/>
    </row>
    <row r="16" spans="1:13" s="25" customFormat="1" ht="37.5" x14ac:dyDescent="0.25">
      <c r="A16" s="39" t="s">
        <v>165</v>
      </c>
      <c r="B16" s="32" t="s">
        <v>223</v>
      </c>
      <c r="C16" s="33" t="s">
        <v>224</v>
      </c>
      <c r="D16" s="34" t="s">
        <v>83</v>
      </c>
      <c r="E16" s="35">
        <v>0</v>
      </c>
      <c r="F16" s="36">
        <v>0</v>
      </c>
      <c r="G16" s="36">
        <v>4</v>
      </c>
      <c r="H16" s="35">
        <f t="shared" si="0"/>
        <v>3</v>
      </c>
      <c r="I16" s="110"/>
      <c r="J16" s="111"/>
    </row>
    <row r="17" spans="1:10" s="25" customFormat="1" ht="30" customHeight="1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30" customHeigh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30" customHeigh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30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30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30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30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9:G1048576" name="Range1_2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2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0A1C-7373-4EE2-BBFA-A6AAF516A012}">
  <dimension ref="A1:M23"/>
  <sheetViews>
    <sheetView workbookViewId="0">
      <selection activeCell="G14" sqref="G14"/>
    </sheetView>
  </sheetViews>
  <sheetFormatPr defaultRowHeight="30" customHeight="1" x14ac:dyDescent="0.3"/>
  <cols>
    <col min="1" max="1" width="18.42578125" style="41" customWidth="1"/>
    <col min="2" max="2" width="24.42578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10</v>
      </c>
      <c r="E2" s="108" t="s">
        <v>30</v>
      </c>
      <c r="F2" s="108"/>
      <c r="G2" s="108"/>
      <c r="H2" s="17">
        <v>2</v>
      </c>
      <c r="I2" s="16" t="s">
        <v>31</v>
      </c>
      <c r="J2" s="17">
        <v>10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19" t="s">
        <v>194</v>
      </c>
      <c r="E3" s="112" t="s">
        <v>33</v>
      </c>
      <c r="F3" s="112"/>
      <c r="G3" s="112"/>
      <c r="H3" s="112"/>
      <c r="I3" s="20">
        <v>3028</v>
      </c>
      <c r="J3" s="21"/>
    </row>
    <row r="4" spans="1:13" ht="30" customHeight="1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16" t="s">
        <v>42</v>
      </c>
      <c r="J4" s="116"/>
    </row>
    <row r="5" spans="1:13" s="25" customFormat="1" ht="30" customHeight="1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30" customHeight="1" x14ac:dyDescent="0.25">
      <c r="A6" s="51"/>
      <c r="B6" s="51"/>
      <c r="C6" s="51"/>
      <c r="D6" s="51"/>
      <c r="E6" s="1">
        <f>SUM(E7:E1000)</f>
        <v>46</v>
      </c>
      <c r="F6" s="1">
        <f>SUM(F7:F1000)</f>
        <v>0</v>
      </c>
      <c r="G6" s="1">
        <f>SUM(G7:G1000)</f>
        <v>44</v>
      </c>
      <c r="H6" s="1">
        <f>+E6-F6-G6</f>
        <v>2</v>
      </c>
      <c r="I6" s="52"/>
      <c r="J6" s="53"/>
    </row>
    <row r="7" spans="1:13" s="25" customFormat="1" ht="37.5" x14ac:dyDescent="0.25">
      <c r="A7" s="31" t="s">
        <v>195</v>
      </c>
      <c r="B7" s="32" t="s">
        <v>143</v>
      </c>
      <c r="C7" s="33" t="s">
        <v>196</v>
      </c>
      <c r="D7" s="34" t="s">
        <v>197</v>
      </c>
      <c r="E7" s="35">
        <v>40</v>
      </c>
      <c r="F7" s="36">
        <v>0</v>
      </c>
      <c r="G7" s="36">
        <v>0</v>
      </c>
      <c r="H7" s="35">
        <f>SUM(E7:G7)</f>
        <v>40</v>
      </c>
      <c r="I7" s="110"/>
      <c r="J7" s="111"/>
    </row>
    <row r="8" spans="1:13" s="25" customFormat="1" ht="56.25" x14ac:dyDescent="0.25">
      <c r="A8" s="39">
        <v>45480</v>
      </c>
      <c r="B8" s="32" t="s">
        <v>198</v>
      </c>
      <c r="C8" s="33" t="s">
        <v>199</v>
      </c>
      <c r="D8" s="33" t="s">
        <v>200</v>
      </c>
      <c r="E8" s="35">
        <v>0</v>
      </c>
      <c r="F8" s="36">
        <v>0</v>
      </c>
      <c r="G8" s="36">
        <v>15</v>
      </c>
      <c r="H8" s="35">
        <f>H7-G8-F8+E8</f>
        <v>25</v>
      </c>
      <c r="I8" s="110"/>
      <c r="J8" s="111"/>
    </row>
    <row r="9" spans="1:13" s="25" customFormat="1" ht="37.5" x14ac:dyDescent="0.25">
      <c r="A9" s="39" t="s">
        <v>201</v>
      </c>
      <c r="B9" s="32" t="s">
        <v>467</v>
      </c>
      <c r="C9" s="33" t="s">
        <v>202</v>
      </c>
      <c r="D9" s="33" t="s">
        <v>200</v>
      </c>
      <c r="E9" s="35">
        <v>0</v>
      </c>
      <c r="F9" s="36">
        <v>0</v>
      </c>
      <c r="G9" s="36">
        <v>4</v>
      </c>
      <c r="H9" s="35">
        <f t="shared" ref="H9:H14" si="0">H8-G9-F9+E9</f>
        <v>21</v>
      </c>
      <c r="I9" s="110"/>
      <c r="J9" s="111"/>
    </row>
    <row r="10" spans="1:13" s="25" customFormat="1" ht="56.25" x14ac:dyDescent="0.25">
      <c r="A10" s="39" t="s">
        <v>152</v>
      </c>
      <c r="B10" s="32" t="s">
        <v>203</v>
      </c>
      <c r="C10" s="33" t="s">
        <v>202</v>
      </c>
      <c r="D10" s="34" t="s">
        <v>200</v>
      </c>
      <c r="E10" s="35">
        <v>0</v>
      </c>
      <c r="F10" s="36">
        <v>0</v>
      </c>
      <c r="G10" s="36">
        <v>4</v>
      </c>
      <c r="H10" s="35">
        <f t="shared" si="0"/>
        <v>17</v>
      </c>
      <c r="I10" s="110"/>
      <c r="J10" s="111"/>
    </row>
    <row r="11" spans="1:13" s="25" customFormat="1" ht="37.5" x14ac:dyDescent="0.25">
      <c r="A11" s="39" t="s">
        <v>88</v>
      </c>
      <c r="B11" s="32" t="s">
        <v>204</v>
      </c>
      <c r="C11" s="33" t="s">
        <v>205</v>
      </c>
      <c r="D11" s="34" t="s">
        <v>200</v>
      </c>
      <c r="E11" s="35">
        <v>0</v>
      </c>
      <c r="F11" s="36">
        <v>0</v>
      </c>
      <c r="G11" s="36">
        <v>8</v>
      </c>
      <c r="H11" s="35">
        <f>H10-G11-F11+E11</f>
        <v>9</v>
      </c>
      <c r="I11" s="110"/>
      <c r="J11" s="111"/>
    </row>
    <row r="12" spans="1:13" s="25" customFormat="1" ht="37.5" x14ac:dyDescent="0.25">
      <c r="A12" s="39">
        <v>45969</v>
      </c>
      <c r="B12" s="32" t="s">
        <v>464</v>
      </c>
      <c r="C12" s="33" t="s">
        <v>185</v>
      </c>
      <c r="D12" s="34" t="s">
        <v>200</v>
      </c>
      <c r="E12" s="35">
        <v>0</v>
      </c>
      <c r="F12" s="36">
        <v>0</v>
      </c>
      <c r="G12" s="36">
        <v>9</v>
      </c>
      <c r="H12" s="35">
        <f>H11-G12-F12+E12</f>
        <v>0</v>
      </c>
      <c r="I12" s="37"/>
      <c r="J12" s="38"/>
    </row>
    <row r="13" spans="1:13" s="25" customFormat="1" ht="56.25" x14ac:dyDescent="0.25">
      <c r="A13" s="39" t="s">
        <v>206</v>
      </c>
      <c r="B13" s="32" t="s">
        <v>465</v>
      </c>
      <c r="C13" s="33" t="s">
        <v>207</v>
      </c>
      <c r="D13" s="34" t="s">
        <v>200</v>
      </c>
      <c r="E13" s="35">
        <v>6</v>
      </c>
      <c r="F13" s="36">
        <v>0</v>
      </c>
      <c r="G13" s="36">
        <v>0</v>
      </c>
      <c r="H13" s="35">
        <f t="shared" ref="H13:H14" si="1">H12-G13-F13+E13</f>
        <v>6</v>
      </c>
      <c r="I13" s="110"/>
      <c r="J13" s="111"/>
    </row>
    <row r="14" spans="1:13" s="25" customFormat="1" ht="31.5" customHeight="1" x14ac:dyDescent="0.25">
      <c r="A14" s="39" t="s">
        <v>165</v>
      </c>
      <c r="B14" s="32" t="s">
        <v>466</v>
      </c>
      <c r="C14" s="33" t="s">
        <v>208</v>
      </c>
      <c r="D14" s="34" t="s">
        <v>200</v>
      </c>
      <c r="E14" s="35">
        <v>0</v>
      </c>
      <c r="F14" s="36">
        <v>0</v>
      </c>
      <c r="G14" s="36">
        <v>4</v>
      </c>
      <c r="H14" s="35">
        <f t="shared" si="1"/>
        <v>2</v>
      </c>
      <c r="I14" s="110"/>
      <c r="J14" s="111"/>
    </row>
    <row r="15" spans="1:13" s="25" customFormat="1" ht="30" customHeight="1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ht="30" customHeight="1" x14ac:dyDescent="0.25">
      <c r="A16" s="39"/>
      <c r="B16" s="40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30" customHeight="1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30" customHeigh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30" customHeigh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30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30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30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30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9:G1048576" name="Range1_1"/>
  </protectedRanges>
  <mergeCells count="27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B1:J1"/>
    <mergeCell ref="A2:C2"/>
    <mergeCell ref="E2:G2"/>
    <mergeCell ref="L2:M2"/>
    <mergeCell ref="A3:C3"/>
    <mergeCell ref="E3:H3"/>
  </mergeCells>
  <phoneticPr fontId="38" type="noConversion"/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27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70EA-69C4-44F0-9E5B-99BB92EB3578}">
  <dimension ref="A1:M19"/>
  <sheetViews>
    <sheetView workbookViewId="0">
      <selection activeCell="H14" sqref="H14"/>
    </sheetView>
  </sheetViews>
  <sheetFormatPr defaultRowHeight="30" customHeight="1" x14ac:dyDescent="0.3"/>
  <cols>
    <col min="1" max="1" width="18.42578125" style="41" customWidth="1"/>
    <col min="2" max="2" width="24.5703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11</v>
      </c>
      <c r="E2" s="108" t="s">
        <v>30</v>
      </c>
      <c r="F2" s="108"/>
      <c r="G2" s="108"/>
      <c r="H2" s="17">
        <v>1</v>
      </c>
      <c r="I2" s="16" t="s">
        <v>31</v>
      </c>
      <c r="J2" s="17">
        <v>3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98" t="s">
        <v>16</v>
      </c>
      <c r="E3" s="112" t="s">
        <v>33</v>
      </c>
      <c r="F3" s="112"/>
      <c r="G3" s="112"/>
      <c r="H3" s="112"/>
      <c r="I3" s="20">
        <v>3030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>
        <v>3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30" customHeight="1" x14ac:dyDescent="0.25">
      <c r="A6" s="51"/>
      <c r="B6" s="51"/>
      <c r="C6" s="51"/>
      <c r="D6" s="51"/>
      <c r="E6" s="1">
        <f>SUM(E7:E998)</f>
        <v>28</v>
      </c>
      <c r="F6" s="1">
        <f>SUM(F7:F998)</f>
        <v>0</v>
      </c>
      <c r="G6" s="1">
        <f>SUM(G7:G998)</f>
        <v>21</v>
      </c>
      <c r="H6" s="1">
        <f>+E6-F6-G6</f>
        <v>7</v>
      </c>
      <c r="I6" s="52"/>
      <c r="J6" s="99"/>
    </row>
    <row r="7" spans="1:13" s="25" customFormat="1" ht="37.5" x14ac:dyDescent="0.25">
      <c r="A7" s="31">
        <v>45601</v>
      </c>
      <c r="B7" s="32" t="s">
        <v>225</v>
      </c>
      <c r="C7" s="33" t="s">
        <v>226</v>
      </c>
      <c r="D7" s="33" t="s">
        <v>227</v>
      </c>
      <c r="E7" s="35">
        <v>25</v>
      </c>
      <c r="F7" s="36">
        <v>0</v>
      </c>
      <c r="G7" s="36">
        <v>0</v>
      </c>
      <c r="H7" s="100">
        <f>SUM(E7:G7)</f>
        <v>25</v>
      </c>
      <c r="I7" s="110"/>
      <c r="J7" s="111"/>
    </row>
    <row r="8" spans="1:13" s="25" customFormat="1" ht="56.25" x14ac:dyDescent="0.25">
      <c r="A8" s="31" t="s">
        <v>228</v>
      </c>
      <c r="B8" s="32" t="s">
        <v>229</v>
      </c>
      <c r="C8" s="33" t="s">
        <v>230</v>
      </c>
      <c r="D8" s="33" t="s">
        <v>231</v>
      </c>
      <c r="E8" s="35">
        <v>0</v>
      </c>
      <c r="F8" s="36">
        <v>0</v>
      </c>
      <c r="G8" s="36">
        <v>12</v>
      </c>
      <c r="H8" s="100">
        <f>H7+E8+-F8-G8</f>
        <v>13</v>
      </c>
      <c r="I8" s="110" t="s">
        <v>232</v>
      </c>
      <c r="J8" s="111"/>
    </row>
    <row r="9" spans="1:13" s="25" customFormat="1" ht="37.5" x14ac:dyDescent="0.25">
      <c r="A9" s="31">
        <v>45473</v>
      </c>
      <c r="B9" s="32" t="s">
        <v>429</v>
      </c>
      <c r="C9" s="33" t="s">
        <v>430</v>
      </c>
      <c r="D9" s="33" t="s">
        <v>231</v>
      </c>
      <c r="E9" s="35">
        <v>3</v>
      </c>
      <c r="F9" s="36">
        <v>0</v>
      </c>
      <c r="G9" s="36">
        <v>0</v>
      </c>
      <c r="H9" s="100">
        <f t="shared" ref="H9:H14" si="0">H8+E9+-F9-G9</f>
        <v>16</v>
      </c>
      <c r="I9" s="37"/>
      <c r="J9" s="38"/>
    </row>
    <row r="10" spans="1:13" s="25" customFormat="1" ht="56.25" x14ac:dyDescent="0.25">
      <c r="A10" s="39">
        <v>45480</v>
      </c>
      <c r="B10" s="32" t="s">
        <v>428</v>
      </c>
      <c r="C10" s="33" t="s">
        <v>431</v>
      </c>
      <c r="D10" s="33" t="s">
        <v>231</v>
      </c>
      <c r="E10" s="35">
        <v>0</v>
      </c>
      <c r="F10" s="36">
        <v>0</v>
      </c>
      <c r="G10" s="36">
        <v>1</v>
      </c>
      <c r="H10" s="100">
        <f t="shared" si="0"/>
        <v>15</v>
      </c>
      <c r="I10" s="110"/>
      <c r="J10" s="111"/>
    </row>
    <row r="11" spans="1:13" s="25" customFormat="1" ht="56.25" x14ac:dyDescent="0.25">
      <c r="A11" s="39" t="s">
        <v>432</v>
      </c>
      <c r="B11" s="32" t="s">
        <v>433</v>
      </c>
      <c r="C11" s="33" t="s">
        <v>431</v>
      </c>
      <c r="D11" s="33" t="s">
        <v>231</v>
      </c>
      <c r="E11" s="35">
        <v>0</v>
      </c>
      <c r="F11" s="36">
        <v>0</v>
      </c>
      <c r="G11" s="36">
        <v>1</v>
      </c>
      <c r="H11" s="100">
        <f t="shared" si="0"/>
        <v>14</v>
      </c>
      <c r="I11" s="110"/>
      <c r="J11" s="111"/>
    </row>
    <row r="12" spans="1:13" s="25" customFormat="1" ht="56.25" x14ac:dyDescent="0.25">
      <c r="A12" s="39">
        <v>46051</v>
      </c>
      <c r="B12" s="32" t="s">
        <v>435</v>
      </c>
      <c r="C12" s="33" t="s">
        <v>434</v>
      </c>
      <c r="D12" s="33" t="s">
        <v>231</v>
      </c>
      <c r="E12" s="35">
        <v>0</v>
      </c>
      <c r="F12" s="36">
        <v>0</v>
      </c>
      <c r="G12" s="36">
        <v>2</v>
      </c>
      <c r="H12" s="100">
        <f t="shared" si="0"/>
        <v>12</v>
      </c>
      <c r="I12" s="110"/>
      <c r="J12" s="111"/>
    </row>
    <row r="13" spans="1:13" s="25" customFormat="1" ht="56.25" x14ac:dyDescent="0.25">
      <c r="A13" s="39">
        <v>46112</v>
      </c>
      <c r="B13" s="32" t="s">
        <v>436</v>
      </c>
      <c r="C13" s="33" t="s">
        <v>437</v>
      </c>
      <c r="D13" s="33" t="s">
        <v>231</v>
      </c>
      <c r="E13" s="35">
        <v>0</v>
      </c>
      <c r="F13" s="36">
        <v>0</v>
      </c>
      <c r="G13" s="36">
        <v>3</v>
      </c>
      <c r="H13" s="100">
        <f t="shared" si="0"/>
        <v>9</v>
      </c>
      <c r="I13" s="110"/>
      <c r="J13" s="111"/>
    </row>
    <row r="14" spans="1:13" s="25" customFormat="1" ht="56.25" x14ac:dyDescent="0.25">
      <c r="A14" s="39">
        <v>46134</v>
      </c>
      <c r="B14" s="32" t="s">
        <v>438</v>
      </c>
      <c r="C14" s="33" t="s">
        <v>437</v>
      </c>
      <c r="D14" s="33" t="s">
        <v>231</v>
      </c>
      <c r="E14" s="35">
        <v>0</v>
      </c>
      <c r="F14" s="36">
        <v>0</v>
      </c>
      <c r="G14" s="36">
        <v>2</v>
      </c>
      <c r="H14" s="100">
        <f t="shared" si="0"/>
        <v>7</v>
      </c>
      <c r="I14" s="110"/>
      <c r="J14" s="111"/>
    </row>
    <row r="15" spans="1:13" s="25" customFormat="1" ht="30" customHeight="1" x14ac:dyDescent="0.25">
      <c r="A15" s="39"/>
      <c r="B15" s="40"/>
      <c r="C15" s="33"/>
      <c r="D15" s="34"/>
      <c r="E15" s="35"/>
      <c r="F15" s="36"/>
      <c r="G15" s="36"/>
      <c r="H15" s="100"/>
      <c r="I15" s="110"/>
      <c r="J15" s="111"/>
    </row>
    <row r="16" spans="1:13" s="25" customFormat="1" ht="30" customHeight="1" x14ac:dyDescent="0.25">
      <c r="A16" s="39"/>
      <c r="B16" s="40"/>
      <c r="C16" s="33"/>
      <c r="D16" s="34"/>
      <c r="E16" s="35"/>
      <c r="F16" s="36"/>
      <c r="G16" s="36"/>
      <c r="H16" s="100"/>
      <c r="I16" s="110"/>
      <c r="J16" s="111"/>
    </row>
    <row r="17" spans="1:10" s="25" customFormat="1" ht="30" customHeight="1" x14ac:dyDescent="0.25">
      <c r="A17" s="39"/>
      <c r="B17" s="40"/>
      <c r="C17" s="33"/>
      <c r="D17" s="34"/>
      <c r="E17" s="35"/>
      <c r="F17" s="36"/>
      <c r="G17" s="36"/>
      <c r="H17" s="100"/>
      <c r="I17" s="110"/>
      <c r="J17" s="111"/>
    </row>
    <row r="18" spans="1:10" s="25" customFormat="1" ht="30" customHeight="1" x14ac:dyDescent="0.25">
      <c r="A18" s="39"/>
      <c r="B18" s="40"/>
      <c r="C18" s="33"/>
      <c r="D18" s="34"/>
      <c r="E18" s="35"/>
      <c r="F18" s="36"/>
      <c r="G18" s="36"/>
      <c r="H18" s="100"/>
      <c r="I18" s="110"/>
      <c r="J18" s="111"/>
    </row>
    <row r="19" spans="1:10" s="25" customFormat="1" ht="30" customHeight="1" x14ac:dyDescent="0.25">
      <c r="A19" s="39"/>
      <c r="B19" s="40"/>
      <c r="C19" s="33"/>
      <c r="D19" s="34"/>
      <c r="E19" s="35"/>
      <c r="F19" s="36"/>
      <c r="G19" s="36"/>
      <c r="H19" s="100"/>
      <c r="I19" s="110"/>
      <c r="J19" s="111"/>
    </row>
  </sheetData>
  <protectedRanges>
    <protectedRange algorithmName="SHA-512" hashValue="w6vOy6gaWv7RKp7tkLrp7nrHA6RmzXKKrxhAURGVJNeJ+tWzcydALHZnJcvW3Xd6J2aTxgJ4vzpBns4Tppy+Tg==" saltValue="wFqfSvUJGsYlHEHwlJdPRg==" spinCount="100000" sqref="A7:B9 A20:G1048576 A15:D19 A10:C14" name="Range1"/>
  </protectedRanges>
  <mergeCells count="23">
    <mergeCell ref="I15:J15"/>
    <mergeCell ref="I16:J16"/>
    <mergeCell ref="I17:J17"/>
    <mergeCell ref="I18:J18"/>
    <mergeCell ref="I19:J19"/>
    <mergeCell ref="I14:J14"/>
    <mergeCell ref="A4:A5"/>
    <mergeCell ref="B4:B5"/>
    <mergeCell ref="C4:C5"/>
    <mergeCell ref="D4:D5"/>
    <mergeCell ref="I4:J5"/>
    <mergeCell ref="I7:J7"/>
    <mergeCell ref="I8:J8"/>
    <mergeCell ref="I10:J10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phoneticPr fontId="38" type="noConversion"/>
  <conditionalFormatting sqref="B10:B19">
    <cfRule type="cellIs" priority="1" operator="between">
      <formula>1</formula>
      <formula>100000000</formula>
    </cfRule>
  </conditionalFormatting>
  <conditionalFormatting sqref="E7:E19 H7:H19">
    <cfRule type="cellIs" dxfId="26" priority="2" operator="between">
      <formula>1</formula>
      <formula>100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76E3-6730-4DC1-87CC-A5F1DE9FD6D0}">
  <dimension ref="A1:M23"/>
  <sheetViews>
    <sheetView workbookViewId="0"/>
  </sheetViews>
  <sheetFormatPr defaultRowHeight="30" customHeight="1" x14ac:dyDescent="0.3"/>
  <cols>
    <col min="1" max="1" width="18.42578125" style="41" customWidth="1"/>
    <col min="2" max="2" width="24.710937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12</v>
      </c>
      <c r="E2" s="108" t="s">
        <v>30</v>
      </c>
      <c r="F2" s="108"/>
      <c r="G2" s="108"/>
      <c r="H2" s="17">
        <v>2</v>
      </c>
      <c r="I2" s="16" t="s">
        <v>31</v>
      </c>
      <c r="J2" s="17">
        <v>12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19" t="s">
        <v>233</v>
      </c>
      <c r="E3" s="112" t="s">
        <v>33</v>
      </c>
      <c r="F3" s="112"/>
      <c r="G3" s="112"/>
      <c r="H3" s="112"/>
      <c r="I3" s="20">
        <v>3033</v>
      </c>
      <c r="J3" s="21"/>
    </row>
    <row r="4" spans="1:13" ht="30" customHeight="1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16" t="s">
        <v>42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30" customHeight="1" x14ac:dyDescent="0.25">
      <c r="A6" s="51"/>
      <c r="B6" s="51"/>
      <c r="C6" s="51"/>
      <c r="D6" s="51"/>
      <c r="E6" s="1">
        <f>SUM(E7:E1000)</f>
        <v>250</v>
      </c>
      <c r="F6" s="1">
        <f t="shared" ref="F6:G6" si="0">SUM(F7:F1000)</f>
        <v>0</v>
      </c>
      <c r="G6" s="1">
        <f t="shared" si="0"/>
        <v>203</v>
      </c>
      <c r="H6" s="1">
        <f>+E6-F6-G6</f>
        <v>47</v>
      </c>
      <c r="I6" s="52"/>
      <c r="J6" s="53"/>
    </row>
    <row r="7" spans="1:13" s="25" customFormat="1" ht="37.5" x14ac:dyDescent="0.25">
      <c r="A7" s="31" t="s">
        <v>234</v>
      </c>
      <c r="B7" s="32" t="s">
        <v>235</v>
      </c>
      <c r="C7" s="33" t="s">
        <v>236</v>
      </c>
      <c r="D7" s="34" t="s">
        <v>200</v>
      </c>
      <c r="E7" s="35">
        <v>248</v>
      </c>
      <c r="F7" s="36">
        <v>0</v>
      </c>
      <c r="G7" s="36">
        <v>0</v>
      </c>
      <c r="H7" s="35">
        <f>SUM(E7:G7)</f>
        <v>248</v>
      </c>
      <c r="I7" s="110"/>
      <c r="J7" s="111"/>
    </row>
    <row r="8" spans="1:13" s="25" customFormat="1" ht="37.5" x14ac:dyDescent="0.25">
      <c r="A8" s="39" t="s">
        <v>237</v>
      </c>
      <c r="B8" s="32" t="s">
        <v>235</v>
      </c>
      <c r="C8" s="33" t="s">
        <v>236</v>
      </c>
      <c r="D8" s="33" t="s">
        <v>200</v>
      </c>
      <c r="E8" s="35">
        <v>2</v>
      </c>
      <c r="F8" s="36">
        <v>0</v>
      </c>
      <c r="G8" s="36">
        <v>0</v>
      </c>
      <c r="H8" s="35">
        <f>SUM(E8:G8)</f>
        <v>2</v>
      </c>
      <c r="I8" s="110"/>
      <c r="J8" s="111"/>
    </row>
    <row r="9" spans="1:13" s="25" customFormat="1" ht="37.5" x14ac:dyDescent="0.25">
      <c r="A9" s="39">
        <v>45512</v>
      </c>
      <c r="B9" s="32" t="s">
        <v>238</v>
      </c>
      <c r="C9" s="33" t="s">
        <v>239</v>
      </c>
      <c r="D9" s="33" t="s">
        <v>200</v>
      </c>
      <c r="E9" s="35">
        <v>0</v>
      </c>
      <c r="F9" s="36">
        <v>0</v>
      </c>
      <c r="G9" s="36">
        <v>125</v>
      </c>
      <c r="H9" s="35">
        <f t="shared" ref="H9:H10" si="1">H8-G9-F9+E9</f>
        <v>-123</v>
      </c>
      <c r="I9" s="110"/>
      <c r="J9" s="111"/>
    </row>
    <row r="10" spans="1:13" s="25" customFormat="1" ht="56.25" x14ac:dyDescent="0.25">
      <c r="A10" s="39" t="s">
        <v>240</v>
      </c>
      <c r="B10" s="32" t="s">
        <v>241</v>
      </c>
      <c r="C10" s="33" t="s">
        <v>242</v>
      </c>
      <c r="D10" s="34" t="s">
        <v>243</v>
      </c>
      <c r="E10" s="35">
        <v>0</v>
      </c>
      <c r="F10" s="36">
        <v>0</v>
      </c>
      <c r="G10" s="36">
        <v>3</v>
      </c>
      <c r="H10" s="35">
        <f t="shared" si="1"/>
        <v>-126</v>
      </c>
      <c r="I10" s="110"/>
      <c r="J10" s="111"/>
    </row>
    <row r="11" spans="1:13" s="25" customFormat="1" ht="56.25" x14ac:dyDescent="0.25">
      <c r="A11" s="39" t="s">
        <v>162</v>
      </c>
      <c r="B11" s="32" t="s">
        <v>244</v>
      </c>
      <c r="C11" s="33" t="s">
        <v>245</v>
      </c>
      <c r="D11" s="34" t="s">
        <v>243</v>
      </c>
      <c r="E11" s="35">
        <v>0</v>
      </c>
      <c r="F11" s="36">
        <v>0</v>
      </c>
      <c r="G11" s="36">
        <v>10</v>
      </c>
      <c r="H11" s="35">
        <v>112</v>
      </c>
      <c r="I11" s="110"/>
      <c r="J11" s="111"/>
    </row>
    <row r="12" spans="1:13" s="25" customFormat="1" ht="37.5" x14ac:dyDescent="0.25">
      <c r="A12" s="39">
        <v>46298</v>
      </c>
      <c r="B12" s="32" t="s">
        <v>244</v>
      </c>
      <c r="C12" s="33" t="s">
        <v>246</v>
      </c>
      <c r="D12" s="34" t="s">
        <v>243</v>
      </c>
      <c r="E12" s="35">
        <v>0</v>
      </c>
      <c r="F12" s="36">
        <v>0</v>
      </c>
      <c r="G12" s="36">
        <v>15</v>
      </c>
      <c r="H12" s="35">
        <v>97</v>
      </c>
      <c r="I12" s="110"/>
      <c r="J12" s="111"/>
    </row>
    <row r="13" spans="1:13" s="25" customFormat="1" ht="37.5" x14ac:dyDescent="0.25">
      <c r="A13" s="39" t="s">
        <v>99</v>
      </c>
      <c r="B13" s="32" t="s">
        <v>244</v>
      </c>
      <c r="C13" s="33" t="s">
        <v>247</v>
      </c>
      <c r="D13" s="34" t="s">
        <v>243</v>
      </c>
      <c r="E13" s="35">
        <v>0</v>
      </c>
      <c r="F13" s="36">
        <v>0</v>
      </c>
      <c r="G13" s="36">
        <v>50</v>
      </c>
      <c r="H13" s="35">
        <v>47</v>
      </c>
      <c r="I13" s="110"/>
      <c r="J13" s="111"/>
    </row>
    <row r="14" spans="1:13" s="25" customFormat="1" ht="30" customHeight="1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ht="30" customHeight="1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ht="30" customHeight="1" x14ac:dyDescent="0.25">
      <c r="A16" s="39"/>
      <c r="B16" s="40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30" customHeight="1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30" customHeigh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30" customHeigh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30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30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30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30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9:G1048576" name="Range1_1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25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E570-4686-4244-A726-24FC9B0B1C11}">
  <dimension ref="A1:M23"/>
  <sheetViews>
    <sheetView workbookViewId="0">
      <selection activeCell="D8" sqref="D8"/>
    </sheetView>
  </sheetViews>
  <sheetFormatPr defaultRowHeight="30" customHeight="1" x14ac:dyDescent="0.3"/>
  <cols>
    <col min="1" max="1" width="18.42578125" style="41" customWidth="1"/>
    <col min="2" max="2" width="19.5703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13</v>
      </c>
      <c r="E2" s="108" t="s">
        <v>30</v>
      </c>
      <c r="F2" s="108"/>
      <c r="G2" s="108"/>
      <c r="H2" s="17">
        <v>2</v>
      </c>
      <c r="I2" s="16" t="s">
        <v>31</v>
      </c>
      <c r="J2" s="17">
        <v>13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98" t="s">
        <v>248</v>
      </c>
      <c r="E3" s="112" t="s">
        <v>33</v>
      </c>
      <c r="F3" s="112"/>
      <c r="G3" s="112"/>
      <c r="H3" s="112"/>
      <c r="I3" s="20">
        <v>3036</v>
      </c>
      <c r="J3" s="21"/>
    </row>
    <row r="4" spans="1:13" ht="30" customHeight="1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16" t="s">
        <v>42</v>
      </c>
      <c r="J4" s="116"/>
    </row>
    <row r="5" spans="1:13" s="25" customFormat="1" ht="30" customHeight="1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30" customHeight="1" x14ac:dyDescent="0.25">
      <c r="A6" s="51"/>
      <c r="B6" s="51"/>
      <c r="C6" s="51"/>
      <c r="D6" s="51"/>
      <c r="E6" s="1">
        <f>SUM(E7:E1000)</f>
        <v>546</v>
      </c>
      <c r="F6" s="1">
        <f t="shared" ref="F6:G6" si="0">SUM(F7:F1000)</f>
        <v>0</v>
      </c>
      <c r="G6" s="1">
        <f t="shared" si="0"/>
        <v>364</v>
      </c>
      <c r="H6" s="1">
        <f>+E6-F6-G6</f>
        <v>182</v>
      </c>
      <c r="I6" s="52"/>
      <c r="J6" s="53"/>
    </row>
    <row r="7" spans="1:13" s="25" customFormat="1" ht="38.25" customHeight="1" x14ac:dyDescent="0.25">
      <c r="A7" s="31">
        <v>45606</v>
      </c>
      <c r="B7" s="32" t="s">
        <v>249</v>
      </c>
      <c r="C7" s="33" t="s">
        <v>250</v>
      </c>
      <c r="D7" s="34" t="s">
        <v>200</v>
      </c>
      <c r="E7" s="35">
        <v>546</v>
      </c>
      <c r="F7" s="36">
        <v>0</v>
      </c>
      <c r="G7" s="36">
        <v>0</v>
      </c>
      <c r="H7" s="35">
        <f>SUM(E7:G7)</f>
        <v>546</v>
      </c>
      <c r="I7" s="110"/>
      <c r="J7" s="111"/>
    </row>
    <row r="8" spans="1:13" s="25" customFormat="1" ht="56.25" x14ac:dyDescent="0.25">
      <c r="A8" s="39" t="s">
        <v>86</v>
      </c>
      <c r="B8" s="32" t="s">
        <v>468</v>
      </c>
      <c r="C8" s="33" t="s">
        <v>251</v>
      </c>
      <c r="D8" s="33" t="s">
        <v>200</v>
      </c>
      <c r="E8" s="35">
        <v>0</v>
      </c>
      <c r="F8" s="36">
        <v>0</v>
      </c>
      <c r="G8" s="36">
        <v>364</v>
      </c>
      <c r="H8" s="35">
        <f>H7-G8-F8+E8</f>
        <v>182</v>
      </c>
      <c r="I8" s="110"/>
      <c r="J8" s="111"/>
    </row>
    <row r="9" spans="1:13" s="25" customFormat="1" ht="30" customHeight="1" x14ac:dyDescent="0.25">
      <c r="A9" s="39"/>
      <c r="B9" s="32"/>
      <c r="C9" s="33"/>
      <c r="D9" s="33"/>
      <c r="E9" s="35"/>
      <c r="F9" s="36"/>
      <c r="G9" s="36"/>
      <c r="H9" s="35"/>
      <c r="I9" s="110"/>
      <c r="J9" s="111"/>
    </row>
    <row r="10" spans="1:13" s="25" customFormat="1" ht="30" customHeight="1" x14ac:dyDescent="0.25">
      <c r="A10" s="39"/>
      <c r="B10" s="32"/>
      <c r="C10" s="33"/>
      <c r="D10" s="34"/>
      <c r="E10" s="35"/>
      <c r="F10" s="36"/>
      <c r="G10" s="36"/>
      <c r="H10" s="35"/>
      <c r="I10" s="110"/>
      <c r="J10" s="111"/>
    </row>
    <row r="11" spans="1:13" s="25" customFormat="1" ht="30" customHeight="1" x14ac:dyDescent="0.25">
      <c r="A11" s="39"/>
      <c r="B11" s="32"/>
      <c r="C11" s="33"/>
      <c r="D11" s="34"/>
      <c r="E11" s="35"/>
      <c r="F11" s="36"/>
      <c r="G11" s="36"/>
      <c r="H11" s="35"/>
      <c r="I11" s="110"/>
      <c r="J11" s="111"/>
    </row>
    <row r="12" spans="1:13" s="25" customFormat="1" ht="30" customHeight="1" x14ac:dyDescent="0.25">
      <c r="A12" s="39"/>
      <c r="B12" s="32"/>
      <c r="C12" s="33"/>
      <c r="D12" s="34"/>
      <c r="E12" s="35"/>
      <c r="F12" s="36"/>
      <c r="G12" s="36"/>
      <c r="H12" s="35"/>
      <c r="I12" s="110"/>
      <c r="J12" s="111"/>
    </row>
    <row r="13" spans="1:13" s="25" customFormat="1" ht="30" customHeight="1" x14ac:dyDescent="0.25">
      <c r="A13" s="39"/>
      <c r="B13" s="32"/>
      <c r="C13" s="33"/>
      <c r="D13" s="34"/>
      <c r="E13" s="35"/>
      <c r="F13" s="36"/>
      <c r="G13" s="36"/>
      <c r="H13" s="35"/>
      <c r="I13" s="110"/>
      <c r="J13" s="111"/>
    </row>
    <row r="14" spans="1:13" s="25" customFormat="1" ht="30" customHeight="1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ht="30" customHeight="1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ht="30" customHeight="1" x14ac:dyDescent="0.25">
      <c r="A16" s="39"/>
      <c r="B16" s="40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30" customHeight="1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30" customHeigh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30" customHeigh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30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30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30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30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9:G1048576" name="Range1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2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C65E-7356-4B33-BBC1-5DB94B026252}">
  <dimension ref="A1:M23"/>
  <sheetViews>
    <sheetView workbookViewId="0">
      <selection activeCell="H12" sqref="H12"/>
    </sheetView>
  </sheetViews>
  <sheetFormatPr defaultRowHeight="30" customHeight="1" x14ac:dyDescent="0.3"/>
  <cols>
    <col min="1" max="1" width="18.42578125" style="41" customWidth="1"/>
    <col min="2" max="2" width="26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14</v>
      </c>
      <c r="E2" s="108" t="s">
        <v>30</v>
      </c>
      <c r="F2" s="108"/>
      <c r="G2" s="108"/>
      <c r="H2" s="17">
        <v>2</v>
      </c>
      <c r="I2" s="16" t="s">
        <v>31</v>
      </c>
      <c r="J2" s="17">
        <v>14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98" t="s">
        <v>17</v>
      </c>
      <c r="E3" s="112" t="s">
        <v>33</v>
      </c>
      <c r="F3" s="112"/>
      <c r="G3" s="112"/>
      <c r="H3" s="112"/>
      <c r="I3" s="20">
        <v>3038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16" t="s">
        <v>42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30" customHeight="1" x14ac:dyDescent="0.25">
      <c r="A6" s="51"/>
      <c r="B6" s="51"/>
      <c r="C6" s="51"/>
      <c r="D6" s="51"/>
      <c r="E6" s="1">
        <f>SUM(E7:E998)</f>
        <v>520</v>
      </c>
      <c r="F6" s="1">
        <f>SUM(F7:F998)</f>
        <v>0</v>
      </c>
      <c r="G6" s="1">
        <f>SUM(G7:G998)</f>
        <v>366</v>
      </c>
      <c r="H6" s="1">
        <f>+E6-F6-G6</f>
        <v>154</v>
      </c>
      <c r="I6" s="52"/>
      <c r="J6" s="99"/>
    </row>
    <row r="7" spans="1:13" s="25" customFormat="1" ht="37.5" x14ac:dyDescent="0.25">
      <c r="A7" s="31" t="s">
        <v>252</v>
      </c>
      <c r="B7" s="32" t="s">
        <v>253</v>
      </c>
      <c r="C7" s="33" t="s">
        <v>254</v>
      </c>
      <c r="D7" s="34" t="s">
        <v>255</v>
      </c>
      <c r="E7" s="35">
        <v>3.5</v>
      </c>
      <c r="F7" s="35">
        <v>0</v>
      </c>
      <c r="G7" s="35">
        <v>0</v>
      </c>
      <c r="H7" s="35">
        <v>3.5</v>
      </c>
      <c r="I7" s="110"/>
      <c r="J7" s="111"/>
    </row>
    <row r="8" spans="1:13" s="25" customFormat="1" ht="37.5" x14ac:dyDescent="0.25">
      <c r="A8" s="39" t="s">
        <v>256</v>
      </c>
      <c r="B8" s="32" t="s">
        <v>257</v>
      </c>
      <c r="C8" s="33" t="s">
        <v>254</v>
      </c>
      <c r="D8" s="33" t="s">
        <v>255</v>
      </c>
      <c r="E8" s="35">
        <v>3.5</v>
      </c>
      <c r="F8" s="36">
        <v>0</v>
      </c>
      <c r="G8" s="36">
        <v>0</v>
      </c>
      <c r="H8" s="35">
        <f>H7+E8-F8-G8</f>
        <v>7</v>
      </c>
      <c r="I8" s="110"/>
      <c r="J8" s="111"/>
    </row>
    <row r="9" spans="1:13" s="25" customFormat="1" ht="37.5" x14ac:dyDescent="0.25">
      <c r="A9" s="39" t="s">
        <v>256</v>
      </c>
      <c r="B9" s="32" t="s">
        <v>258</v>
      </c>
      <c r="C9" s="33" t="s">
        <v>259</v>
      </c>
      <c r="D9" s="33" t="s">
        <v>255</v>
      </c>
      <c r="E9" s="35">
        <v>4</v>
      </c>
      <c r="F9" s="36">
        <v>0</v>
      </c>
      <c r="G9" s="36">
        <v>0</v>
      </c>
      <c r="H9" s="35">
        <f t="shared" ref="H9:H13" si="0">H8-G9-F9+E9</f>
        <v>11</v>
      </c>
      <c r="I9" s="110"/>
      <c r="J9" s="111"/>
    </row>
    <row r="10" spans="1:13" s="25" customFormat="1" ht="37.5" x14ac:dyDescent="0.25">
      <c r="A10" s="39" t="s">
        <v>256</v>
      </c>
      <c r="B10" s="32" t="s">
        <v>260</v>
      </c>
      <c r="C10" s="33" t="s">
        <v>259</v>
      </c>
      <c r="D10" s="34" t="s">
        <v>255</v>
      </c>
      <c r="E10" s="35">
        <v>4</v>
      </c>
      <c r="F10" s="36">
        <v>0</v>
      </c>
      <c r="G10" s="36">
        <v>0</v>
      </c>
      <c r="H10" s="35">
        <f t="shared" si="0"/>
        <v>15</v>
      </c>
      <c r="I10" s="110"/>
      <c r="J10" s="111"/>
    </row>
    <row r="11" spans="1:13" s="25" customFormat="1" ht="30.75" customHeight="1" x14ac:dyDescent="0.25">
      <c r="A11" s="39" t="s">
        <v>256</v>
      </c>
      <c r="B11" s="32" t="s">
        <v>261</v>
      </c>
      <c r="C11" s="33" t="s">
        <v>259</v>
      </c>
      <c r="D11" s="34" t="s">
        <v>255</v>
      </c>
      <c r="E11" s="35">
        <v>5</v>
      </c>
      <c r="F11" s="36">
        <v>0</v>
      </c>
      <c r="G11" s="36">
        <v>0</v>
      </c>
      <c r="H11" s="35">
        <f t="shared" si="0"/>
        <v>20</v>
      </c>
      <c r="I11" s="110"/>
      <c r="J11" s="111"/>
    </row>
    <row r="12" spans="1:13" s="25" customFormat="1" ht="56.25" x14ac:dyDescent="0.25">
      <c r="A12" s="39" t="s">
        <v>256</v>
      </c>
      <c r="B12" s="32" t="s">
        <v>262</v>
      </c>
      <c r="C12" s="33" t="s">
        <v>263</v>
      </c>
      <c r="D12" s="34" t="s">
        <v>255</v>
      </c>
      <c r="E12" s="35">
        <v>0</v>
      </c>
      <c r="F12" s="36">
        <v>0</v>
      </c>
      <c r="G12" s="36">
        <v>20</v>
      </c>
      <c r="H12" s="35">
        <f t="shared" si="0"/>
        <v>0</v>
      </c>
      <c r="I12" s="110"/>
      <c r="J12" s="111"/>
    </row>
    <row r="13" spans="1:13" s="25" customFormat="1" ht="56.25" x14ac:dyDescent="0.25">
      <c r="A13" s="39" t="s">
        <v>264</v>
      </c>
      <c r="B13" s="32" t="s">
        <v>265</v>
      </c>
      <c r="C13" s="33" t="s">
        <v>266</v>
      </c>
      <c r="D13" s="34" t="s">
        <v>255</v>
      </c>
      <c r="E13" s="35">
        <v>500</v>
      </c>
      <c r="F13" s="36">
        <v>0</v>
      </c>
      <c r="G13" s="36">
        <v>0</v>
      </c>
      <c r="H13" s="35">
        <f t="shared" si="0"/>
        <v>500</v>
      </c>
      <c r="I13" s="110"/>
      <c r="J13" s="111"/>
    </row>
    <row r="14" spans="1:13" s="25" customFormat="1" ht="37.5" x14ac:dyDescent="0.25">
      <c r="A14" s="39" t="s">
        <v>267</v>
      </c>
      <c r="B14" s="32" t="s">
        <v>469</v>
      </c>
      <c r="C14" s="33" t="s">
        <v>268</v>
      </c>
      <c r="D14" s="34" t="s">
        <v>255</v>
      </c>
      <c r="E14" s="35">
        <v>0</v>
      </c>
      <c r="F14" s="36">
        <v>0</v>
      </c>
      <c r="G14" s="36">
        <v>15</v>
      </c>
      <c r="H14" s="35">
        <v>485</v>
      </c>
      <c r="I14" s="110"/>
      <c r="J14" s="111"/>
    </row>
    <row r="15" spans="1:13" s="25" customFormat="1" ht="37.5" x14ac:dyDescent="0.25">
      <c r="A15" s="39" t="s">
        <v>269</v>
      </c>
      <c r="B15" s="32" t="s">
        <v>470</v>
      </c>
      <c r="C15" s="33" t="s">
        <v>270</v>
      </c>
      <c r="D15" s="34" t="s">
        <v>255</v>
      </c>
      <c r="E15" s="35">
        <v>0</v>
      </c>
      <c r="F15" s="36">
        <v>0</v>
      </c>
      <c r="G15" s="36">
        <v>15</v>
      </c>
      <c r="H15" s="35">
        <v>470</v>
      </c>
      <c r="I15" s="110"/>
      <c r="J15" s="111"/>
    </row>
    <row r="16" spans="1:13" s="25" customFormat="1" ht="37.5" x14ac:dyDescent="0.25">
      <c r="A16" s="39" t="s">
        <v>271</v>
      </c>
      <c r="B16" s="32" t="s">
        <v>471</v>
      </c>
      <c r="C16" s="33" t="s">
        <v>272</v>
      </c>
      <c r="D16" s="34" t="s">
        <v>255</v>
      </c>
      <c r="E16" s="35">
        <v>0</v>
      </c>
      <c r="F16" s="36">
        <v>0</v>
      </c>
      <c r="G16" s="36">
        <v>250</v>
      </c>
      <c r="H16" s="35">
        <v>220</v>
      </c>
      <c r="I16" s="110"/>
      <c r="J16" s="111"/>
    </row>
    <row r="17" spans="1:10" s="25" customFormat="1" ht="37.5" x14ac:dyDescent="0.25">
      <c r="A17" s="39" t="s">
        <v>91</v>
      </c>
      <c r="B17" s="32" t="s">
        <v>472</v>
      </c>
      <c r="C17" s="33" t="s">
        <v>273</v>
      </c>
      <c r="D17" s="34" t="s">
        <v>255</v>
      </c>
      <c r="E17" s="35">
        <v>0</v>
      </c>
      <c r="F17" s="36">
        <v>0</v>
      </c>
      <c r="G17" s="36">
        <v>34</v>
      </c>
      <c r="H17" s="35">
        <v>186</v>
      </c>
      <c r="I17" s="110"/>
      <c r="J17" s="111"/>
    </row>
    <row r="18" spans="1:10" s="25" customFormat="1" ht="37.5" x14ac:dyDescent="0.25">
      <c r="A18" s="39">
        <v>46162</v>
      </c>
      <c r="B18" s="32" t="s">
        <v>473</v>
      </c>
      <c r="C18" s="33" t="s">
        <v>474</v>
      </c>
      <c r="D18" s="34" t="s">
        <v>255</v>
      </c>
      <c r="E18" s="35">
        <v>0</v>
      </c>
      <c r="F18" s="36">
        <v>0</v>
      </c>
      <c r="G18" s="36">
        <v>20</v>
      </c>
      <c r="H18" s="35">
        <v>166</v>
      </c>
      <c r="I18" s="110"/>
      <c r="J18" s="111"/>
    </row>
    <row r="19" spans="1:10" s="25" customFormat="1" ht="37.5" x14ac:dyDescent="0.25">
      <c r="A19" s="39">
        <v>46231</v>
      </c>
      <c r="B19" s="32" t="s">
        <v>475</v>
      </c>
      <c r="C19" s="33" t="s">
        <v>476</v>
      </c>
      <c r="D19" s="34" t="s">
        <v>255</v>
      </c>
      <c r="E19" s="35">
        <v>0</v>
      </c>
      <c r="F19" s="36">
        <v>0</v>
      </c>
      <c r="G19" s="36">
        <v>12</v>
      </c>
      <c r="H19" s="35">
        <v>154</v>
      </c>
      <c r="I19" s="110"/>
      <c r="J19" s="111"/>
    </row>
    <row r="20" spans="1:10" s="25" customFormat="1" ht="30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30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30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30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9:G13 A20:G1048576 A14:A19 C14:G19" name="Range1_1"/>
    <protectedRange algorithmName="SHA-512" hashValue="w6vOy6gaWv7RKp7tkLrp7nrHA6RmzXKKrxhAURGVJNeJ+tWzcydALHZnJcvW3Xd6J2aTxgJ4vzpBns4Tppy+Tg==" saltValue="wFqfSvUJGsYlHEHwlJdPRg==" spinCount="100000" sqref="B14" name="Range1_1_1"/>
    <protectedRange algorithmName="SHA-512" hashValue="w6vOy6gaWv7RKp7tkLrp7nrHA6RmzXKKrxhAURGVJNeJ+tWzcydALHZnJcvW3Xd6J2aTxgJ4vzpBns4Tppy+Tg==" saltValue="wFqfSvUJGsYlHEHwlJdPRg==" spinCount="100000" sqref="B15:B19" name="Range1_2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phoneticPr fontId="38" type="noConversion"/>
  <conditionalFormatting sqref="B8:B23">
    <cfRule type="cellIs" priority="1" operator="between">
      <formula>1</formula>
      <formula>100000000</formula>
    </cfRule>
  </conditionalFormatting>
  <conditionalFormatting sqref="F7:H7 H8:H23 E7:E23">
    <cfRule type="cellIs" dxfId="23" priority="2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B17F-9DEC-4383-BB5B-0CB82D1CF508}">
  <dimension ref="A1:M25"/>
  <sheetViews>
    <sheetView workbookViewId="0">
      <selection activeCell="A23" sqref="A23"/>
    </sheetView>
  </sheetViews>
  <sheetFormatPr defaultRowHeight="30" customHeight="1" x14ac:dyDescent="0.3"/>
  <cols>
    <col min="1" max="1" width="18.42578125" style="41" customWidth="1"/>
    <col min="2" max="2" width="27.1406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22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19" t="s">
        <v>27</v>
      </c>
      <c r="E3" s="112" t="s">
        <v>33</v>
      </c>
      <c r="F3" s="112"/>
      <c r="G3" s="112"/>
      <c r="H3" s="112"/>
      <c r="I3" s="20">
        <v>3047</v>
      </c>
      <c r="J3" s="21"/>
    </row>
    <row r="4" spans="1:13" ht="30" customHeight="1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>
        <v>3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30" customHeight="1" x14ac:dyDescent="0.25">
      <c r="A6" s="51"/>
      <c r="B6" s="51"/>
      <c r="C6" s="51"/>
      <c r="D6" s="51"/>
      <c r="E6" s="1">
        <f>SUM(E7:E998)</f>
        <v>300</v>
      </c>
      <c r="F6" s="1">
        <f>SUM(F7:F998)</f>
        <v>0</v>
      </c>
      <c r="G6" s="1">
        <f>SUM(G7:G998)</f>
        <v>255</v>
      </c>
      <c r="H6" s="1">
        <f>+E6-F6-G6</f>
        <v>45</v>
      </c>
      <c r="I6" s="52"/>
      <c r="J6" s="99"/>
    </row>
    <row r="7" spans="1:13" s="25" customFormat="1" ht="37.5" x14ac:dyDescent="0.25">
      <c r="A7" s="39" t="s">
        <v>274</v>
      </c>
      <c r="B7" s="32" t="s">
        <v>275</v>
      </c>
      <c r="C7" s="33" t="s">
        <v>276</v>
      </c>
      <c r="D7" s="33" t="s">
        <v>277</v>
      </c>
      <c r="E7" s="35">
        <v>100</v>
      </c>
      <c r="F7" s="36">
        <v>0</v>
      </c>
      <c r="G7" s="36">
        <v>0</v>
      </c>
      <c r="H7" s="35">
        <f>SUM(E7:G7)</f>
        <v>100</v>
      </c>
      <c r="I7" s="110"/>
      <c r="J7" s="111"/>
    </row>
    <row r="8" spans="1:13" s="25" customFormat="1" ht="56.25" x14ac:dyDescent="0.25">
      <c r="A8" s="39" t="s">
        <v>278</v>
      </c>
      <c r="B8" s="32" t="s">
        <v>279</v>
      </c>
      <c r="C8" s="33" t="s">
        <v>280</v>
      </c>
      <c r="D8" s="33" t="s">
        <v>281</v>
      </c>
      <c r="E8" s="35">
        <v>0</v>
      </c>
      <c r="F8" s="36">
        <v>0</v>
      </c>
      <c r="G8" s="36">
        <v>50</v>
      </c>
      <c r="H8" s="35">
        <f>H7+E8-F8-G8</f>
        <v>50</v>
      </c>
      <c r="I8" s="110"/>
      <c r="J8" s="111"/>
    </row>
    <row r="9" spans="1:13" s="25" customFormat="1" ht="56.25" x14ac:dyDescent="0.25">
      <c r="A9" s="39">
        <v>45363</v>
      </c>
      <c r="B9" s="32" t="s">
        <v>282</v>
      </c>
      <c r="C9" s="33" t="s">
        <v>283</v>
      </c>
      <c r="D9" s="33" t="s">
        <v>284</v>
      </c>
      <c r="E9" s="35">
        <v>0</v>
      </c>
      <c r="F9" s="35">
        <v>0</v>
      </c>
      <c r="G9" s="36">
        <v>35</v>
      </c>
      <c r="H9" s="35">
        <f t="shared" ref="H9:H16" si="0">H8+E9-F9-G9</f>
        <v>15</v>
      </c>
      <c r="I9" s="110"/>
      <c r="J9" s="111"/>
    </row>
    <row r="10" spans="1:13" s="25" customFormat="1" ht="56.25" x14ac:dyDescent="0.25">
      <c r="A10" s="39" t="s">
        <v>285</v>
      </c>
      <c r="B10" s="32" t="s">
        <v>286</v>
      </c>
      <c r="C10" s="33" t="s">
        <v>287</v>
      </c>
      <c r="D10" s="33" t="s">
        <v>288</v>
      </c>
      <c r="E10" s="35">
        <v>0</v>
      </c>
      <c r="F10" s="36">
        <v>0</v>
      </c>
      <c r="G10" s="36">
        <v>10</v>
      </c>
      <c r="H10" s="35">
        <f t="shared" si="0"/>
        <v>5</v>
      </c>
      <c r="I10" s="110"/>
      <c r="J10" s="111"/>
    </row>
    <row r="11" spans="1:13" s="25" customFormat="1" ht="37.5" x14ac:dyDescent="0.25">
      <c r="A11" s="31" t="s">
        <v>289</v>
      </c>
      <c r="B11" s="32" t="s">
        <v>290</v>
      </c>
      <c r="C11" s="33" t="s">
        <v>291</v>
      </c>
      <c r="D11" s="33" t="s">
        <v>292</v>
      </c>
      <c r="E11" s="35">
        <v>200</v>
      </c>
      <c r="F11" s="36">
        <v>0</v>
      </c>
      <c r="G11" s="36">
        <v>0</v>
      </c>
      <c r="H11" s="35">
        <f t="shared" si="0"/>
        <v>205</v>
      </c>
      <c r="I11" s="110"/>
      <c r="J11" s="111"/>
    </row>
    <row r="12" spans="1:13" s="25" customFormat="1" ht="56.25" x14ac:dyDescent="0.25">
      <c r="A12" s="39" t="s">
        <v>293</v>
      </c>
      <c r="B12" s="32" t="s">
        <v>294</v>
      </c>
      <c r="C12" s="33" t="s">
        <v>295</v>
      </c>
      <c r="D12" s="33" t="s">
        <v>200</v>
      </c>
      <c r="E12" s="35">
        <v>0</v>
      </c>
      <c r="F12" s="36">
        <v>0</v>
      </c>
      <c r="G12" s="36">
        <v>10</v>
      </c>
      <c r="H12" s="35">
        <f t="shared" si="0"/>
        <v>195</v>
      </c>
      <c r="I12" s="110"/>
      <c r="J12" s="111"/>
    </row>
    <row r="13" spans="1:13" s="25" customFormat="1" ht="56.25" x14ac:dyDescent="0.25">
      <c r="A13" s="39">
        <v>45759</v>
      </c>
      <c r="B13" s="32" t="s">
        <v>425</v>
      </c>
      <c r="C13" s="33" t="s">
        <v>424</v>
      </c>
      <c r="D13" s="34" t="s">
        <v>296</v>
      </c>
      <c r="E13" s="35">
        <v>0</v>
      </c>
      <c r="F13" s="36">
        <v>0</v>
      </c>
      <c r="G13" s="36">
        <v>19</v>
      </c>
      <c r="H13" s="35">
        <f t="shared" si="0"/>
        <v>176</v>
      </c>
      <c r="I13" s="110"/>
      <c r="J13" s="111"/>
    </row>
    <row r="14" spans="1:13" s="25" customFormat="1" ht="37.5" x14ac:dyDescent="0.25">
      <c r="A14" s="39">
        <v>45846</v>
      </c>
      <c r="B14" s="32" t="s">
        <v>426</v>
      </c>
      <c r="C14" s="33" t="s">
        <v>426</v>
      </c>
      <c r="D14" s="33" t="s">
        <v>426</v>
      </c>
      <c r="E14" s="35">
        <v>0</v>
      </c>
      <c r="F14" s="36">
        <v>0</v>
      </c>
      <c r="G14" s="36">
        <v>22</v>
      </c>
      <c r="H14" s="35">
        <f t="shared" si="0"/>
        <v>154</v>
      </c>
      <c r="I14" s="110"/>
      <c r="J14" s="111"/>
    </row>
    <row r="15" spans="1:13" s="25" customFormat="1" ht="39" customHeight="1" x14ac:dyDescent="0.25">
      <c r="A15" s="39">
        <v>45973</v>
      </c>
      <c r="B15" s="32" t="s">
        <v>427</v>
      </c>
      <c r="C15" s="33" t="s">
        <v>427</v>
      </c>
      <c r="D15" s="33" t="s">
        <v>427</v>
      </c>
      <c r="E15" s="35">
        <v>0</v>
      </c>
      <c r="F15" s="36">
        <v>0</v>
      </c>
      <c r="G15" s="36">
        <v>25</v>
      </c>
      <c r="H15" s="35">
        <f t="shared" si="0"/>
        <v>129</v>
      </c>
      <c r="I15" s="110"/>
      <c r="J15" s="111"/>
    </row>
    <row r="16" spans="1:13" s="25" customFormat="1" ht="37.5" x14ac:dyDescent="0.25">
      <c r="A16" s="39">
        <v>46247</v>
      </c>
      <c r="B16" s="32" t="s">
        <v>477</v>
      </c>
      <c r="C16" s="33" t="s">
        <v>478</v>
      </c>
      <c r="D16" s="34" t="s">
        <v>479</v>
      </c>
      <c r="E16" s="35">
        <v>0</v>
      </c>
      <c r="F16" s="36">
        <v>0</v>
      </c>
      <c r="G16" s="36">
        <v>29</v>
      </c>
      <c r="H16" s="35">
        <f t="shared" si="0"/>
        <v>100</v>
      </c>
      <c r="I16" s="110"/>
      <c r="J16" s="111"/>
    </row>
    <row r="17" spans="1:10" s="25" customFormat="1" ht="37.5" x14ac:dyDescent="0.25">
      <c r="A17" s="39">
        <v>46247</v>
      </c>
      <c r="B17" s="32" t="s">
        <v>481</v>
      </c>
      <c r="C17" s="33" t="s">
        <v>480</v>
      </c>
      <c r="D17" s="34" t="s">
        <v>479</v>
      </c>
      <c r="E17" s="35">
        <v>0</v>
      </c>
      <c r="F17" s="36">
        <v>0</v>
      </c>
      <c r="G17" s="36">
        <v>18</v>
      </c>
      <c r="H17" s="35">
        <f t="shared" ref="H17" si="1">H16+E17-F17-G17</f>
        <v>82</v>
      </c>
      <c r="I17" s="110"/>
      <c r="J17" s="111"/>
    </row>
    <row r="18" spans="1:10" s="25" customFormat="1" ht="37.5" x14ac:dyDescent="0.25">
      <c r="A18" s="39">
        <v>46247</v>
      </c>
      <c r="B18" s="32" t="s">
        <v>482</v>
      </c>
      <c r="C18" s="33" t="s">
        <v>483</v>
      </c>
      <c r="D18" s="34" t="s">
        <v>479</v>
      </c>
      <c r="E18" s="35">
        <v>0</v>
      </c>
      <c r="F18" s="36">
        <v>0</v>
      </c>
      <c r="G18" s="36">
        <v>3</v>
      </c>
      <c r="H18" s="35">
        <f t="shared" ref="H18:H22" si="2">H17+E18-F18-G18</f>
        <v>79</v>
      </c>
      <c r="I18" s="110"/>
      <c r="J18" s="111"/>
    </row>
    <row r="19" spans="1:10" s="25" customFormat="1" ht="37.5" x14ac:dyDescent="0.25">
      <c r="A19" s="39">
        <v>46247</v>
      </c>
      <c r="B19" s="32" t="s">
        <v>485</v>
      </c>
      <c r="C19" s="33" t="s">
        <v>484</v>
      </c>
      <c r="D19" s="34" t="s">
        <v>479</v>
      </c>
      <c r="E19" s="35">
        <v>0</v>
      </c>
      <c r="F19" s="36">
        <v>0</v>
      </c>
      <c r="G19" s="36">
        <v>3</v>
      </c>
      <c r="H19" s="35">
        <f t="shared" si="2"/>
        <v>76</v>
      </c>
      <c r="I19" s="110"/>
      <c r="J19" s="111"/>
    </row>
    <row r="20" spans="1:10" s="25" customFormat="1" ht="37.5" x14ac:dyDescent="0.25">
      <c r="A20" s="39">
        <v>46247</v>
      </c>
      <c r="B20" s="32" t="s">
        <v>486</v>
      </c>
      <c r="C20" s="33" t="s">
        <v>487</v>
      </c>
      <c r="D20" s="34" t="s">
        <v>479</v>
      </c>
      <c r="E20" s="35">
        <v>0</v>
      </c>
      <c r="F20" s="36">
        <v>0</v>
      </c>
      <c r="G20" s="36">
        <v>5</v>
      </c>
      <c r="H20" s="35">
        <f t="shared" si="2"/>
        <v>71</v>
      </c>
      <c r="I20" s="110"/>
      <c r="J20" s="111"/>
    </row>
    <row r="21" spans="1:10" s="25" customFormat="1" ht="37.5" x14ac:dyDescent="0.25">
      <c r="A21" s="39">
        <v>46247</v>
      </c>
      <c r="B21" s="32" t="s">
        <v>488</v>
      </c>
      <c r="C21" s="33" t="s">
        <v>489</v>
      </c>
      <c r="D21" s="34" t="s">
        <v>479</v>
      </c>
      <c r="E21" s="35">
        <v>0</v>
      </c>
      <c r="F21" s="36">
        <v>0</v>
      </c>
      <c r="G21" s="36">
        <v>16</v>
      </c>
      <c r="H21" s="35">
        <f t="shared" si="2"/>
        <v>55</v>
      </c>
      <c r="I21" s="110"/>
      <c r="J21" s="111"/>
    </row>
    <row r="22" spans="1:10" s="25" customFormat="1" ht="37.5" x14ac:dyDescent="0.25">
      <c r="A22" s="39">
        <v>46247</v>
      </c>
      <c r="B22" s="32" t="s">
        <v>490</v>
      </c>
      <c r="C22" s="33" t="s">
        <v>491</v>
      </c>
      <c r="D22" s="34" t="s">
        <v>479</v>
      </c>
      <c r="E22" s="35">
        <v>0</v>
      </c>
      <c r="F22" s="36">
        <v>0</v>
      </c>
      <c r="G22" s="36">
        <v>10</v>
      </c>
      <c r="H22" s="35">
        <f t="shared" si="2"/>
        <v>45</v>
      </c>
      <c r="I22" s="110"/>
      <c r="J22" s="111"/>
    </row>
    <row r="23" spans="1:10" s="25" customFormat="1" ht="30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  <row r="24" spans="1:10" s="25" customFormat="1" ht="30" customHeight="1" x14ac:dyDescent="0.25">
      <c r="A24" s="39"/>
      <c r="B24" s="40"/>
      <c r="C24" s="33"/>
      <c r="D24" s="34"/>
      <c r="E24" s="35"/>
      <c r="F24" s="36"/>
      <c r="G24" s="36"/>
      <c r="H24" s="35"/>
      <c r="I24" s="110"/>
      <c r="J24" s="111"/>
    </row>
    <row r="25" spans="1:10" s="25" customFormat="1" ht="30" customHeight="1" x14ac:dyDescent="0.25">
      <c r="A25" s="39"/>
      <c r="B25" s="40"/>
      <c r="C25" s="33"/>
      <c r="D25" s="34"/>
      <c r="E25" s="35"/>
      <c r="F25" s="36"/>
      <c r="G25" s="36"/>
      <c r="H25" s="35"/>
      <c r="I25" s="110"/>
      <c r="J25" s="111"/>
    </row>
  </sheetData>
  <protectedRanges>
    <protectedRange algorithmName="SHA-512" hashValue="w6vOy6gaWv7RKp7tkLrp7nrHA6RmzXKKrxhAURGVJNeJ+tWzcydALHZnJcvW3Xd6J2aTxgJ4vzpBns4Tppy+Tg==" saltValue="wFqfSvUJGsYlHEHwlJdPRg==" spinCount="100000" sqref="G9 B7:B8 A9:A10 D10:G10 A14:G1048576" name="Range1"/>
    <protectedRange algorithmName="SHA-512" hashValue="w6vOy6gaWv7RKp7tkLrp7nrHA6RmzXKKrxhAURGVJNeJ+tWzcydALHZnJcvW3Xd6J2aTxgJ4vzpBns4Tppy+Tg==" saltValue="wFqfSvUJGsYlHEHwlJdPRg==" spinCount="100000" sqref="A11:B11 A13:G13" name="Range1_1_2"/>
  </protectedRanges>
  <mergeCells count="30">
    <mergeCell ref="I25:J25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phoneticPr fontId="38" type="noConversion"/>
  <conditionalFormatting sqref="B9:B10 B12:B25">
    <cfRule type="cellIs" priority="5" operator="between">
      <formula>1</formula>
      <formula>100000000</formula>
    </cfRule>
  </conditionalFormatting>
  <conditionalFormatting sqref="E7:E25 H7:H25">
    <cfRule type="cellIs" dxfId="22" priority="4" operator="between">
      <formula>1</formula>
      <formula>100</formula>
    </cfRule>
  </conditionalFormatting>
  <conditionalFormatting sqref="F9">
    <cfRule type="cellIs" dxfId="21" priority="3" operator="between">
      <formula>1</formula>
      <formula>100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BEE3-0B9F-478A-A695-6C6A7CC6776C}">
  <dimension ref="A1:M25"/>
  <sheetViews>
    <sheetView workbookViewId="0">
      <selection activeCell="G13" sqref="G13"/>
    </sheetView>
  </sheetViews>
  <sheetFormatPr defaultRowHeight="30" customHeight="1" x14ac:dyDescent="0.3"/>
  <cols>
    <col min="1" max="1" width="18.42578125" style="41" customWidth="1"/>
    <col min="2" max="2" width="21.42578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22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19" t="s">
        <v>297</v>
      </c>
      <c r="E3" s="112" t="s">
        <v>33</v>
      </c>
      <c r="F3" s="112"/>
      <c r="G3" s="112"/>
      <c r="H3" s="112"/>
      <c r="I3" s="20">
        <v>3049</v>
      </c>
      <c r="J3" s="21"/>
    </row>
    <row r="4" spans="1:13" ht="30" customHeight="1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>
        <v>3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30" customHeight="1" x14ac:dyDescent="0.25">
      <c r="A6" s="51"/>
      <c r="B6" s="51"/>
      <c r="C6" s="51"/>
      <c r="D6" s="51"/>
      <c r="E6" s="1">
        <f>SUM(E7:E998)</f>
        <v>6300</v>
      </c>
      <c r="F6" s="1">
        <f>SUM(F7:F998)</f>
        <v>0</v>
      </c>
      <c r="G6" s="1">
        <f>SUM(G7:G998)</f>
        <v>1300</v>
      </c>
      <c r="H6" s="1">
        <f>+E6-F6-G6</f>
        <v>5000</v>
      </c>
      <c r="I6" s="52"/>
      <c r="J6" s="99"/>
    </row>
    <row r="7" spans="1:13" s="25" customFormat="1" ht="56.25" x14ac:dyDescent="0.25">
      <c r="A7" s="39">
        <v>45839</v>
      </c>
      <c r="B7" s="32" t="s">
        <v>420</v>
      </c>
      <c r="C7" s="33" t="s">
        <v>338</v>
      </c>
      <c r="D7" s="33" t="s">
        <v>277</v>
      </c>
      <c r="E7" s="35">
        <v>100</v>
      </c>
      <c r="F7" s="36">
        <v>0</v>
      </c>
      <c r="G7" s="36">
        <v>0</v>
      </c>
      <c r="H7" s="35">
        <f>SUM(E7:G7)</f>
        <v>100</v>
      </c>
      <c r="I7" s="110"/>
      <c r="J7" s="111"/>
    </row>
    <row r="8" spans="1:13" s="25" customFormat="1" ht="56.25" x14ac:dyDescent="0.25">
      <c r="A8" s="39">
        <v>45867</v>
      </c>
      <c r="B8" s="32" t="s">
        <v>421</v>
      </c>
      <c r="C8" s="33" t="s">
        <v>338</v>
      </c>
      <c r="D8" s="33" t="s">
        <v>277</v>
      </c>
      <c r="E8" s="35">
        <v>100</v>
      </c>
      <c r="F8" s="36">
        <v>0</v>
      </c>
      <c r="G8" s="36">
        <v>0</v>
      </c>
      <c r="H8" s="35">
        <f>+H7+E8-F8-G8</f>
        <v>200</v>
      </c>
      <c r="I8" s="110"/>
      <c r="J8" s="111"/>
    </row>
    <row r="9" spans="1:13" s="25" customFormat="1" ht="56.25" x14ac:dyDescent="0.25">
      <c r="A9" s="39">
        <v>45868</v>
      </c>
      <c r="B9" s="32" t="s">
        <v>423</v>
      </c>
      <c r="C9" s="33" t="s">
        <v>338</v>
      </c>
      <c r="D9" s="33" t="s">
        <v>277</v>
      </c>
      <c r="E9" s="35">
        <v>100</v>
      </c>
      <c r="F9" s="35">
        <v>0</v>
      </c>
      <c r="G9" s="36">
        <v>0</v>
      </c>
      <c r="H9" s="35">
        <f t="shared" ref="H9:H10" si="0">+H8+E9-F9-G9</f>
        <v>300</v>
      </c>
      <c r="I9" s="110"/>
      <c r="J9" s="111"/>
    </row>
    <row r="10" spans="1:13" s="25" customFormat="1" ht="56.25" x14ac:dyDescent="0.25">
      <c r="A10" s="39">
        <v>45869</v>
      </c>
      <c r="B10" s="32" t="s">
        <v>422</v>
      </c>
      <c r="C10" s="33" t="s">
        <v>338</v>
      </c>
      <c r="D10" s="33" t="s">
        <v>277</v>
      </c>
      <c r="E10" s="35">
        <v>1000</v>
      </c>
      <c r="F10" s="36">
        <v>0</v>
      </c>
      <c r="G10" s="36">
        <v>0</v>
      </c>
      <c r="H10" s="35">
        <f t="shared" si="0"/>
        <v>1300</v>
      </c>
      <c r="I10" s="110"/>
      <c r="J10" s="111"/>
    </row>
    <row r="11" spans="1:13" s="25" customFormat="1" ht="56.25" x14ac:dyDescent="0.25">
      <c r="A11" s="31">
        <v>46189</v>
      </c>
      <c r="B11" s="32" t="s">
        <v>492</v>
      </c>
      <c r="C11" s="33" t="s">
        <v>493</v>
      </c>
      <c r="D11" s="33" t="s">
        <v>277</v>
      </c>
      <c r="E11" s="35">
        <v>0</v>
      </c>
      <c r="F11" s="36">
        <v>0</v>
      </c>
      <c r="G11" s="36">
        <v>1300</v>
      </c>
      <c r="H11" s="35">
        <f t="shared" ref="H11:H12" si="1">+H10+E11-F11-G11</f>
        <v>0</v>
      </c>
      <c r="I11" s="110"/>
      <c r="J11" s="111"/>
    </row>
    <row r="12" spans="1:13" s="25" customFormat="1" ht="56.25" x14ac:dyDescent="0.25">
      <c r="A12" s="39">
        <v>46223</v>
      </c>
      <c r="B12" s="32" t="s">
        <v>494</v>
      </c>
      <c r="C12" s="33" t="s">
        <v>338</v>
      </c>
      <c r="D12" s="33" t="s">
        <v>277</v>
      </c>
      <c r="E12" s="35">
        <v>5000</v>
      </c>
      <c r="F12" s="36">
        <v>0</v>
      </c>
      <c r="G12" s="36">
        <v>0</v>
      </c>
      <c r="H12" s="35">
        <f t="shared" si="1"/>
        <v>5000</v>
      </c>
      <c r="I12" s="110"/>
      <c r="J12" s="111"/>
    </row>
    <row r="13" spans="1:13" s="25" customFormat="1" ht="30" customHeight="1" x14ac:dyDescent="0.25">
      <c r="A13" s="39"/>
      <c r="B13" s="32"/>
      <c r="C13" s="33"/>
      <c r="D13" s="34"/>
      <c r="E13" s="35"/>
      <c r="F13" s="36"/>
      <c r="G13" s="36"/>
      <c r="H13" s="35"/>
      <c r="I13" s="110"/>
      <c r="J13" s="111"/>
    </row>
    <row r="14" spans="1:13" s="25" customFormat="1" ht="30" customHeight="1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ht="30" customHeight="1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ht="30" customHeight="1" x14ac:dyDescent="0.25">
      <c r="A16" s="39"/>
      <c r="B16" s="32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30" customHeight="1" x14ac:dyDescent="0.25">
      <c r="A17" s="39"/>
      <c r="B17" s="32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30" customHeigh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30" customHeigh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30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30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30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30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  <row r="24" spans="1:10" s="25" customFormat="1" ht="30" customHeight="1" x14ac:dyDescent="0.25">
      <c r="A24" s="39"/>
      <c r="B24" s="40"/>
      <c r="C24" s="33"/>
      <c r="D24" s="34"/>
      <c r="E24" s="35"/>
      <c r="F24" s="36"/>
      <c r="G24" s="36"/>
      <c r="H24" s="35"/>
      <c r="I24" s="110"/>
      <c r="J24" s="111"/>
    </row>
    <row r="25" spans="1:10" s="25" customFormat="1" ht="30" customHeight="1" x14ac:dyDescent="0.25">
      <c r="A25" s="39"/>
      <c r="B25" s="40"/>
      <c r="C25" s="33"/>
      <c r="D25" s="34"/>
      <c r="E25" s="35"/>
      <c r="F25" s="36"/>
      <c r="G25" s="36"/>
      <c r="H25" s="35"/>
      <c r="I25" s="110"/>
      <c r="J25" s="111"/>
    </row>
  </sheetData>
  <protectedRanges>
    <protectedRange algorithmName="SHA-512" hashValue="w6vOy6gaWv7RKp7tkLrp7nrHA6RmzXKKrxhAURGVJNeJ+tWzcydALHZnJcvW3Xd6J2aTxgJ4vzpBns4Tppy+Tg==" saltValue="wFqfSvUJGsYlHEHwlJdPRg==" spinCount="100000" sqref="A14:G1048576 G9 A9:A10 E10:G11 B7:B12" name="Range1"/>
    <protectedRange algorithmName="SHA-512" hashValue="w6vOy6gaWv7RKp7tkLrp7nrHA6RmzXKKrxhAURGVJNeJ+tWzcydALHZnJcvW3Xd6J2aTxgJ4vzpBns4Tppy+Tg==" saltValue="wFqfSvUJGsYlHEHwlJdPRg==" spinCount="100000" sqref="A11 A13:G13" name="Range1_1_2"/>
  </protectedRanges>
  <mergeCells count="30">
    <mergeCell ref="I25:J25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phoneticPr fontId="38" type="noConversion"/>
  <conditionalFormatting sqref="B13:B25">
    <cfRule type="cellIs" priority="3" operator="between">
      <formula>1</formula>
      <formula>100000000</formula>
    </cfRule>
  </conditionalFormatting>
  <conditionalFormatting sqref="E7:E25 H7:H25">
    <cfRule type="cellIs" dxfId="20" priority="2" operator="between">
      <formula>1</formula>
      <formula>100</formula>
    </cfRule>
  </conditionalFormatting>
  <conditionalFormatting sqref="F9">
    <cfRule type="cellIs" dxfId="19" priority="1" operator="between">
      <formula>1</formula>
      <formula>100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6113-2264-4469-8386-DF399EE68941}">
  <dimension ref="A1:M25"/>
  <sheetViews>
    <sheetView workbookViewId="0">
      <selection activeCell="G10" sqref="G10"/>
    </sheetView>
  </sheetViews>
  <sheetFormatPr defaultRowHeight="30" customHeight="1" x14ac:dyDescent="0.3"/>
  <cols>
    <col min="1" max="1" width="18.42578125" style="41" customWidth="1"/>
    <col min="2" max="2" width="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30" customHeight="1" x14ac:dyDescent="0.3">
      <c r="A2" s="107" t="s">
        <v>29</v>
      </c>
      <c r="B2" s="107"/>
      <c r="C2" s="107"/>
      <c r="D2" s="15">
        <v>22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30" customHeight="1" x14ac:dyDescent="0.3">
      <c r="A3" s="107" t="s">
        <v>32</v>
      </c>
      <c r="B3" s="107"/>
      <c r="C3" s="107"/>
      <c r="D3" s="98" t="s">
        <v>416</v>
      </c>
      <c r="E3" s="112" t="s">
        <v>33</v>
      </c>
      <c r="F3" s="112"/>
      <c r="G3" s="112"/>
      <c r="H3" s="112"/>
      <c r="I3" s="20">
        <v>3051</v>
      </c>
      <c r="J3" s="21"/>
    </row>
    <row r="4" spans="1:13" ht="30" customHeight="1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>
        <v>3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30" customHeight="1" x14ac:dyDescent="0.25">
      <c r="A6" s="51"/>
      <c r="B6" s="51"/>
      <c r="C6" s="51"/>
      <c r="D6" s="51"/>
      <c r="E6" s="1">
        <f>SUM(E7:E998)</f>
        <v>50</v>
      </c>
      <c r="F6" s="1">
        <f>SUM(F7:F998)</f>
        <v>0</v>
      </c>
      <c r="G6" s="1">
        <f>SUM(G7:G998)</f>
        <v>32</v>
      </c>
      <c r="H6" s="1">
        <f>+E6-F6-G6</f>
        <v>18</v>
      </c>
      <c r="I6" s="52"/>
      <c r="J6" s="99"/>
    </row>
    <row r="7" spans="1:13" s="25" customFormat="1" ht="37.5" x14ac:dyDescent="0.25">
      <c r="A7" s="39">
        <v>45913</v>
      </c>
      <c r="B7" s="32" t="s">
        <v>417</v>
      </c>
      <c r="C7" s="33" t="s">
        <v>418</v>
      </c>
      <c r="D7" s="33" t="s">
        <v>419</v>
      </c>
      <c r="E7" s="35">
        <v>50</v>
      </c>
      <c r="F7" s="36">
        <v>0</v>
      </c>
      <c r="G7" s="36">
        <v>0</v>
      </c>
      <c r="H7" s="35">
        <f>SUM(E7:G7)</f>
        <v>50</v>
      </c>
      <c r="I7" s="110"/>
      <c r="J7" s="111"/>
    </row>
    <row r="8" spans="1:13" s="25" customFormat="1" ht="56.25" x14ac:dyDescent="0.25">
      <c r="A8" s="39">
        <v>45922</v>
      </c>
      <c r="B8" s="32" t="s">
        <v>495</v>
      </c>
      <c r="C8" s="33" t="s">
        <v>202</v>
      </c>
      <c r="D8" s="33" t="s">
        <v>419</v>
      </c>
      <c r="E8" s="35">
        <v>0</v>
      </c>
      <c r="F8" s="36">
        <v>0</v>
      </c>
      <c r="G8" s="36">
        <v>20</v>
      </c>
      <c r="H8" s="35">
        <f>+H7+E8-F8-G8</f>
        <v>30</v>
      </c>
      <c r="I8" s="110"/>
      <c r="J8" s="111"/>
    </row>
    <row r="9" spans="1:13" s="25" customFormat="1" ht="56.25" x14ac:dyDescent="0.25">
      <c r="A9" s="39">
        <v>46241</v>
      </c>
      <c r="B9" s="32" t="s">
        <v>496</v>
      </c>
      <c r="C9" s="33" t="s">
        <v>497</v>
      </c>
      <c r="D9" s="33" t="s">
        <v>419</v>
      </c>
      <c r="E9" s="35">
        <v>0</v>
      </c>
      <c r="F9" s="36">
        <v>0</v>
      </c>
      <c r="G9" s="36">
        <v>12</v>
      </c>
      <c r="H9" s="35">
        <f>+H8+E9-F9-G9</f>
        <v>18</v>
      </c>
      <c r="I9" s="110"/>
      <c r="J9" s="111"/>
    </row>
    <row r="10" spans="1:13" s="25" customFormat="1" ht="30" customHeight="1" x14ac:dyDescent="0.25">
      <c r="A10" s="39"/>
      <c r="B10" s="32"/>
      <c r="C10" s="33"/>
      <c r="D10" s="33"/>
      <c r="E10" s="35"/>
      <c r="F10" s="36"/>
      <c r="G10" s="36"/>
      <c r="H10" s="35"/>
      <c r="I10" s="110"/>
      <c r="J10" s="111"/>
    </row>
    <row r="11" spans="1:13" s="25" customFormat="1" ht="30" customHeight="1" x14ac:dyDescent="0.25">
      <c r="A11" s="31"/>
      <c r="B11" s="32"/>
      <c r="C11" s="33"/>
      <c r="D11" s="33"/>
      <c r="E11" s="35"/>
      <c r="F11" s="36"/>
      <c r="G11" s="36"/>
      <c r="H11" s="35"/>
      <c r="I11" s="110"/>
      <c r="J11" s="111"/>
    </row>
    <row r="12" spans="1:13" s="25" customFormat="1" ht="30" customHeight="1" x14ac:dyDescent="0.25">
      <c r="A12" s="39"/>
      <c r="B12" s="32"/>
      <c r="C12" s="33"/>
      <c r="D12" s="33"/>
      <c r="E12" s="35"/>
      <c r="F12" s="36"/>
      <c r="G12" s="36"/>
      <c r="H12" s="35"/>
      <c r="I12" s="110"/>
      <c r="J12" s="111"/>
    </row>
    <row r="13" spans="1:13" s="25" customFormat="1" ht="30" customHeight="1" x14ac:dyDescent="0.25">
      <c r="A13" s="39"/>
      <c r="B13" s="32"/>
      <c r="C13" s="33"/>
      <c r="D13" s="34"/>
      <c r="E13" s="35"/>
      <c r="F13" s="36"/>
      <c r="G13" s="36"/>
      <c r="H13" s="35"/>
      <c r="I13" s="110"/>
      <c r="J13" s="111"/>
    </row>
    <row r="14" spans="1:13" s="25" customFormat="1" ht="30" customHeight="1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ht="30" customHeight="1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ht="30" customHeight="1" x14ac:dyDescent="0.25">
      <c r="A16" s="39"/>
      <c r="B16" s="32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30" customHeight="1" x14ac:dyDescent="0.25">
      <c r="A17" s="39"/>
      <c r="B17" s="32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30" customHeigh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30" customHeigh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30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30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30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30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  <row r="24" spans="1:10" s="25" customFormat="1" ht="30" customHeight="1" x14ac:dyDescent="0.25">
      <c r="A24" s="39"/>
      <c r="B24" s="40"/>
      <c r="C24" s="33"/>
      <c r="D24" s="34"/>
      <c r="E24" s="35"/>
      <c r="F24" s="36"/>
      <c r="G24" s="36"/>
      <c r="H24" s="35"/>
      <c r="I24" s="110"/>
      <c r="J24" s="111"/>
    </row>
    <row r="25" spans="1:10" s="25" customFormat="1" ht="30" customHeight="1" x14ac:dyDescent="0.25">
      <c r="A25" s="39"/>
      <c r="B25" s="40"/>
      <c r="C25" s="33"/>
      <c r="D25" s="34"/>
      <c r="E25" s="35"/>
      <c r="F25" s="36"/>
      <c r="G25" s="36"/>
      <c r="H25" s="35"/>
      <c r="I25" s="110"/>
      <c r="J25" s="111"/>
    </row>
  </sheetData>
  <protectedRanges>
    <protectedRange algorithmName="SHA-512" hashValue="w6vOy6gaWv7RKp7tkLrp7nrHA6RmzXKKrxhAURGVJNeJ+tWzcydALHZnJcvW3Xd6J2aTxgJ4vzpBns4Tppy+Tg==" saltValue="wFqfSvUJGsYlHEHwlJdPRg==" spinCount="100000" sqref="A14:G1048576 A9:A10 D10:G10 B7:B9" name="Range1"/>
    <protectedRange algorithmName="SHA-512" hashValue="w6vOy6gaWv7RKp7tkLrp7nrHA6RmzXKKrxhAURGVJNeJ+tWzcydALHZnJcvW3Xd6J2aTxgJ4vzpBns4Tppy+Tg==" saltValue="wFqfSvUJGsYlHEHwlJdPRg==" spinCount="100000" sqref="A11:B11 A13:G13" name="Range1_1_2"/>
  </protectedRanges>
  <mergeCells count="30">
    <mergeCell ref="I25:J25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phoneticPr fontId="38" type="noConversion"/>
  <conditionalFormatting sqref="B10 B12:B25">
    <cfRule type="cellIs" priority="3" operator="between">
      <formula>1</formula>
      <formula>100000000</formula>
    </cfRule>
  </conditionalFormatting>
  <conditionalFormatting sqref="E7:E25 H7:H25">
    <cfRule type="cellIs" dxfId="18" priority="2" operator="between">
      <formula>1</formula>
      <formula>100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27FE-01DE-42F4-A58F-5267C0DEF1C8}">
  <dimension ref="A1:M23"/>
  <sheetViews>
    <sheetView workbookViewId="0">
      <selection activeCell="F18" sqref="F18"/>
    </sheetView>
  </sheetViews>
  <sheetFormatPr defaultRowHeight="30" customHeight="1" x14ac:dyDescent="0.3"/>
  <cols>
    <col min="1" max="1" width="18.42578125" style="41" customWidth="1"/>
    <col min="2" max="2" width="28.5703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57.75" customHeight="1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4.75" customHeight="1" x14ac:dyDescent="0.3">
      <c r="A2" s="107" t="s">
        <v>29</v>
      </c>
      <c r="B2" s="107"/>
      <c r="C2" s="107"/>
      <c r="D2" s="15">
        <v>4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22.5" customHeight="1" x14ac:dyDescent="0.3">
      <c r="A3" s="107" t="s">
        <v>32</v>
      </c>
      <c r="B3" s="107"/>
      <c r="C3" s="107"/>
      <c r="D3" s="98" t="s">
        <v>306</v>
      </c>
      <c r="E3" s="112" t="s">
        <v>33</v>
      </c>
      <c r="F3" s="112"/>
      <c r="G3" s="112"/>
      <c r="H3" s="112"/>
      <c r="I3" s="20">
        <v>3052</v>
      </c>
      <c r="J3" s="21"/>
    </row>
    <row r="4" spans="1:13" ht="45" customHeight="1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16" t="s">
        <v>42</v>
      </c>
      <c r="J4" s="116"/>
    </row>
    <row r="5" spans="1:13" s="25" customFormat="1" ht="55.5" customHeight="1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55.5" customHeight="1" x14ac:dyDescent="0.25">
      <c r="A6" s="51"/>
      <c r="B6" s="51"/>
      <c r="C6" s="51"/>
      <c r="D6" s="51"/>
      <c r="E6" s="1">
        <f>SUM(E7:E998)</f>
        <v>150</v>
      </c>
      <c r="F6" s="1">
        <f>SUM(F7:F998)</f>
        <v>0</v>
      </c>
      <c r="G6" s="1">
        <f>SUM(G7:G998)</f>
        <v>150</v>
      </c>
      <c r="H6" s="1">
        <f>+E6-F6-G6</f>
        <v>0</v>
      </c>
      <c r="I6" s="52"/>
      <c r="J6" s="99"/>
    </row>
    <row r="7" spans="1:13" s="25" customFormat="1" ht="67.5" customHeight="1" x14ac:dyDescent="0.25">
      <c r="A7" s="31" t="s">
        <v>274</v>
      </c>
      <c r="B7" s="32" t="s">
        <v>275</v>
      </c>
      <c r="C7" s="33" t="s">
        <v>276</v>
      </c>
      <c r="D7" s="33" t="s">
        <v>307</v>
      </c>
      <c r="E7" s="35">
        <v>50</v>
      </c>
      <c r="F7" s="36">
        <v>0</v>
      </c>
      <c r="G7" s="36">
        <v>0</v>
      </c>
      <c r="H7" s="35">
        <f>SUM(E7:G7)</f>
        <v>50</v>
      </c>
      <c r="I7" s="110"/>
      <c r="J7" s="111"/>
    </row>
    <row r="8" spans="1:13" s="25" customFormat="1" ht="93.75" customHeight="1" x14ac:dyDescent="0.25">
      <c r="A8" s="39" t="s">
        <v>55</v>
      </c>
      <c r="B8" s="32" t="s">
        <v>308</v>
      </c>
      <c r="C8" s="33" t="s">
        <v>280</v>
      </c>
      <c r="D8" s="33" t="s">
        <v>309</v>
      </c>
      <c r="E8" s="35">
        <v>0</v>
      </c>
      <c r="F8" s="36">
        <v>0</v>
      </c>
      <c r="G8" s="36">
        <v>25</v>
      </c>
      <c r="H8" s="35">
        <f>H7+E8-F8-G8</f>
        <v>25</v>
      </c>
      <c r="I8" s="110"/>
      <c r="J8" s="111"/>
    </row>
    <row r="9" spans="1:13" s="25" customFormat="1" ht="98.25" customHeight="1" x14ac:dyDescent="0.25">
      <c r="A9" s="39">
        <v>45329</v>
      </c>
      <c r="B9" s="32" t="s">
        <v>308</v>
      </c>
      <c r="C9" s="33" t="s">
        <v>310</v>
      </c>
      <c r="D9" s="33" t="s">
        <v>311</v>
      </c>
      <c r="E9" s="36">
        <v>0</v>
      </c>
      <c r="F9" s="36">
        <v>0</v>
      </c>
      <c r="G9" s="36">
        <v>1</v>
      </c>
      <c r="H9" s="35">
        <f t="shared" ref="H9:H16" si="0">H8+E9-F9-G9</f>
        <v>24</v>
      </c>
      <c r="I9" s="110"/>
      <c r="J9" s="111"/>
    </row>
    <row r="10" spans="1:13" s="25" customFormat="1" ht="86.25" customHeight="1" x14ac:dyDescent="0.25">
      <c r="A10" s="39" t="s">
        <v>312</v>
      </c>
      <c r="B10" s="32" t="s">
        <v>308</v>
      </c>
      <c r="C10" s="33" t="s">
        <v>313</v>
      </c>
      <c r="D10" s="34" t="s">
        <v>311</v>
      </c>
      <c r="E10" s="35">
        <v>0</v>
      </c>
      <c r="F10" s="36">
        <v>0</v>
      </c>
      <c r="G10" s="36">
        <v>1</v>
      </c>
      <c r="H10" s="35">
        <f t="shared" si="0"/>
        <v>23</v>
      </c>
      <c r="I10" s="110"/>
      <c r="J10" s="111"/>
    </row>
    <row r="11" spans="1:13" s="25" customFormat="1" ht="100.5" customHeight="1" x14ac:dyDescent="0.25">
      <c r="A11" s="39" t="s">
        <v>314</v>
      </c>
      <c r="B11" s="32" t="s">
        <v>315</v>
      </c>
      <c r="C11" s="33" t="s">
        <v>316</v>
      </c>
      <c r="D11" s="34" t="s">
        <v>317</v>
      </c>
      <c r="E11" s="35">
        <v>0</v>
      </c>
      <c r="F11" s="36">
        <v>0</v>
      </c>
      <c r="G11" s="36">
        <v>10</v>
      </c>
      <c r="H11" s="35">
        <f t="shared" si="0"/>
        <v>13</v>
      </c>
      <c r="I11" s="110"/>
      <c r="J11" s="111"/>
    </row>
    <row r="12" spans="1:13" s="25" customFormat="1" ht="91.5" customHeight="1" x14ac:dyDescent="0.25">
      <c r="A12" s="39">
        <v>45363</v>
      </c>
      <c r="B12" s="32" t="s">
        <v>318</v>
      </c>
      <c r="C12" s="33" t="s">
        <v>319</v>
      </c>
      <c r="D12" s="34" t="s">
        <v>317</v>
      </c>
      <c r="E12" s="35">
        <v>0</v>
      </c>
      <c r="F12" s="36">
        <v>0</v>
      </c>
      <c r="G12" s="36">
        <v>10</v>
      </c>
      <c r="H12" s="35">
        <f t="shared" si="0"/>
        <v>3</v>
      </c>
      <c r="I12" s="110"/>
      <c r="J12" s="111"/>
    </row>
    <row r="13" spans="1:13" s="25" customFormat="1" ht="95.25" customHeight="1" x14ac:dyDescent="0.25">
      <c r="A13" s="39" t="s">
        <v>285</v>
      </c>
      <c r="B13" s="32" t="s">
        <v>320</v>
      </c>
      <c r="C13" s="33" t="s">
        <v>321</v>
      </c>
      <c r="D13" s="34" t="s">
        <v>322</v>
      </c>
      <c r="E13" s="35">
        <v>0</v>
      </c>
      <c r="F13" s="36">
        <v>0</v>
      </c>
      <c r="G13" s="36">
        <v>3</v>
      </c>
      <c r="H13" s="35">
        <f t="shared" si="0"/>
        <v>0</v>
      </c>
      <c r="I13" s="110"/>
      <c r="J13" s="111"/>
    </row>
    <row r="14" spans="1:13" s="25" customFormat="1" ht="37.5" x14ac:dyDescent="0.25">
      <c r="A14" s="31" t="s">
        <v>323</v>
      </c>
      <c r="B14" s="32" t="s">
        <v>324</v>
      </c>
      <c r="C14" s="33" t="s">
        <v>325</v>
      </c>
      <c r="D14" s="33" t="s">
        <v>255</v>
      </c>
      <c r="E14" s="35">
        <v>100</v>
      </c>
      <c r="F14" s="36">
        <v>0</v>
      </c>
      <c r="G14" s="36">
        <v>0</v>
      </c>
      <c r="H14" s="35">
        <f t="shared" si="0"/>
        <v>100</v>
      </c>
      <c r="I14" s="110"/>
      <c r="J14" s="111"/>
    </row>
    <row r="15" spans="1:13" s="25" customFormat="1" ht="56.25" x14ac:dyDescent="0.25">
      <c r="A15" s="31" t="s">
        <v>326</v>
      </c>
      <c r="B15" s="32" t="s">
        <v>327</v>
      </c>
      <c r="C15" s="33" t="s">
        <v>328</v>
      </c>
      <c r="D15" s="33" t="s">
        <v>255</v>
      </c>
      <c r="E15" s="35">
        <v>0</v>
      </c>
      <c r="F15" s="36">
        <v>0</v>
      </c>
      <c r="G15" s="36">
        <v>50</v>
      </c>
      <c r="H15" s="35">
        <f t="shared" si="0"/>
        <v>50</v>
      </c>
      <c r="I15" s="110"/>
      <c r="J15" s="111"/>
    </row>
    <row r="16" spans="1:13" s="25" customFormat="1" ht="37.5" x14ac:dyDescent="0.25">
      <c r="A16" s="39">
        <v>45973</v>
      </c>
      <c r="B16" s="40" t="s">
        <v>414</v>
      </c>
      <c r="C16" s="33" t="s">
        <v>415</v>
      </c>
      <c r="D16" s="33" t="s">
        <v>255</v>
      </c>
      <c r="E16" s="35">
        <v>0</v>
      </c>
      <c r="F16" s="36">
        <v>0</v>
      </c>
      <c r="G16" s="36">
        <v>22</v>
      </c>
      <c r="H16" s="35">
        <f t="shared" si="0"/>
        <v>28</v>
      </c>
      <c r="I16" s="110"/>
      <c r="J16" s="111"/>
    </row>
    <row r="17" spans="1:10" s="25" customFormat="1" ht="37.5" x14ac:dyDescent="0.25">
      <c r="A17" s="39">
        <v>46247</v>
      </c>
      <c r="B17" s="32" t="s">
        <v>477</v>
      </c>
      <c r="C17" s="33" t="s">
        <v>498</v>
      </c>
      <c r="D17" s="33" t="s">
        <v>255</v>
      </c>
      <c r="E17" s="35">
        <v>0</v>
      </c>
      <c r="F17" s="36">
        <v>0</v>
      </c>
      <c r="G17" s="36">
        <v>28</v>
      </c>
      <c r="H17" s="35">
        <f t="shared" ref="H17" si="1">H16+E17-F17-G17</f>
        <v>0</v>
      </c>
      <c r="I17" s="110"/>
      <c r="J17" s="111"/>
    </row>
    <row r="18" spans="1:10" s="25" customFormat="1" ht="28.5" customHeigh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28.5" customHeigh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28.5" customHeigh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28.5" customHeigh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28.5" customHeigh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28.5" customHeigh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9:A10 C10:E10 A13:G13 C9:D9 A11:E12 G9:G12 A24:G1048576 A18:D23 A16:C17" name="Range1_1"/>
    <protectedRange algorithmName="SHA-512" hashValue="w6vOy6gaWv7RKp7tkLrp7nrHA6RmzXKKrxhAURGVJNeJ+tWzcydALHZnJcvW3Xd6J2aTxgJ4vzpBns4Tppy+Tg==" saltValue="wFqfSvUJGsYlHEHwlJdPRg==" spinCount="100000" sqref="A14:B15" name="Range1_2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B8:B13 B16:B23">
    <cfRule type="cellIs" priority="3" operator="between">
      <formula>1</formula>
      <formula>100000000</formula>
    </cfRule>
  </conditionalFormatting>
  <conditionalFormatting sqref="E7:E8 H7:H23">
    <cfRule type="cellIs" dxfId="16" priority="2" operator="between">
      <formula>1</formula>
      <formula>100</formula>
    </cfRule>
  </conditionalFormatting>
  <conditionalFormatting sqref="E10:E23">
    <cfRule type="cellIs" dxfId="15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F1CC-4307-4EDB-B6FC-ECB243975993}">
  <dimension ref="A1:M23"/>
  <sheetViews>
    <sheetView workbookViewId="0"/>
  </sheetViews>
  <sheetFormatPr defaultRowHeight="30" customHeight="1" x14ac:dyDescent="0.3"/>
  <cols>
    <col min="1" max="1" width="18.42578125" style="41" customWidth="1"/>
    <col min="2" max="2" width="19.5703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.75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3.25" x14ac:dyDescent="0.3">
      <c r="A2" s="107" t="s">
        <v>29</v>
      </c>
      <c r="B2" s="107"/>
      <c r="C2" s="107"/>
      <c r="D2" s="15">
        <v>6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23.25" x14ac:dyDescent="0.3">
      <c r="A3" s="107" t="s">
        <v>32</v>
      </c>
      <c r="B3" s="107"/>
      <c r="C3" s="107"/>
      <c r="D3" s="19" t="s">
        <v>330</v>
      </c>
      <c r="E3" s="112" t="s">
        <v>33</v>
      </c>
      <c r="F3" s="112"/>
      <c r="G3" s="112"/>
      <c r="H3" s="112"/>
      <c r="I3" s="20">
        <v>3056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 t="s">
        <v>331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22.5" x14ac:dyDescent="0.25">
      <c r="A6" s="51"/>
      <c r="B6" s="51"/>
      <c r="C6" s="51"/>
      <c r="D6" s="51"/>
      <c r="E6" s="1">
        <f>SUM(E7:E998)</f>
        <v>12</v>
      </c>
      <c r="F6" s="1">
        <f>SUM(F7:F998)</f>
        <v>0</v>
      </c>
      <c r="G6" s="1">
        <f>SUM(G7:G998)</f>
        <v>12</v>
      </c>
      <c r="H6" s="1">
        <f>+E6-F6-G6</f>
        <v>0</v>
      </c>
      <c r="I6" s="52"/>
      <c r="J6" s="99"/>
    </row>
    <row r="7" spans="1:13" s="25" customFormat="1" ht="37.5" x14ac:dyDescent="0.25">
      <c r="A7" s="31" t="s">
        <v>274</v>
      </c>
      <c r="B7" s="32" t="s">
        <v>275</v>
      </c>
      <c r="C7" s="33" t="s">
        <v>276</v>
      </c>
      <c r="D7" s="33" t="s">
        <v>307</v>
      </c>
      <c r="E7" s="35">
        <v>12</v>
      </c>
      <c r="F7" s="36">
        <v>0</v>
      </c>
      <c r="G7" s="36">
        <v>0</v>
      </c>
      <c r="H7" s="35">
        <f>SUM(E7:G7)</f>
        <v>12</v>
      </c>
      <c r="I7" s="110"/>
      <c r="J7" s="111"/>
    </row>
    <row r="8" spans="1:13" s="25" customFormat="1" ht="75" x14ac:dyDescent="0.25">
      <c r="A8" s="39" t="s">
        <v>55</v>
      </c>
      <c r="B8" s="32" t="s">
        <v>308</v>
      </c>
      <c r="C8" s="33" t="s">
        <v>280</v>
      </c>
      <c r="D8" s="33" t="s">
        <v>309</v>
      </c>
      <c r="E8" s="35">
        <v>0</v>
      </c>
      <c r="F8" s="36">
        <v>0</v>
      </c>
      <c r="G8" s="36">
        <v>6</v>
      </c>
      <c r="H8" s="35">
        <f>H7-G8-F8+E8</f>
        <v>6</v>
      </c>
      <c r="I8" s="110"/>
      <c r="J8" s="111"/>
    </row>
    <row r="9" spans="1:13" s="25" customFormat="1" ht="112.5" x14ac:dyDescent="0.25">
      <c r="A9" s="39" t="s">
        <v>55</v>
      </c>
      <c r="B9" s="32" t="s">
        <v>332</v>
      </c>
      <c r="C9" s="33" t="s">
        <v>333</v>
      </c>
      <c r="D9" s="33" t="s">
        <v>334</v>
      </c>
      <c r="E9" s="35">
        <v>0</v>
      </c>
      <c r="F9" s="36">
        <v>0</v>
      </c>
      <c r="G9" s="36">
        <v>6</v>
      </c>
      <c r="H9" s="35">
        <f>H8-G9-F9+E9</f>
        <v>0</v>
      </c>
      <c r="I9" s="110"/>
      <c r="J9" s="111"/>
    </row>
    <row r="10" spans="1:13" s="25" customFormat="1" ht="20.25" x14ac:dyDescent="0.25">
      <c r="A10" s="39"/>
      <c r="B10" s="32"/>
      <c r="C10" s="33"/>
      <c r="D10" s="34"/>
      <c r="E10" s="35"/>
      <c r="F10" s="36"/>
      <c r="G10" s="36"/>
      <c r="H10" s="35"/>
      <c r="I10" s="110"/>
      <c r="J10" s="111"/>
    </row>
    <row r="11" spans="1:13" s="25" customFormat="1" ht="20.25" x14ac:dyDescent="0.25">
      <c r="A11" s="39"/>
      <c r="B11" s="32"/>
      <c r="C11" s="33"/>
      <c r="D11" s="34"/>
      <c r="E11" s="35"/>
      <c r="F11" s="36"/>
      <c r="G11" s="36"/>
      <c r="H11" s="35"/>
      <c r="I11" s="110"/>
      <c r="J11" s="111"/>
    </row>
    <row r="12" spans="1:13" s="25" customFormat="1" ht="20.25" x14ac:dyDescent="0.25">
      <c r="A12" s="39"/>
      <c r="B12" s="32"/>
      <c r="C12" s="33"/>
      <c r="D12" s="34"/>
      <c r="E12" s="35"/>
      <c r="F12" s="36"/>
      <c r="G12" s="36"/>
      <c r="H12" s="35"/>
      <c r="I12" s="110"/>
      <c r="J12" s="111"/>
    </row>
    <row r="13" spans="1:13" s="25" customFormat="1" ht="20.25" x14ac:dyDescent="0.25">
      <c r="A13" s="39"/>
      <c r="B13" s="32"/>
      <c r="C13" s="33"/>
      <c r="D13" s="34"/>
      <c r="E13" s="35"/>
      <c r="F13" s="36"/>
      <c r="G13" s="36"/>
      <c r="H13" s="35"/>
      <c r="I13" s="110"/>
      <c r="J13" s="111"/>
    </row>
    <row r="14" spans="1:13" s="25" customFormat="1" ht="20.25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ht="20.25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ht="20.25" x14ac:dyDescent="0.25">
      <c r="A16" s="39"/>
      <c r="B16" s="40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20.25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20.25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20.25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20.25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20.25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20.25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20.25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10:G1048576 A9 C9:G9" name="Range1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1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8318-49DE-492E-90AE-EC93CD3197B4}">
  <dimension ref="A1:M23"/>
  <sheetViews>
    <sheetView workbookViewId="0">
      <selection activeCell="I10" sqref="I10:J10"/>
    </sheetView>
  </sheetViews>
  <sheetFormatPr defaultRowHeight="30" customHeight="1" x14ac:dyDescent="0.3"/>
  <cols>
    <col min="1" max="1" width="18.42578125" style="41" customWidth="1"/>
    <col min="2" max="2" width="19.5703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.75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3.25" x14ac:dyDescent="0.3">
      <c r="A2" s="107" t="s">
        <v>29</v>
      </c>
      <c r="B2" s="107"/>
      <c r="C2" s="107"/>
      <c r="D2" s="15">
        <v>5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23.25" x14ac:dyDescent="0.3">
      <c r="A3" s="107" t="s">
        <v>32</v>
      </c>
      <c r="B3" s="107"/>
      <c r="C3" s="107"/>
      <c r="D3" s="19" t="s">
        <v>335</v>
      </c>
      <c r="E3" s="112" t="s">
        <v>33</v>
      </c>
      <c r="F3" s="112"/>
      <c r="G3" s="112"/>
      <c r="H3" s="112"/>
      <c r="I3" s="20">
        <v>3212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 t="s">
        <v>331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22.5" x14ac:dyDescent="0.25">
      <c r="A6" s="51"/>
      <c r="B6" s="51"/>
      <c r="C6" s="51"/>
      <c r="D6" s="51"/>
      <c r="E6" s="1">
        <f>SUM(E7:E998)</f>
        <v>25</v>
      </c>
      <c r="F6" s="1">
        <f>SUM(F7:F998)</f>
        <v>0</v>
      </c>
      <c r="G6" s="1">
        <f>SUM(G7:G998)</f>
        <v>21</v>
      </c>
      <c r="H6" s="1">
        <f>+E6-F6-G6</f>
        <v>4</v>
      </c>
      <c r="I6" s="52"/>
      <c r="J6" s="99"/>
    </row>
    <row r="7" spans="1:13" s="25" customFormat="1" ht="37.5" x14ac:dyDescent="0.25">
      <c r="A7" s="31" t="s">
        <v>274</v>
      </c>
      <c r="B7" s="32" t="s">
        <v>275</v>
      </c>
      <c r="C7" s="33" t="s">
        <v>276</v>
      </c>
      <c r="D7" s="33" t="s">
        <v>307</v>
      </c>
      <c r="E7" s="35">
        <v>25</v>
      </c>
      <c r="F7" s="36">
        <v>0</v>
      </c>
      <c r="G7" s="36">
        <v>0</v>
      </c>
      <c r="H7" s="35">
        <f>SUM(E7:G7)</f>
        <v>25</v>
      </c>
      <c r="I7" s="110"/>
      <c r="J7" s="111"/>
    </row>
    <row r="8" spans="1:13" s="25" customFormat="1" ht="75" x14ac:dyDescent="0.25">
      <c r="A8" s="39" t="s">
        <v>55</v>
      </c>
      <c r="B8" s="32" t="s">
        <v>308</v>
      </c>
      <c r="C8" s="33" t="s">
        <v>280</v>
      </c>
      <c r="D8" s="33" t="s">
        <v>309</v>
      </c>
      <c r="E8" s="35">
        <v>0</v>
      </c>
      <c r="F8" s="36">
        <v>0</v>
      </c>
      <c r="G8" s="36">
        <v>12</v>
      </c>
      <c r="H8" s="35">
        <f>H7+E8-F8-G8</f>
        <v>13</v>
      </c>
      <c r="I8" s="110"/>
      <c r="J8" s="111"/>
    </row>
    <row r="9" spans="1:13" s="25" customFormat="1" ht="75" x14ac:dyDescent="0.25">
      <c r="A9" s="39">
        <v>45329</v>
      </c>
      <c r="B9" s="32" t="s">
        <v>308</v>
      </c>
      <c r="C9" s="33" t="s">
        <v>333</v>
      </c>
      <c r="D9" s="33" t="s">
        <v>334</v>
      </c>
      <c r="E9" s="35">
        <v>0</v>
      </c>
      <c r="F9" s="36">
        <v>0</v>
      </c>
      <c r="G9" s="36">
        <v>1</v>
      </c>
      <c r="H9" s="35">
        <f t="shared" ref="H9:H10" si="0">H8+E9-F9-G9</f>
        <v>12</v>
      </c>
      <c r="I9" s="110"/>
      <c r="J9" s="111"/>
    </row>
    <row r="10" spans="1:13" s="25" customFormat="1" ht="56.25" x14ac:dyDescent="0.25">
      <c r="A10" s="39" t="s">
        <v>336</v>
      </c>
      <c r="B10" s="32" t="s">
        <v>337</v>
      </c>
      <c r="C10" s="33" t="s">
        <v>338</v>
      </c>
      <c r="D10" s="33" t="s">
        <v>334</v>
      </c>
      <c r="E10" s="35">
        <v>0</v>
      </c>
      <c r="F10" s="36">
        <v>0</v>
      </c>
      <c r="G10" s="36">
        <v>8</v>
      </c>
      <c r="H10" s="35">
        <f t="shared" si="0"/>
        <v>4</v>
      </c>
      <c r="I10" s="110"/>
      <c r="J10" s="111"/>
    </row>
    <row r="11" spans="1:13" s="25" customFormat="1" ht="20.25" x14ac:dyDescent="0.25">
      <c r="A11" s="39"/>
      <c r="B11" s="32"/>
      <c r="C11" s="33"/>
      <c r="D11" s="33"/>
      <c r="E11" s="35"/>
      <c r="F11" s="36"/>
      <c r="G11" s="36"/>
      <c r="H11" s="35"/>
      <c r="I11" s="110"/>
      <c r="J11" s="111"/>
    </row>
    <row r="12" spans="1:13" s="25" customFormat="1" ht="20.25" x14ac:dyDescent="0.25">
      <c r="A12" s="39"/>
      <c r="B12" s="32"/>
      <c r="C12" s="33"/>
      <c r="D12" s="34"/>
      <c r="E12" s="35"/>
      <c r="F12" s="36"/>
      <c r="G12" s="36"/>
      <c r="H12" s="35"/>
      <c r="I12" s="110"/>
      <c r="J12" s="111"/>
    </row>
    <row r="13" spans="1:13" s="25" customFormat="1" ht="20.25" x14ac:dyDescent="0.25">
      <c r="A13" s="39"/>
      <c r="B13" s="32"/>
      <c r="C13" s="33"/>
      <c r="D13" s="34"/>
      <c r="E13" s="35"/>
      <c r="F13" s="36"/>
      <c r="G13" s="36"/>
      <c r="H13" s="35"/>
      <c r="I13" s="110"/>
      <c r="J13" s="111"/>
    </row>
    <row r="14" spans="1:13" s="25" customFormat="1" ht="20.25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ht="20.25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ht="20.25" x14ac:dyDescent="0.25">
      <c r="A16" s="39"/>
      <c r="B16" s="40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20.25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20.25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20.25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20.25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20.25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20.25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20.25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9 C9:G9 A10:G1048576" name="Range1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13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CC46-CD1F-4861-86E1-2D3E4C73C874}">
  <dimension ref="A1:M23"/>
  <sheetViews>
    <sheetView workbookViewId="0"/>
  </sheetViews>
  <sheetFormatPr defaultRowHeight="30" customHeight="1" x14ac:dyDescent="0.3"/>
  <cols>
    <col min="1" max="1" width="18.42578125" style="41" customWidth="1"/>
    <col min="2" max="2" width="19.5703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.75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3.25" x14ac:dyDescent="0.3">
      <c r="A2" s="107" t="s">
        <v>29</v>
      </c>
      <c r="B2" s="107"/>
      <c r="C2" s="107"/>
      <c r="D2" s="15">
        <v>20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23.25" x14ac:dyDescent="0.3">
      <c r="A3" s="107" t="s">
        <v>32</v>
      </c>
      <c r="B3" s="107"/>
      <c r="C3" s="107"/>
      <c r="D3" s="19" t="s">
        <v>341</v>
      </c>
      <c r="E3" s="112" t="s">
        <v>33</v>
      </c>
      <c r="F3" s="112"/>
      <c r="G3" s="112"/>
      <c r="H3" s="112"/>
      <c r="I3" s="20">
        <v>3059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>
        <v>3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22.5" x14ac:dyDescent="0.25">
      <c r="A6" s="51"/>
      <c r="B6" s="51"/>
      <c r="C6" s="51"/>
      <c r="D6" s="51"/>
      <c r="E6" s="1">
        <f>SUM(E7:E998)</f>
        <v>50</v>
      </c>
      <c r="F6" s="1">
        <f>SUM(F7:F998)</f>
        <v>0</v>
      </c>
      <c r="G6" s="1">
        <f>SUM(G7:G998)</f>
        <v>27</v>
      </c>
      <c r="H6" s="1">
        <f>+E6-F6-G6</f>
        <v>23</v>
      </c>
      <c r="I6" s="52"/>
      <c r="J6" s="99"/>
    </row>
    <row r="7" spans="1:13" s="25" customFormat="1" ht="37.5" x14ac:dyDescent="0.25">
      <c r="A7" s="31" t="s">
        <v>274</v>
      </c>
      <c r="B7" s="32" t="s">
        <v>275</v>
      </c>
      <c r="C7" s="33" t="s">
        <v>276</v>
      </c>
      <c r="D7" s="33" t="s">
        <v>342</v>
      </c>
      <c r="E7" s="35">
        <v>50</v>
      </c>
      <c r="F7" s="36">
        <v>0</v>
      </c>
      <c r="G7" s="36">
        <v>0</v>
      </c>
      <c r="H7" s="35">
        <f>SUM(E7:G7)</f>
        <v>50</v>
      </c>
      <c r="I7" s="110"/>
      <c r="J7" s="111"/>
    </row>
    <row r="8" spans="1:13" s="25" customFormat="1" ht="37.5" x14ac:dyDescent="0.25">
      <c r="A8" s="39" t="s">
        <v>274</v>
      </c>
      <c r="B8" s="32" t="s">
        <v>275</v>
      </c>
      <c r="C8" s="33" t="s">
        <v>343</v>
      </c>
      <c r="D8" s="33" t="s">
        <v>342</v>
      </c>
      <c r="E8" s="35">
        <v>0</v>
      </c>
      <c r="F8" s="36">
        <v>0</v>
      </c>
      <c r="G8" s="36">
        <v>6</v>
      </c>
      <c r="H8" s="35">
        <v>44</v>
      </c>
      <c r="I8" s="110"/>
      <c r="J8" s="111"/>
    </row>
    <row r="9" spans="1:13" s="25" customFormat="1" ht="75" x14ac:dyDescent="0.25">
      <c r="A9" s="39" t="s">
        <v>55</v>
      </c>
      <c r="B9" s="32" t="s">
        <v>308</v>
      </c>
      <c r="C9" s="33" t="s">
        <v>344</v>
      </c>
      <c r="D9" s="33" t="s">
        <v>281</v>
      </c>
      <c r="E9" s="35">
        <v>0</v>
      </c>
      <c r="F9" s="35">
        <v>0</v>
      </c>
      <c r="G9" s="36">
        <v>19</v>
      </c>
      <c r="H9" s="35">
        <v>25</v>
      </c>
      <c r="I9" s="110"/>
      <c r="J9" s="111"/>
    </row>
    <row r="10" spans="1:13" s="25" customFormat="1" ht="56.25" x14ac:dyDescent="0.25">
      <c r="A10" s="39" t="s">
        <v>345</v>
      </c>
      <c r="B10" s="32" t="s">
        <v>346</v>
      </c>
      <c r="C10" s="33" t="s">
        <v>347</v>
      </c>
      <c r="D10" s="33" t="s">
        <v>348</v>
      </c>
      <c r="E10" s="35">
        <v>0</v>
      </c>
      <c r="F10" s="36">
        <v>0</v>
      </c>
      <c r="G10" s="36">
        <v>2</v>
      </c>
      <c r="H10" s="35">
        <v>23</v>
      </c>
      <c r="I10" s="110"/>
      <c r="J10" s="111"/>
    </row>
    <row r="11" spans="1:13" s="25" customFormat="1" ht="20.25" x14ac:dyDescent="0.25">
      <c r="A11" s="39"/>
      <c r="B11" s="32"/>
      <c r="C11" s="33"/>
      <c r="D11" s="34"/>
      <c r="E11" s="35"/>
      <c r="F11" s="36"/>
      <c r="G11" s="36"/>
      <c r="H11" s="35"/>
      <c r="I11" s="110"/>
      <c r="J11" s="111"/>
    </row>
    <row r="12" spans="1:13" s="25" customFormat="1" ht="20.25" x14ac:dyDescent="0.25">
      <c r="A12" s="39"/>
      <c r="B12" s="32"/>
      <c r="C12" s="33"/>
      <c r="D12" s="34"/>
      <c r="E12" s="35"/>
      <c r="F12" s="36"/>
      <c r="G12" s="36"/>
      <c r="H12" s="35"/>
      <c r="I12" s="110"/>
      <c r="J12" s="111"/>
    </row>
    <row r="13" spans="1:13" s="25" customFormat="1" ht="20.25" x14ac:dyDescent="0.25">
      <c r="A13" s="39"/>
      <c r="B13" s="32"/>
      <c r="C13" s="33"/>
      <c r="D13" s="34"/>
      <c r="E13" s="35"/>
      <c r="F13" s="36"/>
      <c r="G13" s="36"/>
      <c r="H13" s="35"/>
      <c r="I13" s="110"/>
      <c r="J13" s="111"/>
    </row>
    <row r="14" spans="1:13" s="25" customFormat="1" ht="20.25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ht="20.25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ht="20.25" x14ac:dyDescent="0.25">
      <c r="A16" s="39"/>
      <c r="B16" s="40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20.25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20.25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20.25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20.25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20.25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20.25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20.25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7 A9 D9 A10:G1048576 G9 B8" name="Range1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B9:B23">
    <cfRule type="cellIs" priority="3" operator="between">
      <formula>1</formula>
      <formula>100000000</formula>
    </cfRule>
  </conditionalFormatting>
  <conditionalFormatting sqref="E7:E23 H7:H23">
    <cfRule type="cellIs" dxfId="12" priority="2" operator="between">
      <formula>1</formula>
      <formula>100</formula>
    </cfRule>
  </conditionalFormatting>
  <conditionalFormatting sqref="F9">
    <cfRule type="cellIs" dxfId="11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C4CB-AAE6-47DB-95CC-3A5DAD547864}">
  <dimension ref="A1:M22"/>
  <sheetViews>
    <sheetView workbookViewId="0">
      <selection activeCell="D14" sqref="D14"/>
    </sheetView>
  </sheetViews>
  <sheetFormatPr defaultRowHeight="30" customHeight="1" x14ac:dyDescent="0.3"/>
  <cols>
    <col min="1" max="1" width="18.42578125" style="41" customWidth="1"/>
    <col min="2" max="2" width="19.5703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.75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3.25" x14ac:dyDescent="0.3">
      <c r="A2" s="107" t="s">
        <v>29</v>
      </c>
      <c r="B2" s="107"/>
      <c r="C2" s="107"/>
      <c r="D2" s="15">
        <v>25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23.25" x14ac:dyDescent="0.3">
      <c r="A3" s="107" t="s">
        <v>32</v>
      </c>
      <c r="B3" s="107"/>
      <c r="C3" s="107"/>
      <c r="D3" s="19" t="s">
        <v>349</v>
      </c>
      <c r="E3" s="112" t="s">
        <v>33</v>
      </c>
      <c r="F3" s="112"/>
      <c r="G3" s="112"/>
      <c r="H3" s="112"/>
      <c r="I3" s="20">
        <v>3061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>
        <v>3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22.5" x14ac:dyDescent="0.25">
      <c r="A6" s="51"/>
      <c r="B6" s="51"/>
      <c r="C6" s="51"/>
      <c r="D6" s="51"/>
      <c r="E6" s="1">
        <f>SUM(E7:E998)</f>
        <v>150</v>
      </c>
      <c r="F6" s="1">
        <f>SUM(F7:F998)</f>
        <v>0</v>
      </c>
      <c r="G6" s="1">
        <f>SUM(G7:G998)</f>
        <v>103</v>
      </c>
      <c r="H6" s="1">
        <f>+E6-F6-G6</f>
        <v>47</v>
      </c>
      <c r="I6" s="52"/>
      <c r="J6" s="99"/>
    </row>
    <row r="7" spans="1:13" s="25" customFormat="1" ht="37.5" x14ac:dyDescent="0.25">
      <c r="A7" s="31" t="s">
        <v>274</v>
      </c>
      <c r="B7" s="32" t="s">
        <v>275</v>
      </c>
      <c r="C7" s="33" t="s">
        <v>276</v>
      </c>
      <c r="D7" s="33" t="s">
        <v>350</v>
      </c>
      <c r="E7" s="35">
        <v>150</v>
      </c>
      <c r="F7" s="36">
        <v>0</v>
      </c>
      <c r="G7" s="36">
        <v>0</v>
      </c>
      <c r="H7" s="35">
        <f>SUM(E7:G7)</f>
        <v>150</v>
      </c>
      <c r="I7" s="110"/>
      <c r="J7" s="111"/>
    </row>
    <row r="8" spans="1:13" s="25" customFormat="1" ht="75" x14ac:dyDescent="0.25">
      <c r="A8" s="39" t="s">
        <v>55</v>
      </c>
      <c r="B8" s="32" t="s">
        <v>308</v>
      </c>
      <c r="C8" s="33" t="s">
        <v>351</v>
      </c>
      <c r="D8" s="33" t="s">
        <v>281</v>
      </c>
      <c r="E8" s="35">
        <v>0</v>
      </c>
      <c r="F8" s="35">
        <v>0</v>
      </c>
      <c r="G8" s="36">
        <v>75</v>
      </c>
      <c r="H8" s="35">
        <f>H7+E8-F8-G8</f>
        <v>75</v>
      </c>
      <c r="I8" s="110"/>
      <c r="J8" s="111"/>
    </row>
    <row r="9" spans="1:13" s="25" customFormat="1" ht="56.25" x14ac:dyDescent="0.25">
      <c r="A9" s="39" t="s">
        <v>352</v>
      </c>
      <c r="B9" s="32" t="s">
        <v>353</v>
      </c>
      <c r="C9" s="33" t="s">
        <v>354</v>
      </c>
      <c r="D9" s="33" t="s">
        <v>355</v>
      </c>
      <c r="E9" s="35">
        <v>0</v>
      </c>
      <c r="F9" s="36">
        <v>0</v>
      </c>
      <c r="G9" s="36">
        <v>9</v>
      </c>
      <c r="H9" s="35">
        <f t="shared" ref="H9:H12" si="0">H8+E9-F9-G9</f>
        <v>66</v>
      </c>
      <c r="I9" s="110"/>
      <c r="J9" s="111"/>
    </row>
    <row r="10" spans="1:13" s="25" customFormat="1" ht="56.25" x14ac:dyDescent="0.25">
      <c r="A10" s="39">
        <v>45988</v>
      </c>
      <c r="B10" s="32" t="s">
        <v>353</v>
      </c>
      <c r="C10" s="33" t="s">
        <v>354</v>
      </c>
      <c r="D10" s="33" t="s">
        <v>355</v>
      </c>
      <c r="E10" s="35">
        <v>0</v>
      </c>
      <c r="F10" s="35">
        <v>0</v>
      </c>
      <c r="G10" s="36">
        <v>2</v>
      </c>
      <c r="H10" s="35">
        <f t="shared" si="0"/>
        <v>64</v>
      </c>
      <c r="I10" s="110"/>
      <c r="J10" s="111"/>
    </row>
    <row r="11" spans="1:13" s="25" customFormat="1" ht="56.25" x14ac:dyDescent="0.25">
      <c r="A11" s="39">
        <v>45973</v>
      </c>
      <c r="B11" s="32" t="s">
        <v>356</v>
      </c>
      <c r="C11" s="102" t="s">
        <v>356</v>
      </c>
      <c r="D11" s="33" t="s">
        <v>355</v>
      </c>
      <c r="E11" s="35">
        <v>0</v>
      </c>
      <c r="F11" s="35">
        <v>0</v>
      </c>
      <c r="G11" s="36">
        <v>9</v>
      </c>
      <c r="H11" s="35">
        <f t="shared" si="0"/>
        <v>55</v>
      </c>
      <c r="I11" s="110"/>
      <c r="J11" s="111"/>
    </row>
    <row r="12" spans="1:13" s="25" customFormat="1" ht="37.5" x14ac:dyDescent="0.25">
      <c r="A12" s="39">
        <v>46247</v>
      </c>
      <c r="B12" s="32" t="s">
        <v>481</v>
      </c>
      <c r="C12" s="33" t="s">
        <v>499</v>
      </c>
      <c r="D12" s="33" t="s">
        <v>355</v>
      </c>
      <c r="E12" s="35">
        <v>0</v>
      </c>
      <c r="F12" s="35">
        <v>0</v>
      </c>
      <c r="G12" s="36">
        <v>8</v>
      </c>
      <c r="H12" s="35">
        <f t="shared" si="0"/>
        <v>47</v>
      </c>
      <c r="I12" s="110"/>
      <c r="J12" s="111"/>
    </row>
    <row r="13" spans="1:13" s="25" customFormat="1" ht="20.25" x14ac:dyDescent="0.25">
      <c r="A13" s="39"/>
      <c r="B13" s="32"/>
      <c r="C13" s="33"/>
      <c r="D13" s="34"/>
      <c r="E13" s="35"/>
      <c r="F13" s="36"/>
      <c r="G13" s="36"/>
      <c r="H13" s="35"/>
      <c r="I13" s="110"/>
      <c r="J13" s="111"/>
    </row>
    <row r="14" spans="1:13" s="25" customFormat="1" ht="20.25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ht="20.25" x14ac:dyDescent="0.25">
      <c r="A15" s="39"/>
      <c r="B15" s="40"/>
      <c r="C15" s="33"/>
      <c r="D15" s="34"/>
      <c r="E15" s="35"/>
      <c r="F15" s="36"/>
      <c r="G15" s="36"/>
      <c r="H15" s="35"/>
      <c r="I15" s="110"/>
      <c r="J15" s="111"/>
    </row>
    <row r="16" spans="1:13" s="25" customFormat="1" ht="20.25" x14ac:dyDescent="0.25">
      <c r="A16" s="39"/>
      <c r="B16" s="40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20.25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20.25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20.25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20.25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20.25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20.25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</sheetData>
  <protectedRanges>
    <protectedRange algorithmName="SHA-512" hashValue="w6vOy6gaWv7RKp7tkLrp7nrHA6RmzXKKrxhAURGVJNeJ+tWzcydALHZnJcvW3Xd6J2aTxgJ4vzpBns4Tppy+Tg==" saltValue="wFqfSvUJGsYlHEHwlJdPRg==" spinCount="100000" sqref="A7:B7 A8 D8 G8 A9:G1048576" name="Range1"/>
  </protectedRanges>
  <mergeCells count="27"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B8:B22">
    <cfRule type="cellIs" priority="5" operator="between">
      <formula>1</formula>
      <formula>100000000</formula>
    </cfRule>
  </conditionalFormatting>
  <conditionalFormatting sqref="C11">
    <cfRule type="cellIs" priority="2" operator="between">
      <formula>1</formula>
      <formula>100000000</formula>
    </cfRule>
  </conditionalFormatting>
  <conditionalFormatting sqref="E7:E22 H7:H22">
    <cfRule type="cellIs" dxfId="10" priority="4" operator="between">
      <formula>1</formula>
      <formula>100</formula>
    </cfRule>
  </conditionalFormatting>
  <conditionalFormatting sqref="F8">
    <cfRule type="cellIs" dxfId="9" priority="3" operator="between">
      <formula>1</formula>
      <formula>100</formula>
    </cfRule>
  </conditionalFormatting>
  <conditionalFormatting sqref="F10:F12">
    <cfRule type="cellIs" dxfId="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9B81-C5DA-4553-9770-B3FC2AAE18BB}">
  <dimension ref="A1:M23"/>
  <sheetViews>
    <sheetView workbookViewId="0">
      <selection activeCell="H12" sqref="H12"/>
    </sheetView>
  </sheetViews>
  <sheetFormatPr defaultRowHeight="20.25" x14ac:dyDescent="0.3"/>
  <cols>
    <col min="1" max="1" width="18.42578125" style="41" customWidth="1"/>
    <col min="2" max="2" width="30.1406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.75" x14ac:dyDescent="0.3">
      <c r="A1" s="13" t="s">
        <v>359</v>
      </c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3.25" x14ac:dyDescent="0.3">
      <c r="A2" s="107" t="s">
        <v>29</v>
      </c>
      <c r="B2" s="107"/>
      <c r="C2" s="107"/>
      <c r="D2" s="15">
        <v>47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23.25" x14ac:dyDescent="0.3">
      <c r="A3" s="107" t="s">
        <v>32</v>
      </c>
      <c r="B3" s="107"/>
      <c r="C3" s="107"/>
      <c r="D3" s="103" t="s">
        <v>360</v>
      </c>
      <c r="E3" s="112" t="s">
        <v>33</v>
      </c>
      <c r="F3" s="112"/>
      <c r="G3" s="112"/>
      <c r="H3" s="112"/>
      <c r="I3" s="20">
        <v>3064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>
        <v>3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22.5" x14ac:dyDescent="0.25">
      <c r="A6" s="51"/>
      <c r="B6" s="51"/>
      <c r="C6" s="51"/>
      <c r="D6" s="51"/>
      <c r="E6" s="1">
        <f>SUM(E7:E998)</f>
        <v>100</v>
      </c>
      <c r="F6" s="1">
        <f>SUM(F7:F998)</f>
        <v>0</v>
      </c>
      <c r="G6" s="1">
        <f>SUM(G7:G998)</f>
        <v>95</v>
      </c>
      <c r="H6" s="1">
        <f>+E6-F6-G6</f>
        <v>5</v>
      </c>
      <c r="I6" s="52"/>
      <c r="J6" s="99"/>
    </row>
    <row r="7" spans="1:13" s="25" customFormat="1" ht="37.5" x14ac:dyDescent="0.25">
      <c r="A7" s="31" t="s">
        <v>361</v>
      </c>
      <c r="B7" s="32" t="s">
        <v>362</v>
      </c>
      <c r="C7" s="33" t="s">
        <v>276</v>
      </c>
      <c r="D7" s="33" t="s">
        <v>363</v>
      </c>
      <c r="E7" s="35">
        <v>50</v>
      </c>
      <c r="F7" s="36">
        <v>0</v>
      </c>
      <c r="G7" s="36">
        <v>0</v>
      </c>
      <c r="H7" s="35">
        <f>SUM(E7:G7)</f>
        <v>50</v>
      </c>
      <c r="I7" s="110"/>
      <c r="J7" s="111"/>
    </row>
    <row r="8" spans="1:13" s="25" customFormat="1" ht="37.5" x14ac:dyDescent="0.25">
      <c r="A8" s="31" t="s">
        <v>361</v>
      </c>
      <c r="B8" s="32" t="s">
        <v>364</v>
      </c>
      <c r="C8" s="33" t="s">
        <v>365</v>
      </c>
      <c r="D8" s="33" t="s">
        <v>363</v>
      </c>
      <c r="E8" s="35">
        <v>0</v>
      </c>
      <c r="F8" s="36">
        <v>0</v>
      </c>
      <c r="G8" s="36">
        <v>50</v>
      </c>
      <c r="H8" s="35">
        <f>+H7+E8-F8-G8</f>
        <v>0</v>
      </c>
      <c r="I8" s="110"/>
      <c r="J8" s="111"/>
    </row>
    <row r="9" spans="1:13" s="25" customFormat="1" ht="75" x14ac:dyDescent="0.25">
      <c r="A9" s="39">
        <v>45515</v>
      </c>
      <c r="B9" s="32" t="s">
        <v>366</v>
      </c>
      <c r="C9" s="33" t="s">
        <v>367</v>
      </c>
      <c r="D9" s="33" t="s">
        <v>368</v>
      </c>
      <c r="E9" s="35">
        <v>50</v>
      </c>
      <c r="F9" s="35">
        <v>0</v>
      </c>
      <c r="G9" s="36">
        <v>0</v>
      </c>
      <c r="H9" s="35">
        <f t="shared" ref="H9:H12" si="0">+H8+E9-F9-G9</f>
        <v>50</v>
      </c>
      <c r="I9" s="110"/>
      <c r="J9" s="111"/>
    </row>
    <row r="10" spans="1:13" s="25" customFormat="1" ht="37.5" x14ac:dyDescent="0.25">
      <c r="A10" s="39" t="s">
        <v>369</v>
      </c>
      <c r="B10" s="32" t="s">
        <v>370</v>
      </c>
      <c r="C10" s="33" t="s">
        <v>371</v>
      </c>
      <c r="D10" s="33" t="s">
        <v>363</v>
      </c>
      <c r="E10" s="35">
        <v>0</v>
      </c>
      <c r="F10" s="36">
        <v>0</v>
      </c>
      <c r="G10" s="36">
        <v>25</v>
      </c>
      <c r="H10" s="35">
        <f t="shared" si="0"/>
        <v>25</v>
      </c>
      <c r="I10" s="110"/>
      <c r="J10" s="111"/>
    </row>
    <row r="11" spans="1:13" s="25" customFormat="1" ht="37.5" x14ac:dyDescent="0.25">
      <c r="A11" s="39" t="s">
        <v>372</v>
      </c>
      <c r="B11" s="32" t="s">
        <v>373</v>
      </c>
      <c r="C11" s="33" t="s">
        <v>374</v>
      </c>
      <c r="D11" s="34" t="s">
        <v>375</v>
      </c>
      <c r="E11" s="35">
        <v>0</v>
      </c>
      <c r="F11" s="36">
        <v>0</v>
      </c>
      <c r="G11" s="36">
        <v>10</v>
      </c>
      <c r="H11" s="35">
        <f t="shared" si="0"/>
        <v>15</v>
      </c>
      <c r="I11" s="110"/>
      <c r="J11" s="111"/>
    </row>
    <row r="12" spans="1:13" s="25" customFormat="1" ht="37.5" x14ac:dyDescent="0.25">
      <c r="A12" s="39" t="s">
        <v>376</v>
      </c>
      <c r="B12" s="32" t="s">
        <v>377</v>
      </c>
      <c r="C12" s="33" t="s">
        <v>378</v>
      </c>
      <c r="D12" s="34" t="s">
        <v>379</v>
      </c>
      <c r="E12" s="35">
        <v>0</v>
      </c>
      <c r="F12" s="36">
        <v>0</v>
      </c>
      <c r="G12" s="36">
        <v>10</v>
      </c>
      <c r="H12" s="35">
        <f t="shared" si="0"/>
        <v>5</v>
      </c>
      <c r="I12" s="110"/>
      <c r="J12" s="111"/>
    </row>
    <row r="13" spans="1:13" s="25" customFormat="1" x14ac:dyDescent="0.25">
      <c r="A13" s="39"/>
      <c r="B13" s="32"/>
      <c r="C13" s="33"/>
      <c r="D13" s="34"/>
      <c r="E13" s="35"/>
      <c r="F13" s="36"/>
      <c r="G13" s="36"/>
      <c r="H13" s="35"/>
      <c r="I13" s="110"/>
      <c r="J13" s="111"/>
    </row>
    <row r="14" spans="1:13" s="25" customFormat="1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x14ac:dyDescent="0.25">
      <c r="A16" s="39"/>
      <c r="B16" s="40"/>
      <c r="C16" s="33"/>
      <c r="D16" s="34"/>
      <c r="E16" s="35"/>
      <c r="F16" s="36"/>
      <c r="G16" s="36"/>
      <c r="H16" s="35"/>
      <c r="I16" s="110"/>
      <c r="J16" s="111"/>
    </row>
    <row r="17" spans="1:10" s="25" customFormat="1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1:G1048576 B10:C10 E10:G10" name="Range1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B9:B23">
    <cfRule type="cellIs" priority="3" operator="between">
      <formula>1</formula>
      <formula>100000000</formula>
    </cfRule>
  </conditionalFormatting>
  <conditionalFormatting sqref="E7:E23 H7:H23">
    <cfRule type="cellIs" dxfId="7" priority="2" operator="between">
      <formula>1</formula>
      <formula>100</formula>
    </cfRule>
  </conditionalFormatting>
  <conditionalFormatting sqref="F9">
    <cfRule type="cellIs" dxfId="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059B-9B81-4138-BEC3-5119EE33C975}">
  <dimension ref="A1:M23"/>
  <sheetViews>
    <sheetView workbookViewId="0">
      <selection activeCell="H13" sqref="H13"/>
    </sheetView>
  </sheetViews>
  <sheetFormatPr defaultRowHeight="30" customHeight="1" x14ac:dyDescent="0.3"/>
  <cols>
    <col min="1" max="1" width="18.42578125" style="41" customWidth="1"/>
    <col min="2" max="2" width="19.5703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.75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3.25" x14ac:dyDescent="0.3">
      <c r="A2" s="107" t="s">
        <v>29</v>
      </c>
      <c r="B2" s="107"/>
      <c r="C2" s="107"/>
      <c r="D2" s="15">
        <v>48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23.25" x14ac:dyDescent="0.3">
      <c r="A3" s="107" t="s">
        <v>32</v>
      </c>
      <c r="B3" s="107"/>
      <c r="C3" s="107"/>
      <c r="D3" s="19" t="s">
        <v>381</v>
      </c>
      <c r="E3" s="112" t="s">
        <v>33</v>
      </c>
      <c r="F3" s="112"/>
      <c r="G3" s="112"/>
      <c r="H3" s="112"/>
      <c r="I3" s="20">
        <v>3067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>
        <v>3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22.5" x14ac:dyDescent="0.25">
      <c r="A6" s="51"/>
      <c r="B6" s="51"/>
      <c r="C6" s="51"/>
      <c r="D6" s="51"/>
      <c r="E6" s="1">
        <f>SUM(E7:E998)</f>
        <v>300</v>
      </c>
      <c r="F6" s="1">
        <f>SUM(F7:F998)</f>
        <v>0</v>
      </c>
      <c r="G6" s="1">
        <f>SUM(G7:G998)</f>
        <v>244</v>
      </c>
      <c r="H6" s="1">
        <f>+E6-F6-G6</f>
        <v>56</v>
      </c>
      <c r="I6" s="52"/>
      <c r="J6" s="99"/>
    </row>
    <row r="7" spans="1:13" s="25" customFormat="1" ht="37.5" x14ac:dyDescent="0.25">
      <c r="A7" s="31" t="s">
        <v>361</v>
      </c>
      <c r="B7" s="32" t="s">
        <v>362</v>
      </c>
      <c r="C7" s="33" t="s">
        <v>276</v>
      </c>
      <c r="D7" s="33" t="s">
        <v>145</v>
      </c>
      <c r="E7" s="35">
        <v>100</v>
      </c>
      <c r="F7" s="36">
        <v>0</v>
      </c>
      <c r="G7" s="36">
        <v>0</v>
      </c>
      <c r="H7" s="35">
        <f>SUM(E7:G7)</f>
        <v>100</v>
      </c>
      <c r="I7" s="110"/>
      <c r="J7" s="111"/>
    </row>
    <row r="8" spans="1:13" s="25" customFormat="1" ht="56.25" x14ac:dyDescent="0.25">
      <c r="A8" s="31" t="s">
        <v>361</v>
      </c>
      <c r="B8" s="32" t="s">
        <v>364</v>
      </c>
      <c r="C8" s="33" t="s">
        <v>365</v>
      </c>
      <c r="D8" s="33" t="s">
        <v>145</v>
      </c>
      <c r="E8" s="35">
        <v>0</v>
      </c>
      <c r="F8" s="36">
        <v>0</v>
      </c>
      <c r="G8" s="36">
        <v>100</v>
      </c>
      <c r="H8" s="35">
        <f>H7+E8-F8-G8</f>
        <v>0</v>
      </c>
      <c r="I8" s="110"/>
      <c r="J8" s="111"/>
    </row>
    <row r="9" spans="1:13" s="25" customFormat="1" ht="56.25" x14ac:dyDescent="0.25">
      <c r="A9" s="39" t="s">
        <v>289</v>
      </c>
      <c r="B9" s="32" t="s">
        <v>382</v>
      </c>
      <c r="C9" s="33" t="s">
        <v>383</v>
      </c>
      <c r="D9" s="33" t="s">
        <v>145</v>
      </c>
      <c r="E9" s="35">
        <v>200</v>
      </c>
      <c r="F9" s="35">
        <v>0</v>
      </c>
      <c r="G9" s="36">
        <v>0</v>
      </c>
      <c r="H9" s="35">
        <f t="shared" ref="H9:H13" si="0">H8+E9-F9-G9</f>
        <v>200</v>
      </c>
      <c r="I9" s="110"/>
      <c r="J9" s="111"/>
    </row>
    <row r="10" spans="1:13" s="25" customFormat="1" ht="75" x14ac:dyDescent="0.25">
      <c r="A10" s="39" t="s">
        <v>369</v>
      </c>
      <c r="B10" s="32" t="s">
        <v>370</v>
      </c>
      <c r="C10" s="33" t="s">
        <v>371</v>
      </c>
      <c r="D10" s="33" t="s">
        <v>384</v>
      </c>
      <c r="E10" s="35">
        <v>0</v>
      </c>
      <c r="F10" s="36">
        <v>0</v>
      </c>
      <c r="G10" s="36">
        <v>100</v>
      </c>
      <c r="H10" s="35">
        <f t="shared" si="0"/>
        <v>100</v>
      </c>
      <c r="I10" s="110"/>
      <c r="J10" s="111"/>
    </row>
    <row r="11" spans="1:13" s="25" customFormat="1" ht="75" x14ac:dyDescent="0.25">
      <c r="A11" s="39" t="s">
        <v>372</v>
      </c>
      <c r="B11" s="32" t="s">
        <v>373</v>
      </c>
      <c r="C11" s="33" t="s">
        <v>378</v>
      </c>
      <c r="D11" s="34" t="s">
        <v>385</v>
      </c>
      <c r="E11" s="35">
        <v>0</v>
      </c>
      <c r="F11" s="36">
        <v>0</v>
      </c>
      <c r="G11" s="36">
        <v>10</v>
      </c>
      <c r="H11" s="35">
        <f t="shared" si="0"/>
        <v>90</v>
      </c>
      <c r="I11" s="110"/>
      <c r="J11" s="111"/>
    </row>
    <row r="12" spans="1:13" s="25" customFormat="1" ht="75" x14ac:dyDescent="0.25">
      <c r="A12" s="39" t="s">
        <v>386</v>
      </c>
      <c r="B12" s="32" t="s">
        <v>387</v>
      </c>
      <c r="C12" s="33" t="s">
        <v>388</v>
      </c>
      <c r="D12" s="34" t="s">
        <v>389</v>
      </c>
      <c r="E12" s="35">
        <v>0</v>
      </c>
      <c r="F12" s="36">
        <v>0</v>
      </c>
      <c r="G12" s="36">
        <v>5</v>
      </c>
      <c r="H12" s="35">
        <f t="shared" si="0"/>
        <v>85</v>
      </c>
      <c r="I12" s="110"/>
      <c r="J12" s="111"/>
    </row>
    <row r="13" spans="1:13" s="25" customFormat="1" ht="37.5" x14ac:dyDescent="0.25">
      <c r="A13" s="39">
        <v>46247</v>
      </c>
      <c r="B13" s="32" t="s">
        <v>500</v>
      </c>
      <c r="C13" s="33" t="s">
        <v>501</v>
      </c>
      <c r="D13" s="34" t="s">
        <v>389</v>
      </c>
      <c r="E13" s="35">
        <v>0</v>
      </c>
      <c r="F13" s="36">
        <v>0</v>
      </c>
      <c r="G13" s="36">
        <v>29</v>
      </c>
      <c r="H13" s="35">
        <f t="shared" si="0"/>
        <v>56</v>
      </c>
      <c r="I13" s="110"/>
      <c r="J13" s="111"/>
    </row>
    <row r="14" spans="1:13" s="25" customFormat="1" ht="20.25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ht="20.25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ht="20.25" x14ac:dyDescent="0.25">
      <c r="A16" s="39"/>
      <c r="B16" s="40"/>
      <c r="C16" s="33"/>
      <c r="D16" s="34"/>
      <c r="E16" s="35"/>
      <c r="F16" s="36"/>
      <c r="G16" s="36"/>
      <c r="H16" s="35"/>
      <c r="I16" s="110"/>
      <c r="J16" s="111"/>
    </row>
    <row r="17" spans="1:10" s="25" customFormat="1" ht="20.25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ht="20.25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ht="20.25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ht="20.25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ht="20.25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ht="20.25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ht="20.25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10:C10 E10:G10 B11:G1048576" name="Range1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conditionalFormatting sqref="B9:B23">
    <cfRule type="cellIs" priority="3" operator="between">
      <formula>1</formula>
      <formula>100000000</formula>
    </cfRule>
  </conditionalFormatting>
  <conditionalFormatting sqref="E7:E23 H7:H23">
    <cfRule type="cellIs" dxfId="5" priority="2" operator="between">
      <formula>1</formula>
      <formula>100</formula>
    </cfRule>
  </conditionalFormatting>
  <conditionalFormatting sqref="F9">
    <cfRule type="cellIs" dxfId="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F197-4665-4398-B50F-8B89310950EC}">
  <dimension ref="A1:M24"/>
  <sheetViews>
    <sheetView workbookViewId="0"/>
  </sheetViews>
  <sheetFormatPr defaultRowHeight="20.25" x14ac:dyDescent="0.3"/>
  <cols>
    <col min="1" max="1" width="18.42578125" style="41" customWidth="1"/>
    <col min="2" max="2" width="35.425781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.75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3.25" x14ac:dyDescent="0.3">
      <c r="A2" s="107" t="s">
        <v>29</v>
      </c>
      <c r="B2" s="107"/>
      <c r="C2" s="107"/>
      <c r="D2" s="15">
        <v>49</v>
      </c>
      <c r="E2" s="108" t="s">
        <v>30</v>
      </c>
      <c r="F2" s="108"/>
      <c r="G2" s="108"/>
      <c r="H2" s="17">
        <v>1</v>
      </c>
      <c r="I2" s="16" t="s">
        <v>31</v>
      </c>
      <c r="J2" s="17">
        <v>1</v>
      </c>
      <c r="K2" s="18"/>
      <c r="L2" s="109"/>
      <c r="M2" s="109"/>
    </row>
    <row r="3" spans="1:13" ht="23.25" x14ac:dyDescent="0.3">
      <c r="A3" s="107" t="s">
        <v>32</v>
      </c>
      <c r="B3" s="107"/>
      <c r="C3" s="107"/>
      <c r="D3" s="19" t="s">
        <v>391</v>
      </c>
      <c r="E3" s="112" t="s">
        <v>33</v>
      </c>
      <c r="F3" s="112"/>
      <c r="G3" s="112"/>
      <c r="H3" s="112"/>
      <c r="I3" s="20">
        <v>3070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>
        <v>3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x14ac:dyDescent="0.25">
      <c r="A6" s="23"/>
      <c r="B6" s="23"/>
      <c r="C6" s="23"/>
      <c r="D6" s="23"/>
      <c r="E6" s="24"/>
      <c r="F6" s="24"/>
      <c r="G6" s="24"/>
      <c r="H6" s="24"/>
      <c r="I6" s="74"/>
      <c r="J6" s="99"/>
    </row>
    <row r="7" spans="1:13" s="25" customFormat="1" ht="22.5" x14ac:dyDescent="0.25">
      <c r="A7" s="51"/>
      <c r="B7" s="51"/>
      <c r="C7" s="51"/>
      <c r="D7" s="51"/>
      <c r="E7" s="1">
        <f>SUM(E8:E1001)</f>
        <v>250</v>
      </c>
      <c r="F7" s="1">
        <f t="shared" ref="F7:G7" si="0">SUM(F8:F1001)</f>
        <v>0</v>
      </c>
      <c r="G7" s="1">
        <f t="shared" si="0"/>
        <v>165</v>
      </c>
      <c r="H7" s="1">
        <f>+E7-F7-G7</f>
        <v>85</v>
      </c>
      <c r="I7" s="52"/>
      <c r="J7" s="99"/>
    </row>
    <row r="8" spans="1:13" s="25" customFormat="1" x14ac:dyDescent="0.25">
      <c r="A8" s="31" t="s">
        <v>361</v>
      </c>
      <c r="B8" s="32" t="s">
        <v>362</v>
      </c>
      <c r="C8" s="33" t="s">
        <v>276</v>
      </c>
      <c r="D8" s="33" t="s">
        <v>145</v>
      </c>
      <c r="E8" s="35">
        <v>50</v>
      </c>
      <c r="F8" s="36">
        <v>0</v>
      </c>
      <c r="G8" s="36">
        <v>0</v>
      </c>
      <c r="H8" s="35">
        <f>SUM(E8:G8)</f>
        <v>50</v>
      </c>
      <c r="I8" s="110"/>
      <c r="J8" s="111"/>
    </row>
    <row r="9" spans="1:13" s="25" customFormat="1" ht="37.5" x14ac:dyDescent="0.25">
      <c r="A9" s="31" t="s">
        <v>361</v>
      </c>
      <c r="B9" s="32" t="s">
        <v>364</v>
      </c>
      <c r="C9" s="33" t="s">
        <v>365</v>
      </c>
      <c r="D9" s="33" t="s">
        <v>145</v>
      </c>
      <c r="E9" s="35">
        <v>0</v>
      </c>
      <c r="F9" s="36">
        <v>0</v>
      </c>
      <c r="G9" s="36">
        <v>50</v>
      </c>
      <c r="H9" s="35">
        <v>0</v>
      </c>
      <c r="I9" s="110"/>
      <c r="J9" s="111"/>
    </row>
    <row r="10" spans="1:13" s="25" customFormat="1" ht="37.5" x14ac:dyDescent="0.25">
      <c r="A10" s="39" t="s">
        <v>289</v>
      </c>
      <c r="B10" s="32" t="s">
        <v>392</v>
      </c>
      <c r="C10" s="33" t="s">
        <v>393</v>
      </c>
      <c r="D10" s="33" t="s">
        <v>394</v>
      </c>
      <c r="E10" s="35">
        <v>200</v>
      </c>
      <c r="F10" s="35">
        <v>0</v>
      </c>
      <c r="G10" s="36">
        <v>0</v>
      </c>
      <c r="H10" s="35">
        <f t="shared" ref="H10:H11" si="1">SUM(E10:G10)</f>
        <v>200</v>
      </c>
      <c r="I10" s="110"/>
      <c r="J10" s="111"/>
    </row>
    <row r="11" spans="1:13" s="25" customFormat="1" ht="37.5" x14ac:dyDescent="0.25">
      <c r="A11" s="39" t="s">
        <v>369</v>
      </c>
      <c r="B11" s="32" t="s">
        <v>370</v>
      </c>
      <c r="C11" s="33" t="s">
        <v>371</v>
      </c>
      <c r="D11" s="33" t="s">
        <v>394</v>
      </c>
      <c r="E11" s="35">
        <v>0</v>
      </c>
      <c r="F11" s="36">
        <v>0</v>
      </c>
      <c r="G11" s="36">
        <v>100</v>
      </c>
      <c r="H11" s="35">
        <f t="shared" si="1"/>
        <v>100</v>
      </c>
      <c r="I11" s="110"/>
      <c r="J11" s="111"/>
    </row>
    <row r="12" spans="1:13" s="25" customFormat="1" ht="37.5" x14ac:dyDescent="0.25">
      <c r="A12" s="39" t="s">
        <v>314</v>
      </c>
      <c r="B12" s="32" t="s">
        <v>373</v>
      </c>
      <c r="C12" s="33" t="s">
        <v>378</v>
      </c>
      <c r="D12" s="34" t="s">
        <v>395</v>
      </c>
      <c r="E12" s="35">
        <v>0</v>
      </c>
      <c r="F12" s="36">
        <v>0</v>
      </c>
      <c r="G12" s="36">
        <v>10</v>
      </c>
      <c r="H12" s="35">
        <v>90</v>
      </c>
      <c r="I12" s="110"/>
      <c r="J12" s="111"/>
    </row>
    <row r="13" spans="1:13" s="25" customFormat="1" ht="37.5" x14ac:dyDescent="0.25">
      <c r="A13" s="39" t="s">
        <v>396</v>
      </c>
      <c r="B13" s="32" t="s">
        <v>397</v>
      </c>
      <c r="C13" s="33" t="s">
        <v>398</v>
      </c>
      <c r="D13" s="34" t="s">
        <v>399</v>
      </c>
      <c r="E13" s="35">
        <v>0</v>
      </c>
      <c r="F13" s="36">
        <v>0</v>
      </c>
      <c r="G13" s="36">
        <v>5</v>
      </c>
      <c r="H13" s="35">
        <v>85</v>
      </c>
      <c r="I13" s="110"/>
      <c r="J13" s="111"/>
    </row>
    <row r="14" spans="1:13" s="25" customFormat="1" x14ac:dyDescent="0.25">
      <c r="A14" s="39"/>
      <c r="B14" s="32"/>
      <c r="C14" s="33"/>
      <c r="D14" s="34"/>
      <c r="E14" s="35"/>
      <c r="F14" s="36"/>
      <c r="G14" s="36"/>
      <c r="H14" s="35"/>
      <c r="I14" s="110"/>
      <c r="J14" s="111"/>
    </row>
    <row r="15" spans="1:13" s="25" customFormat="1" x14ac:dyDescent="0.25">
      <c r="A15" s="39"/>
      <c r="B15" s="32"/>
      <c r="C15" s="33"/>
      <c r="D15" s="34"/>
      <c r="E15" s="35"/>
      <c r="F15" s="36"/>
      <c r="G15" s="36"/>
      <c r="H15" s="35"/>
      <c r="I15" s="110"/>
      <c r="J15" s="111"/>
    </row>
    <row r="16" spans="1:13" s="25" customFormat="1" x14ac:dyDescent="0.25">
      <c r="A16" s="39"/>
      <c r="B16" s="32"/>
      <c r="C16" s="33"/>
      <c r="D16" s="34"/>
      <c r="E16" s="35"/>
      <c r="F16" s="36"/>
      <c r="G16" s="36"/>
      <c r="H16" s="35"/>
      <c r="I16" s="110"/>
      <c r="J16" s="111"/>
    </row>
    <row r="17" spans="1:10" s="25" customFormat="1" x14ac:dyDescent="0.25">
      <c r="A17" s="39"/>
      <c r="B17" s="40"/>
      <c r="C17" s="33"/>
      <c r="D17" s="34"/>
      <c r="E17" s="35"/>
      <c r="F17" s="36"/>
      <c r="G17" s="36"/>
      <c r="H17" s="35"/>
      <c r="I17" s="110"/>
      <c r="J17" s="111"/>
    </row>
    <row r="18" spans="1:10" s="25" customFormat="1" x14ac:dyDescent="0.25">
      <c r="A18" s="39"/>
      <c r="B18" s="40"/>
      <c r="C18" s="33"/>
      <c r="D18" s="34"/>
      <c r="E18" s="35"/>
      <c r="F18" s="36"/>
      <c r="G18" s="36"/>
      <c r="H18" s="35"/>
      <c r="I18" s="110"/>
      <c r="J18" s="111"/>
    </row>
    <row r="19" spans="1:10" s="25" customFormat="1" x14ac:dyDescent="0.25">
      <c r="A19" s="39"/>
      <c r="B19" s="40"/>
      <c r="C19" s="33"/>
      <c r="D19" s="34"/>
      <c r="E19" s="35"/>
      <c r="F19" s="36"/>
      <c r="G19" s="36"/>
      <c r="H19" s="35"/>
      <c r="I19" s="110"/>
      <c r="J19" s="111"/>
    </row>
    <row r="20" spans="1:10" s="25" customFormat="1" x14ac:dyDescent="0.25">
      <c r="A20" s="39"/>
      <c r="B20" s="40"/>
      <c r="C20" s="33"/>
      <c r="D20" s="34"/>
      <c r="E20" s="35"/>
      <c r="F20" s="36"/>
      <c r="G20" s="36"/>
      <c r="H20" s="35"/>
      <c r="I20" s="110"/>
      <c r="J20" s="111"/>
    </row>
    <row r="21" spans="1:10" s="25" customFormat="1" x14ac:dyDescent="0.25">
      <c r="A21" s="39"/>
      <c r="B21" s="40"/>
      <c r="C21" s="33"/>
      <c r="D21" s="34"/>
      <c r="E21" s="35"/>
      <c r="F21" s="36"/>
      <c r="G21" s="36"/>
      <c r="H21" s="35"/>
      <c r="I21" s="110"/>
      <c r="J21" s="111"/>
    </row>
    <row r="22" spans="1:10" s="25" customFormat="1" x14ac:dyDescent="0.25">
      <c r="A22" s="39"/>
      <c r="B22" s="40"/>
      <c r="C22" s="33"/>
      <c r="D22" s="34"/>
      <c r="E22" s="35"/>
      <c r="F22" s="36"/>
      <c r="G22" s="36"/>
      <c r="H22" s="35"/>
      <c r="I22" s="110"/>
      <c r="J22" s="111"/>
    </row>
    <row r="23" spans="1:10" s="25" customFormat="1" x14ac:dyDescent="0.25">
      <c r="A23" s="39"/>
      <c r="B23" s="40"/>
      <c r="C23" s="33"/>
      <c r="D23" s="34"/>
      <c r="E23" s="35"/>
      <c r="F23" s="36"/>
      <c r="G23" s="36"/>
      <c r="H23" s="35"/>
      <c r="I23" s="110"/>
      <c r="J23" s="111"/>
    </row>
    <row r="24" spans="1:10" s="25" customFormat="1" x14ac:dyDescent="0.25">
      <c r="A24" s="39"/>
      <c r="B24" s="40"/>
      <c r="C24" s="33"/>
      <c r="D24" s="34"/>
      <c r="E24" s="35"/>
      <c r="F24" s="36"/>
      <c r="G24" s="36"/>
      <c r="H24" s="35"/>
      <c r="I24" s="110"/>
      <c r="J24" s="111"/>
    </row>
  </sheetData>
  <protectedRanges>
    <protectedRange algorithmName="SHA-512" hashValue="w6vOy6gaWv7RKp7tkLrp7nrHA6RmzXKKrxhAURGVJNeJ+tWzcydALHZnJcvW3Xd6J2aTxgJ4vzpBns4Tppy+Tg==" saltValue="wFqfSvUJGsYlHEHwlJdPRg==" spinCount="100000" sqref="G10 A8:B9 A10:A1048576 B11:C11 E11:G11 B12:G1048576" name="Range1"/>
  </protectedRanges>
  <mergeCells count="28">
    <mergeCell ref="I21:J21"/>
    <mergeCell ref="I22:J22"/>
    <mergeCell ref="I23:J23"/>
    <mergeCell ref="I24:J24"/>
    <mergeCell ref="I15:J15"/>
    <mergeCell ref="I16:J16"/>
    <mergeCell ref="I17:J17"/>
    <mergeCell ref="I18:J18"/>
    <mergeCell ref="I19:J19"/>
    <mergeCell ref="I20:J20"/>
    <mergeCell ref="I14:J14"/>
    <mergeCell ref="A4:A5"/>
    <mergeCell ref="B4:B5"/>
    <mergeCell ref="C4:C5"/>
    <mergeCell ref="D4:D5"/>
    <mergeCell ref="I4:J5"/>
    <mergeCell ref="I8:J8"/>
    <mergeCell ref="I9:J9"/>
    <mergeCell ref="I10:J10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10:B24">
    <cfRule type="cellIs" priority="3" operator="between">
      <formula>1</formula>
      <formula>100000000</formula>
    </cfRule>
  </conditionalFormatting>
  <conditionalFormatting sqref="E8:E24 H8:H24">
    <cfRule type="cellIs" dxfId="3" priority="2" operator="between">
      <formula>1</formula>
      <formula>100</formula>
    </cfRule>
  </conditionalFormatting>
  <conditionalFormatting sqref="F10">
    <cfRule type="cellIs" dxfId="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E077-5F74-4B9D-971F-9EA623DB67A3}">
  <dimension ref="A1:M23"/>
  <sheetViews>
    <sheetView workbookViewId="0"/>
  </sheetViews>
  <sheetFormatPr defaultRowHeight="30" customHeight="1" x14ac:dyDescent="0.3"/>
  <cols>
    <col min="1" max="1" width="18.42578125" style="41" customWidth="1"/>
    <col min="2" max="2" width="25" style="42" customWidth="1"/>
    <col min="3" max="3" width="34.5703125" style="43" customWidth="1"/>
    <col min="4" max="4" width="24.5703125" style="41" customWidth="1"/>
    <col min="5" max="5" width="17.7109375" style="44" customWidth="1"/>
    <col min="6" max="6" width="17.7109375" style="41" customWidth="1"/>
    <col min="7" max="7" width="15.28515625" style="41" customWidth="1"/>
    <col min="8" max="8" width="21.28515625" style="45" customWidth="1"/>
    <col min="9" max="9" width="19.42578125" style="41" customWidth="1"/>
    <col min="10" max="10" width="14.7109375" style="41" customWidth="1"/>
    <col min="11" max="16384" width="9.140625" style="14"/>
  </cols>
  <sheetData>
    <row r="1" spans="1:13" ht="30.75" x14ac:dyDescent="0.3">
      <c r="A1" s="13"/>
      <c r="B1" s="106" t="s">
        <v>28</v>
      </c>
      <c r="C1" s="106"/>
      <c r="D1" s="106"/>
      <c r="E1" s="106"/>
      <c r="F1" s="106"/>
      <c r="G1" s="106"/>
      <c r="H1" s="106"/>
      <c r="I1" s="106"/>
      <c r="J1" s="106"/>
    </row>
    <row r="2" spans="1:13" ht="23.25" x14ac:dyDescent="0.3">
      <c r="A2" s="107" t="s">
        <v>29</v>
      </c>
      <c r="B2" s="107"/>
      <c r="C2" s="107"/>
      <c r="D2" s="15">
        <v>5</v>
      </c>
      <c r="E2" s="108" t="s">
        <v>30</v>
      </c>
      <c r="F2" s="108"/>
      <c r="G2" s="108"/>
      <c r="H2" s="17">
        <v>1</v>
      </c>
      <c r="I2" s="16" t="s">
        <v>31</v>
      </c>
      <c r="J2" s="17">
        <v>3</v>
      </c>
      <c r="K2" s="18"/>
      <c r="L2" s="109"/>
      <c r="M2" s="109"/>
    </row>
    <row r="3" spans="1:13" ht="23.25" x14ac:dyDescent="0.3">
      <c r="A3" s="107" t="s">
        <v>32</v>
      </c>
      <c r="B3" s="107"/>
      <c r="C3" s="107"/>
      <c r="D3" s="98" t="s">
        <v>401</v>
      </c>
      <c r="E3" s="112" t="s">
        <v>33</v>
      </c>
      <c r="F3" s="112"/>
      <c r="G3" s="112"/>
      <c r="H3" s="112"/>
      <c r="I3" s="20">
        <v>3073</v>
      </c>
      <c r="J3" s="21"/>
    </row>
    <row r="4" spans="1:13" ht="37.5" x14ac:dyDescent="0.3">
      <c r="A4" s="113" t="s">
        <v>34</v>
      </c>
      <c r="B4" s="115" t="s">
        <v>35</v>
      </c>
      <c r="C4" s="113" t="s">
        <v>36</v>
      </c>
      <c r="D4" s="113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120">
        <v>3</v>
      </c>
      <c r="J4" s="116"/>
    </row>
    <row r="5" spans="1:13" s="25" customFormat="1" ht="56.25" x14ac:dyDescent="0.25">
      <c r="A5" s="114"/>
      <c r="B5" s="114"/>
      <c r="C5" s="114"/>
      <c r="D5" s="114"/>
      <c r="E5" s="24" t="s">
        <v>43</v>
      </c>
      <c r="F5" s="24" t="s">
        <v>43</v>
      </c>
      <c r="G5" s="24" t="s">
        <v>43</v>
      </c>
      <c r="H5" s="24" t="s">
        <v>43</v>
      </c>
      <c r="I5" s="116"/>
      <c r="J5" s="116"/>
    </row>
    <row r="6" spans="1:13" s="25" customFormat="1" ht="22.5" x14ac:dyDescent="0.25">
      <c r="A6" s="51"/>
      <c r="B6" s="51"/>
      <c r="C6" s="51"/>
      <c r="D6" s="51"/>
      <c r="E6" s="1">
        <f>SUM(E7:E1000)</f>
        <v>100</v>
      </c>
      <c r="F6" s="1">
        <f t="shared" ref="F6:G6" si="0">SUM(F7:F1000)</f>
        <v>0</v>
      </c>
      <c r="G6" s="1">
        <f t="shared" si="0"/>
        <v>95</v>
      </c>
      <c r="H6" s="1">
        <f>+E6-F6-G6</f>
        <v>5</v>
      </c>
      <c r="I6" s="52"/>
      <c r="J6" s="99"/>
    </row>
    <row r="7" spans="1:13" s="25" customFormat="1" ht="37.5" x14ac:dyDescent="0.25">
      <c r="A7" s="31">
        <v>45601</v>
      </c>
      <c r="B7" s="32" t="s">
        <v>225</v>
      </c>
      <c r="C7" s="33" t="s">
        <v>226</v>
      </c>
      <c r="D7" s="33" t="s">
        <v>227</v>
      </c>
      <c r="E7" s="35">
        <v>100</v>
      </c>
      <c r="F7" s="36">
        <v>0</v>
      </c>
      <c r="G7" s="36">
        <v>0</v>
      </c>
      <c r="H7" s="100">
        <f>SUM(E7:G7)</f>
        <v>100</v>
      </c>
      <c r="I7" s="110"/>
      <c r="J7" s="111"/>
    </row>
    <row r="8" spans="1:13" s="25" customFormat="1" ht="56.25" x14ac:dyDescent="0.25">
      <c r="A8" s="31" t="s">
        <v>228</v>
      </c>
      <c r="B8" s="32" t="s">
        <v>229</v>
      </c>
      <c r="C8" s="33" t="s">
        <v>230</v>
      </c>
      <c r="D8" s="33" t="s">
        <v>227</v>
      </c>
      <c r="E8" s="35">
        <v>0</v>
      </c>
      <c r="F8" s="36">
        <v>0</v>
      </c>
      <c r="G8" s="36">
        <v>50</v>
      </c>
      <c r="H8" s="100">
        <f>H7+E8-F8-G8</f>
        <v>50</v>
      </c>
      <c r="I8" s="110" t="s">
        <v>232</v>
      </c>
      <c r="J8" s="111"/>
    </row>
    <row r="9" spans="1:13" s="25" customFormat="1" ht="56.25" x14ac:dyDescent="0.25">
      <c r="A9" s="39">
        <v>45882</v>
      </c>
      <c r="B9" s="32" t="s">
        <v>404</v>
      </c>
      <c r="C9" s="33" t="s">
        <v>402</v>
      </c>
      <c r="D9" s="33" t="s">
        <v>227</v>
      </c>
      <c r="E9" s="36">
        <v>0</v>
      </c>
      <c r="F9" s="35">
        <v>0</v>
      </c>
      <c r="G9" s="36">
        <v>10</v>
      </c>
      <c r="H9" s="100">
        <f t="shared" ref="H9:H14" si="1">H8+E9-F9-G9</f>
        <v>40</v>
      </c>
      <c r="I9" s="110"/>
      <c r="J9" s="111"/>
    </row>
    <row r="10" spans="1:13" s="25" customFormat="1" ht="56.25" x14ac:dyDescent="0.25">
      <c r="A10" s="39">
        <v>45979</v>
      </c>
      <c r="B10" s="32" t="s">
        <v>403</v>
      </c>
      <c r="C10" s="33" t="s">
        <v>405</v>
      </c>
      <c r="D10" s="33" t="s">
        <v>227</v>
      </c>
      <c r="E10" s="36">
        <v>0</v>
      </c>
      <c r="F10" s="35">
        <v>0</v>
      </c>
      <c r="G10" s="36">
        <v>5</v>
      </c>
      <c r="H10" s="100">
        <f t="shared" si="1"/>
        <v>35</v>
      </c>
      <c r="I10" s="110"/>
      <c r="J10" s="111"/>
    </row>
    <row r="11" spans="1:13" s="25" customFormat="1" ht="56.25" x14ac:dyDescent="0.25">
      <c r="A11" s="39">
        <v>45993</v>
      </c>
      <c r="B11" s="32" t="s">
        <v>406</v>
      </c>
      <c r="C11" s="33" t="s">
        <v>407</v>
      </c>
      <c r="D11" s="33" t="s">
        <v>227</v>
      </c>
      <c r="E11" s="36">
        <v>0</v>
      </c>
      <c r="F11" s="35">
        <v>0</v>
      </c>
      <c r="G11" s="36">
        <v>7</v>
      </c>
      <c r="H11" s="100">
        <f t="shared" si="1"/>
        <v>28</v>
      </c>
      <c r="I11" s="110"/>
      <c r="J11" s="111"/>
    </row>
    <row r="12" spans="1:13" s="25" customFormat="1" ht="56.25" x14ac:dyDescent="0.25">
      <c r="A12" s="39">
        <v>46051</v>
      </c>
      <c r="B12" s="32" t="s">
        <v>408</v>
      </c>
      <c r="C12" s="33" t="s">
        <v>409</v>
      </c>
      <c r="D12" s="33" t="s">
        <v>227</v>
      </c>
      <c r="E12" s="36">
        <v>0</v>
      </c>
      <c r="F12" s="35">
        <v>0</v>
      </c>
      <c r="G12" s="36">
        <v>4</v>
      </c>
      <c r="H12" s="100">
        <f t="shared" si="1"/>
        <v>24</v>
      </c>
      <c r="I12" s="110"/>
      <c r="J12" s="111"/>
    </row>
    <row r="13" spans="1:13" s="25" customFormat="1" ht="56.25" x14ac:dyDescent="0.25">
      <c r="A13" s="39">
        <v>46112</v>
      </c>
      <c r="B13" s="32" t="s">
        <v>410</v>
      </c>
      <c r="C13" s="33" t="s">
        <v>411</v>
      </c>
      <c r="D13" s="33" t="s">
        <v>227</v>
      </c>
      <c r="E13" s="36">
        <v>0</v>
      </c>
      <c r="F13" s="35">
        <v>0</v>
      </c>
      <c r="G13" s="36">
        <v>15</v>
      </c>
      <c r="H13" s="100">
        <f t="shared" si="1"/>
        <v>9</v>
      </c>
      <c r="I13" s="110"/>
      <c r="J13" s="111"/>
    </row>
    <row r="14" spans="1:13" s="25" customFormat="1" ht="56.25" x14ac:dyDescent="0.25">
      <c r="A14" s="39">
        <v>46134</v>
      </c>
      <c r="B14" s="32" t="s">
        <v>412</v>
      </c>
      <c r="C14" s="33" t="s">
        <v>413</v>
      </c>
      <c r="D14" s="33" t="s">
        <v>227</v>
      </c>
      <c r="E14" s="36">
        <v>0</v>
      </c>
      <c r="F14" s="35">
        <v>0</v>
      </c>
      <c r="G14" s="36">
        <v>4</v>
      </c>
      <c r="H14" s="100">
        <f t="shared" si="1"/>
        <v>5</v>
      </c>
      <c r="I14" s="110"/>
      <c r="J14" s="111"/>
    </row>
    <row r="15" spans="1:13" s="25" customFormat="1" ht="20.25" x14ac:dyDescent="0.25">
      <c r="A15" s="39"/>
      <c r="B15" s="32"/>
      <c r="C15" s="33"/>
      <c r="D15" s="34"/>
      <c r="E15" s="36"/>
      <c r="F15" s="35"/>
      <c r="G15" s="36"/>
      <c r="H15" s="100"/>
      <c r="I15" s="110"/>
      <c r="J15" s="111"/>
    </row>
    <row r="16" spans="1:13" s="25" customFormat="1" ht="20.25" x14ac:dyDescent="0.25">
      <c r="A16" s="39"/>
      <c r="B16" s="40"/>
      <c r="C16" s="33"/>
      <c r="D16" s="34"/>
      <c r="E16" s="36"/>
      <c r="F16" s="35"/>
      <c r="G16" s="36"/>
      <c r="H16" s="100"/>
      <c r="I16" s="110"/>
      <c r="J16" s="111"/>
    </row>
    <row r="17" spans="1:10" s="25" customFormat="1" ht="20.25" x14ac:dyDescent="0.25">
      <c r="A17" s="39"/>
      <c r="B17" s="40"/>
      <c r="C17" s="33"/>
      <c r="D17" s="34"/>
      <c r="E17" s="36"/>
      <c r="F17" s="35"/>
      <c r="G17" s="36"/>
      <c r="H17" s="100"/>
      <c r="I17" s="110"/>
      <c r="J17" s="111"/>
    </row>
    <row r="18" spans="1:10" s="25" customFormat="1" ht="20.25" x14ac:dyDescent="0.25">
      <c r="A18" s="39"/>
      <c r="B18" s="40"/>
      <c r="C18" s="33"/>
      <c r="D18" s="34"/>
      <c r="E18" s="36"/>
      <c r="F18" s="35"/>
      <c r="G18" s="36"/>
      <c r="H18" s="100"/>
      <c r="I18" s="110"/>
      <c r="J18" s="111"/>
    </row>
    <row r="19" spans="1:10" s="25" customFormat="1" ht="20.25" x14ac:dyDescent="0.25">
      <c r="A19" s="39"/>
      <c r="B19" s="40"/>
      <c r="C19" s="33"/>
      <c r="D19" s="34"/>
      <c r="E19" s="36"/>
      <c r="F19" s="35"/>
      <c r="G19" s="36"/>
      <c r="H19" s="100"/>
      <c r="I19" s="110"/>
      <c r="J19" s="111"/>
    </row>
    <row r="20" spans="1:10" s="25" customFormat="1" ht="20.25" x14ac:dyDescent="0.25">
      <c r="A20" s="39"/>
      <c r="B20" s="40"/>
      <c r="C20" s="33"/>
      <c r="D20" s="34"/>
      <c r="E20" s="36"/>
      <c r="F20" s="35"/>
      <c r="G20" s="36"/>
      <c r="H20" s="100"/>
      <c r="I20" s="110"/>
      <c r="J20" s="111"/>
    </row>
    <row r="21" spans="1:10" s="25" customFormat="1" ht="20.25" x14ac:dyDescent="0.25">
      <c r="A21" s="39"/>
      <c r="B21" s="40"/>
      <c r="C21" s="33"/>
      <c r="D21" s="34"/>
      <c r="E21" s="36"/>
      <c r="F21" s="35"/>
      <c r="G21" s="36"/>
      <c r="H21" s="100"/>
      <c r="I21" s="110"/>
      <c r="J21" s="111"/>
    </row>
    <row r="22" spans="1:10" s="25" customFormat="1" ht="20.25" x14ac:dyDescent="0.25">
      <c r="A22" s="39"/>
      <c r="B22" s="40"/>
      <c r="C22" s="33"/>
      <c r="D22" s="34"/>
      <c r="E22" s="36"/>
      <c r="F22" s="35"/>
      <c r="G22" s="36"/>
      <c r="H22" s="100"/>
      <c r="I22" s="110"/>
      <c r="J22" s="111"/>
    </row>
    <row r="23" spans="1:10" s="25" customFormat="1" ht="20.25" x14ac:dyDescent="0.25">
      <c r="A23" s="39"/>
      <c r="B23" s="40"/>
      <c r="C23" s="33"/>
      <c r="D23" s="34"/>
      <c r="E23" s="35"/>
      <c r="F23" s="35"/>
      <c r="G23" s="36"/>
      <c r="H23" s="100"/>
      <c r="I23" s="110"/>
      <c r="J23" s="111"/>
    </row>
  </sheetData>
  <protectedRanges>
    <protectedRange algorithmName="SHA-512" hashValue="w6vOy6gaWv7RKp7tkLrp7nrHA6RmzXKKrxhAURGVJNeJ+tWzcydALHZnJcvW3Xd6J2aTxgJ4vzpBns4Tppy+Tg==" saltValue="wFqfSvUJGsYlHEHwlJdPRg==" spinCount="100000" sqref="A7:B8 A9:A1048576 B24:G1048576 B23:E23 G9:G23 B15:D22 C10:C14" name="Range1"/>
  </protectedRanges>
  <mergeCells count="28"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B1:J1"/>
    <mergeCell ref="A2:C2"/>
    <mergeCell ref="E2:G2"/>
    <mergeCell ref="L2:M2"/>
    <mergeCell ref="A3:C3"/>
    <mergeCell ref="E3:H3"/>
  </mergeCells>
  <phoneticPr fontId="38" type="noConversion"/>
  <conditionalFormatting sqref="B9:B23">
    <cfRule type="cellIs" priority="3" operator="between">
      <formula>1</formula>
      <formula>100000000</formula>
    </cfRule>
  </conditionalFormatting>
  <conditionalFormatting sqref="E7:E8 H7:H23 E23">
    <cfRule type="cellIs" dxfId="1" priority="2" operator="between">
      <formula>1</formula>
      <formula>100</formula>
    </cfRule>
  </conditionalFormatting>
  <conditionalFormatting sqref="F9:F23">
    <cfRule type="cellIs" dxfId="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Index</vt:lpstr>
      <vt:lpstr>3001</vt:lpstr>
      <vt:lpstr>3005</vt:lpstr>
      <vt:lpstr>3008</vt:lpstr>
      <vt:lpstr>3011</vt:lpstr>
      <vt:lpstr>3015</vt:lpstr>
      <vt:lpstr>3017</vt:lpstr>
      <vt:lpstr>3020</vt:lpstr>
      <vt:lpstr>3023</vt:lpstr>
      <vt:lpstr>3026</vt:lpstr>
      <vt:lpstr>3028</vt:lpstr>
      <vt:lpstr>3030</vt:lpstr>
      <vt:lpstr>3033</vt:lpstr>
      <vt:lpstr>3036</vt:lpstr>
      <vt:lpstr>3038</vt:lpstr>
      <vt:lpstr>3047</vt:lpstr>
      <vt:lpstr>3049</vt:lpstr>
      <vt:lpstr>3051</vt:lpstr>
      <vt:lpstr>3052</vt:lpstr>
      <vt:lpstr>3056</vt:lpstr>
      <vt:lpstr>3057</vt:lpstr>
      <vt:lpstr>3059</vt:lpstr>
      <vt:lpstr>3061</vt:lpstr>
      <vt:lpstr>3064</vt:lpstr>
      <vt:lpstr>3067</vt:lpstr>
      <vt:lpstr>3070</vt:lpstr>
      <vt:lpstr>3073</vt:lpstr>
      <vt:lpstr>Index!Print_Area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VIVEK AZAD</cp:lastModifiedBy>
  <cp:lastPrinted>2026-08-25T07:30:45Z</cp:lastPrinted>
  <dcterms:created xsi:type="dcterms:W3CDTF">2015-06-05T18:17:20Z</dcterms:created>
  <dcterms:modified xsi:type="dcterms:W3CDTF">2026-08-25T07:31:07Z</dcterms:modified>
</cp:coreProperties>
</file>