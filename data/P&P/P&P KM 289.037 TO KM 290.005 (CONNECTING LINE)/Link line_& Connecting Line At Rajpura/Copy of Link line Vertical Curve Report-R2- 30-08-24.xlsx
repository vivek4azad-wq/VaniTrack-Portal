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TPL7913\Desktop\"/>
    </mc:Choice>
  </mc:AlternateContent>
  <xr:revisionPtr revIDLastSave="0" documentId="13_ncr:1_{AA781139-9240-41C2-BE9E-2B588528E029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VG" sheetId="4" r:id="rId1"/>
  </sheets>
  <definedNames>
    <definedName name="_xlnm.Print_Area" localSheetId="0">VG!$A$1:$N$17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4" l="1"/>
  <c r="M17" i="4"/>
  <c r="M15" i="4"/>
  <c r="M6" i="4"/>
  <c r="M7" i="4"/>
  <c r="M8" i="4"/>
  <c r="M9" i="4"/>
  <c r="M10" i="4"/>
  <c r="M11" i="4"/>
  <c r="M12" i="4"/>
  <c r="M13" i="4"/>
  <c r="M14" i="4"/>
  <c r="M5" i="4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G6" i="4"/>
  <c r="G7" i="4"/>
  <c r="G8" i="4"/>
  <c r="G9" i="4"/>
  <c r="G10" i="4"/>
  <c r="G11" i="4"/>
  <c r="G12" i="4"/>
  <c r="G13" i="4"/>
  <c r="G14" i="4"/>
  <c r="G15" i="4"/>
  <c r="G16" i="4"/>
  <c r="G5" i="4"/>
</calcChain>
</file>

<file path=xl/sharedStrings.xml><?xml version="1.0" encoding="utf-8"?>
<sst xmlns="http://schemas.openxmlformats.org/spreadsheetml/2006/main" count="43" uniqueCount="30">
  <si>
    <t>PVI Index</t>
  </si>
  <si>
    <t>Grade Out</t>
  </si>
  <si>
    <t>[EDFC/SAHNEWAL-PILKHANI SECTION-301]</t>
  </si>
  <si>
    <t>VERTICAL GRADIENT REPORTS OF DFC LINK LINE</t>
  </si>
  <si>
    <t>Remarks</t>
  </si>
  <si>
    <t>Start of  
Elevation
(m)</t>
  </si>
  <si>
    <t>Length of Gradient (m)</t>
  </si>
  <si>
    <t xml:space="preserve">Curve length </t>
  </si>
  <si>
    <t>LEVEL</t>
  </si>
  <si>
    <t>Radius</t>
  </si>
  <si>
    <t>PVI-Elevation</t>
  </si>
  <si>
    <t>PVI-Easting</t>
  </si>
  <si>
    <t>PVI-Northing</t>
  </si>
  <si>
    <t>Elevation
PFL</t>
  </si>
  <si>
    <t>PVI -Chainage</t>
  </si>
  <si>
    <t>New-PVI
Chainage</t>
  </si>
  <si>
    <t>Grade in</t>
  </si>
  <si>
    <t>1577.23 R</t>
  </si>
  <si>
    <t>1182.493 R</t>
  </si>
  <si>
    <t>391.303 F</t>
  </si>
  <si>
    <t>1343.475 R</t>
  </si>
  <si>
    <t>332.288 F</t>
  </si>
  <si>
    <t>248.36 R</t>
  </si>
  <si>
    <t>243.689 F</t>
  </si>
  <si>
    <t>507.741 F</t>
  </si>
  <si>
    <t>3410 R</t>
  </si>
  <si>
    <t>3407.501 R</t>
  </si>
  <si>
    <t>587.127 R</t>
  </si>
  <si>
    <t>673.203 F</t>
  </si>
  <si>
    <t>Date of Update- 27.09.24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</si>
</sst>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sz val="11"/>
      <color rgb="FF000000"/>
      <name val="Tahoma"/>
      <family val="2"/>
    </font>
    <font>
      <sz val="11"/>
      <color rgb="FFFF0000"/>
      <name val="Tahoma"/>
      <family val="2"/>
    </font>
    <font>
      <b/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1">
    <xf numFmtId="0" fontId="0" fillId="0" borderId="0" xfId="0"/>
    <xf numFmtId="0" fontId="3" fillId="0" borderId="0" xfId="2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3" fillId="0" borderId="0" xfId="2" applyNumberFormat="1" applyFont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3" fillId="2" borderId="0" xfId="2" applyFont="1" applyFill="1" applyAlignment="1">
      <alignment horizontal="center" vertical="center"/>
    </xf>
    <xf numFmtId="164" fontId="4" fillId="0" borderId="0" xfId="2" applyNumberFormat="1" applyFont="1" applyAlignment="1">
      <alignment vertical="center"/>
    </xf>
    <xf numFmtId="1" fontId="6" fillId="0" borderId="1" xfId="2" applyNumberFormat="1" applyFont="1" applyBorder="1" applyAlignment="1">
      <alignment horizontal="center" vertical="center"/>
    </xf>
    <xf numFmtId="164" fontId="6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2" fontId="6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2" fontId="3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164" fontId="3" fillId="0" borderId="0" xfId="2" applyNumberFormat="1" applyFont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165" fontId="7" fillId="0" borderId="1" xfId="2" applyNumberFormat="1" applyFont="1" applyBorder="1" applyAlignment="1">
      <alignment horizontal="center" vertical="center"/>
    </xf>
    <xf numFmtId="0" fontId="3" fillId="0" borderId="0" xfId="2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38BE195D-1AC3-47EC-88F3-3CD8301C02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3AF0-025A-4996-8F94-B91142BEE4CA}">
  <dimension ref="A1:P17"/>
  <sheetViews>
    <sheetView tabSelected="1" view="pageBreakPreview" zoomScaleNormal="100" zoomScaleSheetLayoutView="100" workbookViewId="0">
      <selection activeCell="J6" sqref="J6"/>
    </sheetView>
  </sheetViews>
  <sheetFormatPr defaultRowHeight="14.25" x14ac:dyDescent="0.25"/>
  <cols>
    <col min="1" max="1" width="6.42578125" style="1" bestFit="1" customWidth="1"/>
    <col min="2" max="2" width="14.28515625" style="1" customWidth="1"/>
    <col min="3" max="3" width="13.28515625" style="1" bestFit="1" customWidth="1"/>
    <col min="4" max="5" width="11.140625" style="1" customWidth="1"/>
    <col min="6" max="6" width="12.42578125" style="3" customWidth="1"/>
    <col min="7" max="7" width="11.5703125" style="1" bestFit="1" customWidth="1"/>
    <col min="8" max="8" width="7.42578125" style="1" bestFit="1" customWidth="1"/>
    <col min="9" max="9" width="11.5703125" style="1" bestFit="1" customWidth="1"/>
    <col min="10" max="11" width="13.7109375" style="1" customWidth="1"/>
    <col min="12" max="12" width="13.28515625" style="1" bestFit="1" customWidth="1"/>
    <col min="13" max="14" width="9.140625" style="1" bestFit="1" customWidth="1"/>
    <col min="15" max="16384" width="9.140625" style="1"/>
  </cols>
  <sheetData>
    <row r="1" spans="1:16" x14ac:dyDescent="0.25">
      <c r="A1" s="18" t="s">
        <v>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6"/>
      <c r="M1" s="6"/>
      <c r="N1" s="6"/>
    </row>
    <row r="2" spans="1:16" x14ac:dyDescent="0.25">
      <c r="A2" s="18" t="s">
        <v>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20" t="s">
        <v>29</v>
      </c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6" s="4" customFormat="1" ht="42.75" x14ac:dyDescent="0.25">
      <c r="A4" s="13" t="s">
        <v>0</v>
      </c>
      <c r="B4" s="13" t="s">
        <v>14</v>
      </c>
      <c r="C4" s="15" t="s">
        <v>15</v>
      </c>
      <c r="D4" s="13" t="s">
        <v>5</v>
      </c>
      <c r="E4" s="14" t="s">
        <v>16</v>
      </c>
      <c r="F4" s="14" t="s">
        <v>1</v>
      </c>
      <c r="G4" s="13" t="s">
        <v>6</v>
      </c>
      <c r="H4" s="13" t="s">
        <v>7</v>
      </c>
      <c r="I4" s="13" t="s">
        <v>9</v>
      </c>
      <c r="J4" s="13" t="s">
        <v>11</v>
      </c>
      <c r="K4" s="13" t="s">
        <v>12</v>
      </c>
      <c r="L4" s="13" t="s">
        <v>10</v>
      </c>
      <c r="M4" s="13" t="s">
        <v>13</v>
      </c>
      <c r="N4" s="13" t="s">
        <v>4</v>
      </c>
    </row>
    <row r="5" spans="1:16" x14ac:dyDescent="0.25">
      <c r="A5" s="7">
        <v>1</v>
      </c>
      <c r="B5" s="8">
        <v>91601.5</v>
      </c>
      <c r="C5" s="19">
        <v>1172014.3700000001</v>
      </c>
      <c r="D5" s="8">
        <v>271.31700000000001</v>
      </c>
      <c r="E5" s="8" t="s">
        <v>17</v>
      </c>
      <c r="F5" s="8" t="s">
        <v>18</v>
      </c>
      <c r="G5" s="8">
        <f>((B6-B5)-(H5))</f>
        <v>378.5</v>
      </c>
      <c r="H5" s="9">
        <v>20</v>
      </c>
      <c r="I5" s="8">
        <v>-94495.762000000002</v>
      </c>
      <c r="J5" s="8">
        <v>658833.91159999999</v>
      </c>
      <c r="K5" s="8">
        <v>3369502.5945000001</v>
      </c>
      <c r="L5" s="10">
        <v>271.31700000000001</v>
      </c>
      <c r="M5" s="10">
        <f>L5-0.713</f>
        <v>270.60399999999998</v>
      </c>
    </row>
    <row r="6" spans="1:16" x14ac:dyDescent="0.25">
      <c r="A6" s="7">
        <v>2</v>
      </c>
      <c r="B6" s="8">
        <v>92000</v>
      </c>
      <c r="C6" s="19">
        <f>C5+(B6-B5)</f>
        <v>1172412.8700000001</v>
      </c>
      <c r="D6" s="8">
        <v>271.654</v>
      </c>
      <c r="E6" s="8" t="s">
        <v>18</v>
      </c>
      <c r="F6" s="8" t="s">
        <v>8</v>
      </c>
      <c r="G6" s="8">
        <f t="shared" ref="G6:G16" si="0">((B7-B6)-(H6))</f>
        <v>620.24000000000524</v>
      </c>
      <c r="H6" s="9">
        <v>20</v>
      </c>
      <c r="I6" s="8">
        <v>23649.851600000002</v>
      </c>
      <c r="J6" s="8">
        <v>658507.71699999995</v>
      </c>
      <c r="K6" s="8">
        <v>3369731.4972999999</v>
      </c>
      <c r="L6" s="10">
        <v>271.654</v>
      </c>
      <c r="M6" s="10">
        <f t="shared" ref="M6:M14" si="1">L6-0.713</f>
        <v>270.94099999999997</v>
      </c>
      <c r="N6" s="11"/>
      <c r="O6" s="16"/>
    </row>
    <row r="7" spans="1:16" x14ac:dyDescent="0.25">
      <c r="A7" s="7">
        <v>3</v>
      </c>
      <c r="B7" s="8">
        <v>92640.24</v>
      </c>
      <c r="C7" s="19">
        <f t="shared" ref="C7:C17" si="2">C6+(B7-B6)</f>
        <v>1173053.1100000001</v>
      </c>
      <c r="D7" s="8">
        <v>271.654</v>
      </c>
      <c r="E7" s="8" t="s">
        <v>8</v>
      </c>
      <c r="F7" s="8" t="s">
        <v>19</v>
      </c>
      <c r="G7" s="8">
        <f t="shared" si="0"/>
        <v>520.88179999999136</v>
      </c>
      <c r="H7" s="8">
        <v>20.290199999999999</v>
      </c>
      <c r="I7" s="8">
        <v>7939.6220999999996</v>
      </c>
      <c r="J7" s="8">
        <v>657983.28599999996</v>
      </c>
      <c r="K7" s="8">
        <v>3370098.7283999999</v>
      </c>
      <c r="L7" s="10">
        <v>271.654</v>
      </c>
      <c r="M7" s="10">
        <f t="shared" si="1"/>
        <v>270.94099999999997</v>
      </c>
      <c r="N7" s="11"/>
      <c r="O7" s="16"/>
    </row>
    <row r="8" spans="1:16" x14ac:dyDescent="0.25">
      <c r="A8" s="7">
        <v>4</v>
      </c>
      <c r="B8" s="8">
        <v>93181.411999999997</v>
      </c>
      <c r="C8" s="19">
        <f t="shared" si="2"/>
        <v>1173594.2820000001</v>
      </c>
      <c r="D8" s="8">
        <v>270.27100000000002</v>
      </c>
      <c r="E8" s="8" t="s">
        <v>19</v>
      </c>
      <c r="F8" s="8" t="s">
        <v>20</v>
      </c>
      <c r="G8" s="8">
        <f t="shared" si="0"/>
        <v>1503.4980000000069</v>
      </c>
      <c r="H8" s="9">
        <v>20</v>
      </c>
      <c r="I8" s="8">
        <v>-6060.7829000000002</v>
      </c>
      <c r="J8" s="8">
        <v>657541.8628</v>
      </c>
      <c r="K8" s="8">
        <v>3370411.787</v>
      </c>
      <c r="L8" s="10">
        <v>270.27100000000002</v>
      </c>
      <c r="M8" s="10">
        <f t="shared" si="1"/>
        <v>269.55799999999999</v>
      </c>
      <c r="N8" s="11"/>
      <c r="O8" s="16"/>
    </row>
    <row r="9" spans="1:16" s="5" customFormat="1" x14ac:dyDescent="0.25">
      <c r="A9" s="7">
        <v>5</v>
      </c>
      <c r="B9" s="8">
        <v>94704.91</v>
      </c>
      <c r="C9" s="19">
        <f t="shared" si="2"/>
        <v>1175117.78</v>
      </c>
      <c r="D9" s="8">
        <v>271.40499999999997</v>
      </c>
      <c r="E9" s="8" t="s">
        <v>20</v>
      </c>
      <c r="F9" s="8" t="s">
        <v>21</v>
      </c>
      <c r="G9" s="8">
        <f t="shared" si="0"/>
        <v>786.89439999999013</v>
      </c>
      <c r="H9" s="8">
        <v>20.235600000000002</v>
      </c>
      <c r="I9" s="8">
        <v>5390.7649000000001</v>
      </c>
      <c r="J9" s="8">
        <v>656298.16020000004</v>
      </c>
      <c r="K9" s="8">
        <v>3371291.6532999999</v>
      </c>
      <c r="L9" s="10">
        <v>271.40499999999997</v>
      </c>
      <c r="M9" s="10">
        <f t="shared" si="1"/>
        <v>270.69199999999995</v>
      </c>
      <c r="N9" s="11"/>
      <c r="O9" s="16"/>
    </row>
    <row r="10" spans="1:16" x14ac:dyDescent="0.25">
      <c r="A10" s="7">
        <v>6</v>
      </c>
      <c r="B10" s="8">
        <v>95512.04</v>
      </c>
      <c r="C10" s="19">
        <f t="shared" si="2"/>
        <v>1175924.9099999999</v>
      </c>
      <c r="D10" s="8">
        <v>268.976</v>
      </c>
      <c r="E10" s="8" t="s">
        <v>21</v>
      </c>
      <c r="F10" s="8" t="s">
        <v>22</v>
      </c>
      <c r="G10" s="8">
        <f t="shared" si="0"/>
        <v>931.90000000000873</v>
      </c>
      <c r="H10" s="9">
        <v>30</v>
      </c>
      <c r="I10" s="8">
        <v>-4263.8770999999997</v>
      </c>
      <c r="J10" s="8">
        <v>655642.79989999998</v>
      </c>
      <c r="K10" s="8">
        <v>3371762.4936000002</v>
      </c>
      <c r="L10" s="10">
        <v>268.976</v>
      </c>
      <c r="M10" s="10">
        <f t="shared" si="1"/>
        <v>268.26299999999998</v>
      </c>
      <c r="N10" s="11"/>
      <c r="O10" s="16"/>
    </row>
    <row r="11" spans="1:16" x14ac:dyDescent="0.25">
      <c r="A11" s="7">
        <v>7</v>
      </c>
      <c r="B11" s="8">
        <v>96473.94</v>
      </c>
      <c r="C11" s="19">
        <f t="shared" si="2"/>
        <v>1176886.8099999998</v>
      </c>
      <c r="D11" s="8">
        <v>272.84899999999999</v>
      </c>
      <c r="E11" s="8" t="s">
        <v>22</v>
      </c>
      <c r="F11" s="8" t="s">
        <v>8</v>
      </c>
      <c r="G11" s="8">
        <f t="shared" si="0"/>
        <v>254.16999999999825</v>
      </c>
      <c r="H11" s="9">
        <v>20</v>
      </c>
      <c r="I11" s="8">
        <v>4967.2358999999997</v>
      </c>
      <c r="J11" s="8">
        <v>654855.30429999996</v>
      </c>
      <c r="K11" s="8">
        <v>3372314.4476999999</v>
      </c>
      <c r="L11" s="10">
        <v>272.84899999999999</v>
      </c>
      <c r="M11" s="10">
        <f t="shared" si="1"/>
        <v>272.13599999999997</v>
      </c>
      <c r="N11" s="11"/>
      <c r="O11" s="16"/>
    </row>
    <row r="12" spans="1:16" x14ac:dyDescent="0.25">
      <c r="A12" s="7">
        <v>8</v>
      </c>
      <c r="B12" s="8">
        <v>96748.11</v>
      </c>
      <c r="C12" s="19">
        <f t="shared" si="2"/>
        <v>1177160.9799999997</v>
      </c>
      <c r="D12" s="8">
        <v>272.84899999999999</v>
      </c>
      <c r="E12" s="8" t="s">
        <v>8</v>
      </c>
      <c r="F12" s="8" t="s">
        <v>23</v>
      </c>
      <c r="G12" s="8">
        <f t="shared" si="0"/>
        <v>805.13000000000466</v>
      </c>
      <c r="H12" s="9">
        <v>20</v>
      </c>
      <c r="I12" s="8">
        <v>4873.8226000000004</v>
      </c>
      <c r="J12" s="8">
        <v>654634.41229999997</v>
      </c>
      <c r="K12" s="8">
        <v>3372476.8596999999</v>
      </c>
      <c r="L12" s="10">
        <v>272.84899999999999</v>
      </c>
      <c r="M12" s="10">
        <f t="shared" si="1"/>
        <v>272.13599999999997</v>
      </c>
      <c r="N12" s="11"/>
      <c r="O12" s="16"/>
    </row>
    <row r="13" spans="1:16" x14ac:dyDescent="0.25">
      <c r="A13" s="7">
        <v>9</v>
      </c>
      <c r="B13" s="8">
        <v>97573.24</v>
      </c>
      <c r="C13" s="19">
        <f t="shared" si="2"/>
        <v>1177986.1099999999</v>
      </c>
      <c r="D13" s="8">
        <v>269.46300000000002</v>
      </c>
      <c r="E13" s="8" t="s">
        <v>23</v>
      </c>
      <c r="F13" s="8" t="s">
        <v>24</v>
      </c>
      <c r="G13" s="8">
        <f t="shared" si="0"/>
        <v>350.64999999999418</v>
      </c>
      <c r="H13" s="9">
        <v>20</v>
      </c>
      <c r="I13" s="8">
        <v>-9371.7134000000005</v>
      </c>
      <c r="J13" s="8">
        <v>653984.41390000004</v>
      </c>
      <c r="K13" s="8">
        <v>3372984.6485000001</v>
      </c>
      <c r="L13" s="10">
        <v>269.46300000000002</v>
      </c>
      <c r="M13" s="10">
        <f t="shared" si="1"/>
        <v>268.75</v>
      </c>
      <c r="N13" s="11"/>
      <c r="O13" s="16"/>
    </row>
    <row r="14" spans="1:16" s="5" customFormat="1" x14ac:dyDescent="0.25">
      <c r="A14" s="7">
        <v>10</v>
      </c>
      <c r="B14" s="8">
        <v>97943.89</v>
      </c>
      <c r="C14" s="19">
        <f t="shared" si="2"/>
        <v>1178356.7599999998</v>
      </c>
      <c r="D14" s="8">
        <v>268.733</v>
      </c>
      <c r="E14" s="8" t="s">
        <v>24</v>
      </c>
      <c r="F14" s="8" t="s">
        <v>25</v>
      </c>
      <c r="G14" s="8">
        <f t="shared" si="0"/>
        <v>78.899999999994179</v>
      </c>
      <c r="H14" s="9">
        <v>20</v>
      </c>
      <c r="I14" s="8">
        <v>-12946.4681</v>
      </c>
      <c r="J14" s="8">
        <v>653686.28529999999</v>
      </c>
      <c r="K14" s="8">
        <v>3373204.7705999999</v>
      </c>
      <c r="L14" s="10">
        <v>268.733</v>
      </c>
      <c r="M14" s="10">
        <f t="shared" si="1"/>
        <v>268.02</v>
      </c>
      <c r="N14" s="11"/>
      <c r="O14" s="16"/>
      <c r="P14" s="17"/>
    </row>
    <row r="15" spans="1:16" x14ac:dyDescent="0.25">
      <c r="A15" s="7">
        <v>11</v>
      </c>
      <c r="B15" s="8">
        <v>98042.79</v>
      </c>
      <c r="C15" s="19">
        <f t="shared" si="2"/>
        <v>1178455.6599999997</v>
      </c>
      <c r="D15" s="11">
        <v>268.69099999999997</v>
      </c>
      <c r="E15" s="8" t="s">
        <v>25</v>
      </c>
      <c r="F15" s="11" t="s">
        <v>26</v>
      </c>
      <c r="G15" s="8">
        <f t="shared" si="0"/>
        <v>542.04000000000519</v>
      </c>
      <c r="H15" s="12">
        <v>20.2</v>
      </c>
      <c r="I15" s="8">
        <v>-28127.77</v>
      </c>
      <c r="J15" s="8">
        <v>653152.76199999999</v>
      </c>
      <c r="K15" s="8">
        <v>3373594.9180000001</v>
      </c>
      <c r="L15" s="10">
        <v>268.69099999999997</v>
      </c>
      <c r="M15" s="10">
        <f>L15-0.642</f>
        <v>268.04899999999998</v>
      </c>
      <c r="N15" s="11"/>
      <c r="O15" s="16"/>
    </row>
    <row r="16" spans="1:16" x14ac:dyDescent="0.25">
      <c r="A16" s="7">
        <v>12</v>
      </c>
      <c r="B16" s="8">
        <v>98605.03</v>
      </c>
      <c r="C16" s="19">
        <f t="shared" si="2"/>
        <v>1179017.8999999997</v>
      </c>
      <c r="D16" s="11">
        <v>268.85599999999999</v>
      </c>
      <c r="E16" s="11" t="s">
        <v>26</v>
      </c>
      <c r="F16" s="11" t="s">
        <v>27</v>
      </c>
      <c r="G16" s="8">
        <f t="shared" si="0"/>
        <v>144.97999999999593</v>
      </c>
      <c r="H16" s="9">
        <v>20</v>
      </c>
      <c r="I16" s="8">
        <v>14187.04</v>
      </c>
      <c r="J16" s="8">
        <v>653017.03</v>
      </c>
      <c r="K16" s="8">
        <v>3373688.7039999999</v>
      </c>
      <c r="L16" s="10">
        <v>268.85599999999999</v>
      </c>
      <c r="M16" s="10">
        <f t="shared" ref="M16:M17" si="3">L16-0.642</f>
        <v>268.214</v>
      </c>
      <c r="N16" s="11"/>
      <c r="O16" s="16"/>
    </row>
    <row r="17" spans="1:15" x14ac:dyDescent="0.25">
      <c r="A17" s="7">
        <v>13</v>
      </c>
      <c r="B17" s="8">
        <v>98770.01</v>
      </c>
      <c r="C17" s="19">
        <f t="shared" si="2"/>
        <v>1179182.8799999997</v>
      </c>
      <c r="D17" s="11">
        <v>269.137</v>
      </c>
      <c r="E17" s="11" t="s">
        <v>27</v>
      </c>
      <c r="F17" s="11" t="s">
        <v>28</v>
      </c>
      <c r="G17" s="8"/>
      <c r="H17" s="9">
        <v>20</v>
      </c>
      <c r="I17" s="8">
        <v>6272.25</v>
      </c>
      <c r="J17" s="8">
        <v>652834.06200000003</v>
      </c>
      <c r="K17" s="8">
        <v>3373831.4389999998</v>
      </c>
      <c r="L17" s="10">
        <v>269.137</v>
      </c>
      <c r="M17" s="10">
        <f t="shared" si="3"/>
        <v>268.495</v>
      </c>
      <c r="N17" s="11"/>
      <c r="O17" s="16"/>
    </row>
  </sheetData>
  <mergeCells count="2">
    <mergeCell ref="A2:K2"/>
    <mergeCell ref="A1:K1"/>
  </mergeCells>
  <printOptions horizontalCentered="1"/>
  <pageMargins left="0.5" right="0.3" top="1" bottom="1.8" header="0.3" footer="0.3"/>
  <pageSetup scale="82" orientation="landscape" r:id="rId1"/>
  <headerFooter>
    <oddFooter>&amp;L
GIL-TPL (JV)
Representative&amp;CPage &amp;P of &amp;N&amp;RDB-Engineering - Consulting GmbH
Engineer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F552AA05-2A67-46D6-97FB-4A45A9BB5BE1}"/>
</file>

<file path=customXml/itemProps2.xml><?xml version="1.0" encoding="utf-8"?>
<ds:datastoreItem xmlns:ds="http://schemas.openxmlformats.org/officeDocument/2006/customXml" ds:itemID="{C0454469-2FB0-4885-8B79-4DD83A0F9E48}"/>
</file>

<file path=customXml/itemProps3.xml><?xml version="1.0" encoding="utf-8"?>
<ds:datastoreItem xmlns:ds="http://schemas.openxmlformats.org/officeDocument/2006/customXml" ds:itemID="{89D22398-491A-4C03-9275-68F5973DD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VG</vt:lpstr>
      <vt:lpstr>VG!Print_Area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Vijay Pratap</cp:lastModifiedBy>
  <cp:lastPrinted>2024-09-27T13:05:11Z</cp:lastPrinted>
  <dcterms:created xsi:type="dcterms:W3CDTF">2024-08-30T07:00:50Z</dcterms:created>
  <dcterms:modified xsi:type="dcterms:W3CDTF">2024-09-27T13:05:13Z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