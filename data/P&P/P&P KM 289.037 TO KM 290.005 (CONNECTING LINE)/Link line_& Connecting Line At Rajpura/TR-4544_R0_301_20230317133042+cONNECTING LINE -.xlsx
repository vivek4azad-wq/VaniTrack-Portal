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https://tataprojects4-my.sharepoint.com/personal/vijaypratap_tataprojects_com/Documents/GIL-TPL JV 301/APPROVED DATA/AS BUILT DATA/Submission/6. P&amp;P/L-Section Data/LINK LINE/"/>
    </mc:Choice>
  </mc:AlternateContent>
  <xr:revisionPtr revIDLastSave="1354" documentId="13_ncr:1_{33B66D60-7ABF-408E-9E0C-919941544E2B}" xr6:coauthVersionLast="47" xr6:coauthVersionMax="47" xr10:uidLastSave="{5A0EACAF-1679-4B72-9BFE-3789E221BE19}"/>
  <bookViews>
    <workbookView xWindow="-120" yWindow="-120" windowWidth="20640" windowHeight="11160" tabRatio="783" activeTab="1" xr2:uid="{00000000-000D-0000-FFFF-FFFF00000000}"/>
  </bookViews>
  <sheets>
    <sheet name="Old LS-Reports" sheetId="12" r:id="rId1"/>
    <sheet name="Correlation sheet" sheetId="9" r:id="rId2"/>
    <sheet name="Revised LS" sheetId="11" r:id="rId3"/>
  </sheets>
  <externalReferences>
    <externalReference r:id="rId4"/>
  </externalReferences>
  <definedNames>
    <definedName name="_xlnm._FilterDatabase" localSheetId="1" hidden="1">'Correlation sheet'!$A$2:$O$375</definedName>
    <definedName name="_xlnm._FilterDatabase" localSheetId="2" hidden="1">'Revised LS'!$A$1:$P$354</definedName>
    <definedName name="Excel_BuiltIn_Print_Titles" localSheetId="0">'Old LS-Reports'!$B$1:$IV$3</definedName>
    <definedName name="HTML_1">NA()</definedName>
    <definedName name="HTML_2">NA()</definedName>
    <definedName name="HTML_all">NA()</definedName>
    <definedName name="HTML_tables">NA()</definedName>
    <definedName name="_xlnm.Print_Area" localSheetId="1">'Correlation sheet'!$A$1:$M$424</definedName>
    <definedName name="_xlnm.Print_Area" localSheetId="0">'Old LS-Reports'!$B$1:$V$397</definedName>
    <definedName name="_xlnm.Print_Area" localSheetId="2">'Revised LS'!$A$1:$O$407</definedName>
    <definedName name="_xlnm.Print_Titles" localSheetId="1">'Correlation sheet'!$1:$2</definedName>
    <definedName name="_xlnm.Print_Titles" localSheetId="0">'Old LS-Reports'!$1:$3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57" i="11" l="1"/>
  <c r="N358" i="11"/>
  <c r="N359" i="11"/>
  <c r="N360" i="11"/>
  <c r="N361" i="11"/>
  <c r="N362" i="11"/>
  <c r="N363" i="11"/>
  <c r="N364" i="11"/>
  <c r="N365" i="11"/>
  <c r="N366" i="11"/>
  <c r="N367" i="11"/>
  <c r="N368" i="11"/>
  <c r="N369" i="11"/>
  <c r="N370" i="11"/>
  <c r="N371" i="11"/>
  <c r="N372" i="11"/>
  <c r="N373" i="11"/>
  <c r="N374" i="11"/>
  <c r="N375" i="11"/>
  <c r="N376" i="11"/>
  <c r="N377" i="11"/>
  <c r="N378" i="11"/>
  <c r="N379" i="11"/>
  <c r="N380" i="11"/>
  <c r="N356" i="11"/>
  <c r="A392" i="12"/>
  <c r="N402" i="11" s="1"/>
  <c r="A393" i="12"/>
  <c r="N403" i="11" s="1"/>
  <c r="A394" i="12"/>
  <c r="N404" i="11" s="1"/>
  <c r="A395" i="12"/>
  <c r="N405" i="11" s="1"/>
  <c r="A396" i="12"/>
  <c r="N406" i="11" s="1"/>
  <c r="A397" i="12"/>
  <c r="N407" i="11" s="1"/>
  <c r="A347" i="12"/>
  <c r="A348" i="12"/>
  <c r="A349" i="12"/>
  <c r="A350" i="12"/>
  <c r="A351" i="12"/>
  <c r="A352" i="12"/>
  <c r="A353" i="12"/>
  <c r="A354" i="12"/>
  <c r="A355" i="12"/>
  <c r="A356" i="12"/>
  <c r="A357" i="12"/>
  <c r="A358" i="12"/>
  <c r="A359" i="12"/>
  <c r="A360" i="12"/>
  <c r="A361" i="12"/>
  <c r="A362" i="12"/>
  <c r="A363" i="12"/>
  <c r="A364" i="12"/>
  <c r="A365" i="12"/>
  <c r="A366" i="12"/>
  <c r="A367" i="12"/>
  <c r="A368" i="12"/>
  <c r="A369" i="12"/>
  <c r="A370" i="12"/>
  <c r="A371" i="12"/>
  <c r="N381" i="11" s="1"/>
  <c r="A372" i="12"/>
  <c r="N382" i="11" s="1"/>
  <c r="A373" i="12"/>
  <c r="N383" i="11" s="1"/>
  <c r="A374" i="12"/>
  <c r="N384" i="11" s="1"/>
  <c r="A375" i="12"/>
  <c r="N385" i="11" s="1"/>
  <c r="A376" i="12"/>
  <c r="N386" i="11" s="1"/>
  <c r="A377" i="12"/>
  <c r="N387" i="11" s="1"/>
  <c r="A378" i="12"/>
  <c r="N388" i="11" s="1"/>
  <c r="A379" i="12"/>
  <c r="N389" i="11" s="1"/>
  <c r="A380" i="12"/>
  <c r="N390" i="11" s="1"/>
  <c r="A381" i="12"/>
  <c r="N391" i="11" s="1"/>
  <c r="A382" i="12"/>
  <c r="N392" i="11" s="1"/>
  <c r="A383" i="12"/>
  <c r="N393" i="11" s="1"/>
  <c r="A384" i="12"/>
  <c r="N394" i="11" s="1"/>
  <c r="A385" i="12"/>
  <c r="N395" i="11" s="1"/>
  <c r="A386" i="12"/>
  <c r="N396" i="11" s="1"/>
  <c r="A387" i="12"/>
  <c r="N397" i="11" s="1"/>
  <c r="A388" i="12"/>
  <c r="N398" i="11" s="1"/>
  <c r="A389" i="12"/>
  <c r="N399" i="11" s="1"/>
  <c r="A390" i="12"/>
  <c r="N400" i="11" s="1"/>
  <c r="A391" i="12"/>
  <c r="N401" i="11" s="1"/>
  <c r="A346" i="12"/>
  <c r="C356" i="11"/>
  <c r="L369" i="9"/>
  <c r="L372" i="12"/>
  <c r="L373" i="12"/>
  <c r="L374" i="12"/>
  <c r="L375" i="12"/>
  <c r="L376" i="12"/>
  <c r="L377" i="12"/>
  <c r="L378" i="12"/>
  <c r="L379" i="12"/>
  <c r="L380" i="12"/>
  <c r="L381" i="12"/>
  <c r="L382" i="12"/>
  <c r="L383" i="12"/>
  <c r="L384" i="12"/>
  <c r="L385" i="12"/>
  <c r="L386" i="12"/>
  <c r="L387" i="12"/>
  <c r="L388" i="12"/>
  <c r="L389" i="12"/>
  <c r="L390" i="12"/>
  <c r="L391" i="12"/>
  <c r="L392" i="12"/>
  <c r="L393" i="12"/>
  <c r="L394" i="12"/>
  <c r="L395" i="12"/>
  <c r="L396" i="12"/>
  <c r="L397" i="12"/>
  <c r="L371" i="12"/>
  <c r="L347" i="12"/>
  <c r="L348" i="12"/>
  <c r="L349" i="12"/>
  <c r="L350" i="12"/>
  <c r="L351" i="12"/>
  <c r="L352" i="12"/>
  <c r="L353" i="12"/>
  <c r="L354" i="12"/>
  <c r="L355" i="12"/>
  <c r="L356" i="12"/>
  <c r="L357" i="12"/>
  <c r="L358" i="12"/>
  <c r="L359" i="12"/>
  <c r="L360" i="12"/>
  <c r="L361" i="12"/>
  <c r="L362" i="12"/>
  <c r="L363" i="12"/>
  <c r="L364" i="12"/>
  <c r="L365" i="12"/>
  <c r="L366" i="12"/>
  <c r="L367" i="12"/>
  <c r="L368" i="12"/>
  <c r="L369" i="12"/>
  <c r="L370" i="12"/>
  <c r="L346" i="12"/>
  <c r="H371" i="9" l="1"/>
  <c r="G371" i="9"/>
  <c r="G372" i="9"/>
  <c r="G373" i="9"/>
  <c r="G374" i="9"/>
  <c r="G375" i="9"/>
  <c r="G376" i="9"/>
  <c r="G377" i="9"/>
  <c r="G378" i="9"/>
  <c r="G379" i="9"/>
  <c r="G380" i="9"/>
  <c r="G381" i="9"/>
  <c r="G382" i="9"/>
  <c r="G383" i="9"/>
  <c r="G384" i="9"/>
  <c r="G385" i="9"/>
  <c r="G386" i="9"/>
  <c r="G387" i="9"/>
  <c r="G388" i="9"/>
  <c r="G389" i="9"/>
  <c r="G390" i="9"/>
  <c r="G391" i="9"/>
  <c r="G392" i="9"/>
  <c r="G393" i="9"/>
  <c r="G394" i="9"/>
  <c r="G395" i="9"/>
  <c r="G397" i="9"/>
  <c r="G398" i="9"/>
  <c r="G399" i="9"/>
  <c r="G401" i="9"/>
  <c r="G402" i="9"/>
  <c r="G403" i="9"/>
  <c r="G404" i="9"/>
  <c r="G405" i="9"/>
  <c r="G406" i="9"/>
  <c r="G407" i="9"/>
  <c r="G408" i="9"/>
  <c r="G409" i="9"/>
  <c r="G410" i="9"/>
  <c r="G411" i="9"/>
  <c r="G412" i="9"/>
  <c r="G413" i="9"/>
  <c r="G415" i="9"/>
  <c r="G416" i="9"/>
  <c r="G417" i="9"/>
  <c r="G418" i="9"/>
  <c r="G419" i="9"/>
  <c r="G420" i="9"/>
  <c r="G421" i="9"/>
  <c r="G422" i="9"/>
  <c r="G423" i="9"/>
  <c r="G370" i="9"/>
  <c r="F371" i="9"/>
  <c r="F372" i="9"/>
  <c r="F373" i="9"/>
  <c r="F374" i="9"/>
  <c r="F375" i="9"/>
  <c r="F376" i="9"/>
  <c r="F377" i="9"/>
  <c r="F378" i="9"/>
  <c r="F379" i="9"/>
  <c r="F380" i="9"/>
  <c r="F381" i="9"/>
  <c r="F382" i="9"/>
  <c r="F383" i="9"/>
  <c r="F384" i="9"/>
  <c r="F385" i="9"/>
  <c r="F386" i="9"/>
  <c r="F387" i="9"/>
  <c r="F388" i="9"/>
  <c r="F389" i="9"/>
  <c r="F390" i="9"/>
  <c r="F391" i="9"/>
  <c r="F392" i="9"/>
  <c r="F393" i="9"/>
  <c r="F394" i="9"/>
  <c r="F395" i="9"/>
  <c r="F396" i="9"/>
  <c r="F397" i="9"/>
  <c r="F398" i="9"/>
  <c r="F399" i="9"/>
  <c r="F401" i="9"/>
  <c r="F402" i="9"/>
  <c r="F403" i="9"/>
  <c r="F404" i="9"/>
  <c r="F405" i="9"/>
  <c r="F406" i="9"/>
  <c r="F407" i="9"/>
  <c r="F408" i="9"/>
  <c r="F409" i="9"/>
  <c r="F410" i="9"/>
  <c r="F411" i="9"/>
  <c r="F412" i="9"/>
  <c r="F413" i="9"/>
  <c r="F415" i="9"/>
  <c r="F416" i="9"/>
  <c r="F417" i="9"/>
  <c r="F418" i="9"/>
  <c r="F419" i="9"/>
  <c r="F420" i="9"/>
  <c r="F421" i="9"/>
  <c r="F422" i="9"/>
  <c r="F423" i="9"/>
  <c r="F370" i="9"/>
  <c r="E371" i="9"/>
  <c r="E372" i="9"/>
  <c r="E373" i="9"/>
  <c r="E374" i="9"/>
  <c r="E375" i="9"/>
  <c r="E376" i="9"/>
  <c r="E377" i="9"/>
  <c r="E378" i="9"/>
  <c r="E379" i="9"/>
  <c r="E380" i="9"/>
  <c r="E381" i="9"/>
  <c r="E382" i="9"/>
  <c r="E383" i="9"/>
  <c r="E384" i="9"/>
  <c r="E385" i="9"/>
  <c r="E386" i="9"/>
  <c r="E387" i="9"/>
  <c r="E388" i="9"/>
  <c r="E389" i="9"/>
  <c r="E390" i="9"/>
  <c r="E391" i="9"/>
  <c r="E392" i="9"/>
  <c r="E393" i="9"/>
  <c r="E394" i="9"/>
  <c r="E395" i="9"/>
  <c r="E396" i="9"/>
  <c r="E397" i="9"/>
  <c r="E398" i="9"/>
  <c r="E399" i="9"/>
  <c r="E401" i="9"/>
  <c r="E402" i="9"/>
  <c r="E403" i="9"/>
  <c r="E404" i="9"/>
  <c r="E405" i="9"/>
  <c r="E406" i="9"/>
  <c r="E407" i="9"/>
  <c r="E408" i="9"/>
  <c r="E409" i="9"/>
  <c r="E410" i="9"/>
  <c r="E411" i="9"/>
  <c r="E412" i="9"/>
  <c r="E413" i="9"/>
  <c r="E415" i="9"/>
  <c r="E416" i="9"/>
  <c r="E417" i="9"/>
  <c r="E418" i="9"/>
  <c r="E419" i="9"/>
  <c r="E420" i="9"/>
  <c r="E421" i="9"/>
  <c r="E422" i="9"/>
  <c r="E423" i="9"/>
  <c r="D371" i="9"/>
  <c r="D372" i="9"/>
  <c r="D373" i="9"/>
  <c r="D374" i="9"/>
  <c r="D375" i="9"/>
  <c r="D376" i="9"/>
  <c r="D377" i="9"/>
  <c r="D378" i="9"/>
  <c r="D379" i="9"/>
  <c r="D380" i="9"/>
  <c r="D381" i="9"/>
  <c r="D382" i="9"/>
  <c r="D383" i="9"/>
  <c r="D384" i="9"/>
  <c r="D385" i="9"/>
  <c r="D386" i="9"/>
  <c r="D387" i="9"/>
  <c r="D388" i="9"/>
  <c r="D389" i="9"/>
  <c r="D390" i="9"/>
  <c r="D391" i="9"/>
  <c r="D392" i="9"/>
  <c r="D393" i="9"/>
  <c r="D394" i="9"/>
  <c r="D395" i="9"/>
  <c r="D396" i="9"/>
  <c r="D397" i="9"/>
  <c r="D398" i="9"/>
  <c r="D399" i="9"/>
  <c r="D401" i="9"/>
  <c r="D402" i="9"/>
  <c r="D403" i="9"/>
  <c r="D404" i="9"/>
  <c r="D405" i="9"/>
  <c r="D406" i="9"/>
  <c r="D407" i="9"/>
  <c r="D408" i="9"/>
  <c r="D409" i="9"/>
  <c r="D410" i="9"/>
  <c r="D411" i="9"/>
  <c r="D412" i="9"/>
  <c r="D413" i="9"/>
  <c r="D415" i="9"/>
  <c r="D416" i="9"/>
  <c r="D417" i="9"/>
  <c r="D418" i="9"/>
  <c r="D419" i="9"/>
  <c r="D420" i="9"/>
  <c r="D421" i="9"/>
  <c r="D422" i="9"/>
  <c r="D423" i="9"/>
  <c r="E370" i="9"/>
  <c r="D370" i="9"/>
  <c r="H372" i="9" l="1"/>
  <c r="C357" i="11"/>
  <c r="T397" i="12"/>
  <c r="T347" i="12"/>
  <c r="T348" i="12"/>
  <c r="T349" i="12"/>
  <c r="T350" i="12"/>
  <c r="T351" i="12"/>
  <c r="T352" i="12"/>
  <c r="T353" i="12"/>
  <c r="T354" i="12"/>
  <c r="T355" i="12"/>
  <c r="T356" i="12"/>
  <c r="T357" i="12"/>
  <c r="T358" i="12"/>
  <c r="T359" i="12"/>
  <c r="T360" i="12"/>
  <c r="T361" i="12"/>
  <c r="T362" i="12"/>
  <c r="T363" i="12"/>
  <c r="T364" i="12"/>
  <c r="T365" i="12"/>
  <c r="T366" i="12"/>
  <c r="T367" i="12"/>
  <c r="T368" i="12"/>
  <c r="T369" i="12"/>
  <c r="T370" i="12"/>
  <c r="T371" i="12"/>
  <c r="T372" i="12"/>
  <c r="T373" i="12"/>
  <c r="T374" i="12"/>
  <c r="T375" i="12"/>
  <c r="T376" i="12"/>
  <c r="T377" i="12"/>
  <c r="T378" i="12"/>
  <c r="T379" i="12"/>
  <c r="T380" i="12"/>
  <c r="T381" i="12"/>
  <c r="T382" i="12"/>
  <c r="T383" i="12"/>
  <c r="T384" i="12"/>
  <c r="T385" i="12"/>
  <c r="T386" i="12"/>
  <c r="T387" i="12"/>
  <c r="T388" i="12"/>
  <c r="T389" i="12"/>
  <c r="T390" i="12"/>
  <c r="T391" i="12"/>
  <c r="T392" i="12"/>
  <c r="T393" i="12"/>
  <c r="T394" i="12"/>
  <c r="T395" i="12"/>
  <c r="T396" i="12"/>
  <c r="T346" i="12"/>
  <c r="N349" i="12"/>
  <c r="N381" i="12"/>
  <c r="N390" i="12"/>
  <c r="N392" i="12"/>
  <c r="N393" i="12"/>
  <c r="N394" i="12"/>
  <c r="N395" i="12"/>
  <c r="N396" i="12"/>
  <c r="N397" i="12"/>
  <c r="M353" i="12"/>
  <c r="M354" i="12"/>
  <c r="M370" i="12"/>
  <c r="M385" i="12"/>
  <c r="M386" i="12"/>
  <c r="M347" i="12"/>
  <c r="M348" i="12"/>
  <c r="M349" i="12"/>
  <c r="M350" i="12"/>
  <c r="M351" i="12"/>
  <c r="M352" i="12"/>
  <c r="M355" i="12"/>
  <c r="M356" i="12"/>
  <c r="M357" i="12"/>
  <c r="M358" i="12"/>
  <c r="M359" i="12"/>
  <c r="M360" i="12"/>
  <c r="M361" i="12"/>
  <c r="M362" i="12"/>
  <c r="M363" i="12"/>
  <c r="M364" i="12"/>
  <c r="M365" i="12"/>
  <c r="M366" i="12"/>
  <c r="M367" i="12"/>
  <c r="M368" i="12"/>
  <c r="M369" i="12"/>
  <c r="M371" i="12"/>
  <c r="M372" i="12"/>
  <c r="M373" i="12"/>
  <c r="M374" i="12"/>
  <c r="M375" i="12"/>
  <c r="M376" i="12"/>
  <c r="M377" i="12"/>
  <c r="M378" i="12"/>
  <c r="M379" i="12"/>
  <c r="M380" i="12"/>
  <c r="M381" i="12"/>
  <c r="M382" i="12"/>
  <c r="M383" i="12"/>
  <c r="M384" i="12"/>
  <c r="M387" i="12"/>
  <c r="M388" i="12"/>
  <c r="M389" i="12"/>
  <c r="M390" i="12"/>
  <c r="M391" i="12"/>
  <c r="M392" i="12"/>
  <c r="M393" i="12"/>
  <c r="M394" i="12"/>
  <c r="M395" i="12"/>
  <c r="M396" i="12"/>
  <c r="M397" i="12"/>
  <c r="M346" i="12"/>
  <c r="F347" i="12"/>
  <c r="F348" i="12"/>
  <c r="F349" i="12"/>
  <c r="F350" i="12"/>
  <c r="F351" i="12"/>
  <c r="F352" i="12"/>
  <c r="F353" i="12"/>
  <c r="F354" i="12"/>
  <c r="F355" i="12"/>
  <c r="F356" i="12"/>
  <c r="F357" i="12"/>
  <c r="F358" i="12"/>
  <c r="F359" i="12"/>
  <c r="F360" i="12"/>
  <c r="F361" i="12"/>
  <c r="F362" i="12"/>
  <c r="F363" i="12"/>
  <c r="F364" i="12"/>
  <c r="F365" i="12"/>
  <c r="F366" i="12"/>
  <c r="F367" i="12"/>
  <c r="F368" i="12"/>
  <c r="F369" i="12"/>
  <c r="F370" i="12"/>
  <c r="F371" i="12"/>
  <c r="F372" i="12"/>
  <c r="F373" i="12"/>
  <c r="F374" i="12"/>
  <c r="F375" i="12"/>
  <c r="F376" i="12"/>
  <c r="F377" i="12"/>
  <c r="F378" i="12"/>
  <c r="F379" i="12"/>
  <c r="F380" i="12"/>
  <c r="F381" i="12"/>
  <c r="F382" i="12"/>
  <c r="F383" i="12"/>
  <c r="F384" i="12"/>
  <c r="F385" i="12"/>
  <c r="F386" i="12"/>
  <c r="F387" i="12"/>
  <c r="F388" i="12"/>
  <c r="F389" i="12"/>
  <c r="F390" i="12"/>
  <c r="F391" i="12"/>
  <c r="F346" i="12"/>
  <c r="W5" i="12"/>
  <c r="W6" i="12"/>
  <c r="W7" i="12"/>
  <c r="W8" i="12"/>
  <c r="W9" i="12"/>
  <c r="W10" i="12"/>
  <c r="W11" i="12"/>
  <c r="W12" i="12"/>
  <c r="W13" i="12"/>
  <c r="W14" i="12"/>
  <c r="W15" i="12"/>
  <c r="W16" i="12"/>
  <c r="W17" i="12"/>
  <c r="W18" i="12"/>
  <c r="W19" i="12"/>
  <c r="W20" i="12"/>
  <c r="W21" i="12"/>
  <c r="W22" i="12"/>
  <c r="W23" i="12"/>
  <c r="W24" i="12"/>
  <c r="W25" i="12"/>
  <c r="W26" i="12"/>
  <c r="W27" i="12"/>
  <c r="W28" i="12"/>
  <c r="W29" i="12"/>
  <c r="W30" i="12"/>
  <c r="W31" i="12"/>
  <c r="W32" i="12"/>
  <c r="W33" i="12"/>
  <c r="W34" i="12"/>
  <c r="W35" i="12"/>
  <c r="W36" i="12"/>
  <c r="W37" i="12"/>
  <c r="W38" i="12"/>
  <c r="W39" i="12"/>
  <c r="W40" i="12"/>
  <c r="W41" i="12"/>
  <c r="W42" i="12"/>
  <c r="W43" i="12"/>
  <c r="W44" i="12"/>
  <c r="W45" i="12"/>
  <c r="W46" i="12"/>
  <c r="W47" i="12"/>
  <c r="W48" i="12"/>
  <c r="W49" i="12"/>
  <c r="W50" i="12"/>
  <c r="W51" i="12"/>
  <c r="W52" i="12"/>
  <c r="W53" i="12"/>
  <c r="W54" i="12"/>
  <c r="W55" i="12"/>
  <c r="W56" i="12"/>
  <c r="W57" i="12"/>
  <c r="W58" i="12"/>
  <c r="W59" i="12"/>
  <c r="W60" i="12"/>
  <c r="W61" i="12"/>
  <c r="W62" i="12"/>
  <c r="W63" i="12"/>
  <c r="W64" i="12"/>
  <c r="W65" i="12"/>
  <c r="W66" i="12"/>
  <c r="W67" i="12"/>
  <c r="W68" i="12"/>
  <c r="W69" i="12"/>
  <c r="W70" i="12"/>
  <c r="W71" i="12"/>
  <c r="W72" i="12"/>
  <c r="W73" i="12"/>
  <c r="W74" i="12"/>
  <c r="W75" i="12"/>
  <c r="W76" i="12"/>
  <c r="W77" i="12"/>
  <c r="W78" i="12"/>
  <c r="W79" i="12"/>
  <c r="W80" i="12"/>
  <c r="W81" i="12"/>
  <c r="W82" i="12"/>
  <c r="W83" i="12"/>
  <c r="W84" i="12"/>
  <c r="W85" i="12"/>
  <c r="W86" i="12"/>
  <c r="W87" i="12"/>
  <c r="W88" i="12"/>
  <c r="W89" i="12"/>
  <c r="W90" i="12"/>
  <c r="W91" i="12"/>
  <c r="W92" i="12"/>
  <c r="W93" i="12"/>
  <c r="W94" i="12"/>
  <c r="W95" i="12"/>
  <c r="W96" i="12"/>
  <c r="W97" i="12"/>
  <c r="W98" i="12"/>
  <c r="W99" i="12"/>
  <c r="W100" i="12"/>
  <c r="W101" i="12"/>
  <c r="W102" i="12"/>
  <c r="W103" i="12"/>
  <c r="W104" i="12"/>
  <c r="W105" i="12"/>
  <c r="W106" i="12"/>
  <c r="W107" i="12"/>
  <c r="W108" i="12"/>
  <c r="W109" i="12"/>
  <c r="W110" i="12"/>
  <c r="W111" i="12"/>
  <c r="W112" i="12"/>
  <c r="W113" i="12"/>
  <c r="W114" i="12"/>
  <c r="W115" i="12"/>
  <c r="W116" i="12"/>
  <c r="W117" i="12"/>
  <c r="W118" i="12"/>
  <c r="W119" i="12"/>
  <c r="W120" i="12"/>
  <c r="W121" i="12"/>
  <c r="W122" i="12"/>
  <c r="W123" i="12"/>
  <c r="W124" i="12"/>
  <c r="W125" i="12"/>
  <c r="W126" i="12"/>
  <c r="W127" i="12"/>
  <c r="W128" i="12"/>
  <c r="W129" i="12"/>
  <c r="W130" i="12"/>
  <c r="W131" i="12"/>
  <c r="W132" i="12"/>
  <c r="W133" i="12"/>
  <c r="W134" i="12"/>
  <c r="W135" i="12"/>
  <c r="W136" i="12"/>
  <c r="W137" i="12"/>
  <c r="W138" i="12"/>
  <c r="W139" i="12"/>
  <c r="W140" i="12"/>
  <c r="W141" i="12"/>
  <c r="W142" i="12"/>
  <c r="W143" i="12"/>
  <c r="W144" i="12"/>
  <c r="W145" i="12"/>
  <c r="W146" i="12"/>
  <c r="W147" i="12"/>
  <c r="W148" i="12"/>
  <c r="W149" i="12"/>
  <c r="W150" i="12"/>
  <c r="W151" i="12"/>
  <c r="W152" i="12"/>
  <c r="W153" i="12"/>
  <c r="W154" i="12"/>
  <c r="W155" i="12"/>
  <c r="W156" i="12"/>
  <c r="W157" i="12"/>
  <c r="W158" i="12"/>
  <c r="W159" i="12"/>
  <c r="W160" i="12"/>
  <c r="W161" i="12"/>
  <c r="W162" i="12"/>
  <c r="W163" i="12"/>
  <c r="W164" i="12"/>
  <c r="W165" i="12"/>
  <c r="W166" i="12"/>
  <c r="W167" i="12"/>
  <c r="W168" i="12"/>
  <c r="W169" i="12"/>
  <c r="W170" i="12"/>
  <c r="W171" i="12"/>
  <c r="W172" i="12"/>
  <c r="W173" i="12"/>
  <c r="W174" i="12"/>
  <c r="W175" i="12"/>
  <c r="W176" i="12"/>
  <c r="W177" i="12"/>
  <c r="W178" i="12"/>
  <c r="W179" i="12"/>
  <c r="W180" i="12"/>
  <c r="W181" i="12"/>
  <c r="W182" i="12"/>
  <c r="W183" i="12"/>
  <c r="W184" i="12"/>
  <c r="W185" i="12"/>
  <c r="W186" i="12"/>
  <c r="W187" i="12"/>
  <c r="W188" i="12"/>
  <c r="W189" i="12"/>
  <c r="W190" i="12"/>
  <c r="W191" i="12"/>
  <c r="W192" i="12"/>
  <c r="W193" i="12"/>
  <c r="W194" i="12"/>
  <c r="W195" i="12"/>
  <c r="W196" i="12"/>
  <c r="W197" i="12"/>
  <c r="W198" i="12"/>
  <c r="W199" i="12"/>
  <c r="W200" i="12"/>
  <c r="W201" i="12"/>
  <c r="W202" i="12"/>
  <c r="W203" i="12"/>
  <c r="W204" i="12"/>
  <c r="W205" i="12"/>
  <c r="W206" i="12"/>
  <c r="W207" i="12"/>
  <c r="W208" i="12"/>
  <c r="W209" i="12"/>
  <c r="W210" i="12"/>
  <c r="W211" i="12"/>
  <c r="W212" i="12"/>
  <c r="W213" i="12"/>
  <c r="W214" i="12"/>
  <c r="W215" i="12"/>
  <c r="W216" i="12"/>
  <c r="W217" i="12"/>
  <c r="W218" i="12"/>
  <c r="W219" i="12"/>
  <c r="W220" i="12"/>
  <c r="W221" i="12"/>
  <c r="W222" i="12"/>
  <c r="W223" i="12"/>
  <c r="W224" i="12"/>
  <c r="W225" i="12"/>
  <c r="W226" i="12"/>
  <c r="W227" i="12"/>
  <c r="W228" i="12"/>
  <c r="W229" i="12"/>
  <c r="W230" i="12"/>
  <c r="W231" i="12"/>
  <c r="W232" i="12"/>
  <c r="W233" i="12"/>
  <c r="W234" i="12"/>
  <c r="W235" i="12"/>
  <c r="W236" i="12"/>
  <c r="W237" i="12"/>
  <c r="W238" i="12"/>
  <c r="W239" i="12"/>
  <c r="W240" i="12"/>
  <c r="W241" i="12"/>
  <c r="W242" i="12"/>
  <c r="W243" i="12"/>
  <c r="W244" i="12"/>
  <c r="W245" i="12"/>
  <c r="W246" i="12"/>
  <c r="W247" i="12"/>
  <c r="W248" i="12"/>
  <c r="W249" i="12"/>
  <c r="W250" i="12"/>
  <c r="W251" i="12"/>
  <c r="W252" i="12"/>
  <c r="W253" i="12"/>
  <c r="W254" i="12"/>
  <c r="W255" i="12"/>
  <c r="W256" i="12"/>
  <c r="W257" i="12"/>
  <c r="W258" i="12"/>
  <c r="W259" i="12"/>
  <c r="W260" i="12"/>
  <c r="W261" i="12"/>
  <c r="W262" i="12"/>
  <c r="W263" i="12"/>
  <c r="W264" i="12"/>
  <c r="W265" i="12"/>
  <c r="W266" i="12"/>
  <c r="W267" i="12"/>
  <c r="W268" i="12"/>
  <c r="W269" i="12"/>
  <c r="W270" i="12"/>
  <c r="W271" i="12"/>
  <c r="W272" i="12"/>
  <c r="W273" i="12"/>
  <c r="W274" i="12"/>
  <c r="W275" i="12"/>
  <c r="W276" i="12"/>
  <c r="W277" i="12"/>
  <c r="W278" i="12"/>
  <c r="W279" i="12"/>
  <c r="W280" i="12"/>
  <c r="W281" i="12"/>
  <c r="W282" i="12"/>
  <c r="W283" i="12"/>
  <c r="W284" i="12"/>
  <c r="W285" i="12"/>
  <c r="W286" i="12"/>
  <c r="W287" i="12"/>
  <c r="W288" i="12"/>
  <c r="W289" i="12"/>
  <c r="W290" i="12"/>
  <c r="W291" i="12"/>
  <c r="W292" i="12"/>
  <c r="W293" i="12"/>
  <c r="W294" i="12"/>
  <c r="W295" i="12"/>
  <c r="W296" i="12"/>
  <c r="W297" i="12"/>
  <c r="W298" i="12"/>
  <c r="W299" i="12"/>
  <c r="W300" i="12"/>
  <c r="W301" i="12"/>
  <c r="W302" i="12"/>
  <c r="W303" i="12"/>
  <c r="W304" i="12"/>
  <c r="W305" i="12"/>
  <c r="W306" i="12"/>
  <c r="W307" i="12"/>
  <c r="W308" i="12"/>
  <c r="W309" i="12"/>
  <c r="W310" i="12"/>
  <c r="W311" i="12"/>
  <c r="W312" i="12"/>
  <c r="W313" i="12"/>
  <c r="W314" i="12"/>
  <c r="W315" i="12"/>
  <c r="W316" i="12"/>
  <c r="W317" i="12"/>
  <c r="W318" i="12"/>
  <c r="W319" i="12"/>
  <c r="W320" i="12"/>
  <c r="W321" i="12"/>
  <c r="W322" i="12"/>
  <c r="W323" i="12"/>
  <c r="W324" i="12"/>
  <c r="W325" i="12"/>
  <c r="W326" i="12"/>
  <c r="W327" i="12"/>
  <c r="W328" i="12"/>
  <c r="W329" i="12"/>
  <c r="W330" i="12"/>
  <c r="W331" i="12"/>
  <c r="W332" i="12"/>
  <c r="W333" i="12"/>
  <c r="W334" i="12"/>
  <c r="W335" i="12"/>
  <c r="W336" i="12"/>
  <c r="W337" i="12"/>
  <c r="W338" i="12"/>
  <c r="W339" i="12"/>
  <c r="W340" i="12"/>
  <c r="W341" i="12"/>
  <c r="W342" i="12"/>
  <c r="W343" i="12"/>
  <c r="W344" i="12"/>
  <c r="T5" i="12"/>
  <c r="T6" i="12"/>
  <c r="T7" i="12"/>
  <c r="T8" i="12"/>
  <c r="T9" i="12"/>
  <c r="T10" i="12"/>
  <c r="T11" i="12"/>
  <c r="T12" i="12"/>
  <c r="T13" i="12"/>
  <c r="T14" i="12"/>
  <c r="T15" i="12"/>
  <c r="T16" i="12"/>
  <c r="T17" i="12"/>
  <c r="T18" i="12"/>
  <c r="T19" i="12"/>
  <c r="T20" i="12"/>
  <c r="T21" i="12"/>
  <c r="T22" i="12"/>
  <c r="T23" i="12"/>
  <c r="T24" i="12"/>
  <c r="T25" i="12"/>
  <c r="T26" i="12"/>
  <c r="T27" i="12"/>
  <c r="T28" i="12"/>
  <c r="T29" i="12"/>
  <c r="T30" i="12"/>
  <c r="T31" i="12"/>
  <c r="T32" i="12"/>
  <c r="T33" i="12"/>
  <c r="T34" i="12"/>
  <c r="T35" i="12"/>
  <c r="T36" i="12"/>
  <c r="T37" i="12"/>
  <c r="T38" i="12"/>
  <c r="T39" i="12"/>
  <c r="T40" i="12"/>
  <c r="T41" i="12"/>
  <c r="T42" i="12"/>
  <c r="T43" i="12"/>
  <c r="T44" i="12"/>
  <c r="T45" i="12"/>
  <c r="T46" i="12"/>
  <c r="T47" i="12"/>
  <c r="T48" i="12"/>
  <c r="T49" i="12"/>
  <c r="T50" i="12"/>
  <c r="T51" i="12"/>
  <c r="T52" i="12"/>
  <c r="T53" i="12"/>
  <c r="T54" i="12"/>
  <c r="T55" i="12"/>
  <c r="T56" i="12"/>
  <c r="T57" i="12"/>
  <c r="T58" i="12"/>
  <c r="T59" i="12"/>
  <c r="T60" i="12"/>
  <c r="T61" i="12"/>
  <c r="T62" i="12"/>
  <c r="T63" i="12"/>
  <c r="T64" i="12"/>
  <c r="T65" i="12"/>
  <c r="T66" i="12"/>
  <c r="T67" i="12"/>
  <c r="T68" i="12"/>
  <c r="T69" i="12"/>
  <c r="T70" i="12"/>
  <c r="T71" i="12"/>
  <c r="T72" i="12"/>
  <c r="T73" i="12"/>
  <c r="T74" i="12"/>
  <c r="T75" i="12"/>
  <c r="T76" i="12"/>
  <c r="T77" i="12"/>
  <c r="T78" i="12"/>
  <c r="T79" i="12"/>
  <c r="T80" i="12"/>
  <c r="T81" i="12"/>
  <c r="T82" i="12"/>
  <c r="T83" i="12"/>
  <c r="T84" i="12"/>
  <c r="T85" i="12"/>
  <c r="T86" i="12"/>
  <c r="T87" i="12"/>
  <c r="T88" i="12"/>
  <c r="T89" i="12"/>
  <c r="T90" i="12"/>
  <c r="T91" i="12"/>
  <c r="T92" i="12"/>
  <c r="T93" i="12"/>
  <c r="T94" i="12"/>
  <c r="T95" i="12"/>
  <c r="T96" i="12"/>
  <c r="T97" i="12"/>
  <c r="T98" i="12"/>
  <c r="T99" i="12"/>
  <c r="T100" i="12"/>
  <c r="T101" i="12"/>
  <c r="T102" i="12"/>
  <c r="T103" i="12"/>
  <c r="T104" i="12"/>
  <c r="T105" i="12"/>
  <c r="T106" i="12"/>
  <c r="T107" i="12"/>
  <c r="T108" i="12"/>
  <c r="T109" i="12"/>
  <c r="T110" i="12"/>
  <c r="T111" i="12"/>
  <c r="T112" i="12"/>
  <c r="T113" i="12"/>
  <c r="T114" i="12"/>
  <c r="T115" i="12"/>
  <c r="T116" i="12"/>
  <c r="T117" i="12"/>
  <c r="T118" i="12"/>
  <c r="T119" i="12"/>
  <c r="T120" i="12"/>
  <c r="T121" i="12"/>
  <c r="T122" i="12"/>
  <c r="T123" i="12"/>
  <c r="T124" i="12"/>
  <c r="T125" i="12"/>
  <c r="T126" i="12"/>
  <c r="T127" i="12"/>
  <c r="T128" i="12"/>
  <c r="T129" i="12"/>
  <c r="T130" i="12"/>
  <c r="T131" i="12"/>
  <c r="T132" i="12"/>
  <c r="T133" i="12"/>
  <c r="T134" i="12"/>
  <c r="T135" i="12"/>
  <c r="T136" i="12"/>
  <c r="T137" i="12"/>
  <c r="T138" i="12"/>
  <c r="T139" i="12"/>
  <c r="T140" i="12"/>
  <c r="T141" i="12"/>
  <c r="T142" i="12"/>
  <c r="T143" i="12"/>
  <c r="T144" i="12"/>
  <c r="T145" i="12"/>
  <c r="T146" i="12"/>
  <c r="T147" i="12"/>
  <c r="T148" i="12"/>
  <c r="T149" i="12"/>
  <c r="T150" i="12"/>
  <c r="T151" i="12"/>
  <c r="T152" i="12"/>
  <c r="T153" i="12"/>
  <c r="T154" i="12"/>
  <c r="T155" i="12"/>
  <c r="T156" i="12"/>
  <c r="T157" i="12"/>
  <c r="T158" i="12"/>
  <c r="T159" i="12"/>
  <c r="T160" i="12"/>
  <c r="T161" i="12"/>
  <c r="T162" i="12"/>
  <c r="T163" i="12"/>
  <c r="T164" i="12"/>
  <c r="T165" i="12"/>
  <c r="T166" i="12"/>
  <c r="T167" i="12"/>
  <c r="T168" i="12"/>
  <c r="T169" i="12"/>
  <c r="T170" i="12"/>
  <c r="T171" i="12"/>
  <c r="T172" i="12"/>
  <c r="T173" i="12"/>
  <c r="T174" i="12"/>
  <c r="T175" i="12"/>
  <c r="T176" i="12"/>
  <c r="T177" i="12"/>
  <c r="T178" i="12"/>
  <c r="T179" i="12"/>
  <c r="T180" i="12"/>
  <c r="T181" i="12"/>
  <c r="T182" i="12"/>
  <c r="T183" i="12"/>
  <c r="T184" i="12"/>
  <c r="T185" i="12"/>
  <c r="T186" i="12"/>
  <c r="T187" i="12"/>
  <c r="T188" i="12"/>
  <c r="T189" i="12"/>
  <c r="T190" i="12"/>
  <c r="T191" i="12"/>
  <c r="T192" i="12"/>
  <c r="T193" i="12"/>
  <c r="T194" i="12"/>
  <c r="T195" i="12"/>
  <c r="T196" i="12"/>
  <c r="T197" i="12"/>
  <c r="T198" i="12"/>
  <c r="T199" i="12"/>
  <c r="T200" i="12"/>
  <c r="T201" i="12"/>
  <c r="T202" i="12"/>
  <c r="T203" i="12"/>
  <c r="T204" i="12"/>
  <c r="T205" i="12"/>
  <c r="T206" i="12"/>
  <c r="T207" i="12"/>
  <c r="T208" i="12"/>
  <c r="T209" i="12"/>
  <c r="T210" i="12"/>
  <c r="T211" i="12"/>
  <c r="T212" i="12"/>
  <c r="T213" i="12"/>
  <c r="T214" i="12"/>
  <c r="T215" i="12"/>
  <c r="T216" i="12"/>
  <c r="T217" i="12"/>
  <c r="T218" i="12"/>
  <c r="T219" i="12"/>
  <c r="T220" i="12"/>
  <c r="T221" i="12"/>
  <c r="T222" i="12"/>
  <c r="T223" i="12"/>
  <c r="T224" i="12"/>
  <c r="T225" i="12"/>
  <c r="T226" i="12"/>
  <c r="T227" i="12"/>
  <c r="T228" i="12"/>
  <c r="T229" i="12"/>
  <c r="T230" i="12"/>
  <c r="T231" i="12"/>
  <c r="T232" i="12"/>
  <c r="T233" i="12"/>
  <c r="T234" i="12"/>
  <c r="T235" i="12"/>
  <c r="T236" i="12"/>
  <c r="T237" i="12"/>
  <c r="T238" i="12"/>
  <c r="T239" i="12"/>
  <c r="T240" i="12"/>
  <c r="T241" i="12"/>
  <c r="T242" i="12"/>
  <c r="T243" i="12"/>
  <c r="T244" i="12"/>
  <c r="T245" i="12"/>
  <c r="T246" i="12"/>
  <c r="T247" i="12"/>
  <c r="T248" i="12"/>
  <c r="T249" i="12"/>
  <c r="T250" i="12"/>
  <c r="T251" i="12"/>
  <c r="T252" i="12"/>
  <c r="T253" i="12"/>
  <c r="T254" i="12"/>
  <c r="T255" i="12"/>
  <c r="T256" i="12"/>
  <c r="T257" i="12"/>
  <c r="T258" i="12"/>
  <c r="T259" i="12"/>
  <c r="T260" i="12"/>
  <c r="T261" i="12"/>
  <c r="T262" i="12"/>
  <c r="T263" i="12"/>
  <c r="T264" i="12"/>
  <c r="T265" i="12"/>
  <c r="T266" i="12"/>
  <c r="T267" i="12"/>
  <c r="T268" i="12"/>
  <c r="T269" i="12"/>
  <c r="T270" i="12"/>
  <c r="T271" i="12"/>
  <c r="T272" i="12"/>
  <c r="T273" i="12"/>
  <c r="T274" i="12"/>
  <c r="T275" i="12"/>
  <c r="T276" i="12"/>
  <c r="T277" i="12"/>
  <c r="T278" i="12"/>
  <c r="T279" i="12"/>
  <c r="T280" i="12"/>
  <c r="T281" i="12"/>
  <c r="T282" i="12"/>
  <c r="T283" i="12"/>
  <c r="T284" i="12"/>
  <c r="T285" i="12"/>
  <c r="T286" i="12"/>
  <c r="T287" i="12"/>
  <c r="T288" i="12"/>
  <c r="T289" i="12"/>
  <c r="T290" i="12"/>
  <c r="T291" i="12"/>
  <c r="T292" i="12"/>
  <c r="T293" i="12"/>
  <c r="T294" i="12"/>
  <c r="T295" i="12"/>
  <c r="T296" i="12"/>
  <c r="T297" i="12"/>
  <c r="T298" i="12"/>
  <c r="T299" i="12"/>
  <c r="T300" i="12"/>
  <c r="T301" i="12"/>
  <c r="T302" i="12"/>
  <c r="T303" i="12"/>
  <c r="T304" i="12"/>
  <c r="T305" i="12"/>
  <c r="T306" i="12"/>
  <c r="T307" i="12"/>
  <c r="T308" i="12"/>
  <c r="T309" i="12"/>
  <c r="T310" i="12"/>
  <c r="T311" i="12"/>
  <c r="T312" i="12"/>
  <c r="T313" i="12"/>
  <c r="T314" i="12"/>
  <c r="T315" i="12"/>
  <c r="T316" i="12"/>
  <c r="T317" i="12"/>
  <c r="T318" i="12"/>
  <c r="T319" i="12"/>
  <c r="T320" i="12"/>
  <c r="T321" i="12"/>
  <c r="T322" i="12"/>
  <c r="T323" i="12"/>
  <c r="T324" i="12"/>
  <c r="T325" i="12"/>
  <c r="T326" i="12"/>
  <c r="T327" i="12"/>
  <c r="T328" i="12"/>
  <c r="T329" i="12"/>
  <c r="T330" i="12"/>
  <c r="T331" i="12"/>
  <c r="T332" i="12"/>
  <c r="T333" i="12"/>
  <c r="T334" i="12"/>
  <c r="T335" i="12"/>
  <c r="T336" i="12"/>
  <c r="T337" i="12"/>
  <c r="T338" i="12"/>
  <c r="T339" i="12"/>
  <c r="T340" i="12"/>
  <c r="T341" i="12"/>
  <c r="T342" i="12"/>
  <c r="T343" i="12"/>
  <c r="T344" i="12"/>
  <c r="T4" i="12"/>
  <c r="H373" i="9" l="1"/>
  <c r="C358" i="11"/>
  <c r="N389" i="12"/>
  <c r="N373" i="12"/>
  <c r="N357" i="12"/>
  <c r="N358" i="12"/>
  <c r="N388" i="12"/>
  <c r="N380" i="12"/>
  <c r="N372" i="12"/>
  <c r="N364" i="12"/>
  <c r="N356" i="12"/>
  <c r="N348" i="12"/>
  <c r="N387" i="12"/>
  <c r="N379" i="12"/>
  <c r="N371" i="12"/>
  <c r="N363" i="12"/>
  <c r="N355" i="12"/>
  <c r="N347" i="12"/>
  <c r="N386" i="12"/>
  <c r="N378" i="12"/>
  <c r="N370" i="12"/>
  <c r="N362" i="12"/>
  <c r="N354" i="12"/>
  <c r="N385" i="12"/>
  <c r="N377" i="12"/>
  <c r="N369" i="12"/>
  <c r="N361" i="12"/>
  <c r="N353" i="12"/>
  <c r="N346" i="12"/>
  <c r="N384" i="12"/>
  <c r="N376" i="12"/>
  <c r="N368" i="12"/>
  <c r="N360" i="12"/>
  <c r="N352" i="12"/>
  <c r="N391" i="12"/>
  <c r="N383" i="12"/>
  <c r="N375" i="12"/>
  <c r="N367" i="12"/>
  <c r="N359" i="12"/>
  <c r="N351" i="12"/>
  <c r="N382" i="12"/>
  <c r="N374" i="12"/>
  <c r="N366" i="12"/>
  <c r="N350" i="12"/>
  <c r="N365" i="12"/>
  <c r="V267" i="12"/>
  <c r="U267" i="12"/>
  <c r="H374" i="9" l="1"/>
  <c r="C359" i="11"/>
  <c r="C19" i="11"/>
  <c r="C20" i="11"/>
  <c r="C21" i="11"/>
  <c r="C22" i="11"/>
  <c r="C23" i="11"/>
  <c r="C24" i="11"/>
  <c r="C25" i="11"/>
  <c r="C26" i="11"/>
  <c r="C27" i="11"/>
  <c r="C28" i="11"/>
  <c r="C29" i="11"/>
  <c r="C30" i="11"/>
  <c r="C31" i="11"/>
  <c r="C32" i="11"/>
  <c r="C33" i="11"/>
  <c r="C34" i="11"/>
  <c r="C35" i="11"/>
  <c r="C36" i="11"/>
  <c r="C37" i="11"/>
  <c r="C38" i="11"/>
  <c r="C39" i="11"/>
  <c r="C40" i="11"/>
  <c r="C41" i="11"/>
  <c r="C42" i="11"/>
  <c r="C43" i="11"/>
  <c r="C44" i="11"/>
  <c r="C45" i="11"/>
  <c r="C46" i="11"/>
  <c r="C47" i="11"/>
  <c r="C48" i="11"/>
  <c r="C49" i="11"/>
  <c r="C50" i="11"/>
  <c r="C51" i="11"/>
  <c r="C52" i="11"/>
  <c r="C53" i="11"/>
  <c r="C54" i="11"/>
  <c r="C55" i="11"/>
  <c r="C56" i="11"/>
  <c r="C57" i="11"/>
  <c r="C58" i="11"/>
  <c r="C59" i="11"/>
  <c r="C60" i="11"/>
  <c r="C61" i="11"/>
  <c r="C62" i="11"/>
  <c r="C63" i="11"/>
  <c r="C64" i="11"/>
  <c r="C65" i="11"/>
  <c r="C66" i="11"/>
  <c r="C67" i="11"/>
  <c r="C68" i="11"/>
  <c r="C69" i="11"/>
  <c r="C70" i="11"/>
  <c r="C71" i="11"/>
  <c r="C72" i="11"/>
  <c r="C73" i="11"/>
  <c r="C74" i="11"/>
  <c r="C75" i="11"/>
  <c r="C76" i="11"/>
  <c r="C77" i="11"/>
  <c r="C78" i="11"/>
  <c r="C79" i="11"/>
  <c r="C80" i="11"/>
  <c r="C81" i="11"/>
  <c r="C82" i="11"/>
  <c r="C83" i="11"/>
  <c r="C84" i="11"/>
  <c r="C85" i="11"/>
  <c r="C86" i="11"/>
  <c r="C87" i="11"/>
  <c r="C88" i="11"/>
  <c r="C89" i="11"/>
  <c r="C90" i="11"/>
  <c r="C91" i="11"/>
  <c r="C92" i="11"/>
  <c r="C93" i="11"/>
  <c r="C94" i="11"/>
  <c r="C95" i="11"/>
  <c r="C96" i="11"/>
  <c r="C97" i="11"/>
  <c r="C98" i="11"/>
  <c r="C99" i="11"/>
  <c r="C100" i="11"/>
  <c r="C101" i="11"/>
  <c r="C102" i="11"/>
  <c r="C103" i="11"/>
  <c r="C104" i="11"/>
  <c r="C105" i="11"/>
  <c r="C106" i="11"/>
  <c r="C107" i="11"/>
  <c r="C108" i="11"/>
  <c r="C109" i="11"/>
  <c r="C110" i="11"/>
  <c r="C111" i="11"/>
  <c r="C112" i="11"/>
  <c r="C113" i="11"/>
  <c r="C114" i="11"/>
  <c r="C115" i="11"/>
  <c r="C116" i="11"/>
  <c r="C117" i="11"/>
  <c r="C118" i="11"/>
  <c r="C119" i="11"/>
  <c r="C120" i="11"/>
  <c r="C121" i="11"/>
  <c r="C122" i="11"/>
  <c r="C123" i="11"/>
  <c r="C124" i="11"/>
  <c r="C125" i="11"/>
  <c r="C126" i="11"/>
  <c r="C127" i="11"/>
  <c r="C128" i="11"/>
  <c r="C129" i="11"/>
  <c r="C130" i="11"/>
  <c r="C131" i="11"/>
  <c r="C132" i="11"/>
  <c r="C133" i="11"/>
  <c r="C134" i="11"/>
  <c r="C135" i="11"/>
  <c r="C136" i="11"/>
  <c r="C137" i="11"/>
  <c r="C138" i="11"/>
  <c r="C139" i="11"/>
  <c r="C140" i="11"/>
  <c r="C141" i="11"/>
  <c r="C142" i="11"/>
  <c r="C143" i="11"/>
  <c r="C144" i="11"/>
  <c r="C145" i="11"/>
  <c r="C146" i="11"/>
  <c r="C147" i="11"/>
  <c r="C148" i="11"/>
  <c r="C149" i="11"/>
  <c r="C150" i="11"/>
  <c r="C151" i="11"/>
  <c r="C152" i="11"/>
  <c r="C153" i="11"/>
  <c r="C154" i="11"/>
  <c r="C155" i="11"/>
  <c r="C156" i="11"/>
  <c r="C157" i="11"/>
  <c r="C158" i="11"/>
  <c r="C159" i="11"/>
  <c r="C160" i="11"/>
  <c r="C161" i="11"/>
  <c r="C162" i="11"/>
  <c r="C163" i="11"/>
  <c r="C164" i="11"/>
  <c r="C165" i="11"/>
  <c r="C166" i="11"/>
  <c r="C167" i="11"/>
  <c r="C168" i="11"/>
  <c r="C169" i="11"/>
  <c r="C170" i="11"/>
  <c r="C171" i="11"/>
  <c r="C172" i="11"/>
  <c r="C173" i="11"/>
  <c r="C174" i="11"/>
  <c r="C175" i="11"/>
  <c r="C176" i="11"/>
  <c r="C177" i="11"/>
  <c r="C178" i="11"/>
  <c r="C179" i="11"/>
  <c r="C180" i="11"/>
  <c r="C181" i="11"/>
  <c r="C182" i="11"/>
  <c r="C183" i="11"/>
  <c r="C184" i="11"/>
  <c r="C185" i="11"/>
  <c r="C186" i="11"/>
  <c r="C187" i="11"/>
  <c r="C188" i="11"/>
  <c r="C189" i="11"/>
  <c r="C190" i="11"/>
  <c r="C191" i="11"/>
  <c r="C192" i="11"/>
  <c r="C193" i="11"/>
  <c r="C194" i="11"/>
  <c r="C195" i="11"/>
  <c r="C196" i="11"/>
  <c r="C197" i="11"/>
  <c r="C198" i="11"/>
  <c r="C199" i="11"/>
  <c r="C200" i="11"/>
  <c r="C201" i="11"/>
  <c r="C202" i="11"/>
  <c r="C203" i="11"/>
  <c r="C204" i="11"/>
  <c r="C205" i="11"/>
  <c r="C206" i="11"/>
  <c r="C207" i="11"/>
  <c r="C208" i="11"/>
  <c r="C209" i="11"/>
  <c r="C210" i="11"/>
  <c r="C211" i="11"/>
  <c r="C212" i="11"/>
  <c r="C213" i="11"/>
  <c r="C214" i="11"/>
  <c r="C215" i="11"/>
  <c r="C216" i="11"/>
  <c r="C217" i="11"/>
  <c r="C218" i="11"/>
  <c r="C219" i="11"/>
  <c r="C220" i="11"/>
  <c r="C221" i="11"/>
  <c r="C222" i="11"/>
  <c r="C223" i="11"/>
  <c r="C224" i="11"/>
  <c r="C225" i="11"/>
  <c r="C226" i="11"/>
  <c r="C227" i="11"/>
  <c r="C228" i="11"/>
  <c r="C229" i="11"/>
  <c r="C230" i="11"/>
  <c r="C231" i="11"/>
  <c r="C232" i="11"/>
  <c r="C233" i="11"/>
  <c r="C234" i="11"/>
  <c r="C235" i="11"/>
  <c r="C236" i="11"/>
  <c r="C237" i="11"/>
  <c r="C238" i="11"/>
  <c r="C239" i="11"/>
  <c r="C240" i="11"/>
  <c r="C241" i="11"/>
  <c r="C242" i="11"/>
  <c r="C243" i="11"/>
  <c r="C244" i="11"/>
  <c r="C245" i="11"/>
  <c r="C246" i="11"/>
  <c r="C247" i="11"/>
  <c r="C248" i="11"/>
  <c r="C249" i="11"/>
  <c r="C250" i="11"/>
  <c r="C251" i="11"/>
  <c r="C252" i="11"/>
  <c r="C253" i="11"/>
  <c r="C254" i="11"/>
  <c r="C255" i="11"/>
  <c r="C256" i="11"/>
  <c r="C257" i="11"/>
  <c r="C258" i="11"/>
  <c r="C259" i="11"/>
  <c r="C260" i="11"/>
  <c r="C261" i="11"/>
  <c r="C262" i="11"/>
  <c r="C263" i="11"/>
  <c r="C264" i="11"/>
  <c r="C265" i="11"/>
  <c r="C266" i="11"/>
  <c r="C267" i="11"/>
  <c r="C268" i="11"/>
  <c r="C269" i="11"/>
  <c r="C270" i="11"/>
  <c r="C271" i="11"/>
  <c r="C272" i="11"/>
  <c r="C273" i="11"/>
  <c r="C274" i="11"/>
  <c r="C275" i="11"/>
  <c r="C276" i="11"/>
  <c r="C277" i="11"/>
  <c r="C278" i="11"/>
  <c r="C279" i="11"/>
  <c r="C280" i="11"/>
  <c r="C281" i="11"/>
  <c r="C282" i="11"/>
  <c r="C283" i="11"/>
  <c r="C284" i="11"/>
  <c r="C285" i="11"/>
  <c r="C286" i="11"/>
  <c r="C287" i="11"/>
  <c r="C288" i="11"/>
  <c r="C289" i="11"/>
  <c r="C290" i="11"/>
  <c r="C291" i="11"/>
  <c r="C292" i="11"/>
  <c r="C293" i="11"/>
  <c r="C294" i="11"/>
  <c r="C295" i="11"/>
  <c r="C296" i="11"/>
  <c r="C297" i="11"/>
  <c r="C298" i="11"/>
  <c r="C299" i="11"/>
  <c r="C300" i="11"/>
  <c r="C301" i="11"/>
  <c r="C302" i="11"/>
  <c r="C303" i="11"/>
  <c r="C304" i="11"/>
  <c r="C305" i="11"/>
  <c r="C306" i="11"/>
  <c r="C307" i="11"/>
  <c r="C308" i="11"/>
  <c r="C309" i="11"/>
  <c r="C310" i="11"/>
  <c r="C311" i="11"/>
  <c r="C312" i="11"/>
  <c r="C313" i="11"/>
  <c r="C314" i="11"/>
  <c r="C315" i="11"/>
  <c r="C316" i="11"/>
  <c r="C317" i="11"/>
  <c r="C318" i="11"/>
  <c r="C319" i="11"/>
  <c r="C320" i="11"/>
  <c r="C321" i="11"/>
  <c r="C322" i="11"/>
  <c r="C323" i="11"/>
  <c r="C324" i="11"/>
  <c r="C325" i="11"/>
  <c r="C326" i="11"/>
  <c r="C327" i="11"/>
  <c r="C328" i="11"/>
  <c r="C329" i="11"/>
  <c r="C330" i="11"/>
  <c r="C331" i="11"/>
  <c r="C332" i="11"/>
  <c r="C333" i="11"/>
  <c r="C334" i="11"/>
  <c r="C335" i="11"/>
  <c r="C336" i="11"/>
  <c r="C337" i="11"/>
  <c r="C338" i="11"/>
  <c r="C339" i="11"/>
  <c r="C340" i="11"/>
  <c r="C341" i="11"/>
  <c r="C342" i="11"/>
  <c r="C343" i="11"/>
  <c r="C344" i="11"/>
  <c r="C345" i="11"/>
  <c r="C346" i="11"/>
  <c r="C347" i="11"/>
  <c r="C348" i="11"/>
  <c r="C349" i="11"/>
  <c r="C350" i="11"/>
  <c r="C351" i="11"/>
  <c r="C352" i="11"/>
  <c r="C353" i="11"/>
  <c r="C354" i="11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46" i="9"/>
  <c r="G47" i="9"/>
  <c r="G48" i="9"/>
  <c r="G49" i="9"/>
  <c r="G50" i="9"/>
  <c r="G51" i="9"/>
  <c r="G52" i="9"/>
  <c r="G53" i="9"/>
  <c r="G54" i="9"/>
  <c r="G55" i="9"/>
  <c r="G56" i="9"/>
  <c r="G57" i="9"/>
  <c r="G58" i="9"/>
  <c r="G59" i="9"/>
  <c r="G60" i="9"/>
  <c r="G61" i="9"/>
  <c r="G62" i="9"/>
  <c r="G63" i="9"/>
  <c r="G64" i="9"/>
  <c r="G65" i="9"/>
  <c r="G66" i="9"/>
  <c r="G67" i="9"/>
  <c r="G68" i="9"/>
  <c r="G69" i="9"/>
  <c r="G70" i="9"/>
  <c r="G71" i="9"/>
  <c r="G72" i="9"/>
  <c r="G73" i="9"/>
  <c r="G74" i="9"/>
  <c r="G75" i="9"/>
  <c r="G76" i="9"/>
  <c r="G77" i="9"/>
  <c r="G78" i="9"/>
  <c r="G79" i="9"/>
  <c r="G80" i="9"/>
  <c r="G81" i="9"/>
  <c r="G82" i="9"/>
  <c r="G83" i="9"/>
  <c r="G84" i="9"/>
  <c r="G85" i="9"/>
  <c r="G86" i="9"/>
  <c r="G87" i="9"/>
  <c r="G88" i="9"/>
  <c r="G89" i="9"/>
  <c r="G90" i="9"/>
  <c r="G91" i="9"/>
  <c r="G92" i="9"/>
  <c r="G93" i="9"/>
  <c r="G94" i="9"/>
  <c r="G95" i="9"/>
  <c r="G96" i="9"/>
  <c r="G97" i="9"/>
  <c r="G98" i="9"/>
  <c r="G99" i="9"/>
  <c r="G100" i="9"/>
  <c r="G101" i="9"/>
  <c r="G102" i="9"/>
  <c r="G103" i="9"/>
  <c r="G104" i="9"/>
  <c r="G105" i="9"/>
  <c r="G106" i="9"/>
  <c r="G107" i="9"/>
  <c r="G108" i="9"/>
  <c r="G109" i="9"/>
  <c r="G110" i="9"/>
  <c r="G111" i="9"/>
  <c r="G112" i="9"/>
  <c r="G113" i="9"/>
  <c r="G114" i="9"/>
  <c r="G115" i="9"/>
  <c r="G116" i="9"/>
  <c r="G117" i="9"/>
  <c r="G118" i="9"/>
  <c r="G119" i="9"/>
  <c r="G120" i="9"/>
  <c r="G121" i="9"/>
  <c r="G122" i="9"/>
  <c r="G123" i="9"/>
  <c r="G124" i="9"/>
  <c r="G125" i="9"/>
  <c r="G126" i="9"/>
  <c r="G127" i="9"/>
  <c r="G128" i="9"/>
  <c r="G129" i="9"/>
  <c r="G130" i="9"/>
  <c r="G131" i="9"/>
  <c r="G132" i="9"/>
  <c r="G133" i="9"/>
  <c r="G134" i="9"/>
  <c r="G135" i="9"/>
  <c r="G136" i="9"/>
  <c r="G137" i="9"/>
  <c r="G138" i="9"/>
  <c r="G139" i="9"/>
  <c r="G140" i="9"/>
  <c r="G141" i="9"/>
  <c r="G142" i="9"/>
  <c r="G143" i="9"/>
  <c r="G144" i="9"/>
  <c r="G145" i="9"/>
  <c r="G146" i="9"/>
  <c r="G147" i="9"/>
  <c r="G148" i="9"/>
  <c r="G149" i="9"/>
  <c r="G150" i="9"/>
  <c r="G151" i="9"/>
  <c r="G152" i="9"/>
  <c r="G153" i="9"/>
  <c r="G154" i="9"/>
  <c r="G155" i="9"/>
  <c r="G156" i="9"/>
  <c r="G157" i="9"/>
  <c r="G158" i="9"/>
  <c r="G159" i="9"/>
  <c r="G160" i="9"/>
  <c r="G161" i="9"/>
  <c r="G162" i="9"/>
  <c r="G163" i="9"/>
  <c r="G164" i="9"/>
  <c r="G165" i="9"/>
  <c r="G166" i="9"/>
  <c r="G167" i="9"/>
  <c r="G168" i="9"/>
  <c r="G169" i="9"/>
  <c r="G170" i="9"/>
  <c r="G171" i="9"/>
  <c r="G172" i="9"/>
  <c r="G173" i="9"/>
  <c r="G174" i="9"/>
  <c r="G175" i="9"/>
  <c r="G176" i="9"/>
  <c r="G177" i="9"/>
  <c r="G178" i="9"/>
  <c r="G179" i="9"/>
  <c r="G180" i="9"/>
  <c r="G181" i="9"/>
  <c r="G182" i="9"/>
  <c r="G183" i="9"/>
  <c r="G184" i="9"/>
  <c r="G185" i="9"/>
  <c r="G186" i="9"/>
  <c r="G187" i="9"/>
  <c r="G188" i="9"/>
  <c r="G189" i="9"/>
  <c r="G190" i="9"/>
  <c r="G191" i="9"/>
  <c r="G192" i="9"/>
  <c r="G193" i="9"/>
  <c r="G194" i="9"/>
  <c r="G195" i="9"/>
  <c r="G196" i="9"/>
  <c r="G197" i="9"/>
  <c r="G198" i="9"/>
  <c r="G199" i="9"/>
  <c r="G200" i="9"/>
  <c r="G201" i="9"/>
  <c r="G202" i="9"/>
  <c r="G203" i="9"/>
  <c r="G204" i="9"/>
  <c r="G205" i="9"/>
  <c r="G206" i="9"/>
  <c r="G207" i="9"/>
  <c r="G208" i="9"/>
  <c r="G209" i="9"/>
  <c r="G210" i="9"/>
  <c r="G211" i="9"/>
  <c r="G212" i="9"/>
  <c r="G213" i="9"/>
  <c r="G214" i="9"/>
  <c r="G215" i="9"/>
  <c r="G216" i="9"/>
  <c r="G217" i="9"/>
  <c r="G218" i="9"/>
  <c r="G219" i="9"/>
  <c r="G220" i="9"/>
  <c r="G221" i="9"/>
  <c r="G222" i="9"/>
  <c r="G223" i="9"/>
  <c r="G224" i="9"/>
  <c r="G225" i="9"/>
  <c r="G226" i="9"/>
  <c r="G227" i="9"/>
  <c r="G228" i="9"/>
  <c r="G229" i="9"/>
  <c r="G230" i="9"/>
  <c r="G231" i="9"/>
  <c r="G232" i="9"/>
  <c r="G233" i="9"/>
  <c r="G234" i="9"/>
  <c r="G235" i="9"/>
  <c r="G236" i="9"/>
  <c r="G237" i="9"/>
  <c r="G238" i="9"/>
  <c r="G239" i="9"/>
  <c r="G240" i="9"/>
  <c r="G241" i="9"/>
  <c r="G242" i="9"/>
  <c r="G243" i="9"/>
  <c r="G244" i="9"/>
  <c r="G245" i="9"/>
  <c r="G246" i="9"/>
  <c r="G247" i="9"/>
  <c r="G248" i="9"/>
  <c r="G249" i="9"/>
  <c r="G250" i="9"/>
  <c r="G251" i="9"/>
  <c r="G252" i="9"/>
  <c r="G253" i="9"/>
  <c r="G254" i="9"/>
  <c r="G255" i="9"/>
  <c r="G256" i="9"/>
  <c r="G257" i="9"/>
  <c r="G258" i="9"/>
  <c r="G259" i="9"/>
  <c r="G260" i="9"/>
  <c r="G261" i="9"/>
  <c r="G262" i="9"/>
  <c r="G263" i="9"/>
  <c r="G264" i="9"/>
  <c r="G265" i="9"/>
  <c r="G266" i="9"/>
  <c r="G267" i="9"/>
  <c r="G268" i="9"/>
  <c r="G269" i="9"/>
  <c r="G270" i="9"/>
  <c r="G271" i="9"/>
  <c r="G272" i="9"/>
  <c r="G273" i="9"/>
  <c r="G274" i="9"/>
  <c r="G275" i="9"/>
  <c r="G276" i="9"/>
  <c r="G277" i="9"/>
  <c r="G278" i="9"/>
  <c r="G279" i="9"/>
  <c r="G280" i="9"/>
  <c r="G281" i="9"/>
  <c r="G283" i="9"/>
  <c r="G284" i="9"/>
  <c r="G285" i="9"/>
  <c r="G286" i="9"/>
  <c r="G287" i="9"/>
  <c r="G288" i="9"/>
  <c r="G289" i="9"/>
  <c r="G290" i="9"/>
  <c r="G291" i="9"/>
  <c r="G292" i="9"/>
  <c r="G293" i="9"/>
  <c r="G294" i="9"/>
  <c r="G295" i="9"/>
  <c r="G296" i="9"/>
  <c r="G297" i="9"/>
  <c r="G298" i="9"/>
  <c r="G299" i="9"/>
  <c r="G300" i="9"/>
  <c r="G301" i="9"/>
  <c r="G302" i="9"/>
  <c r="G303" i="9"/>
  <c r="G304" i="9"/>
  <c r="G305" i="9"/>
  <c r="G306" i="9"/>
  <c r="G307" i="9"/>
  <c r="G308" i="9"/>
  <c r="G309" i="9"/>
  <c r="G310" i="9"/>
  <c r="G311" i="9"/>
  <c r="G312" i="9"/>
  <c r="G313" i="9"/>
  <c r="G314" i="9"/>
  <c r="G315" i="9"/>
  <c r="G316" i="9"/>
  <c r="G317" i="9"/>
  <c r="G318" i="9"/>
  <c r="G319" i="9"/>
  <c r="G320" i="9"/>
  <c r="G321" i="9"/>
  <c r="G322" i="9"/>
  <c r="G323" i="9"/>
  <c r="G324" i="9"/>
  <c r="G325" i="9"/>
  <c r="G326" i="9"/>
  <c r="G327" i="9"/>
  <c r="G328" i="9"/>
  <c r="G329" i="9"/>
  <c r="G330" i="9"/>
  <c r="G331" i="9"/>
  <c r="G332" i="9"/>
  <c r="G333" i="9"/>
  <c r="G334" i="9"/>
  <c r="G335" i="9"/>
  <c r="G336" i="9"/>
  <c r="G337" i="9"/>
  <c r="G338" i="9"/>
  <c r="G339" i="9"/>
  <c r="G340" i="9"/>
  <c r="G341" i="9"/>
  <c r="G343" i="9"/>
  <c r="G344" i="9"/>
  <c r="G345" i="9"/>
  <c r="G346" i="9"/>
  <c r="G347" i="9"/>
  <c r="G348" i="9"/>
  <c r="G349" i="9"/>
  <c r="G350" i="9"/>
  <c r="G351" i="9"/>
  <c r="G352" i="9"/>
  <c r="G353" i="9"/>
  <c r="G354" i="9"/>
  <c r="G355" i="9"/>
  <c r="G356" i="9"/>
  <c r="G357" i="9"/>
  <c r="G358" i="9"/>
  <c r="G359" i="9"/>
  <c r="G360" i="9"/>
  <c r="G361" i="9"/>
  <c r="G363" i="9"/>
  <c r="G364" i="9"/>
  <c r="G365" i="9"/>
  <c r="G366" i="9"/>
  <c r="G367" i="9"/>
  <c r="G4" i="9"/>
  <c r="H375" i="9" l="1"/>
  <c r="C360" i="11"/>
  <c r="A21" i="12"/>
  <c r="A270" i="12"/>
  <c r="A271" i="12"/>
  <c r="A272" i="12"/>
  <c r="A273" i="12"/>
  <c r="A274" i="12"/>
  <c r="A275" i="12"/>
  <c r="A276" i="12"/>
  <c r="A277" i="12"/>
  <c r="A278" i="12"/>
  <c r="A279" i="12"/>
  <c r="A280" i="12"/>
  <c r="A281" i="12"/>
  <c r="A282" i="12"/>
  <c r="A283" i="12"/>
  <c r="A284" i="12"/>
  <c r="A285" i="12"/>
  <c r="A286" i="12"/>
  <c r="A287" i="12"/>
  <c r="A288" i="12"/>
  <c r="A289" i="12"/>
  <c r="A290" i="12"/>
  <c r="A291" i="12"/>
  <c r="A292" i="12"/>
  <c r="A293" i="12"/>
  <c r="A294" i="12"/>
  <c r="A295" i="12"/>
  <c r="A296" i="12"/>
  <c r="A297" i="12"/>
  <c r="A298" i="12"/>
  <c r="A299" i="12"/>
  <c r="A300" i="12"/>
  <c r="A301" i="12"/>
  <c r="A302" i="12"/>
  <c r="A303" i="12"/>
  <c r="A304" i="12"/>
  <c r="A305" i="12"/>
  <c r="A306" i="12"/>
  <c r="A307" i="12"/>
  <c r="A308" i="12"/>
  <c r="A309" i="12"/>
  <c r="A310" i="12"/>
  <c r="A311" i="12"/>
  <c r="A312" i="12"/>
  <c r="A313" i="12"/>
  <c r="A314" i="12"/>
  <c r="A315" i="12"/>
  <c r="A316" i="12"/>
  <c r="A317" i="12"/>
  <c r="A318" i="12"/>
  <c r="A319" i="12"/>
  <c r="A320" i="12"/>
  <c r="A321" i="12"/>
  <c r="A322" i="12"/>
  <c r="A323" i="12"/>
  <c r="A324" i="12"/>
  <c r="A325" i="12"/>
  <c r="A326" i="12"/>
  <c r="A327" i="12"/>
  <c r="A328" i="12"/>
  <c r="A329" i="12"/>
  <c r="A330" i="12"/>
  <c r="A331" i="12"/>
  <c r="A332" i="12"/>
  <c r="A333" i="12"/>
  <c r="A334" i="12"/>
  <c r="A335" i="12"/>
  <c r="A336" i="12"/>
  <c r="A337" i="12"/>
  <c r="A338" i="12"/>
  <c r="A339" i="12"/>
  <c r="A340" i="12"/>
  <c r="A341" i="12"/>
  <c r="A342" i="12"/>
  <c r="A343" i="12"/>
  <c r="A344" i="12"/>
  <c r="A268" i="12"/>
  <c r="A269" i="12"/>
  <c r="A5" i="12"/>
  <c r="A6" i="12"/>
  <c r="A7" i="12"/>
  <c r="A8" i="12"/>
  <c r="A9" i="12"/>
  <c r="A10" i="12"/>
  <c r="A11" i="12"/>
  <c r="A12" i="12"/>
  <c r="A13" i="12"/>
  <c r="A14" i="12"/>
  <c r="A15" i="12"/>
  <c r="A16" i="12"/>
  <c r="A17" i="12"/>
  <c r="A18" i="12"/>
  <c r="A19" i="12"/>
  <c r="A20" i="12"/>
  <c r="A22" i="12"/>
  <c r="A23" i="12"/>
  <c r="A24" i="12"/>
  <c r="A25" i="12"/>
  <c r="A26" i="12"/>
  <c r="A27" i="12"/>
  <c r="A28" i="12"/>
  <c r="A29" i="12"/>
  <c r="A30" i="12"/>
  <c r="A31" i="12"/>
  <c r="A32" i="12"/>
  <c r="A33" i="12"/>
  <c r="A34" i="12"/>
  <c r="A35" i="12"/>
  <c r="A36" i="12"/>
  <c r="A37" i="12"/>
  <c r="A38" i="12"/>
  <c r="A39" i="12"/>
  <c r="A40" i="12"/>
  <c r="A41" i="12"/>
  <c r="A42" i="12"/>
  <c r="A43" i="12"/>
  <c r="A44" i="12"/>
  <c r="A45" i="12"/>
  <c r="A46" i="12"/>
  <c r="A47" i="12"/>
  <c r="A48" i="12"/>
  <c r="A49" i="12"/>
  <c r="A50" i="12"/>
  <c r="A51" i="12"/>
  <c r="A52" i="12"/>
  <c r="A53" i="12"/>
  <c r="A54" i="12"/>
  <c r="A55" i="12"/>
  <c r="A56" i="12"/>
  <c r="A57" i="12"/>
  <c r="A58" i="12"/>
  <c r="A59" i="12"/>
  <c r="A60" i="12"/>
  <c r="A61" i="12"/>
  <c r="A62" i="12"/>
  <c r="A63" i="12"/>
  <c r="A64" i="12"/>
  <c r="A65" i="12"/>
  <c r="A66" i="12"/>
  <c r="A67" i="12"/>
  <c r="A68" i="12"/>
  <c r="A69" i="12"/>
  <c r="A70" i="12"/>
  <c r="A71" i="12"/>
  <c r="A72" i="12"/>
  <c r="A73" i="12"/>
  <c r="A74" i="12"/>
  <c r="A75" i="12"/>
  <c r="A76" i="12"/>
  <c r="A77" i="12"/>
  <c r="A78" i="12"/>
  <c r="A79" i="12"/>
  <c r="A80" i="12"/>
  <c r="A81" i="12"/>
  <c r="A82" i="12"/>
  <c r="A83" i="12"/>
  <c r="A84" i="12"/>
  <c r="A85" i="12"/>
  <c r="A86" i="12"/>
  <c r="A87" i="12"/>
  <c r="A88" i="12"/>
  <c r="A89" i="12"/>
  <c r="A90" i="12"/>
  <c r="A91" i="12"/>
  <c r="A92" i="12"/>
  <c r="A93" i="12"/>
  <c r="A94" i="12"/>
  <c r="A95" i="12"/>
  <c r="A96" i="12"/>
  <c r="A97" i="12"/>
  <c r="A98" i="12"/>
  <c r="A99" i="12"/>
  <c r="A100" i="12"/>
  <c r="A101" i="12"/>
  <c r="A102" i="12"/>
  <c r="A103" i="12"/>
  <c r="A104" i="12"/>
  <c r="A105" i="12"/>
  <c r="A106" i="12"/>
  <c r="A107" i="12"/>
  <c r="A108" i="12"/>
  <c r="A109" i="12"/>
  <c r="A110" i="12"/>
  <c r="A111" i="12"/>
  <c r="A112" i="12"/>
  <c r="A113" i="12"/>
  <c r="A114" i="12"/>
  <c r="A115" i="12"/>
  <c r="A116" i="12"/>
  <c r="A117" i="12"/>
  <c r="A118" i="12"/>
  <c r="A119" i="12"/>
  <c r="A120" i="12"/>
  <c r="A121" i="12"/>
  <c r="A122" i="12"/>
  <c r="A123" i="12"/>
  <c r="A124" i="12"/>
  <c r="A125" i="12"/>
  <c r="A126" i="12"/>
  <c r="A127" i="12"/>
  <c r="A128" i="12"/>
  <c r="A129" i="12"/>
  <c r="A130" i="12"/>
  <c r="A131" i="12"/>
  <c r="A132" i="12"/>
  <c r="A133" i="12"/>
  <c r="A134" i="12"/>
  <c r="A135" i="12"/>
  <c r="A136" i="12"/>
  <c r="A137" i="12"/>
  <c r="A138" i="12"/>
  <c r="A139" i="12"/>
  <c r="A140" i="12"/>
  <c r="A141" i="12"/>
  <c r="A142" i="12"/>
  <c r="A143" i="12"/>
  <c r="A144" i="12"/>
  <c r="A145" i="12"/>
  <c r="A146" i="12"/>
  <c r="A147" i="12"/>
  <c r="A148" i="12"/>
  <c r="A149" i="12"/>
  <c r="A150" i="12"/>
  <c r="A151" i="12"/>
  <c r="A152" i="12"/>
  <c r="A153" i="12"/>
  <c r="A154" i="12"/>
  <c r="A155" i="12"/>
  <c r="A156" i="12"/>
  <c r="A157" i="12"/>
  <c r="A158" i="12"/>
  <c r="A159" i="12"/>
  <c r="A160" i="12"/>
  <c r="A161" i="12"/>
  <c r="A162" i="12"/>
  <c r="A163" i="12"/>
  <c r="A164" i="12"/>
  <c r="A165" i="12"/>
  <c r="A166" i="12"/>
  <c r="A167" i="12"/>
  <c r="A168" i="12"/>
  <c r="A169" i="12"/>
  <c r="A170" i="12"/>
  <c r="A171" i="12"/>
  <c r="A172" i="12"/>
  <c r="A173" i="12"/>
  <c r="A174" i="12"/>
  <c r="A175" i="12"/>
  <c r="A176" i="12"/>
  <c r="A177" i="12"/>
  <c r="A178" i="12"/>
  <c r="A179" i="12"/>
  <c r="A180" i="12"/>
  <c r="A181" i="12"/>
  <c r="A182" i="12"/>
  <c r="A183" i="12"/>
  <c r="A184" i="12"/>
  <c r="A185" i="12"/>
  <c r="A186" i="12"/>
  <c r="A187" i="12"/>
  <c r="A188" i="12"/>
  <c r="A189" i="12"/>
  <c r="A190" i="12"/>
  <c r="A191" i="12"/>
  <c r="A192" i="12"/>
  <c r="A193" i="12"/>
  <c r="A194" i="12"/>
  <c r="A195" i="12"/>
  <c r="A196" i="12"/>
  <c r="A197" i="12"/>
  <c r="A198" i="12"/>
  <c r="A199" i="12"/>
  <c r="A200" i="12"/>
  <c r="A201" i="12"/>
  <c r="A202" i="12"/>
  <c r="A203" i="12"/>
  <c r="A204" i="12"/>
  <c r="A205" i="12"/>
  <c r="A206" i="12"/>
  <c r="A207" i="12"/>
  <c r="A208" i="12"/>
  <c r="A209" i="12"/>
  <c r="A210" i="12"/>
  <c r="A211" i="12"/>
  <c r="A212" i="12"/>
  <c r="A213" i="12"/>
  <c r="A214" i="12"/>
  <c r="A215" i="12"/>
  <c r="A216" i="12"/>
  <c r="A217" i="12"/>
  <c r="A218" i="12"/>
  <c r="A219" i="12"/>
  <c r="A220" i="12"/>
  <c r="A221" i="12"/>
  <c r="A222" i="12"/>
  <c r="A223" i="12"/>
  <c r="A224" i="12"/>
  <c r="A225" i="12"/>
  <c r="A226" i="12"/>
  <c r="A227" i="12"/>
  <c r="A228" i="12"/>
  <c r="A229" i="12"/>
  <c r="A230" i="12"/>
  <c r="A231" i="12"/>
  <c r="A232" i="12"/>
  <c r="A233" i="12"/>
  <c r="A234" i="12"/>
  <c r="A235" i="12"/>
  <c r="A236" i="12"/>
  <c r="A237" i="12"/>
  <c r="A238" i="12"/>
  <c r="A239" i="12"/>
  <c r="A240" i="12"/>
  <c r="A241" i="12"/>
  <c r="A242" i="12"/>
  <c r="A243" i="12"/>
  <c r="A244" i="12"/>
  <c r="A245" i="12"/>
  <c r="A246" i="12"/>
  <c r="A247" i="12"/>
  <c r="A248" i="12"/>
  <c r="A249" i="12"/>
  <c r="A250" i="12"/>
  <c r="A251" i="12"/>
  <c r="A252" i="12"/>
  <c r="A253" i="12"/>
  <c r="A254" i="12"/>
  <c r="A255" i="12"/>
  <c r="A256" i="12"/>
  <c r="A257" i="12"/>
  <c r="A258" i="12"/>
  <c r="A259" i="12"/>
  <c r="A260" i="12"/>
  <c r="A261" i="12"/>
  <c r="A262" i="12"/>
  <c r="A263" i="12"/>
  <c r="A264" i="12"/>
  <c r="A265" i="12"/>
  <c r="A266" i="12"/>
  <c r="A267" i="12"/>
  <c r="A4" i="12"/>
  <c r="L46" i="9"/>
  <c r="L80" i="9"/>
  <c r="L109" i="9"/>
  <c r="L189" i="9"/>
  <c r="L232" i="9"/>
  <c r="L282" i="9"/>
  <c r="L298" i="9"/>
  <c r="L342" i="9"/>
  <c r="L362" i="9"/>
  <c r="L24" i="9"/>
  <c r="K370" i="9"/>
  <c r="K363" i="9"/>
  <c r="K343" i="9"/>
  <c r="K299" i="9"/>
  <c r="K283" i="9"/>
  <c r="K233" i="9"/>
  <c r="K190" i="9"/>
  <c r="K110" i="9"/>
  <c r="K81" i="9"/>
  <c r="K47" i="9"/>
  <c r="K25" i="9"/>
  <c r="L3" i="9"/>
  <c r="H3" i="9"/>
  <c r="L370" i="9" l="1"/>
  <c r="F356" i="11" s="1"/>
  <c r="I356" i="11"/>
  <c r="K371" i="9"/>
  <c r="M370" i="9"/>
  <c r="D356" i="11" s="1"/>
  <c r="H376" i="9"/>
  <c r="C361" i="11"/>
  <c r="N289" i="11"/>
  <c r="N321" i="11"/>
  <c r="N8" i="11"/>
  <c r="N16" i="11"/>
  <c r="N24" i="11"/>
  <c r="N32" i="11"/>
  <c r="N40" i="11"/>
  <c r="N48" i="11"/>
  <c r="N56" i="11"/>
  <c r="N64" i="11"/>
  <c r="N72" i="11"/>
  <c r="N80" i="11"/>
  <c r="N88" i="11"/>
  <c r="N96" i="11"/>
  <c r="N104" i="11"/>
  <c r="N112" i="11"/>
  <c r="N120" i="11"/>
  <c r="N128" i="11"/>
  <c r="N136" i="11"/>
  <c r="N144" i="11"/>
  <c r="N152" i="11"/>
  <c r="N160" i="11"/>
  <c r="N168" i="11"/>
  <c r="N176" i="11"/>
  <c r="N184" i="11"/>
  <c r="N192" i="11"/>
  <c r="N200" i="11"/>
  <c r="N208" i="11"/>
  <c r="N216" i="11"/>
  <c r="N224" i="11"/>
  <c r="N232" i="11"/>
  <c r="N240" i="11"/>
  <c r="N248" i="11"/>
  <c r="N256" i="11"/>
  <c r="N264" i="11"/>
  <c r="N272" i="11"/>
  <c r="N285" i="11"/>
  <c r="N295" i="11"/>
  <c r="N307" i="11"/>
  <c r="N317" i="11"/>
  <c r="N327" i="11"/>
  <c r="N337" i="11"/>
  <c r="N348" i="11"/>
  <c r="N251" i="11"/>
  <c r="N310" i="11"/>
  <c r="N351" i="11"/>
  <c r="N290" i="11"/>
  <c r="N322" i="11"/>
  <c r="N277" i="11"/>
  <c r="N9" i="11"/>
  <c r="N17" i="11"/>
  <c r="N25" i="11"/>
  <c r="N33" i="11"/>
  <c r="N41" i="11"/>
  <c r="N49" i="11"/>
  <c r="N57" i="11"/>
  <c r="N65" i="11"/>
  <c r="N73" i="11"/>
  <c r="N81" i="11"/>
  <c r="N89" i="11"/>
  <c r="N97" i="11"/>
  <c r="N105" i="11"/>
  <c r="N113" i="11"/>
  <c r="N121" i="11"/>
  <c r="N129" i="11"/>
  <c r="N137" i="11"/>
  <c r="N145" i="11"/>
  <c r="N153" i="11"/>
  <c r="N161" i="11"/>
  <c r="N169" i="11"/>
  <c r="N177" i="11"/>
  <c r="N185" i="11"/>
  <c r="N193" i="11"/>
  <c r="N201" i="11"/>
  <c r="N209" i="11"/>
  <c r="N217" i="11"/>
  <c r="N225" i="11"/>
  <c r="N233" i="11"/>
  <c r="N241" i="11"/>
  <c r="N249" i="11"/>
  <c r="N257" i="11"/>
  <c r="N265" i="11"/>
  <c r="N273" i="11"/>
  <c r="N286" i="11"/>
  <c r="N296" i="11"/>
  <c r="N308" i="11"/>
  <c r="N318" i="11"/>
  <c r="N328" i="11"/>
  <c r="N339" i="11"/>
  <c r="N349" i="11"/>
  <c r="N259" i="11"/>
  <c r="N300" i="11"/>
  <c r="N341" i="11"/>
  <c r="N297" i="11"/>
  <c r="N329" i="11"/>
  <c r="N10" i="11"/>
  <c r="N18" i="11"/>
  <c r="N26" i="11"/>
  <c r="N34" i="11"/>
  <c r="N42" i="11"/>
  <c r="N50" i="11"/>
  <c r="N58" i="11"/>
  <c r="N66" i="11"/>
  <c r="N74" i="11"/>
  <c r="N82" i="11"/>
  <c r="N90" i="11"/>
  <c r="N98" i="11"/>
  <c r="N106" i="11"/>
  <c r="N114" i="11"/>
  <c r="N122" i="11"/>
  <c r="N130" i="11"/>
  <c r="N138" i="11"/>
  <c r="N146" i="11"/>
  <c r="N154" i="11"/>
  <c r="N162" i="11"/>
  <c r="N170" i="11"/>
  <c r="N178" i="11"/>
  <c r="N186" i="11"/>
  <c r="N194" i="11"/>
  <c r="N202" i="11"/>
  <c r="N210" i="11"/>
  <c r="N218" i="11"/>
  <c r="N226" i="11"/>
  <c r="N234" i="11"/>
  <c r="N242" i="11"/>
  <c r="N250" i="11"/>
  <c r="N258" i="11"/>
  <c r="N266" i="11"/>
  <c r="N276" i="11"/>
  <c r="N287" i="11"/>
  <c r="N299" i="11"/>
  <c r="N309" i="11"/>
  <c r="N319" i="11"/>
  <c r="N331" i="11"/>
  <c r="N340" i="11"/>
  <c r="N350" i="11"/>
  <c r="N243" i="11"/>
  <c r="N288" i="11"/>
  <c r="N332" i="11"/>
  <c r="N354" i="11"/>
  <c r="N298" i="11"/>
  <c r="N330" i="11"/>
  <c r="N3" i="11"/>
  <c r="N11" i="11"/>
  <c r="N19" i="11"/>
  <c r="N27" i="11"/>
  <c r="N35" i="11"/>
  <c r="N43" i="11"/>
  <c r="N51" i="11"/>
  <c r="N59" i="11"/>
  <c r="N67" i="11"/>
  <c r="N75" i="11"/>
  <c r="N83" i="11"/>
  <c r="N91" i="11"/>
  <c r="N99" i="11"/>
  <c r="N107" i="11"/>
  <c r="N115" i="11"/>
  <c r="N123" i="11"/>
  <c r="N131" i="11"/>
  <c r="N139" i="11"/>
  <c r="N147" i="11"/>
  <c r="N155" i="11"/>
  <c r="N163" i="11"/>
  <c r="N171" i="11"/>
  <c r="N179" i="11"/>
  <c r="N187" i="11"/>
  <c r="N195" i="11"/>
  <c r="N203" i="11"/>
  <c r="N211" i="11"/>
  <c r="N219" i="11"/>
  <c r="N227" i="11"/>
  <c r="N235" i="11"/>
  <c r="N267" i="11"/>
  <c r="N278" i="11"/>
  <c r="N320" i="11"/>
  <c r="N306" i="11"/>
  <c r="N345" i="11"/>
  <c r="N5" i="11"/>
  <c r="N13" i="11"/>
  <c r="N21" i="11"/>
  <c r="N29" i="11"/>
  <c r="N37" i="11"/>
  <c r="N45" i="11"/>
  <c r="N53" i="11"/>
  <c r="N61" i="11"/>
  <c r="N69" i="11"/>
  <c r="N77" i="11"/>
  <c r="N85" i="11"/>
  <c r="N93" i="11"/>
  <c r="N101" i="11"/>
  <c r="N109" i="11"/>
  <c r="N117" i="11"/>
  <c r="N125" i="11"/>
  <c r="N133" i="11"/>
  <c r="N141" i="11"/>
  <c r="N149" i="11"/>
  <c r="N157" i="11"/>
  <c r="N165" i="11"/>
  <c r="N173" i="11"/>
  <c r="N181" i="11"/>
  <c r="N189" i="11"/>
  <c r="N197" i="11"/>
  <c r="N205" i="11"/>
  <c r="N213" i="11"/>
  <c r="N221" i="11"/>
  <c r="N229" i="11"/>
  <c r="N237" i="11"/>
  <c r="N245" i="11"/>
  <c r="N253" i="11"/>
  <c r="N261" i="11"/>
  <c r="N269" i="11"/>
  <c r="N280" i="11"/>
  <c r="N292" i="11"/>
  <c r="N302" i="11"/>
  <c r="N312" i="11"/>
  <c r="N324" i="11"/>
  <c r="N334" i="11"/>
  <c r="N343" i="11"/>
  <c r="N2" i="11"/>
  <c r="N313" i="11"/>
  <c r="N346" i="11"/>
  <c r="N6" i="11"/>
  <c r="N14" i="11"/>
  <c r="N22" i="11"/>
  <c r="N30" i="11"/>
  <c r="N38" i="11"/>
  <c r="N46" i="11"/>
  <c r="N54" i="11"/>
  <c r="N62" i="11"/>
  <c r="N70" i="11"/>
  <c r="N78" i="11"/>
  <c r="N86" i="11"/>
  <c r="N94" i="11"/>
  <c r="N102" i="11"/>
  <c r="N110" i="11"/>
  <c r="N118" i="11"/>
  <c r="N126" i="11"/>
  <c r="N134" i="11"/>
  <c r="N142" i="11"/>
  <c r="N150" i="11"/>
  <c r="N158" i="11"/>
  <c r="N166" i="11"/>
  <c r="N174" i="11"/>
  <c r="N182" i="11"/>
  <c r="N190" i="11"/>
  <c r="N198" i="11"/>
  <c r="N206" i="11"/>
  <c r="N214" i="11"/>
  <c r="N222" i="11"/>
  <c r="N230" i="11"/>
  <c r="N238" i="11"/>
  <c r="N246" i="11"/>
  <c r="N254" i="11"/>
  <c r="N262" i="11"/>
  <c r="N270" i="11"/>
  <c r="N283" i="11"/>
  <c r="N293" i="11"/>
  <c r="N303" i="11"/>
  <c r="N315" i="11"/>
  <c r="N325" i="11"/>
  <c r="N335" i="11"/>
  <c r="N344" i="11"/>
  <c r="N282" i="11"/>
  <c r="N314" i="11"/>
  <c r="N353" i="11"/>
  <c r="N7" i="11"/>
  <c r="N15" i="11"/>
  <c r="N23" i="11"/>
  <c r="N31" i="11"/>
  <c r="N39" i="11"/>
  <c r="N47" i="11"/>
  <c r="N55" i="11"/>
  <c r="N63" i="11"/>
  <c r="N71" i="11"/>
  <c r="N79" i="11"/>
  <c r="N87" i="11"/>
  <c r="N95" i="11"/>
  <c r="N103" i="11"/>
  <c r="N111" i="11"/>
  <c r="N119" i="11"/>
  <c r="N127" i="11"/>
  <c r="N135" i="11"/>
  <c r="N143" i="11"/>
  <c r="N151" i="11"/>
  <c r="N159" i="11"/>
  <c r="N167" i="11"/>
  <c r="N175" i="11"/>
  <c r="N183" i="11"/>
  <c r="N191" i="11"/>
  <c r="N199" i="11"/>
  <c r="N207" i="11"/>
  <c r="N215" i="11"/>
  <c r="N223" i="11"/>
  <c r="N231" i="11"/>
  <c r="N239" i="11"/>
  <c r="N247" i="11"/>
  <c r="N255" i="11"/>
  <c r="N263" i="11"/>
  <c r="N271" i="11"/>
  <c r="N284" i="11"/>
  <c r="N294" i="11"/>
  <c r="N304" i="11"/>
  <c r="N316" i="11"/>
  <c r="N326" i="11"/>
  <c r="N336" i="11"/>
  <c r="N347" i="11"/>
  <c r="N338" i="11"/>
  <c r="N44" i="11"/>
  <c r="N108" i="11"/>
  <c r="N172" i="11"/>
  <c r="N236" i="11"/>
  <c r="N311" i="11"/>
  <c r="N76" i="11"/>
  <c r="N140" i="11"/>
  <c r="N204" i="11"/>
  <c r="N352" i="11"/>
  <c r="N52" i="11"/>
  <c r="N116" i="11"/>
  <c r="N180" i="11"/>
  <c r="N244" i="11"/>
  <c r="N323" i="11"/>
  <c r="N12" i="11"/>
  <c r="N268" i="11"/>
  <c r="N60" i="11"/>
  <c r="N124" i="11"/>
  <c r="N188" i="11"/>
  <c r="N252" i="11"/>
  <c r="N333" i="11"/>
  <c r="N4" i="11"/>
  <c r="N68" i="11"/>
  <c r="N132" i="11"/>
  <c r="N196" i="11"/>
  <c r="N260" i="11"/>
  <c r="N342" i="11"/>
  <c r="N20" i="11"/>
  <c r="N84" i="11"/>
  <c r="N148" i="11"/>
  <c r="N212" i="11"/>
  <c r="N279" i="11"/>
  <c r="N28" i="11"/>
  <c r="N92" i="11"/>
  <c r="N156" i="11"/>
  <c r="N220" i="11"/>
  <c r="N291" i="11"/>
  <c r="N305" i="11"/>
  <c r="N36" i="11"/>
  <c r="N100" i="11"/>
  <c r="N164" i="11"/>
  <c r="N228" i="11"/>
  <c r="N301" i="11"/>
  <c r="N275" i="11"/>
  <c r="N281" i="11"/>
  <c r="N274" i="11"/>
  <c r="I182" i="11"/>
  <c r="M190" i="9"/>
  <c r="D182" i="11" s="1"/>
  <c r="E182" i="11" s="1"/>
  <c r="I288" i="11"/>
  <c r="M299" i="9"/>
  <c r="D288" i="11" s="1"/>
  <c r="I75" i="11"/>
  <c r="M81" i="9"/>
  <c r="D75" i="11" s="1"/>
  <c r="I21" i="11"/>
  <c r="M25" i="9"/>
  <c r="D21" i="11" s="1"/>
  <c r="L21" i="11" s="1"/>
  <c r="I331" i="11"/>
  <c r="M343" i="9"/>
  <c r="D331" i="11" s="1"/>
  <c r="E331" i="11" s="1"/>
  <c r="I103" i="11"/>
  <c r="M110" i="9"/>
  <c r="D103" i="11" s="1"/>
  <c r="I224" i="11"/>
  <c r="M233" i="9"/>
  <c r="D224" i="11" s="1"/>
  <c r="I273" i="11"/>
  <c r="M283" i="9"/>
  <c r="D273" i="11" s="1"/>
  <c r="K273" i="11" s="1"/>
  <c r="I42" i="11"/>
  <c r="M47" i="9"/>
  <c r="D42" i="11" s="1"/>
  <c r="K42" i="11" s="1"/>
  <c r="I350" i="11"/>
  <c r="M363" i="9"/>
  <c r="D350" i="11" s="1"/>
  <c r="K344" i="9"/>
  <c r="M344" i="9" s="1"/>
  <c r="D332" i="11" s="1"/>
  <c r="K284" i="9"/>
  <c r="M284" i="9" s="1"/>
  <c r="K300" i="9"/>
  <c r="M300" i="9" s="1"/>
  <c r="D289" i="11" s="1"/>
  <c r="E289" i="11" s="1"/>
  <c r="K111" i="9"/>
  <c r="K191" i="9"/>
  <c r="K234" i="9"/>
  <c r="K364" i="9"/>
  <c r="K82" i="9"/>
  <c r="L299" i="9"/>
  <c r="L363" i="9"/>
  <c r="L81" i="9"/>
  <c r="K26" i="9"/>
  <c r="L190" i="9"/>
  <c r="L110" i="9"/>
  <c r="L47" i="9"/>
  <c r="L343" i="9"/>
  <c r="L25" i="9"/>
  <c r="L283" i="9"/>
  <c r="K48" i="9"/>
  <c r="L233" i="9"/>
  <c r="E356" i="11" l="1"/>
  <c r="K356" i="11"/>
  <c r="L356" i="11"/>
  <c r="H356" i="11"/>
  <c r="K372" i="9"/>
  <c r="I357" i="11"/>
  <c r="L371" i="9"/>
  <c r="F357" i="11" s="1"/>
  <c r="M371" i="9"/>
  <c r="D357" i="11" s="1"/>
  <c r="H377" i="9"/>
  <c r="C362" i="11"/>
  <c r="M356" i="11"/>
  <c r="J356" i="11"/>
  <c r="G356" i="11"/>
  <c r="L42" i="11"/>
  <c r="L182" i="11"/>
  <c r="K75" i="11"/>
  <c r="L75" i="11"/>
  <c r="K224" i="11"/>
  <c r="L224" i="11"/>
  <c r="E224" i="11"/>
  <c r="E103" i="11"/>
  <c r="L103" i="11"/>
  <c r="E75" i="11"/>
  <c r="K332" i="11"/>
  <c r="L332" i="11"/>
  <c r="E332" i="11"/>
  <c r="L288" i="11"/>
  <c r="E288" i="11"/>
  <c r="K288" i="11"/>
  <c r="L350" i="11"/>
  <c r="K350" i="11"/>
  <c r="E350" i="11"/>
  <c r="K103" i="11"/>
  <c r="E273" i="11"/>
  <c r="L273" i="11"/>
  <c r="K331" i="11"/>
  <c r="L331" i="11"/>
  <c r="E42" i="11"/>
  <c r="L289" i="11"/>
  <c r="K289" i="11"/>
  <c r="K182" i="11"/>
  <c r="E21" i="11"/>
  <c r="K21" i="11"/>
  <c r="K285" i="9"/>
  <c r="M285" i="9" s="1"/>
  <c r="I104" i="11"/>
  <c r="M111" i="9"/>
  <c r="D104" i="11" s="1"/>
  <c r="I22" i="11"/>
  <c r="M26" i="9"/>
  <c r="D22" i="11" s="1"/>
  <c r="I43" i="11"/>
  <c r="M48" i="9"/>
  <c r="D43" i="11" s="1"/>
  <c r="I183" i="11"/>
  <c r="M191" i="9"/>
  <c r="D183" i="11" s="1"/>
  <c r="I76" i="11"/>
  <c r="M82" i="9"/>
  <c r="D76" i="11" s="1"/>
  <c r="I225" i="11"/>
  <c r="M234" i="9"/>
  <c r="D225" i="11" s="1"/>
  <c r="I351" i="11"/>
  <c r="M364" i="9"/>
  <c r="D351" i="11" s="1"/>
  <c r="F21" i="11"/>
  <c r="F331" i="11"/>
  <c r="F182" i="11"/>
  <c r="L300" i="9"/>
  <c r="I289" i="11"/>
  <c r="F103" i="11"/>
  <c r="F224" i="11"/>
  <c r="L284" i="9"/>
  <c r="I274" i="11"/>
  <c r="F42" i="11"/>
  <c r="F75" i="11"/>
  <c r="L344" i="9"/>
  <c r="I332" i="11"/>
  <c r="F288" i="11"/>
  <c r="F273" i="11"/>
  <c r="F350" i="11"/>
  <c r="K345" i="9"/>
  <c r="K301" i="9"/>
  <c r="K235" i="9"/>
  <c r="L234" i="9"/>
  <c r="K112" i="9"/>
  <c r="L191" i="9"/>
  <c r="K192" i="9"/>
  <c r="M192" i="9" s="1"/>
  <c r="D184" i="11" s="1"/>
  <c r="L111" i="9"/>
  <c r="K83" i="9"/>
  <c r="L82" i="9"/>
  <c r="K365" i="9"/>
  <c r="L364" i="9"/>
  <c r="K49" i="9"/>
  <c r="L48" i="9"/>
  <c r="L26" i="9"/>
  <c r="K27" i="9"/>
  <c r="H357" i="11" l="1"/>
  <c r="J357" i="11" s="1"/>
  <c r="L357" i="11"/>
  <c r="E357" i="11"/>
  <c r="G357" i="11" s="1"/>
  <c r="K357" i="11"/>
  <c r="K373" i="9"/>
  <c r="I358" i="11"/>
  <c r="L372" i="9"/>
  <c r="F358" i="11" s="1"/>
  <c r="M372" i="9"/>
  <c r="D358" i="11" s="1"/>
  <c r="M357" i="11"/>
  <c r="H378" i="9"/>
  <c r="C363" i="11"/>
  <c r="K286" i="9"/>
  <c r="K287" i="9" s="1"/>
  <c r="I275" i="11"/>
  <c r="L285" i="9"/>
  <c r="F275" i="11" s="1"/>
  <c r="E183" i="11"/>
  <c r="L183" i="11"/>
  <c r="K183" i="11"/>
  <c r="E184" i="11"/>
  <c r="L184" i="11"/>
  <c r="K184" i="11"/>
  <c r="D275" i="11"/>
  <c r="D274" i="11"/>
  <c r="L351" i="11"/>
  <c r="K351" i="11"/>
  <c r="E351" i="11"/>
  <c r="E43" i="11"/>
  <c r="K43" i="11"/>
  <c r="L43" i="11"/>
  <c r="E104" i="11"/>
  <c r="K104" i="11"/>
  <c r="L104" i="11"/>
  <c r="K225" i="11"/>
  <c r="E225" i="11"/>
  <c r="L225" i="11"/>
  <c r="K76" i="11"/>
  <c r="L76" i="11"/>
  <c r="E76" i="11"/>
  <c r="E22" i="11"/>
  <c r="L22" i="11"/>
  <c r="K22" i="11"/>
  <c r="I352" i="11"/>
  <c r="M365" i="9"/>
  <c r="D352" i="11" s="1"/>
  <c r="I23" i="11"/>
  <c r="M27" i="9"/>
  <c r="D23" i="11" s="1"/>
  <c r="I77" i="11"/>
  <c r="M83" i="9"/>
  <c r="D77" i="11" s="1"/>
  <c r="I226" i="11"/>
  <c r="M235" i="9"/>
  <c r="D226" i="11" s="1"/>
  <c r="M273" i="11"/>
  <c r="G273" i="11"/>
  <c r="M286" i="9"/>
  <c r="D276" i="11" s="1"/>
  <c r="M331" i="11"/>
  <c r="G331" i="11"/>
  <c r="I290" i="11"/>
  <c r="M301" i="9"/>
  <c r="D290" i="11" s="1"/>
  <c r="I44" i="11"/>
  <c r="M49" i="9"/>
  <c r="D44" i="11" s="1"/>
  <c r="I333" i="11"/>
  <c r="M345" i="9"/>
  <c r="D333" i="11" s="1"/>
  <c r="M224" i="11"/>
  <c r="G224" i="11"/>
  <c r="I105" i="11"/>
  <c r="M112" i="9"/>
  <c r="D105" i="11" s="1"/>
  <c r="G42" i="11"/>
  <c r="M42" i="11"/>
  <c r="G350" i="11"/>
  <c r="M350" i="11"/>
  <c r="F274" i="11"/>
  <c r="F76" i="11"/>
  <c r="F225" i="11"/>
  <c r="F22" i="11"/>
  <c r="F332" i="11"/>
  <c r="F289" i="11"/>
  <c r="F43" i="11"/>
  <c r="F104" i="11"/>
  <c r="F351" i="11"/>
  <c r="K193" i="9"/>
  <c r="L193" i="9" s="1"/>
  <c r="I184" i="11"/>
  <c r="F183" i="11"/>
  <c r="K346" i="9"/>
  <c r="L345" i="9"/>
  <c r="K302" i="9"/>
  <c r="L301" i="9"/>
  <c r="K113" i="9"/>
  <c r="L235" i="9"/>
  <c r="L112" i="9"/>
  <c r="K236" i="9"/>
  <c r="M236" i="9" s="1"/>
  <c r="D227" i="11" s="1"/>
  <c r="L192" i="9"/>
  <c r="L286" i="9"/>
  <c r="K50" i="9"/>
  <c r="L49" i="9"/>
  <c r="K84" i="9"/>
  <c r="L83" i="9"/>
  <c r="K28" i="9"/>
  <c r="L27" i="9"/>
  <c r="K366" i="9"/>
  <c r="L365" i="9"/>
  <c r="I276" i="11" l="1"/>
  <c r="H379" i="9"/>
  <c r="C364" i="11"/>
  <c r="K374" i="9"/>
  <c r="L373" i="9"/>
  <c r="F359" i="11" s="1"/>
  <c r="I359" i="11"/>
  <c r="M373" i="9"/>
  <c r="D359" i="11" s="1"/>
  <c r="E358" i="11"/>
  <c r="G358" i="11" s="1"/>
  <c r="H358" i="11"/>
  <c r="J358" i="11" s="1"/>
  <c r="L358" i="11"/>
  <c r="M358" i="11" s="1"/>
  <c r="K358" i="11"/>
  <c r="L274" i="11"/>
  <c r="E274" i="11"/>
  <c r="G274" i="11" s="1"/>
  <c r="K274" i="11"/>
  <c r="L333" i="11"/>
  <c r="K333" i="11"/>
  <c r="E333" i="11"/>
  <c r="E105" i="11"/>
  <c r="L105" i="11"/>
  <c r="K105" i="11"/>
  <c r="L290" i="11"/>
  <c r="E290" i="11"/>
  <c r="K290" i="11"/>
  <c r="L77" i="11"/>
  <c r="E77" i="11"/>
  <c r="K77" i="11"/>
  <c r="L276" i="11"/>
  <c r="E276" i="11"/>
  <c r="K276" i="11"/>
  <c r="L227" i="11"/>
  <c r="K227" i="11"/>
  <c r="E227" i="11"/>
  <c r="E44" i="11"/>
  <c r="L44" i="11"/>
  <c r="K44" i="11"/>
  <c r="L226" i="11"/>
  <c r="E226" i="11"/>
  <c r="K226" i="11"/>
  <c r="K275" i="11"/>
  <c r="L275" i="11"/>
  <c r="M275" i="11" s="1"/>
  <c r="E275" i="11"/>
  <c r="G275" i="11" s="1"/>
  <c r="K23" i="11"/>
  <c r="L23" i="11"/>
  <c r="E23" i="11"/>
  <c r="L352" i="11"/>
  <c r="E352" i="11"/>
  <c r="K352" i="11"/>
  <c r="M288" i="11"/>
  <c r="G288" i="11"/>
  <c r="I106" i="11"/>
  <c r="M113" i="9"/>
  <c r="D106" i="11" s="1"/>
  <c r="M76" i="11"/>
  <c r="G76" i="11"/>
  <c r="M183" i="11"/>
  <c r="G183" i="11"/>
  <c r="M21" i="11"/>
  <c r="G21" i="11"/>
  <c r="M103" i="11"/>
  <c r="G103" i="11"/>
  <c r="M182" i="11"/>
  <c r="G182" i="11"/>
  <c r="I353" i="11"/>
  <c r="M366" i="9"/>
  <c r="D353" i="11" s="1"/>
  <c r="I24" i="11"/>
  <c r="M28" i="9"/>
  <c r="D24" i="11" s="1"/>
  <c r="I291" i="11"/>
  <c r="M302" i="9"/>
  <c r="D291" i="11" s="1"/>
  <c r="M43" i="11"/>
  <c r="G43" i="11"/>
  <c r="I277" i="11"/>
  <c r="M287" i="9"/>
  <c r="D277" i="11" s="1"/>
  <c r="G75" i="11"/>
  <c r="M75" i="11"/>
  <c r="M351" i="11"/>
  <c r="G351" i="11"/>
  <c r="I45" i="11"/>
  <c r="M50" i="9"/>
  <c r="D45" i="11" s="1"/>
  <c r="I185" i="11"/>
  <c r="M193" i="9"/>
  <c r="D185" i="11" s="1"/>
  <c r="I78" i="11"/>
  <c r="M84" i="9"/>
  <c r="D78" i="11" s="1"/>
  <c r="I334" i="11"/>
  <c r="M346" i="9"/>
  <c r="D334" i="11" s="1"/>
  <c r="L236" i="9"/>
  <c r="G289" i="11"/>
  <c r="M289" i="11"/>
  <c r="M274" i="11"/>
  <c r="K194" i="9"/>
  <c r="L194" i="9" s="1"/>
  <c r="F23" i="11"/>
  <c r="F185" i="11"/>
  <c r="F276" i="11"/>
  <c r="F77" i="11"/>
  <c r="F333" i="11"/>
  <c r="F184" i="11"/>
  <c r="K237" i="9"/>
  <c r="K238" i="9" s="1"/>
  <c r="I227" i="11"/>
  <c r="F290" i="11"/>
  <c r="F226" i="11"/>
  <c r="F352" i="11"/>
  <c r="F44" i="11"/>
  <c r="F105" i="11"/>
  <c r="L302" i="9"/>
  <c r="K303" i="9"/>
  <c r="L346" i="9"/>
  <c r="K347" i="9"/>
  <c r="L113" i="9"/>
  <c r="K114" i="9"/>
  <c r="M114" i="9" s="1"/>
  <c r="D107" i="11" s="1"/>
  <c r="K367" i="9"/>
  <c r="L366" i="9"/>
  <c r="K85" i="9"/>
  <c r="L84" i="9"/>
  <c r="K51" i="9"/>
  <c r="L50" i="9"/>
  <c r="K29" i="9"/>
  <c r="L28" i="9"/>
  <c r="K288" i="9"/>
  <c r="L287" i="9"/>
  <c r="K375" i="9" l="1"/>
  <c r="I360" i="11"/>
  <c r="L374" i="9"/>
  <c r="F360" i="11" s="1"/>
  <c r="M374" i="9"/>
  <c r="D360" i="11" s="1"/>
  <c r="H380" i="9"/>
  <c r="C365" i="11"/>
  <c r="E359" i="11"/>
  <c r="G359" i="11" s="1"/>
  <c r="K359" i="11"/>
  <c r="H359" i="11"/>
  <c r="L359" i="11"/>
  <c r="M359" i="11" s="1"/>
  <c r="J359" i="11"/>
  <c r="L291" i="11"/>
  <c r="K291" i="11"/>
  <c r="E291" i="11"/>
  <c r="E106" i="11"/>
  <c r="L106" i="11"/>
  <c r="K106" i="11"/>
  <c r="K185" i="11"/>
  <c r="L185" i="11"/>
  <c r="M185" i="11" s="1"/>
  <c r="E185" i="11"/>
  <c r="K107" i="11"/>
  <c r="L107" i="11"/>
  <c r="E107" i="11"/>
  <c r="E45" i="11"/>
  <c r="K45" i="11"/>
  <c r="L45" i="11"/>
  <c r="L277" i="11"/>
  <c r="K277" i="11"/>
  <c r="E277" i="11"/>
  <c r="K353" i="11"/>
  <c r="L353" i="11"/>
  <c r="E353" i="11"/>
  <c r="K334" i="11"/>
  <c r="L334" i="11"/>
  <c r="E334" i="11"/>
  <c r="E24" i="11"/>
  <c r="K24" i="11"/>
  <c r="L24" i="11"/>
  <c r="L78" i="11"/>
  <c r="K78" i="11"/>
  <c r="E78" i="11"/>
  <c r="M227" i="11"/>
  <c r="M276" i="11"/>
  <c r="G276" i="11"/>
  <c r="I229" i="11"/>
  <c r="M238" i="9"/>
  <c r="D229" i="11" s="1"/>
  <c r="M44" i="11"/>
  <c r="G44" i="11"/>
  <c r="I228" i="11"/>
  <c r="M237" i="9"/>
  <c r="D228" i="11" s="1"/>
  <c r="G225" i="11"/>
  <c r="M225" i="11"/>
  <c r="I79" i="11"/>
  <c r="M85" i="9"/>
  <c r="D79" i="11" s="1"/>
  <c r="I335" i="11"/>
  <c r="M347" i="9"/>
  <c r="D335" i="11" s="1"/>
  <c r="M290" i="11"/>
  <c r="G290" i="11"/>
  <c r="M333" i="11"/>
  <c r="G333" i="11"/>
  <c r="I25" i="11"/>
  <c r="M29" i="9"/>
  <c r="D25" i="11" s="1"/>
  <c r="F227" i="11"/>
  <c r="M22" i="11"/>
  <c r="G22" i="11"/>
  <c r="G332" i="11"/>
  <c r="M332" i="11"/>
  <c r="I186" i="11"/>
  <c r="M194" i="9"/>
  <c r="D186" i="11" s="1"/>
  <c r="G105" i="11"/>
  <c r="M105" i="11"/>
  <c r="M184" i="11"/>
  <c r="G184" i="11"/>
  <c r="I354" i="11"/>
  <c r="M367" i="9"/>
  <c r="D354" i="11" s="1"/>
  <c r="M23" i="11"/>
  <c r="G23" i="11"/>
  <c r="G185" i="11"/>
  <c r="I46" i="11"/>
  <c r="M51" i="9"/>
  <c r="D46" i="11" s="1"/>
  <c r="M104" i="11"/>
  <c r="G104" i="11"/>
  <c r="I278" i="11"/>
  <c r="M288" i="9"/>
  <c r="D278" i="11" s="1"/>
  <c r="I292" i="11"/>
  <c r="M303" i="9"/>
  <c r="D292" i="11" s="1"/>
  <c r="K195" i="9"/>
  <c r="K196" i="9" s="1"/>
  <c r="M352" i="11"/>
  <c r="G352" i="11"/>
  <c r="M77" i="11"/>
  <c r="G77" i="11"/>
  <c r="F334" i="11"/>
  <c r="F291" i="11"/>
  <c r="F277" i="11"/>
  <c r="F353" i="11"/>
  <c r="F24" i="11"/>
  <c r="L237" i="9"/>
  <c r="F106" i="11"/>
  <c r="F45" i="11"/>
  <c r="F186" i="11"/>
  <c r="F78" i="11"/>
  <c r="K115" i="9"/>
  <c r="K116" i="9" s="1"/>
  <c r="I107" i="11"/>
  <c r="L114" i="9"/>
  <c r="K304" i="9"/>
  <c r="L303" i="9"/>
  <c r="K348" i="9"/>
  <c r="L347" i="9"/>
  <c r="K86" i="9"/>
  <c r="L85" i="9"/>
  <c r="K52" i="9"/>
  <c r="L51" i="9"/>
  <c r="K289" i="9"/>
  <c r="L288" i="9"/>
  <c r="K30" i="9"/>
  <c r="L29" i="9"/>
  <c r="L367" i="9"/>
  <c r="L195" i="9"/>
  <c r="K239" i="9"/>
  <c r="L238" i="9"/>
  <c r="E360" i="11" l="1"/>
  <c r="K360" i="11"/>
  <c r="H360" i="11"/>
  <c r="J360" i="11" s="1"/>
  <c r="L360" i="11"/>
  <c r="M360" i="11" s="1"/>
  <c r="G360" i="11"/>
  <c r="K376" i="9"/>
  <c r="I361" i="11"/>
  <c r="L375" i="9"/>
  <c r="F361" i="11" s="1"/>
  <c r="M375" i="9"/>
  <c r="D361" i="11" s="1"/>
  <c r="H381" i="9"/>
  <c r="C366" i="11"/>
  <c r="E354" i="11"/>
  <c r="L354" i="11"/>
  <c r="K354" i="11"/>
  <c r="K228" i="11"/>
  <c r="L228" i="11"/>
  <c r="E228" i="11"/>
  <c r="L292" i="11"/>
  <c r="K292" i="11"/>
  <c r="E292" i="11"/>
  <c r="L25" i="11"/>
  <c r="E25" i="11"/>
  <c r="K25" i="11"/>
  <c r="K79" i="11"/>
  <c r="E79" i="11"/>
  <c r="L79" i="11"/>
  <c r="K229" i="11"/>
  <c r="E229" i="11"/>
  <c r="L229" i="11"/>
  <c r="L278" i="11"/>
  <c r="K278" i="11"/>
  <c r="E278" i="11"/>
  <c r="K46" i="11"/>
  <c r="E46" i="11"/>
  <c r="L46" i="11"/>
  <c r="L335" i="11"/>
  <c r="K335" i="11"/>
  <c r="E335" i="11"/>
  <c r="L186" i="11"/>
  <c r="M186" i="11" s="1"/>
  <c r="E186" i="11"/>
  <c r="G186" i="11" s="1"/>
  <c r="K186" i="11"/>
  <c r="G227" i="11"/>
  <c r="L115" i="9"/>
  <c r="F108" i="11" s="1"/>
  <c r="I109" i="11"/>
  <c r="M116" i="9"/>
  <c r="D109" i="11" s="1"/>
  <c r="M45" i="11"/>
  <c r="G45" i="11"/>
  <c r="I336" i="11"/>
  <c r="M348" i="9"/>
  <c r="D336" i="11" s="1"/>
  <c r="M106" i="11"/>
  <c r="G106" i="11"/>
  <c r="M353" i="11"/>
  <c r="G353" i="11"/>
  <c r="I26" i="11"/>
  <c r="M30" i="9"/>
  <c r="D26" i="11" s="1"/>
  <c r="M78" i="11"/>
  <c r="G78" i="11"/>
  <c r="I230" i="11"/>
  <c r="M239" i="9"/>
  <c r="D230" i="11" s="1"/>
  <c r="M334" i="11"/>
  <c r="G334" i="11"/>
  <c r="I293" i="11"/>
  <c r="M304" i="9"/>
  <c r="D293" i="11" s="1"/>
  <c r="I47" i="11"/>
  <c r="M52" i="9"/>
  <c r="D47" i="11" s="1"/>
  <c r="M277" i="11"/>
  <c r="G277" i="11"/>
  <c r="I187" i="11"/>
  <c r="M195" i="9"/>
  <c r="D187" i="11" s="1"/>
  <c r="G226" i="11"/>
  <c r="M226" i="11"/>
  <c r="I108" i="11"/>
  <c r="M115" i="9"/>
  <c r="D108" i="11" s="1"/>
  <c r="I279" i="11"/>
  <c r="M289" i="9"/>
  <c r="D279" i="11" s="1"/>
  <c r="I188" i="11"/>
  <c r="M196" i="9"/>
  <c r="D188" i="11" s="1"/>
  <c r="M24" i="11"/>
  <c r="G24" i="11"/>
  <c r="I80" i="11"/>
  <c r="M86" i="9"/>
  <c r="D80" i="11" s="1"/>
  <c r="G291" i="11"/>
  <c r="M291" i="11"/>
  <c r="F354" i="11"/>
  <c r="F187" i="11"/>
  <c r="F79" i="11"/>
  <c r="F278" i="11"/>
  <c r="F335" i="11"/>
  <c r="F292" i="11"/>
  <c r="F229" i="11"/>
  <c r="F107" i="11"/>
  <c r="F228" i="11"/>
  <c r="F25" i="11"/>
  <c r="F46" i="11"/>
  <c r="K305" i="9"/>
  <c r="L304" i="9"/>
  <c r="K349" i="9"/>
  <c r="L348" i="9"/>
  <c r="K290" i="9"/>
  <c r="L289" i="9"/>
  <c r="K197" i="9"/>
  <c r="L196" i="9"/>
  <c r="K31" i="9"/>
  <c r="L30" i="9"/>
  <c r="K53" i="9"/>
  <c r="L52" i="9"/>
  <c r="K240" i="9"/>
  <c r="L239" i="9"/>
  <c r="K117" i="9"/>
  <c r="L116" i="9"/>
  <c r="K87" i="9"/>
  <c r="L86" i="9"/>
  <c r="K377" i="9" l="1"/>
  <c r="I362" i="11"/>
  <c r="L376" i="9"/>
  <c r="F362" i="11" s="1"/>
  <c r="M376" i="9"/>
  <c r="D362" i="11" s="1"/>
  <c r="H382" i="9"/>
  <c r="C367" i="11"/>
  <c r="E361" i="11"/>
  <c r="G361" i="11" s="1"/>
  <c r="K361" i="11"/>
  <c r="H361" i="11"/>
  <c r="L361" i="11"/>
  <c r="M361" i="11" s="1"/>
  <c r="J361" i="11"/>
  <c r="E47" i="11"/>
  <c r="K47" i="11"/>
  <c r="L47" i="11"/>
  <c r="K188" i="11"/>
  <c r="L188" i="11"/>
  <c r="E188" i="11"/>
  <c r="E279" i="11"/>
  <c r="K279" i="11"/>
  <c r="L279" i="11"/>
  <c r="L336" i="11"/>
  <c r="E336" i="11"/>
  <c r="K336" i="11"/>
  <c r="E80" i="11"/>
  <c r="L80" i="11"/>
  <c r="K80" i="11"/>
  <c r="K230" i="11"/>
  <c r="E230" i="11"/>
  <c r="L230" i="11"/>
  <c r="E108" i="11"/>
  <c r="G108" i="11" s="1"/>
  <c r="K108" i="11"/>
  <c r="L108" i="11"/>
  <c r="M108" i="11" s="1"/>
  <c r="E293" i="11"/>
  <c r="K293" i="11"/>
  <c r="L293" i="11"/>
  <c r="E26" i="11"/>
  <c r="K26" i="11"/>
  <c r="L26" i="11"/>
  <c r="K187" i="11"/>
  <c r="E187" i="11"/>
  <c r="L187" i="11"/>
  <c r="L109" i="11"/>
  <c r="K109" i="11"/>
  <c r="E109" i="11"/>
  <c r="I110" i="11"/>
  <c r="M117" i="9"/>
  <c r="D110" i="11" s="1"/>
  <c r="I231" i="11"/>
  <c r="M240" i="9"/>
  <c r="D231" i="11" s="1"/>
  <c r="I280" i="11"/>
  <c r="M290" i="9"/>
  <c r="D280" i="11" s="1"/>
  <c r="I48" i="11"/>
  <c r="M53" i="9"/>
  <c r="D48" i="11" s="1"/>
  <c r="I337" i="11"/>
  <c r="M349" i="9"/>
  <c r="D337" i="11" s="1"/>
  <c r="M292" i="11"/>
  <c r="G292" i="11"/>
  <c r="G25" i="11"/>
  <c r="M25" i="11"/>
  <c r="M278" i="11"/>
  <c r="G278" i="11"/>
  <c r="M46" i="11"/>
  <c r="G46" i="11"/>
  <c r="I189" i="11"/>
  <c r="M197" i="9"/>
  <c r="D189" i="11" s="1"/>
  <c r="M229" i="11"/>
  <c r="G229" i="11"/>
  <c r="I81" i="11"/>
  <c r="M87" i="9"/>
  <c r="D81" i="11" s="1"/>
  <c r="I27" i="11"/>
  <c r="M31" i="9"/>
  <c r="D27" i="11" s="1"/>
  <c r="I294" i="11"/>
  <c r="M305" i="9"/>
  <c r="D294" i="11" s="1"/>
  <c r="M79" i="11"/>
  <c r="G79" i="11"/>
  <c r="F80" i="11"/>
  <c r="F26" i="11"/>
  <c r="F109" i="11"/>
  <c r="F336" i="11"/>
  <c r="F230" i="11"/>
  <c r="F279" i="11"/>
  <c r="F188" i="11"/>
  <c r="F47" i="11"/>
  <c r="F293" i="11"/>
  <c r="L305" i="9"/>
  <c r="K306" i="9"/>
  <c r="K350" i="9"/>
  <c r="L349" i="9"/>
  <c r="K118" i="9"/>
  <c r="L117" i="9"/>
  <c r="K198" i="9"/>
  <c r="L197" i="9"/>
  <c r="K32" i="9"/>
  <c r="L31" i="9"/>
  <c r="K241" i="9"/>
  <c r="L240" i="9"/>
  <c r="K54" i="9"/>
  <c r="L53" i="9"/>
  <c r="K88" i="9"/>
  <c r="L87" i="9"/>
  <c r="K291" i="9"/>
  <c r="L290" i="9"/>
  <c r="H383" i="9" l="1"/>
  <c r="C368" i="11"/>
  <c r="L362" i="11"/>
  <c r="M362" i="11" s="1"/>
  <c r="H362" i="11"/>
  <c r="E362" i="11"/>
  <c r="G362" i="11" s="1"/>
  <c r="K362" i="11"/>
  <c r="J362" i="11"/>
  <c r="K378" i="9"/>
  <c r="I363" i="11"/>
  <c r="L377" i="9"/>
  <c r="F363" i="11" s="1"/>
  <c r="M377" i="9"/>
  <c r="D363" i="11" s="1"/>
  <c r="K294" i="11"/>
  <c r="L294" i="11"/>
  <c r="E294" i="11"/>
  <c r="L189" i="11"/>
  <c r="E189" i="11"/>
  <c r="K189" i="11"/>
  <c r="K280" i="11"/>
  <c r="L280" i="11"/>
  <c r="E280" i="11"/>
  <c r="E231" i="11"/>
  <c r="L231" i="11"/>
  <c r="K231" i="11"/>
  <c r="L81" i="11"/>
  <c r="E81" i="11"/>
  <c r="K81" i="11"/>
  <c r="K337" i="11"/>
  <c r="E337" i="11"/>
  <c r="L337" i="11"/>
  <c r="L110" i="11"/>
  <c r="K110" i="11"/>
  <c r="E110" i="11"/>
  <c r="K27" i="11"/>
  <c r="E27" i="11"/>
  <c r="L27" i="11"/>
  <c r="L48" i="11"/>
  <c r="K48" i="11"/>
  <c r="E48" i="11"/>
  <c r="G107" i="11"/>
  <c r="M107" i="11"/>
  <c r="I111" i="11"/>
  <c r="M118" i="9"/>
  <c r="D111" i="11" s="1"/>
  <c r="M230" i="11"/>
  <c r="G230" i="11"/>
  <c r="I82" i="11"/>
  <c r="M88" i="9"/>
  <c r="D82" i="11" s="1"/>
  <c r="I190" i="11"/>
  <c r="M198" i="9"/>
  <c r="D190" i="11" s="1"/>
  <c r="I49" i="11"/>
  <c r="M54" i="9"/>
  <c r="D49" i="11" s="1"/>
  <c r="I232" i="11"/>
  <c r="M241" i="9"/>
  <c r="D232" i="11" s="1"/>
  <c r="I338" i="11"/>
  <c r="M350" i="9"/>
  <c r="D338" i="11" s="1"/>
  <c r="G336" i="11"/>
  <c r="M336" i="11"/>
  <c r="G187" i="11"/>
  <c r="M187" i="11"/>
  <c r="I295" i="11"/>
  <c r="M306" i="9"/>
  <c r="D295" i="11" s="1"/>
  <c r="M228" i="11"/>
  <c r="G228" i="11"/>
  <c r="G354" i="11"/>
  <c r="M354" i="11"/>
  <c r="M279" i="11"/>
  <c r="G279" i="11"/>
  <c r="I281" i="11"/>
  <c r="M291" i="9"/>
  <c r="D281" i="11" s="1"/>
  <c r="I28" i="11"/>
  <c r="M32" i="9"/>
  <c r="D28" i="11" s="1"/>
  <c r="M188" i="11"/>
  <c r="G188" i="11"/>
  <c r="M335" i="11"/>
  <c r="G335" i="11"/>
  <c r="F48" i="11"/>
  <c r="F110" i="11"/>
  <c r="F27" i="11"/>
  <c r="F280" i="11"/>
  <c r="F81" i="11"/>
  <c r="F189" i="11"/>
  <c r="F337" i="11"/>
  <c r="F231" i="11"/>
  <c r="F294" i="11"/>
  <c r="K307" i="9"/>
  <c r="L306" i="9"/>
  <c r="K351" i="9"/>
  <c r="L350" i="9"/>
  <c r="K89" i="9"/>
  <c r="L88" i="9"/>
  <c r="K119" i="9"/>
  <c r="L118" i="9"/>
  <c r="K199" i="9"/>
  <c r="L198" i="9"/>
  <c r="K292" i="9"/>
  <c r="L291" i="9"/>
  <c r="K242" i="9"/>
  <c r="L241" i="9"/>
  <c r="K55" i="9"/>
  <c r="L54" i="9"/>
  <c r="K33" i="9"/>
  <c r="L32" i="9"/>
  <c r="H363" i="11" l="1"/>
  <c r="J363" i="11" s="1"/>
  <c r="L363" i="11"/>
  <c r="M363" i="11" s="1"/>
  <c r="E363" i="11"/>
  <c r="G363" i="11" s="1"/>
  <c r="K363" i="11"/>
  <c r="K379" i="9"/>
  <c r="I364" i="11"/>
  <c r="L378" i="9"/>
  <c r="F364" i="11" s="1"/>
  <c r="M378" i="9"/>
  <c r="D364" i="11" s="1"/>
  <c r="H384" i="9"/>
  <c r="C369" i="11"/>
  <c r="E281" i="11"/>
  <c r="K281" i="11"/>
  <c r="L281" i="11"/>
  <c r="K295" i="11"/>
  <c r="L295" i="11"/>
  <c r="E295" i="11"/>
  <c r="E49" i="11"/>
  <c r="L49" i="11"/>
  <c r="K49" i="11"/>
  <c r="K111" i="11"/>
  <c r="E111" i="11"/>
  <c r="L111" i="11"/>
  <c r="L190" i="11"/>
  <c r="E190" i="11"/>
  <c r="K190" i="11"/>
  <c r="K28" i="11"/>
  <c r="E28" i="11"/>
  <c r="L28" i="11"/>
  <c r="E338" i="11"/>
  <c r="L338" i="11"/>
  <c r="K338" i="11"/>
  <c r="L82" i="11"/>
  <c r="E82" i="11"/>
  <c r="K82" i="11"/>
  <c r="E232" i="11"/>
  <c r="L232" i="11"/>
  <c r="K232" i="11"/>
  <c r="I83" i="11"/>
  <c r="M89" i="9"/>
  <c r="D83" i="11" s="1"/>
  <c r="M294" i="11"/>
  <c r="G294" i="11"/>
  <c r="M48" i="11"/>
  <c r="G48" i="11"/>
  <c r="M293" i="11"/>
  <c r="G293" i="11"/>
  <c r="M110" i="11"/>
  <c r="G110" i="11"/>
  <c r="I29" i="11"/>
  <c r="M33" i="9"/>
  <c r="D29" i="11" s="1"/>
  <c r="I191" i="11"/>
  <c r="M199" i="9"/>
  <c r="D191" i="11" s="1"/>
  <c r="I296" i="11"/>
  <c r="M307" i="9"/>
  <c r="D296" i="11" s="1"/>
  <c r="M47" i="11"/>
  <c r="G47" i="11"/>
  <c r="G27" i="11"/>
  <c r="M27" i="11"/>
  <c r="M231" i="11"/>
  <c r="G231" i="11"/>
  <c r="M280" i="11"/>
  <c r="G280" i="11"/>
  <c r="M109" i="11"/>
  <c r="G109" i="11"/>
  <c r="I339" i="11"/>
  <c r="M351" i="9"/>
  <c r="D339" i="11" s="1"/>
  <c r="I50" i="11"/>
  <c r="M55" i="9"/>
  <c r="D50" i="11" s="1"/>
  <c r="I112" i="11"/>
  <c r="M119" i="9"/>
  <c r="D112" i="11" s="1"/>
  <c r="M80" i="11"/>
  <c r="G80" i="11"/>
  <c r="I233" i="11"/>
  <c r="M242" i="9"/>
  <c r="D233" i="11" s="1"/>
  <c r="M189" i="11"/>
  <c r="G189" i="11"/>
  <c r="I282" i="11"/>
  <c r="M292" i="9"/>
  <c r="D282" i="11" s="1"/>
  <c r="M337" i="11"/>
  <c r="G337" i="11"/>
  <c r="G26" i="11"/>
  <c r="M26" i="11"/>
  <c r="F111" i="11"/>
  <c r="F28" i="11"/>
  <c r="F190" i="11"/>
  <c r="F82" i="11"/>
  <c r="F281" i="11"/>
  <c r="F49" i="11"/>
  <c r="F338" i="11"/>
  <c r="F232" i="11"/>
  <c r="F295" i="11"/>
  <c r="K308" i="9"/>
  <c r="L307" i="9"/>
  <c r="K352" i="9"/>
  <c r="L351" i="9"/>
  <c r="K120" i="9"/>
  <c r="L119" i="9"/>
  <c r="K56" i="9"/>
  <c r="L55" i="9"/>
  <c r="K293" i="9"/>
  <c r="L292" i="9"/>
  <c r="K243" i="9"/>
  <c r="L242" i="9"/>
  <c r="K200" i="9"/>
  <c r="L199" i="9"/>
  <c r="K34" i="9"/>
  <c r="L33" i="9"/>
  <c r="K90" i="9"/>
  <c r="L89" i="9"/>
  <c r="K380" i="9" l="1"/>
  <c r="I365" i="11"/>
  <c r="L379" i="9"/>
  <c r="F365" i="11" s="1"/>
  <c r="M379" i="9"/>
  <c r="D365" i="11" s="1"/>
  <c r="H385" i="9"/>
  <c r="C370" i="11"/>
  <c r="H364" i="11"/>
  <c r="J364" i="11" s="1"/>
  <c r="L364" i="11"/>
  <c r="M364" i="11" s="1"/>
  <c r="E364" i="11"/>
  <c r="G364" i="11" s="1"/>
  <c r="K364" i="11"/>
  <c r="L339" i="11"/>
  <c r="K339" i="11"/>
  <c r="E339" i="11"/>
  <c r="E29" i="11"/>
  <c r="L29" i="11"/>
  <c r="K29" i="11"/>
  <c r="K83" i="11"/>
  <c r="E83" i="11"/>
  <c r="L83" i="11"/>
  <c r="L191" i="11"/>
  <c r="E191" i="11"/>
  <c r="K191" i="11"/>
  <c r="E233" i="11"/>
  <c r="K233" i="11"/>
  <c r="L233" i="11"/>
  <c r="L282" i="11"/>
  <c r="E282" i="11"/>
  <c r="K282" i="11"/>
  <c r="E112" i="11"/>
  <c r="K112" i="11"/>
  <c r="L112" i="11"/>
  <c r="L296" i="11"/>
  <c r="K296" i="11"/>
  <c r="E296" i="11"/>
  <c r="L50" i="11"/>
  <c r="E50" i="11"/>
  <c r="K50" i="11"/>
  <c r="G338" i="11"/>
  <c r="M338" i="11"/>
  <c r="M190" i="11"/>
  <c r="G190" i="11"/>
  <c r="I234" i="11"/>
  <c r="M243" i="9"/>
  <c r="D234" i="11" s="1"/>
  <c r="I340" i="11"/>
  <c r="M352" i="9"/>
  <c r="D340" i="11" s="1"/>
  <c r="I30" i="11"/>
  <c r="M34" i="9"/>
  <c r="D30" i="11" s="1"/>
  <c r="I51" i="11"/>
  <c r="M56" i="9"/>
  <c r="D51" i="11" s="1"/>
  <c r="G82" i="11"/>
  <c r="M82" i="11"/>
  <c r="I113" i="11"/>
  <c r="M120" i="9"/>
  <c r="D113" i="11" s="1"/>
  <c r="G49" i="11"/>
  <c r="M49" i="11"/>
  <c r="M295" i="11"/>
  <c r="G295" i="11"/>
  <c r="I84" i="11"/>
  <c r="M90" i="9"/>
  <c r="D84" i="11" s="1"/>
  <c r="I283" i="11"/>
  <c r="M293" i="9"/>
  <c r="D283" i="11" s="1"/>
  <c r="I297" i="11"/>
  <c r="M308" i="9"/>
  <c r="D297" i="11" s="1"/>
  <c r="M232" i="11"/>
  <c r="G232" i="11"/>
  <c r="M281" i="11"/>
  <c r="G281" i="11"/>
  <c r="M111" i="11"/>
  <c r="G111" i="11"/>
  <c r="M81" i="11"/>
  <c r="G81" i="11"/>
  <c r="I192" i="11"/>
  <c r="M200" i="9"/>
  <c r="D192" i="11" s="1"/>
  <c r="M28" i="11"/>
  <c r="G28" i="11"/>
  <c r="F191" i="11"/>
  <c r="F233" i="11"/>
  <c r="F296" i="11"/>
  <c r="F112" i="11"/>
  <c r="F29" i="11"/>
  <c r="F50" i="11"/>
  <c r="F83" i="11"/>
  <c r="F282" i="11"/>
  <c r="F339" i="11"/>
  <c r="K309" i="9"/>
  <c r="L308" i="9"/>
  <c r="K353" i="9"/>
  <c r="L352" i="9"/>
  <c r="K35" i="9"/>
  <c r="L34" i="9"/>
  <c r="K294" i="9"/>
  <c r="L293" i="9"/>
  <c r="K244" i="9"/>
  <c r="L243" i="9"/>
  <c r="K57" i="9"/>
  <c r="L56" i="9"/>
  <c r="K201" i="9"/>
  <c r="L200" i="9"/>
  <c r="K91" i="9"/>
  <c r="L90" i="9"/>
  <c r="K121" i="9"/>
  <c r="L120" i="9"/>
  <c r="H386" i="9" l="1"/>
  <c r="C371" i="11"/>
  <c r="K381" i="9"/>
  <c r="L380" i="9"/>
  <c r="F366" i="11" s="1"/>
  <c r="I366" i="11"/>
  <c r="M380" i="9"/>
  <c r="D366" i="11" s="1"/>
  <c r="H365" i="11"/>
  <c r="J365" i="11" s="1"/>
  <c r="L365" i="11"/>
  <c r="M365" i="11" s="1"/>
  <c r="E365" i="11"/>
  <c r="G365" i="11" s="1"/>
  <c r="K365" i="11"/>
  <c r="L297" i="11"/>
  <c r="E297" i="11"/>
  <c r="K297" i="11"/>
  <c r="L192" i="11"/>
  <c r="K192" i="11"/>
  <c r="E192" i="11"/>
  <c r="L51" i="11"/>
  <c r="E51" i="11"/>
  <c r="K51" i="11"/>
  <c r="L30" i="11"/>
  <c r="E30" i="11"/>
  <c r="K30" i="11"/>
  <c r="L283" i="11"/>
  <c r="K283" i="11"/>
  <c r="E283" i="11"/>
  <c r="L113" i="11"/>
  <c r="K113" i="11"/>
  <c r="E113" i="11"/>
  <c r="E340" i="11"/>
  <c r="L340" i="11"/>
  <c r="K340" i="11"/>
  <c r="K84" i="11"/>
  <c r="L84" i="11"/>
  <c r="E84" i="11"/>
  <c r="L234" i="11"/>
  <c r="E234" i="11"/>
  <c r="K234" i="11"/>
  <c r="M191" i="11"/>
  <c r="M296" i="11"/>
  <c r="G296" i="11"/>
  <c r="G112" i="11"/>
  <c r="M112" i="11"/>
  <c r="I235" i="11"/>
  <c r="M244" i="9"/>
  <c r="D235" i="11" s="1"/>
  <c r="I85" i="11"/>
  <c r="M91" i="9"/>
  <c r="D85" i="11" s="1"/>
  <c r="I284" i="11"/>
  <c r="M294" i="9"/>
  <c r="D284" i="11" s="1"/>
  <c r="I193" i="11"/>
  <c r="M201" i="9"/>
  <c r="D193" i="11" s="1"/>
  <c r="I31" i="11"/>
  <c r="M35" i="9"/>
  <c r="D31" i="11" s="1"/>
  <c r="G233" i="11"/>
  <c r="M233" i="11"/>
  <c r="M282" i="11"/>
  <c r="G282" i="11"/>
  <c r="M29" i="11"/>
  <c r="G29" i="11"/>
  <c r="I114" i="11"/>
  <c r="M121" i="9"/>
  <c r="D114" i="11" s="1"/>
  <c r="I298" i="11"/>
  <c r="M309" i="9"/>
  <c r="D298" i="11" s="1"/>
  <c r="I52" i="11"/>
  <c r="M57" i="9"/>
  <c r="D52" i="11" s="1"/>
  <c r="I341" i="11"/>
  <c r="M353" i="9"/>
  <c r="D341" i="11" s="1"/>
  <c r="G191" i="11"/>
  <c r="F84" i="11"/>
  <c r="F192" i="11"/>
  <c r="F30" i="11"/>
  <c r="F283" i="11"/>
  <c r="F51" i="11"/>
  <c r="F297" i="11"/>
  <c r="F113" i="11"/>
  <c r="F234" i="11"/>
  <c r="F340" i="11"/>
  <c r="K354" i="9"/>
  <c r="L353" i="9"/>
  <c r="K310" i="9"/>
  <c r="L309" i="9"/>
  <c r="K295" i="9"/>
  <c r="L294" i="9"/>
  <c r="K92" i="9"/>
  <c r="L91" i="9"/>
  <c r="K58" i="9"/>
  <c r="L57" i="9"/>
  <c r="K202" i="9"/>
  <c r="L201" i="9"/>
  <c r="K245" i="9"/>
  <c r="L244" i="9"/>
  <c r="K122" i="9"/>
  <c r="L121" i="9"/>
  <c r="K36" i="9"/>
  <c r="L35" i="9"/>
  <c r="K366" i="11" l="1"/>
  <c r="H366" i="11"/>
  <c r="J366" i="11" s="1"/>
  <c r="L366" i="11"/>
  <c r="E366" i="11"/>
  <c r="G366" i="11" s="1"/>
  <c r="M366" i="11"/>
  <c r="K382" i="9"/>
  <c r="I367" i="11"/>
  <c r="L381" i="9"/>
  <c r="F367" i="11" s="1"/>
  <c r="M381" i="9"/>
  <c r="D367" i="11" s="1"/>
  <c r="H387" i="9"/>
  <c r="C372" i="11"/>
  <c r="K341" i="11"/>
  <c r="L341" i="11"/>
  <c r="E341" i="11"/>
  <c r="K298" i="11"/>
  <c r="L298" i="11"/>
  <c r="E298" i="11"/>
  <c r="K85" i="11"/>
  <c r="E85" i="11"/>
  <c r="L85" i="11"/>
  <c r="L193" i="11"/>
  <c r="E193" i="11"/>
  <c r="K193" i="11"/>
  <c r="L52" i="11"/>
  <c r="E52" i="11"/>
  <c r="K52" i="11"/>
  <c r="E114" i="11"/>
  <c r="L114" i="11"/>
  <c r="K114" i="11"/>
  <c r="E31" i="11"/>
  <c r="K31" i="11"/>
  <c r="L31" i="11"/>
  <c r="L235" i="11"/>
  <c r="K235" i="11"/>
  <c r="E235" i="11"/>
  <c r="L284" i="11"/>
  <c r="E284" i="11"/>
  <c r="K284" i="11"/>
  <c r="M84" i="11"/>
  <c r="G84" i="11"/>
  <c r="I53" i="11"/>
  <c r="M58" i="9"/>
  <c r="D53" i="11" s="1"/>
  <c r="M30" i="11"/>
  <c r="G30" i="11"/>
  <c r="I115" i="11"/>
  <c r="M122" i="9"/>
  <c r="D115" i="11" s="1"/>
  <c r="M234" i="11"/>
  <c r="G234" i="11"/>
  <c r="M113" i="11"/>
  <c r="G113" i="11"/>
  <c r="I86" i="11"/>
  <c r="M92" i="9"/>
  <c r="D86" i="11" s="1"/>
  <c r="G297" i="11"/>
  <c r="M297" i="11"/>
  <c r="M192" i="11"/>
  <c r="G192" i="11"/>
  <c r="M83" i="11"/>
  <c r="G83" i="11"/>
  <c r="G283" i="11"/>
  <c r="M283" i="11"/>
  <c r="M339" i="11"/>
  <c r="G339" i="11"/>
  <c r="I236" i="11"/>
  <c r="M245" i="9"/>
  <c r="D236" i="11" s="1"/>
  <c r="I285" i="11"/>
  <c r="M295" i="9"/>
  <c r="D285" i="11" s="1"/>
  <c r="G51" i="11"/>
  <c r="M51" i="11"/>
  <c r="M50" i="11"/>
  <c r="G50" i="11"/>
  <c r="I32" i="11"/>
  <c r="M36" i="9"/>
  <c r="D32" i="11" s="1"/>
  <c r="I342" i="11"/>
  <c r="M354" i="9"/>
  <c r="D342" i="11" s="1"/>
  <c r="M340" i="11"/>
  <c r="G340" i="11"/>
  <c r="I194" i="11"/>
  <c r="M202" i="9"/>
  <c r="D194" i="11" s="1"/>
  <c r="I299" i="11"/>
  <c r="M310" i="9"/>
  <c r="D299" i="11" s="1"/>
  <c r="F114" i="11"/>
  <c r="F85" i="11"/>
  <c r="F298" i="11"/>
  <c r="F235" i="11"/>
  <c r="F193" i="11"/>
  <c r="F284" i="11"/>
  <c r="F31" i="11"/>
  <c r="F52" i="11"/>
  <c r="F341" i="11"/>
  <c r="L310" i="9"/>
  <c r="K311" i="9"/>
  <c r="M311" i="9" s="1"/>
  <c r="L354" i="9"/>
  <c r="K355" i="9"/>
  <c r="K123" i="9"/>
  <c r="L122" i="9"/>
  <c r="K93" i="9"/>
  <c r="L92" i="9"/>
  <c r="K246" i="9"/>
  <c r="L245" i="9"/>
  <c r="K203" i="9"/>
  <c r="L202" i="9"/>
  <c r="K59" i="9"/>
  <c r="L58" i="9"/>
  <c r="K37" i="9"/>
  <c r="L36" i="9"/>
  <c r="K296" i="9"/>
  <c r="L295" i="9"/>
  <c r="K383" i="9" l="1"/>
  <c r="I368" i="11"/>
  <c r="L382" i="9"/>
  <c r="F368" i="11" s="1"/>
  <c r="M382" i="9"/>
  <c r="D368" i="11" s="1"/>
  <c r="H388" i="9"/>
  <c r="C373" i="11"/>
  <c r="E367" i="11"/>
  <c r="G367" i="11" s="1"/>
  <c r="K367" i="11"/>
  <c r="H367" i="11"/>
  <c r="L367" i="11"/>
  <c r="M367" i="11" s="1"/>
  <c r="J367" i="11"/>
  <c r="K342" i="11"/>
  <c r="L342" i="11"/>
  <c r="E342" i="11"/>
  <c r="L285" i="11"/>
  <c r="E285" i="11"/>
  <c r="K285" i="11"/>
  <c r="L53" i="11"/>
  <c r="E53" i="11"/>
  <c r="K53" i="11"/>
  <c r="L299" i="11"/>
  <c r="E299" i="11"/>
  <c r="K299" i="11"/>
  <c r="L32" i="11"/>
  <c r="K32" i="11"/>
  <c r="E32" i="11"/>
  <c r="E236" i="11"/>
  <c r="L236" i="11"/>
  <c r="K236" i="11"/>
  <c r="L194" i="11"/>
  <c r="E194" i="11"/>
  <c r="K194" i="11"/>
  <c r="L115" i="11"/>
  <c r="E115" i="11"/>
  <c r="K115" i="11"/>
  <c r="D300" i="11"/>
  <c r="D301" i="11"/>
  <c r="L86" i="11"/>
  <c r="E86" i="11"/>
  <c r="K86" i="11"/>
  <c r="G235" i="11"/>
  <c r="M235" i="11"/>
  <c r="I286" i="11"/>
  <c r="M296" i="9"/>
  <c r="D286" i="11" s="1"/>
  <c r="M298" i="11"/>
  <c r="G298" i="11"/>
  <c r="I87" i="11"/>
  <c r="M93" i="9"/>
  <c r="D87" i="11" s="1"/>
  <c r="I54" i="11"/>
  <c r="M59" i="9"/>
  <c r="D54" i="11" s="1"/>
  <c r="I116" i="11"/>
  <c r="M123" i="9"/>
  <c r="D116" i="11" s="1"/>
  <c r="I343" i="11"/>
  <c r="M355" i="9"/>
  <c r="D343" i="11" s="1"/>
  <c r="M85" i="11"/>
  <c r="G85" i="11"/>
  <c r="I33" i="11"/>
  <c r="M37" i="9"/>
  <c r="D33" i="11" s="1"/>
  <c r="M284" i="11"/>
  <c r="G284" i="11"/>
  <c r="I195" i="11"/>
  <c r="M203" i="9"/>
  <c r="D195" i="11" s="1"/>
  <c r="G193" i="11"/>
  <c r="M193" i="11"/>
  <c r="I237" i="11"/>
  <c r="M246" i="9"/>
  <c r="D237" i="11" s="1"/>
  <c r="M31" i="11"/>
  <c r="G31" i="11"/>
  <c r="M114" i="11"/>
  <c r="G114" i="11"/>
  <c r="F53" i="11"/>
  <c r="F115" i="11"/>
  <c r="F342" i="11"/>
  <c r="F285" i="11"/>
  <c r="F236" i="11"/>
  <c r="F194" i="11"/>
  <c r="I301" i="11"/>
  <c r="I300" i="11"/>
  <c r="F32" i="11"/>
  <c r="F86" i="11"/>
  <c r="F299" i="11"/>
  <c r="K356" i="9"/>
  <c r="L355" i="9"/>
  <c r="K312" i="9"/>
  <c r="M312" i="9" s="1"/>
  <c r="L311" i="9"/>
  <c r="K204" i="9"/>
  <c r="M204" i="9" s="1"/>
  <c r="L203" i="9"/>
  <c r="K247" i="9"/>
  <c r="L246" i="9"/>
  <c r="K60" i="9"/>
  <c r="L59" i="9"/>
  <c r="K94" i="9"/>
  <c r="L93" i="9"/>
  <c r="K38" i="9"/>
  <c r="L37" i="9"/>
  <c r="K297" i="9"/>
  <c r="L296" i="9"/>
  <c r="K124" i="9"/>
  <c r="L123" i="9"/>
  <c r="E368" i="11" l="1"/>
  <c r="K368" i="11"/>
  <c r="L368" i="11"/>
  <c r="H368" i="11"/>
  <c r="J368" i="11" s="1"/>
  <c r="G368" i="11"/>
  <c r="M368" i="11"/>
  <c r="H389" i="9"/>
  <c r="C374" i="11"/>
  <c r="K384" i="9"/>
  <c r="I369" i="11"/>
  <c r="L383" i="9"/>
  <c r="F369" i="11" s="1"/>
  <c r="M383" i="9"/>
  <c r="D369" i="11" s="1"/>
  <c r="L87" i="11"/>
  <c r="K87" i="11"/>
  <c r="E87" i="11"/>
  <c r="D196" i="11"/>
  <c r="D197" i="11"/>
  <c r="L237" i="11"/>
  <c r="K237" i="11"/>
  <c r="E237" i="11"/>
  <c r="L33" i="11"/>
  <c r="E33" i="11"/>
  <c r="K33" i="11"/>
  <c r="L54" i="11"/>
  <c r="K54" i="11"/>
  <c r="E54" i="11"/>
  <c r="K195" i="11"/>
  <c r="E195" i="11"/>
  <c r="L195" i="11"/>
  <c r="L343" i="11"/>
  <c r="E343" i="11"/>
  <c r="K343" i="11"/>
  <c r="E301" i="11"/>
  <c r="L301" i="11"/>
  <c r="K301" i="11"/>
  <c r="K116" i="11"/>
  <c r="L116" i="11"/>
  <c r="E116" i="11"/>
  <c r="L286" i="11"/>
  <c r="K286" i="11"/>
  <c r="E286" i="11"/>
  <c r="L300" i="11"/>
  <c r="K300" i="11"/>
  <c r="E300" i="11"/>
  <c r="M236" i="11"/>
  <c r="G236" i="11"/>
  <c r="I344" i="11"/>
  <c r="M356" i="9"/>
  <c r="D344" i="11" s="1"/>
  <c r="M53" i="11"/>
  <c r="G53" i="11"/>
  <c r="M52" i="11"/>
  <c r="G52" i="11"/>
  <c r="G342" i="11"/>
  <c r="M342" i="11"/>
  <c r="I117" i="11"/>
  <c r="M124" i="9"/>
  <c r="D117" i="11" s="1"/>
  <c r="I287" i="11"/>
  <c r="M297" i="9"/>
  <c r="D287" i="11" s="1"/>
  <c r="I238" i="11"/>
  <c r="M247" i="9"/>
  <c r="D238" i="11" s="1"/>
  <c r="I34" i="11"/>
  <c r="M38" i="9"/>
  <c r="D34" i="11" s="1"/>
  <c r="I55" i="11"/>
  <c r="M60" i="9"/>
  <c r="D55" i="11" s="1"/>
  <c r="G194" i="11"/>
  <c r="M194" i="11"/>
  <c r="M341" i="11"/>
  <c r="G341" i="11"/>
  <c r="M299" i="11"/>
  <c r="G299" i="11"/>
  <c r="I88" i="11"/>
  <c r="M94" i="9"/>
  <c r="D88" i="11" s="1"/>
  <c r="F33" i="11"/>
  <c r="I197" i="11"/>
  <c r="I196" i="11"/>
  <c r="F87" i="11"/>
  <c r="F116" i="11"/>
  <c r="F300" i="11"/>
  <c r="F301" i="11"/>
  <c r="F343" i="11"/>
  <c r="F54" i="11"/>
  <c r="F286" i="11"/>
  <c r="F237" i="11"/>
  <c r="F195" i="11"/>
  <c r="K313" i="9"/>
  <c r="L312" i="9"/>
  <c r="K357" i="9"/>
  <c r="L356" i="9"/>
  <c r="K95" i="9"/>
  <c r="L94" i="9"/>
  <c r="K248" i="9"/>
  <c r="L247" i="9"/>
  <c r="L297" i="9"/>
  <c r="K61" i="9"/>
  <c r="L60" i="9"/>
  <c r="K39" i="9"/>
  <c r="L38" i="9"/>
  <c r="K125" i="9"/>
  <c r="M125" i="9" s="1"/>
  <c r="L124" i="9"/>
  <c r="K205" i="9"/>
  <c r="M205" i="9" s="1"/>
  <c r="L204" i="9"/>
  <c r="H390" i="9" l="1"/>
  <c r="C375" i="11"/>
  <c r="E369" i="11"/>
  <c r="K369" i="11"/>
  <c r="H369" i="11"/>
  <c r="J369" i="11" s="1"/>
  <c r="L369" i="11"/>
  <c r="M369" i="11" s="1"/>
  <c r="G369" i="11"/>
  <c r="K385" i="9"/>
  <c r="I370" i="11"/>
  <c r="L384" i="9"/>
  <c r="F370" i="11" s="1"/>
  <c r="M384" i="9"/>
  <c r="D370" i="11" s="1"/>
  <c r="K197" i="11"/>
  <c r="L197" i="11"/>
  <c r="E197" i="11"/>
  <c r="D119" i="11"/>
  <c r="D118" i="11"/>
  <c r="K117" i="11"/>
  <c r="L117" i="11"/>
  <c r="E117" i="11"/>
  <c r="L344" i="11"/>
  <c r="E344" i="11"/>
  <c r="K344" i="11"/>
  <c r="K196" i="11"/>
  <c r="L196" i="11"/>
  <c r="E196" i="11"/>
  <c r="E88" i="11"/>
  <c r="L88" i="11"/>
  <c r="K88" i="11"/>
  <c r="L238" i="11"/>
  <c r="E238" i="11"/>
  <c r="K238" i="11"/>
  <c r="L287" i="11"/>
  <c r="E287" i="11"/>
  <c r="K287" i="11"/>
  <c r="E55" i="11"/>
  <c r="K55" i="11"/>
  <c r="L55" i="11"/>
  <c r="K34" i="11"/>
  <c r="E34" i="11"/>
  <c r="L34" i="11"/>
  <c r="G32" i="11"/>
  <c r="M32" i="11"/>
  <c r="I239" i="11"/>
  <c r="M248" i="9"/>
  <c r="D239" i="11" s="1"/>
  <c r="M116" i="11"/>
  <c r="G116" i="11"/>
  <c r="G286" i="11"/>
  <c r="M286" i="11"/>
  <c r="I345" i="11"/>
  <c r="M357" i="9"/>
  <c r="D345" i="11" s="1"/>
  <c r="M115" i="11"/>
  <c r="G115" i="11"/>
  <c r="I89" i="11"/>
  <c r="M95" i="9"/>
  <c r="D89" i="11" s="1"/>
  <c r="I35" i="11"/>
  <c r="M39" i="9"/>
  <c r="D35" i="11" s="1"/>
  <c r="M285" i="11"/>
  <c r="G285" i="11"/>
  <c r="M54" i="11"/>
  <c r="G54" i="11"/>
  <c r="I56" i="11"/>
  <c r="M61" i="9"/>
  <c r="D56" i="11" s="1"/>
  <c r="I302" i="11"/>
  <c r="M313" i="9"/>
  <c r="D302" i="11" s="1"/>
  <c r="M195" i="11"/>
  <c r="G195" i="11"/>
  <c r="M343" i="11"/>
  <c r="G343" i="11"/>
  <c r="M87" i="11"/>
  <c r="G87" i="11"/>
  <c r="M86" i="11"/>
  <c r="G86" i="11"/>
  <c r="F344" i="11"/>
  <c r="F287" i="11"/>
  <c r="F55" i="11"/>
  <c r="F197" i="11"/>
  <c r="F196" i="11"/>
  <c r="F34" i="11"/>
  <c r="F238" i="11"/>
  <c r="F117" i="11"/>
  <c r="I119" i="11"/>
  <c r="I118" i="11"/>
  <c r="F88" i="11"/>
  <c r="K358" i="9"/>
  <c r="L357" i="9"/>
  <c r="K314" i="9"/>
  <c r="L313" i="9"/>
  <c r="K40" i="9"/>
  <c r="L39" i="9"/>
  <c r="K126" i="9"/>
  <c r="M126" i="9" s="1"/>
  <c r="L125" i="9"/>
  <c r="K249" i="9"/>
  <c r="L248" i="9"/>
  <c r="K206" i="9"/>
  <c r="L205" i="9"/>
  <c r="K62" i="9"/>
  <c r="L61" i="9"/>
  <c r="K96" i="9"/>
  <c r="L95" i="9"/>
  <c r="H370" i="11" l="1"/>
  <c r="L370" i="11"/>
  <c r="M370" i="11" s="1"/>
  <c r="E370" i="11"/>
  <c r="K370" i="11"/>
  <c r="G370" i="11"/>
  <c r="J370" i="11"/>
  <c r="K386" i="9"/>
  <c r="I371" i="11"/>
  <c r="L385" i="9"/>
  <c r="F371" i="11" s="1"/>
  <c r="M385" i="9"/>
  <c r="D371" i="11" s="1"/>
  <c r="H391" i="9"/>
  <c r="C376" i="11"/>
  <c r="L35" i="11"/>
  <c r="K35" i="11"/>
  <c r="E35" i="11"/>
  <c r="E119" i="11"/>
  <c r="K119" i="11"/>
  <c r="L119" i="11"/>
  <c r="K345" i="11"/>
  <c r="E345" i="11"/>
  <c r="L345" i="11"/>
  <c r="L56" i="11"/>
  <c r="E56" i="11"/>
  <c r="K56" i="11"/>
  <c r="K89" i="11"/>
  <c r="L89" i="11"/>
  <c r="E89" i="11"/>
  <c r="K302" i="11"/>
  <c r="L302" i="11"/>
  <c r="E302" i="11"/>
  <c r="E118" i="11"/>
  <c r="K118" i="11"/>
  <c r="L118" i="11"/>
  <c r="E239" i="11"/>
  <c r="L239" i="11"/>
  <c r="K239" i="11"/>
  <c r="M237" i="11"/>
  <c r="G237" i="11"/>
  <c r="G34" i="11"/>
  <c r="M34" i="11"/>
  <c r="I240" i="11"/>
  <c r="M249" i="9"/>
  <c r="D240" i="11" s="1"/>
  <c r="G33" i="11"/>
  <c r="M33" i="11"/>
  <c r="G301" i="11"/>
  <c r="M301" i="11"/>
  <c r="I57" i="11"/>
  <c r="M62" i="9"/>
  <c r="D57" i="11" s="1"/>
  <c r="I36" i="11"/>
  <c r="M40" i="9"/>
  <c r="D36" i="11" s="1"/>
  <c r="M55" i="11"/>
  <c r="G55" i="11"/>
  <c r="M300" i="11"/>
  <c r="G300" i="11"/>
  <c r="I90" i="11"/>
  <c r="M96" i="9"/>
  <c r="D90" i="11" s="1"/>
  <c r="M88" i="11"/>
  <c r="G88" i="11"/>
  <c r="I346" i="11"/>
  <c r="M358" i="9"/>
  <c r="D346" i="11" s="1"/>
  <c r="M238" i="11"/>
  <c r="G238" i="11"/>
  <c r="I198" i="11"/>
  <c r="M206" i="9"/>
  <c r="D198" i="11" s="1"/>
  <c r="I303" i="11"/>
  <c r="M314" i="9"/>
  <c r="D303" i="11" s="1"/>
  <c r="M287" i="11"/>
  <c r="G287" i="11"/>
  <c r="F56" i="11"/>
  <c r="F35" i="11"/>
  <c r="F345" i="11"/>
  <c r="F239" i="11"/>
  <c r="F302" i="11"/>
  <c r="F89" i="11"/>
  <c r="F118" i="11"/>
  <c r="F119" i="11"/>
  <c r="K359" i="9"/>
  <c r="L358" i="9"/>
  <c r="L314" i="9"/>
  <c r="K315" i="9"/>
  <c r="K207" i="9"/>
  <c r="L206" i="9"/>
  <c r="K127" i="9"/>
  <c r="L126" i="9"/>
  <c r="K97" i="9"/>
  <c r="L96" i="9"/>
  <c r="K63" i="9"/>
  <c r="L62" i="9"/>
  <c r="K250" i="9"/>
  <c r="L249" i="9"/>
  <c r="K41" i="9"/>
  <c r="L40" i="9"/>
  <c r="K387" i="9" l="1"/>
  <c r="I372" i="11"/>
  <c r="L386" i="9"/>
  <c r="F372" i="11" s="1"/>
  <c r="M386" i="9"/>
  <c r="D372" i="11" s="1"/>
  <c r="H392" i="9"/>
  <c r="C377" i="11"/>
  <c r="H371" i="11"/>
  <c r="J371" i="11" s="1"/>
  <c r="L371" i="11"/>
  <c r="M371" i="11" s="1"/>
  <c r="E371" i="11"/>
  <c r="K371" i="11"/>
  <c r="G371" i="11"/>
  <c r="L198" i="11"/>
  <c r="E198" i="11"/>
  <c r="K198" i="11"/>
  <c r="E90" i="11"/>
  <c r="L90" i="11"/>
  <c r="K90" i="11"/>
  <c r="E57" i="11"/>
  <c r="K57" i="11"/>
  <c r="L57" i="11"/>
  <c r="E36" i="11"/>
  <c r="K36" i="11"/>
  <c r="L36" i="11"/>
  <c r="L303" i="11"/>
  <c r="E303" i="11"/>
  <c r="K303" i="11"/>
  <c r="L346" i="11"/>
  <c r="K346" i="11"/>
  <c r="E346" i="11"/>
  <c r="K240" i="11"/>
  <c r="E240" i="11"/>
  <c r="L240" i="11"/>
  <c r="I347" i="11"/>
  <c r="M359" i="9"/>
  <c r="D347" i="11" s="1"/>
  <c r="M197" i="11"/>
  <c r="G197" i="11"/>
  <c r="I120" i="11"/>
  <c r="M127" i="9"/>
  <c r="D120" i="11" s="1"/>
  <c r="G56" i="11"/>
  <c r="M56" i="11"/>
  <c r="M117" i="11"/>
  <c r="G117" i="11"/>
  <c r="I241" i="11"/>
  <c r="M250" i="9"/>
  <c r="D241" i="11" s="1"/>
  <c r="I199" i="11"/>
  <c r="M207" i="9"/>
  <c r="D199" i="11" s="1"/>
  <c r="I91" i="11"/>
  <c r="M97" i="9"/>
  <c r="D91" i="11" s="1"/>
  <c r="M196" i="11"/>
  <c r="G196" i="11"/>
  <c r="I304" i="11"/>
  <c r="M315" i="9"/>
  <c r="D304" i="11" s="1"/>
  <c r="I58" i="11"/>
  <c r="M63" i="9"/>
  <c r="D58" i="11" s="1"/>
  <c r="M345" i="11"/>
  <c r="G345" i="11"/>
  <c r="M35" i="11"/>
  <c r="G35" i="11"/>
  <c r="I37" i="11"/>
  <c r="M41" i="9"/>
  <c r="D37" i="11" s="1"/>
  <c r="M89" i="11"/>
  <c r="G89" i="11"/>
  <c r="M344" i="11"/>
  <c r="G344" i="11"/>
  <c r="F57" i="11"/>
  <c r="F90" i="11"/>
  <c r="F198" i="11"/>
  <c r="F240" i="11"/>
  <c r="F346" i="11"/>
  <c r="F36" i="11"/>
  <c r="F303" i="11"/>
  <c r="L359" i="9"/>
  <c r="K360" i="9"/>
  <c r="L315" i="9"/>
  <c r="K316" i="9"/>
  <c r="K208" i="9"/>
  <c r="L207" i="9"/>
  <c r="K64" i="9"/>
  <c r="L63" i="9"/>
  <c r="K42" i="9"/>
  <c r="L41" i="9"/>
  <c r="K128" i="9"/>
  <c r="L127" i="9"/>
  <c r="K98" i="9"/>
  <c r="M98" i="9" s="1"/>
  <c r="L97" i="9"/>
  <c r="K251" i="9"/>
  <c r="L250" i="9"/>
  <c r="H393" i="9" l="1"/>
  <c r="C378" i="11"/>
  <c r="K388" i="9"/>
  <c r="I373" i="11"/>
  <c r="L387" i="9"/>
  <c r="F373" i="11" s="1"/>
  <c r="M387" i="9"/>
  <c r="D373" i="11" s="1"/>
  <c r="H372" i="11"/>
  <c r="J372" i="11" s="1"/>
  <c r="L372" i="11"/>
  <c r="M372" i="11" s="1"/>
  <c r="E372" i="11"/>
  <c r="G372" i="11" s="1"/>
  <c r="K372" i="11"/>
  <c r="K91" i="11"/>
  <c r="L91" i="11"/>
  <c r="E91" i="11"/>
  <c r="K347" i="11"/>
  <c r="E347" i="11"/>
  <c r="L347" i="11"/>
  <c r="E58" i="11"/>
  <c r="K58" i="11"/>
  <c r="L58" i="11"/>
  <c r="E199" i="11"/>
  <c r="K199" i="11"/>
  <c r="L199" i="11"/>
  <c r="K120" i="11"/>
  <c r="E120" i="11"/>
  <c r="L120" i="11"/>
  <c r="D92" i="11"/>
  <c r="D93" i="11"/>
  <c r="L37" i="11"/>
  <c r="K37" i="11"/>
  <c r="E37" i="11"/>
  <c r="L304" i="11"/>
  <c r="K304" i="11"/>
  <c r="E304" i="11"/>
  <c r="L241" i="11"/>
  <c r="E241" i="11"/>
  <c r="K241" i="11"/>
  <c r="M303" i="11"/>
  <c r="G303" i="11"/>
  <c r="M302" i="11"/>
  <c r="G302" i="11"/>
  <c r="M239" i="11"/>
  <c r="G239" i="11"/>
  <c r="I200" i="11"/>
  <c r="M208" i="9"/>
  <c r="D200" i="11" s="1"/>
  <c r="I305" i="11"/>
  <c r="M316" i="9"/>
  <c r="D305" i="11" s="1"/>
  <c r="I121" i="11"/>
  <c r="M128" i="9"/>
  <c r="D121" i="11" s="1"/>
  <c r="I348" i="11"/>
  <c r="M360" i="9"/>
  <c r="D348" i="11" s="1"/>
  <c r="I38" i="11"/>
  <c r="M42" i="9"/>
  <c r="D38" i="11" s="1"/>
  <c r="M118" i="11"/>
  <c r="G118" i="11"/>
  <c r="M198" i="11"/>
  <c r="G198" i="11"/>
  <c r="M90" i="11"/>
  <c r="G90" i="11"/>
  <c r="M36" i="11"/>
  <c r="G36" i="11"/>
  <c r="M119" i="11"/>
  <c r="G119" i="11"/>
  <c r="I242" i="11"/>
  <c r="M251" i="9"/>
  <c r="D242" i="11" s="1"/>
  <c r="I59" i="11"/>
  <c r="M64" i="9"/>
  <c r="D59" i="11" s="1"/>
  <c r="M57" i="11"/>
  <c r="G57" i="11"/>
  <c r="F91" i="11"/>
  <c r="F304" i="11"/>
  <c r="F120" i="11"/>
  <c r="F347" i="11"/>
  <c r="F241" i="11"/>
  <c r="F58" i="11"/>
  <c r="F199" i="11"/>
  <c r="I93" i="11"/>
  <c r="I92" i="11"/>
  <c r="F37" i="11"/>
  <c r="L360" i="9"/>
  <c r="K361" i="9"/>
  <c r="K317" i="9"/>
  <c r="L316" i="9"/>
  <c r="K65" i="9"/>
  <c r="L64" i="9"/>
  <c r="K99" i="9"/>
  <c r="M99" i="9" s="1"/>
  <c r="L98" i="9"/>
  <c r="K129" i="9"/>
  <c r="L128" i="9"/>
  <c r="K43" i="9"/>
  <c r="L42" i="9"/>
  <c r="K252" i="9"/>
  <c r="L251" i="9"/>
  <c r="K209" i="9"/>
  <c r="L208" i="9"/>
  <c r="H373" i="11" l="1"/>
  <c r="L373" i="11"/>
  <c r="E373" i="11"/>
  <c r="K373" i="11"/>
  <c r="G373" i="11"/>
  <c r="K389" i="9"/>
  <c r="I374" i="11"/>
  <c r="L388" i="9"/>
  <c r="F374" i="11" s="1"/>
  <c r="M388" i="9"/>
  <c r="D374" i="11" s="1"/>
  <c r="M373" i="11"/>
  <c r="J373" i="11"/>
  <c r="H394" i="9"/>
  <c r="C379" i="11"/>
  <c r="K242" i="11"/>
  <c r="E242" i="11"/>
  <c r="L242" i="11"/>
  <c r="L305" i="11"/>
  <c r="E305" i="11"/>
  <c r="K305" i="11"/>
  <c r="L59" i="11"/>
  <c r="E59" i="11"/>
  <c r="K59" i="11"/>
  <c r="K92" i="11"/>
  <c r="E92" i="11"/>
  <c r="L92" i="11"/>
  <c r="L121" i="11"/>
  <c r="K121" i="11"/>
  <c r="E121" i="11"/>
  <c r="K38" i="11"/>
  <c r="L38" i="11"/>
  <c r="E38" i="11"/>
  <c r="L200" i="11"/>
  <c r="K200" i="11"/>
  <c r="E200" i="11"/>
  <c r="E348" i="11"/>
  <c r="K348" i="11"/>
  <c r="L348" i="11"/>
  <c r="E93" i="11"/>
  <c r="K93" i="11"/>
  <c r="L93" i="11"/>
  <c r="I349" i="11"/>
  <c r="M361" i="9"/>
  <c r="D349" i="11" s="1"/>
  <c r="G37" i="11"/>
  <c r="M37" i="11"/>
  <c r="I122" i="11"/>
  <c r="M129" i="9"/>
  <c r="D122" i="11" s="1"/>
  <c r="I201" i="11"/>
  <c r="M209" i="9"/>
  <c r="D201" i="11" s="1"/>
  <c r="M91" i="11"/>
  <c r="G91" i="11"/>
  <c r="I243" i="11"/>
  <c r="M252" i="9"/>
  <c r="D243" i="11" s="1"/>
  <c r="M304" i="11"/>
  <c r="G304" i="11"/>
  <c r="M346" i="11"/>
  <c r="G346" i="11"/>
  <c r="G347" i="11"/>
  <c r="M347" i="11"/>
  <c r="M199" i="11"/>
  <c r="G199" i="11"/>
  <c r="I60" i="11"/>
  <c r="M65" i="9"/>
  <c r="D60" i="11" s="1"/>
  <c r="M241" i="11"/>
  <c r="G241" i="11"/>
  <c r="M240" i="11"/>
  <c r="G240" i="11"/>
  <c r="G120" i="11"/>
  <c r="M120" i="11"/>
  <c r="I39" i="11"/>
  <c r="M43" i="9"/>
  <c r="D39" i="11" s="1"/>
  <c r="I306" i="11"/>
  <c r="M317" i="9"/>
  <c r="D306" i="11" s="1"/>
  <c r="F242" i="11"/>
  <c r="F59" i="11"/>
  <c r="F38" i="11"/>
  <c r="F121" i="11"/>
  <c r="F305" i="11"/>
  <c r="F348" i="11"/>
  <c r="F200" i="11"/>
  <c r="F92" i="11"/>
  <c r="F93" i="11"/>
  <c r="K318" i="9"/>
  <c r="L317" i="9"/>
  <c r="L361" i="9"/>
  <c r="K100" i="9"/>
  <c r="L99" i="9"/>
  <c r="K253" i="9"/>
  <c r="L252" i="9"/>
  <c r="K66" i="9"/>
  <c r="L65" i="9"/>
  <c r="K44" i="9"/>
  <c r="M44" i="9" s="1"/>
  <c r="L43" i="9"/>
  <c r="K210" i="9"/>
  <c r="L209" i="9"/>
  <c r="K130" i="9"/>
  <c r="L129" i="9"/>
  <c r="H395" i="9" l="1"/>
  <c r="H396" i="9" s="1"/>
  <c r="C381" i="11"/>
  <c r="C380" i="11"/>
  <c r="G374" i="11"/>
  <c r="K390" i="9"/>
  <c r="L389" i="9"/>
  <c r="F375" i="11" s="1"/>
  <c r="I375" i="11"/>
  <c r="M389" i="9"/>
  <c r="D375" i="11" s="1"/>
  <c r="E374" i="11"/>
  <c r="H374" i="11"/>
  <c r="J374" i="11" s="1"/>
  <c r="L374" i="11"/>
  <c r="M374" i="11" s="1"/>
  <c r="K374" i="11"/>
  <c r="D40" i="11"/>
  <c r="D41" i="11"/>
  <c r="K243" i="11"/>
  <c r="L243" i="11"/>
  <c r="E243" i="11"/>
  <c r="E349" i="11"/>
  <c r="K349" i="11"/>
  <c r="L349" i="11"/>
  <c r="K306" i="11"/>
  <c r="E306" i="11"/>
  <c r="L306" i="11"/>
  <c r="K201" i="11"/>
  <c r="E201" i="11"/>
  <c r="L201" i="11"/>
  <c r="E39" i="11"/>
  <c r="L39" i="11"/>
  <c r="K39" i="11"/>
  <c r="K60" i="11"/>
  <c r="E60" i="11"/>
  <c r="L60" i="11"/>
  <c r="K122" i="11"/>
  <c r="L122" i="11"/>
  <c r="E122" i="11"/>
  <c r="I307" i="11"/>
  <c r="M318" i="9"/>
  <c r="D307" i="11" s="1"/>
  <c r="I61" i="11"/>
  <c r="M66" i="9"/>
  <c r="D61" i="11" s="1"/>
  <c r="I123" i="11"/>
  <c r="M130" i="9"/>
  <c r="D123" i="11" s="1"/>
  <c r="I244" i="11"/>
  <c r="M253" i="9"/>
  <c r="D244" i="11" s="1"/>
  <c r="M200" i="11"/>
  <c r="G200" i="11"/>
  <c r="M348" i="11"/>
  <c r="G348" i="11"/>
  <c r="M59" i="11"/>
  <c r="G59" i="11"/>
  <c r="M58" i="11"/>
  <c r="G58" i="11"/>
  <c r="M121" i="11"/>
  <c r="G121" i="11"/>
  <c r="I202" i="11"/>
  <c r="M210" i="9"/>
  <c r="D202" i="11" s="1"/>
  <c r="I94" i="11"/>
  <c r="M100" i="9"/>
  <c r="D94" i="11" s="1"/>
  <c r="M242" i="11"/>
  <c r="G242" i="11"/>
  <c r="G305" i="11"/>
  <c r="M305" i="11"/>
  <c r="F306" i="11"/>
  <c r="F39" i="11"/>
  <c r="I40" i="11"/>
  <c r="I41" i="11"/>
  <c r="F60" i="11"/>
  <c r="F201" i="11"/>
  <c r="F122" i="11"/>
  <c r="F243" i="11"/>
  <c r="F349" i="11"/>
  <c r="K319" i="9"/>
  <c r="L318" i="9"/>
  <c r="K67" i="9"/>
  <c r="L66" i="9"/>
  <c r="K211" i="9"/>
  <c r="L210" i="9"/>
  <c r="K254" i="9"/>
  <c r="L253" i="9"/>
  <c r="K131" i="9"/>
  <c r="L130" i="9"/>
  <c r="K45" i="9"/>
  <c r="M45" i="9" s="1"/>
  <c r="L44" i="9"/>
  <c r="K101" i="9"/>
  <c r="L100" i="9"/>
  <c r="K391" i="9" l="1"/>
  <c r="I376" i="11"/>
  <c r="L390" i="9"/>
  <c r="F376" i="11" s="1"/>
  <c r="M390" i="9"/>
  <c r="D376" i="11" s="1"/>
  <c r="H397" i="9"/>
  <c r="C382" i="11"/>
  <c r="E375" i="11"/>
  <c r="G375" i="11" s="1"/>
  <c r="K375" i="11"/>
  <c r="H375" i="11"/>
  <c r="J375" i="11" s="1"/>
  <c r="L375" i="11"/>
  <c r="M375" i="11" s="1"/>
  <c r="E94" i="11"/>
  <c r="L94" i="11"/>
  <c r="K94" i="11"/>
  <c r="E123" i="11"/>
  <c r="K123" i="11"/>
  <c r="L123" i="11"/>
  <c r="L202" i="11"/>
  <c r="E202" i="11"/>
  <c r="K202" i="11"/>
  <c r="K61" i="11"/>
  <c r="E61" i="11"/>
  <c r="L61" i="11"/>
  <c r="E41" i="11"/>
  <c r="K41" i="11"/>
  <c r="L41" i="11"/>
  <c r="K244" i="11"/>
  <c r="E244" i="11"/>
  <c r="L244" i="11"/>
  <c r="K307" i="11"/>
  <c r="L307" i="11"/>
  <c r="E307" i="11"/>
  <c r="L40" i="11"/>
  <c r="K40" i="11"/>
  <c r="E40" i="11"/>
  <c r="I62" i="11"/>
  <c r="M67" i="9"/>
  <c r="D62" i="11" s="1"/>
  <c r="I203" i="11"/>
  <c r="M211" i="9"/>
  <c r="D203" i="11" s="1"/>
  <c r="I95" i="11"/>
  <c r="M101" i="9"/>
  <c r="D95" i="11" s="1"/>
  <c r="M122" i="11"/>
  <c r="G122" i="11"/>
  <c r="I124" i="11"/>
  <c r="M131" i="9"/>
  <c r="D124" i="11" s="1"/>
  <c r="I308" i="11"/>
  <c r="M319" i="9"/>
  <c r="D308" i="11" s="1"/>
  <c r="G93" i="11"/>
  <c r="M93" i="11"/>
  <c r="M60" i="11"/>
  <c r="G60" i="11"/>
  <c r="M92" i="11"/>
  <c r="G92" i="11"/>
  <c r="M38" i="11"/>
  <c r="G38" i="11"/>
  <c r="I245" i="11"/>
  <c r="M254" i="9"/>
  <c r="D245" i="11" s="1"/>
  <c r="G201" i="11"/>
  <c r="M201" i="11"/>
  <c r="F94" i="11"/>
  <c r="F40" i="11"/>
  <c r="F41" i="11"/>
  <c r="F61" i="11"/>
  <c r="F307" i="11"/>
  <c r="F202" i="11"/>
  <c r="F123" i="11"/>
  <c r="F244" i="11"/>
  <c r="K320" i="9"/>
  <c r="L319" i="9"/>
  <c r="L45" i="9"/>
  <c r="K212" i="9"/>
  <c r="L211" i="9"/>
  <c r="K255" i="9"/>
  <c r="L254" i="9"/>
  <c r="K102" i="9"/>
  <c r="L101" i="9"/>
  <c r="K132" i="9"/>
  <c r="L131" i="9"/>
  <c r="K68" i="9"/>
  <c r="L67" i="9"/>
  <c r="H398" i="9" l="1"/>
  <c r="C383" i="11"/>
  <c r="L376" i="11"/>
  <c r="E376" i="11"/>
  <c r="G376" i="11" s="1"/>
  <c r="K376" i="11"/>
  <c r="H376" i="11"/>
  <c r="J376" i="11" s="1"/>
  <c r="M376" i="11"/>
  <c r="K392" i="9"/>
  <c r="I377" i="11"/>
  <c r="L391" i="9"/>
  <c r="F377" i="11" s="1"/>
  <c r="M391" i="9"/>
  <c r="D377" i="11" s="1"/>
  <c r="E95" i="11"/>
  <c r="K95" i="11"/>
  <c r="L95" i="11"/>
  <c r="L308" i="11"/>
  <c r="K308" i="11"/>
  <c r="E308" i="11"/>
  <c r="E203" i="11"/>
  <c r="L203" i="11"/>
  <c r="K203" i="11"/>
  <c r="L124" i="11"/>
  <c r="K124" i="11"/>
  <c r="E124" i="11"/>
  <c r="K62" i="11"/>
  <c r="E62" i="11"/>
  <c r="L62" i="11"/>
  <c r="L245" i="11"/>
  <c r="K245" i="11"/>
  <c r="E245" i="11"/>
  <c r="I125" i="11"/>
  <c r="M132" i="9"/>
  <c r="D125" i="11" s="1"/>
  <c r="I309" i="11"/>
  <c r="M320" i="9"/>
  <c r="D309" i="11" s="1"/>
  <c r="I96" i="11"/>
  <c r="M102" i="9"/>
  <c r="D96" i="11" s="1"/>
  <c r="M39" i="11"/>
  <c r="G39" i="11"/>
  <c r="M123" i="11"/>
  <c r="G123" i="11"/>
  <c r="G61" i="11"/>
  <c r="M61" i="11"/>
  <c r="M244" i="11"/>
  <c r="G244" i="11"/>
  <c r="I246" i="11"/>
  <c r="M255" i="9"/>
  <c r="D246" i="11" s="1"/>
  <c r="M349" i="11"/>
  <c r="G349" i="11"/>
  <c r="G306" i="11"/>
  <c r="M306" i="11"/>
  <c r="M307" i="11"/>
  <c r="G307" i="11"/>
  <c r="I63" i="11"/>
  <c r="M68" i="9"/>
  <c r="D63" i="11" s="1"/>
  <c r="I204" i="11"/>
  <c r="M212" i="9"/>
  <c r="D204" i="11" s="1"/>
  <c r="M94" i="11"/>
  <c r="G94" i="11"/>
  <c r="G243" i="11"/>
  <c r="M243" i="11"/>
  <c r="F95" i="11"/>
  <c r="F308" i="11"/>
  <c r="F245" i="11"/>
  <c r="F62" i="11"/>
  <c r="F203" i="11"/>
  <c r="F124" i="11"/>
  <c r="L320" i="9"/>
  <c r="K321" i="9"/>
  <c r="K256" i="9"/>
  <c r="L255" i="9"/>
  <c r="K133" i="9"/>
  <c r="L132" i="9"/>
  <c r="K213" i="9"/>
  <c r="L212" i="9"/>
  <c r="K69" i="9"/>
  <c r="L68" i="9"/>
  <c r="K103" i="9"/>
  <c r="L102" i="9"/>
  <c r="E377" i="11" l="1"/>
  <c r="G377" i="11" s="1"/>
  <c r="K377" i="11"/>
  <c r="H377" i="11"/>
  <c r="L377" i="11"/>
  <c r="M377" i="11" s="1"/>
  <c r="J377" i="11"/>
  <c r="K393" i="9"/>
  <c r="I378" i="11"/>
  <c r="L392" i="9"/>
  <c r="F378" i="11" s="1"/>
  <c r="M392" i="9"/>
  <c r="D378" i="11" s="1"/>
  <c r="H399" i="9"/>
  <c r="C384" i="11"/>
  <c r="E96" i="11"/>
  <c r="L96" i="11"/>
  <c r="K96" i="11"/>
  <c r="L204" i="11"/>
  <c r="E204" i="11"/>
  <c r="K204" i="11"/>
  <c r="K309" i="11"/>
  <c r="L309" i="11"/>
  <c r="E309" i="11"/>
  <c r="L246" i="11"/>
  <c r="K246" i="11"/>
  <c r="E246" i="11"/>
  <c r="L125" i="11"/>
  <c r="E125" i="11"/>
  <c r="K125" i="11"/>
  <c r="K63" i="11"/>
  <c r="L63" i="11"/>
  <c r="E63" i="11"/>
  <c r="I64" i="11"/>
  <c r="M69" i="9"/>
  <c r="D64" i="11" s="1"/>
  <c r="I247" i="11"/>
  <c r="M256" i="9"/>
  <c r="D247" i="11" s="1"/>
  <c r="M40" i="11"/>
  <c r="G40" i="11"/>
  <c r="G41" i="11"/>
  <c r="M41" i="11"/>
  <c r="G202" i="11"/>
  <c r="M202" i="11"/>
  <c r="M245" i="11"/>
  <c r="G245" i="11"/>
  <c r="M308" i="11"/>
  <c r="G308" i="11"/>
  <c r="I310" i="11"/>
  <c r="M321" i="9"/>
  <c r="D310" i="11" s="1"/>
  <c r="M95" i="11"/>
  <c r="G95" i="11"/>
  <c r="I97" i="11"/>
  <c r="M103" i="9"/>
  <c r="D97" i="11" s="1"/>
  <c r="M203" i="11"/>
  <c r="G203" i="11"/>
  <c r="I205" i="11"/>
  <c r="M213" i="9"/>
  <c r="D205" i="11" s="1"/>
  <c r="I126" i="11"/>
  <c r="M133" i="9"/>
  <c r="D126" i="11" s="1"/>
  <c r="F63" i="11"/>
  <c r="F204" i="11"/>
  <c r="F125" i="11"/>
  <c r="F309" i="11"/>
  <c r="F96" i="11"/>
  <c r="F246" i="11"/>
  <c r="K322" i="9"/>
  <c r="L321" i="9"/>
  <c r="K134" i="9"/>
  <c r="L133" i="9"/>
  <c r="K214" i="9"/>
  <c r="L213" i="9"/>
  <c r="K70" i="9"/>
  <c r="L69" i="9"/>
  <c r="K104" i="9"/>
  <c r="L103" i="9"/>
  <c r="K257" i="9"/>
  <c r="M257" i="9" s="1"/>
  <c r="L256" i="9"/>
  <c r="K394" i="9" l="1"/>
  <c r="I379" i="11"/>
  <c r="L393" i="9"/>
  <c r="F379" i="11" s="1"/>
  <c r="M393" i="9"/>
  <c r="D379" i="11" s="1"/>
  <c r="H401" i="9"/>
  <c r="C385" i="11"/>
  <c r="L378" i="11"/>
  <c r="M378" i="11" s="1"/>
  <c r="E378" i="11"/>
  <c r="G378" i="11" s="1"/>
  <c r="K378" i="11"/>
  <c r="H378" i="11"/>
  <c r="J378" i="11" s="1"/>
  <c r="K205" i="11"/>
  <c r="E205" i="11"/>
  <c r="L205" i="11"/>
  <c r="K97" i="11"/>
  <c r="L97" i="11"/>
  <c r="E97" i="11"/>
  <c r="K64" i="11"/>
  <c r="L64" i="11"/>
  <c r="E64" i="11"/>
  <c r="E310" i="11"/>
  <c r="K310" i="11"/>
  <c r="L310" i="11"/>
  <c r="E247" i="11"/>
  <c r="K247" i="11"/>
  <c r="L247" i="11"/>
  <c r="D248" i="11"/>
  <c r="D249" i="11"/>
  <c r="L126" i="11"/>
  <c r="E126" i="11"/>
  <c r="K126" i="11"/>
  <c r="G96" i="11"/>
  <c r="M96" i="11"/>
  <c r="I127" i="11"/>
  <c r="M134" i="9"/>
  <c r="D127" i="11" s="1"/>
  <c r="M124" i="11"/>
  <c r="G124" i="11"/>
  <c r="M204" i="11"/>
  <c r="G204" i="11"/>
  <c r="I98" i="11"/>
  <c r="M104" i="9"/>
  <c r="D98" i="11" s="1"/>
  <c r="I311" i="11"/>
  <c r="M322" i="9"/>
  <c r="D311" i="11" s="1"/>
  <c r="M63" i="11"/>
  <c r="G63" i="11"/>
  <c r="I206" i="11"/>
  <c r="M214" i="9"/>
  <c r="D206" i="11" s="1"/>
  <c r="I65" i="11"/>
  <c r="M70" i="9"/>
  <c r="D65" i="11" s="1"/>
  <c r="M246" i="11"/>
  <c r="G246" i="11"/>
  <c r="M62" i="11"/>
  <c r="G62" i="11"/>
  <c r="F97" i="11"/>
  <c r="I249" i="11"/>
  <c r="I248" i="11"/>
  <c r="F310" i="11"/>
  <c r="F247" i="11"/>
  <c r="F64" i="11"/>
  <c r="F205" i="11"/>
  <c r="F126" i="11"/>
  <c r="K323" i="9"/>
  <c r="L322" i="9"/>
  <c r="K258" i="9"/>
  <c r="M258" i="9" s="1"/>
  <c r="L257" i="9"/>
  <c r="K105" i="9"/>
  <c r="L104" i="9"/>
  <c r="K215" i="9"/>
  <c r="L214" i="9"/>
  <c r="K71" i="9"/>
  <c r="M71" i="9" s="1"/>
  <c r="L70" i="9"/>
  <c r="K135" i="9"/>
  <c r="L134" i="9"/>
  <c r="H379" i="11" l="1"/>
  <c r="L379" i="11"/>
  <c r="E379" i="11"/>
  <c r="G379" i="11" s="1"/>
  <c r="K379" i="11"/>
  <c r="H402" i="9"/>
  <c r="C386" i="11"/>
  <c r="M379" i="11"/>
  <c r="J379" i="11"/>
  <c r="K395" i="9"/>
  <c r="I380" i="11"/>
  <c r="L394" i="9"/>
  <c r="I381" i="11"/>
  <c r="M394" i="9"/>
  <c r="L127" i="11"/>
  <c r="K127" i="11"/>
  <c r="E127" i="11"/>
  <c r="E206" i="11"/>
  <c r="K206" i="11"/>
  <c r="L206" i="11"/>
  <c r="L248" i="11"/>
  <c r="K248" i="11"/>
  <c r="E248" i="11"/>
  <c r="E311" i="11"/>
  <c r="L311" i="11"/>
  <c r="K311" i="11"/>
  <c r="E65" i="11"/>
  <c r="L65" i="11"/>
  <c r="K65" i="11"/>
  <c r="D67" i="11"/>
  <c r="D66" i="11"/>
  <c r="L98" i="11"/>
  <c r="K98" i="11"/>
  <c r="E98" i="11"/>
  <c r="E249" i="11"/>
  <c r="L249" i="11"/>
  <c r="K249" i="11"/>
  <c r="M97" i="11"/>
  <c r="G97" i="11"/>
  <c r="I99" i="11"/>
  <c r="M105" i="9"/>
  <c r="D99" i="11" s="1"/>
  <c r="I207" i="11"/>
  <c r="M215" i="9"/>
  <c r="D207" i="11" s="1"/>
  <c r="M309" i="11"/>
  <c r="G309" i="11"/>
  <c r="M125" i="11"/>
  <c r="G125" i="11"/>
  <c r="M126" i="11"/>
  <c r="G126" i="11"/>
  <c r="I128" i="11"/>
  <c r="M135" i="9"/>
  <c r="D128" i="11" s="1"/>
  <c r="G310" i="11"/>
  <c r="M310" i="11"/>
  <c r="I312" i="11"/>
  <c r="M323" i="9"/>
  <c r="D312" i="11" s="1"/>
  <c r="F65" i="11"/>
  <c r="F98" i="11"/>
  <c r="I66" i="11"/>
  <c r="I67" i="11"/>
  <c r="F206" i="11"/>
  <c r="F127" i="11"/>
  <c r="F249" i="11"/>
  <c r="F248" i="11"/>
  <c r="F311" i="11"/>
  <c r="L323" i="9"/>
  <c r="K324" i="9"/>
  <c r="K136" i="9"/>
  <c r="L135" i="9"/>
  <c r="K216" i="9"/>
  <c r="L215" i="9"/>
  <c r="K72" i="9"/>
  <c r="M72" i="9" s="1"/>
  <c r="L71" i="9"/>
  <c r="K106" i="9"/>
  <c r="L105" i="9"/>
  <c r="K259" i="9"/>
  <c r="L258" i="9"/>
  <c r="D381" i="11" l="1"/>
  <c r="D380" i="11"/>
  <c r="H403" i="9"/>
  <c r="C387" i="11"/>
  <c r="F380" i="11"/>
  <c r="F381" i="11"/>
  <c r="K396" i="9"/>
  <c r="L395" i="9"/>
  <c r="M395" i="9"/>
  <c r="K67" i="11"/>
  <c r="E67" i="11"/>
  <c r="L67" i="11"/>
  <c r="K128" i="11"/>
  <c r="L128" i="11"/>
  <c r="E128" i="11"/>
  <c r="K207" i="11"/>
  <c r="E207" i="11"/>
  <c r="L207" i="11"/>
  <c r="K99" i="11"/>
  <c r="L99" i="11"/>
  <c r="E99" i="11"/>
  <c r="L312" i="11"/>
  <c r="E312" i="11"/>
  <c r="K312" i="11"/>
  <c r="K66" i="11"/>
  <c r="E66" i="11"/>
  <c r="L66" i="11"/>
  <c r="M65" i="11"/>
  <c r="G247" i="11"/>
  <c r="M247" i="11"/>
  <c r="I208" i="11"/>
  <c r="M216" i="9"/>
  <c r="D208" i="11" s="1"/>
  <c r="M127" i="11"/>
  <c r="G127" i="11"/>
  <c r="M205" i="11"/>
  <c r="G205" i="11"/>
  <c r="I100" i="11"/>
  <c r="M106" i="9"/>
  <c r="D100" i="11" s="1"/>
  <c r="I250" i="11"/>
  <c r="M259" i="9"/>
  <c r="D250" i="11" s="1"/>
  <c r="I129" i="11"/>
  <c r="M136" i="9"/>
  <c r="D129" i="11" s="1"/>
  <c r="G98" i="11"/>
  <c r="M98" i="11"/>
  <c r="M64" i="11"/>
  <c r="G64" i="11"/>
  <c r="I313" i="11"/>
  <c r="M324" i="9"/>
  <c r="D313" i="11" s="1"/>
  <c r="G65" i="11"/>
  <c r="F128" i="11"/>
  <c r="F66" i="11"/>
  <c r="F67" i="11"/>
  <c r="F312" i="11"/>
  <c r="F99" i="11"/>
  <c r="F207" i="11"/>
  <c r="L324" i="9"/>
  <c r="K325" i="9"/>
  <c r="K217" i="9"/>
  <c r="L216" i="9"/>
  <c r="K107" i="9"/>
  <c r="L106" i="9"/>
  <c r="K73" i="9"/>
  <c r="L72" i="9"/>
  <c r="K260" i="9"/>
  <c r="L259" i="9"/>
  <c r="K137" i="9"/>
  <c r="L136" i="9"/>
  <c r="H404" i="9" l="1"/>
  <c r="C388" i="11"/>
  <c r="K397" i="9"/>
  <c r="L396" i="9"/>
  <c r="F382" i="11" s="1"/>
  <c r="I382" i="11"/>
  <c r="M396" i="9"/>
  <c r="D382" i="11" s="1"/>
  <c r="E380" i="11"/>
  <c r="G380" i="11" s="1"/>
  <c r="K380" i="11"/>
  <c r="H380" i="11"/>
  <c r="J380" i="11" s="1"/>
  <c r="L380" i="11"/>
  <c r="M380" i="11" s="1"/>
  <c r="H381" i="11"/>
  <c r="J381" i="11" s="1"/>
  <c r="L381" i="11"/>
  <c r="M381" i="11" s="1"/>
  <c r="E381" i="11"/>
  <c r="G381" i="11" s="1"/>
  <c r="K381" i="11"/>
  <c r="L250" i="11"/>
  <c r="K250" i="11"/>
  <c r="E250" i="11"/>
  <c r="L208" i="11"/>
  <c r="K208" i="11"/>
  <c r="E208" i="11"/>
  <c r="L100" i="11"/>
  <c r="K100" i="11"/>
  <c r="E100" i="11"/>
  <c r="K313" i="11"/>
  <c r="L313" i="11"/>
  <c r="E313" i="11"/>
  <c r="K129" i="11"/>
  <c r="L129" i="11"/>
  <c r="E129" i="11"/>
  <c r="M311" i="11"/>
  <c r="G311" i="11"/>
  <c r="M206" i="11"/>
  <c r="G206" i="11"/>
  <c r="G249" i="11"/>
  <c r="M249" i="11"/>
  <c r="M128" i="11"/>
  <c r="G128" i="11"/>
  <c r="G99" i="11"/>
  <c r="M99" i="11"/>
  <c r="I130" i="11"/>
  <c r="M137" i="9"/>
  <c r="D130" i="11" s="1"/>
  <c r="I209" i="11"/>
  <c r="M217" i="9"/>
  <c r="D209" i="11" s="1"/>
  <c r="I251" i="11"/>
  <c r="M260" i="9"/>
  <c r="D251" i="11" s="1"/>
  <c r="I68" i="11"/>
  <c r="M73" i="9"/>
  <c r="D68" i="11" s="1"/>
  <c r="M248" i="11"/>
  <c r="G248" i="11"/>
  <c r="I101" i="11"/>
  <c r="M107" i="9"/>
  <c r="D101" i="11" s="1"/>
  <c r="I314" i="11"/>
  <c r="M325" i="9"/>
  <c r="D314" i="11" s="1"/>
  <c r="F313" i="11"/>
  <c r="F129" i="11"/>
  <c r="F208" i="11"/>
  <c r="F250" i="11"/>
  <c r="F100" i="11"/>
  <c r="K326" i="9"/>
  <c r="L325" i="9"/>
  <c r="K138" i="9"/>
  <c r="L137" i="9"/>
  <c r="K218" i="9"/>
  <c r="L217" i="9"/>
  <c r="K108" i="9"/>
  <c r="L107" i="9"/>
  <c r="K261" i="9"/>
  <c r="L260" i="9"/>
  <c r="K74" i="9"/>
  <c r="L73" i="9"/>
  <c r="E382" i="11" l="1"/>
  <c r="G382" i="11" s="1"/>
  <c r="K382" i="11"/>
  <c r="H382" i="11"/>
  <c r="J382" i="11" s="1"/>
  <c r="L382" i="11"/>
  <c r="M382" i="11" s="1"/>
  <c r="H405" i="9"/>
  <c r="C389" i="11"/>
  <c r="K398" i="9"/>
  <c r="L397" i="9"/>
  <c r="F383" i="11" s="1"/>
  <c r="I383" i="11"/>
  <c r="M397" i="9"/>
  <c r="D383" i="11" s="1"/>
  <c r="K251" i="11"/>
  <c r="E251" i="11"/>
  <c r="L251" i="11"/>
  <c r="E101" i="11"/>
  <c r="L101" i="11"/>
  <c r="K101" i="11"/>
  <c r="L209" i="11"/>
  <c r="K209" i="11"/>
  <c r="E209" i="11"/>
  <c r="L130" i="11"/>
  <c r="E130" i="11"/>
  <c r="K130" i="11"/>
  <c r="L314" i="11"/>
  <c r="E314" i="11"/>
  <c r="K314" i="11"/>
  <c r="K68" i="11"/>
  <c r="L68" i="11"/>
  <c r="E68" i="11"/>
  <c r="I69" i="11"/>
  <c r="M74" i="9"/>
  <c r="D69" i="11" s="1"/>
  <c r="G208" i="11"/>
  <c r="M208" i="11"/>
  <c r="M207" i="11"/>
  <c r="G207" i="11"/>
  <c r="G66" i="11"/>
  <c r="M66" i="11"/>
  <c r="I252" i="11"/>
  <c r="M261" i="9"/>
  <c r="D252" i="11" s="1"/>
  <c r="M129" i="11"/>
  <c r="G129" i="11"/>
  <c r="I102" i="11"/>
  <c r="M108" i="9"/>
  <c r="D102" i="11" s="1"/>
  <c r="M313" i="11"/>
  <c r="G313" i="11"/>
  <c r="M312" i="11"/>
  <c r="G312" i="11"/>
  <c r="M67" i="11"/>
  <c r="G67" i="11"/>
  <c r="I210" i="11"/>
  <c r="M218" i="9"/>
  <c r="D210" i="11" s="1"/>
  <c r="I131" i="11"/>
  <c r="M138" i="9"/>
  <c r="D131" i="11" s="1"/>
  <c r="I315" i="11"/>
  <c r="M326" i="9"/>
  <c r="D315" i="11" s="1"/>
  <c r="G250" i="11"/>
  <c r="M250" i="11"/>
  <c r="F101" i="11"/>
  <c r="F68" i="11"/>
  <c r="F130" i="11"/>
  <c r="F251" i="11"/>
  <c r="F314" i="11"/>
  <c r="F209" i="11"/>
  <c r="K327" i="9"/>
  <c r="L326" i="9"/>
  <c r="K219" i="9"/>
  <c r="L218" i="9"/>
  <c r="L108" i="9"/>
  <c r="K262" i="9"/>
  <c r="L261" i="9"/>
  <c r="K75" i="9"/>
  <c r="L74" i="9"/>
  <c r="K139" i="9"/>
  <c r="L138" i="9"/>
  <c r="H406" i="9" l="1"/>
  <c r="C390" i="11"/>
  <c r="E383" i="11"/>
  <c r="K383" i="11"/>
  <c r="H383" i="11"/>
  <c r="J383" i="11" s="1"/>
  <c r="L383" i="11"/>
  <c r="M383" i="11" s="1"/>
  <c r="G383" i="11"/>
  <c r="K399" i="9"/>
  <c r="I384" i="11"/>
  <c r="L398" i="9"/>
  <c r="F384" i="11" s="1"/>
  <c r="M398" i="9"/>
  <c r="D384" i="11" s="1"/>
  <c r="E102" i="11"/>
  <c r="L102" i="11"/>
  <c r="K102" i="11"/>
  <c r="E315" i="11"/>
  <c r="L315" i="11"/>
  <c r="K315" i="11"/>
  <c r="K252" i="11"/>
  <c r="E252" i="11"/>
  <c r="L252" i="11"/>
  <c r="E69" i="11"/>
  <c r="K69" i="11"/>
  <c r="L69" i="11"/>
  <c r="L210" i="11"/>
  <c r="E210" i="11"/>
  <c r="K210" i="11"/>
  <c r="L131" i="11"/>
  <c r="K131" i="11"/>
  <c r="E131" i="11"/>
  <c r="I316" i="11"/>
  <c r="M327" i="9"/>
  <c r="D316" i="11" s="1"/>
  <c r="M251" i="11"/>
  <c r="G251" i="11"/>
  <c r="I211" i="11"/>
  <c r="M219" i="9"/>
  <c r="D211" i="11" s="1"/>
  <c r="I132" i="11"/>
  <c r="M139" i="9"/>
  <c r="D132" i="11" s="1"/>
  <c r="I70" i="11"/>
  <c r="M75" i="9"/>
  <c r="D70" i="11" s="1"/>
  <c r="I253" i="11"/>
  <c r="M262" i="9"/>
  <c r="D253" i="11" s="1"/>
  <c r="M100" i="11"/>
  <c r="G100" i="11"/>
  <c r="M68" i="11"/>
  <c r="G68" i="11"/>
  <c r="F131" i="11"/>
  <c r="F69" i="11"/>
  <c r="F252" i="11"/>
  <c r="F315" i="11"/>
  <c r="F102" i="11"/>
  <c r="F210" i="11"/>
  <c r="L327" i="9"/>
  <c r="K328" i="9"/>
  <c r="K263" i="9"/>
  <c r="L262" i="9"/>
  <c r="K76" i="9"/>
  <c r="L75" i="9"/>
  <c r="K140" i="9"/>
  <c r="L139" i="9"/>
  <c r="K220" i="9"/>
  <c r="L219" i="9"/>
  <c r="E384" i="11" l="1"/>
  <c r="K384" i="11"/>
  <c r="H384" i="11"/>
  <c r="L384" i="11"/>
  <c r="M384" i="11" s="1"/>
  <c r="G384" i="11"/>
  <c r="J384" i="11"/>
  <c r="I385" i="11"/>
  <c r="L399" i="9"/>
  <c r="F385" i="11" s="1"/>
  <c r="K400" i="9"/>
  <c r="M399" i="9"/>
  <c r="D385" i="11" s="1"/>
  <c r="H407" i="9"/>
  <c r="C391" i="11"/>
  <c r="K253" i="11"/>
  <c r="L253" i="11"/>
  <c r="E253" i="11"/>
  <c r="E316" i="11"/>
  <c r="K316" i="11"/>
  <c r="L316" i="11"/>
  <c r="E70" i="11"/>
  <c r="K70" i="11"/>
  <c r="L70" i="11"/>
  <c r="L132" i="11"/>
  <c r="K132" i="11"/>
  <c r="E132" i="11"/>
  <c r="E211" i="11"/>
  <c r="K211" i="11"/>
  <c r="L211" i="11"/>
  <c r="M102" i="11"/>
  <c r="G102" i="11"/>
  <c r="M130" i="11"/>
  <c r="G130" i="11"/>
  <c r="G69" i="11"/>
  <c r="M69" i="11"/>
  <c r="M209" i="11"/>
  <c r="G209" i="11"/>
  <c r="G131" i="11"/>
  <c r="M131" i="11"/>
  <c r="I212" i="11"/>
  <c r="M220" i="9"/>
  <c r="D212" i="11" s="1"/>
  <c r="I71" i="11"/>
  <c r="M76" i="9"/>
  <c r="D71" i="11" s="1"/>
  <c r="I254" i="11"/>
  <c r="M263" i="9"/>
  <c r="D254" i="11" s="1"/>
  <c r="I317" i="11"/>
  <c r="M328" i="9"/>
  <c r="D317" i="11" s="1"/>
  <c r="G314" i="11"/>
  <c r="M314" i="11"/>
  <c r="I133" i="11"/>
  <c r="M140" i="9"/>
  <c r="D133" i="11" s="1"/>
  <c r="M252" i="11"/>
  <c r="G252" i="11"/>
  <c r="M101" i="11"/>
  <c r="G101" i="11"/>
  <c r="F70" i="11"/>
  <c r="F316" i="11"/>
  <c r="F253" i="11"/>
  <c r="F211" i="11"/>
  <c r="F132" i="11"/>
  <c r="K329" i="9"/>
  <c r="L328" i="9"/>
  <c r="K141" i="9"/>
  <c r="L140" i="9"/>
  <c r="K221" i="9"/>
  <c r="L220" i="9"/>
  <c r="K77" i="9"/>
  <c r="L76" i="9"/>
  <c r="K264" i="9"/>
  <c r="L263" i="9"/>
  <c r="H408" i="9" l="1"/>
  <c r="C392" i="11"/>
  <c r="E385" i="11"/>
  <c r="G385" i="11" s="1"/>
  <c r="K385" i="11"/>
  <c r="H385" i="11"/>
  <c r="J385" i="11" s="1"/>
  <c r="L385" i="11"/>
  <c r="M385" i="11" s="1"/>
  <c r="L400" i="9"/>
  <c r="K401" i="9"/>
  <c r="L71" i="11"/>
  <c r="E71" i="11"/>
  <c r="K71" i="11"/>
  <c r="E212" i="11"/>
  <c r="K212" i="11"/>
  <c r="L212" i="11"/>
  <c r="E133" i="11"/>
  <c r="L133" i="11"/>
  <c r="K133" i="11"/>
  <c r="E254" i="11"/>
  <c r="L254" i="11"/>
  <c r="K254" i="11"/>
  <c r="E317" i="11"/>
  <c r="K317" i="11"/>
  <c r="L317" i="11"/>
  <c r="M315" i="11"/>
  <c r="G315" i="11"/>
  <c r="M211" i="11"/>
  <c r="G211" i="11"/>
  <c r="M253" i="11"/>
  <c r="G253" i="11"/>
  <c r="I134" i="11"/>
  <c r="M141" i="9"/>
  <c r="D134" i="11" s="1"/>
  <c r="M210" i="11"/>
  <c r="G210" i="11"/>
  <c r="I213" i="11"/>
  <c r="M221" i="9"/>
  <c r="D213" i="11" s="1"/>
  <c r="M316" i="11"/>
  <c r="G316" i="11"/>
  <c r="I255" i="11"/>
  <c r="M264" i="9"/>
  <c r="D255" i="11" s="1"/>
  <c r="I318" i="11"/>
  <c r="M329" i="9"/>
  <c r="D318" i="11" s="1"/>
  <c r="M70" i="11"/>
  <c r="G70" i="11"/>
  <c r="I72" i="11"/>
  <c r="M77" i="9"/>
  <c r="D72" i="11" s="1"/>
  <c r="F212" i="11"/>
  <c r="F317" i="11"/>
  <c r="F254" i="11"/>
  <c r="F71" i="11"/>
  <c r="F133" i="11"/>
  <c r="L329" i="9"/>
  <c r="K330" i="9"/>
  <c r="K78" i="9"/>
  <c r="L77" i="9"/>
  <c r="K265" i="9"/>
  <c r="L264" i="9"/>
  <c r="K222" i="9"/>
  <c r="L221" i="9"/>
  <c r="K142" i="9"/>
  <c r="L141" i="9"/>
  <c r="H409" i="9" l="1"/>
  <c r="C393" i="11"/>
  <c r="I386" i="11"/>
  <c r="L401" i="9"/>
  <c r="F386" i="11" s="1"/>
  <c r="K402" i="9"/>
  <c r="M401" i="9"/>
  <c r="D386" i="11" s="1"/>
  <c r="E134" i="11"/>
  <c r="K134" i="11"/>
  <c r="L134" i="11"/>
  <c r="E72" i="11"/>
  <c r="K72" i="11"/>
  <c r="L72" i="11"/>
  <c r="E213" i="11"/>
  <c r="K213" i="11"/>
  <c r="L213" i="11"/>
  <c r="K255" i="11"/>
  <c r="L255" i="11"/>
  <c r="E255" i="11"/>
  <c r="L318" i="11"/>
  <c r="K318" i="11"/>
  <c r="E318" i="11"/>
  <c r="M212" i="11"/>
  <c r="G212" i="11"/>
  <c r="I256" i="11"/>
  <c r="M265" i="9"/>
  <c r="D256" i="11" s="1"/>
  <c r="I73" i="11"/>
  <c r="M78" i="9"/>
  <c r="D73" i="11" s="1"/>
  <c r="I214" i="11"/>
  <c r="M222" i="9"/>
  <c r="D214" i="11" s="1"/>
  <c r="M71" i="11"/>
  <c r="G71" i="11"/>
  <c r="I319" i="11"/>
  <c r="M330" i="9"/>
  <c r="D319" i="11" s="1"/>
  <c r="M132" i="11"/>
  <c r="G132" i="11"/>
  <c r="M254" i="11"/>
  <c r="G254" i="11"/>
  <c r="I135" i="11"/>
  <c r="M142" i="9"/>
  <c r="D135" i="11" s="1"/>
  <c r="F255" i="11"/>
  <c r="F213" i="11"/>
  <c r="F318" i="11"/>
  <c r="F72" i="11"/>
  <c r="F134" i="11"/>
  <c r="L330" i="9"/>
  <c r="K331" i="9"/>
  <c r="K223" i="9"/>
  <c r="L222" i="9"/>
  <c r="K143" i="9"/>
  <c r="L142" i="9"/>
  <c r="K266" i="9"/>
  <c r="L265" i="9"/>
  <c r="K79" i="9"/>
  <c r="L78" i="9"/>
  <c r="K403" i="9" l="1"/>
  <c r="I387" i="11"/>
  <c r="L402" i="9"/>
  <c r="F387" i="11" s="1"/>
  <c r="M402" i="9"/>
  <c r="D387" i="11" s="1"/>
  <c r="H386" i="11"/>
  <c r="J386" i="11" s="1"/>
  <c r="E386" i="11"/>
  <c r="G386" i="11" s="1"/>
  <c r="K386" i="11"/>
  <c r="L386" i="11"/>
  <c r="M386" i="11" s="1"/>
  <c r="H410" i="9"/>
  <c r="C394" i="11"/>
  <c r="L73" i="11"/>
  <c r="K73" i="11"/>
  <c r="E73" i="11"/>
  <c r="E319" i="11"/>
  <c r="K319" i="11"/>
  <c r="L319" i="11"/>
  <c r="E256" i="11"/>
  <c r="K256" i="11"/>
  <c r="L256" i="11"/>
  <c r="E214" i="11"/>
  <c r="L214" i="11"/>
  <c r="K214" i="11"/>
  <c r="K135" i="11"/>
  <c r="E135" i="11"/>
  <c r="L135" i="11"/>
  <c r="I136" i="11"/>
  <c r="M143" i="9"/>
  <c r="D136" i="11" s="1"/>
  <c r="M134" i="11"/>
  <c r="G134" i="11"/>
  <c r="M133" i="11"/>
  <c r="G133" i="11"/>
  <c r="I257" i="11"/>
  <c r="M266" i="9"/>
  <c r="D257" i="11" s="1"/>
  <c r="M317" i="11"/>
  <c r="G317" i="11"/>
  <c r="I215" i="11"/>
  <c r="M223" i="9"/>
  <c r="D215" i="11" s="1"/>
  <c r="M255" i="11"/>
  <c r="G255" i="11"/>
  <c r="I320" i="11"/>
  <c r="M331" i="9"/>
  <c r="D320" i="11" s="1"/>
  <c r="M72" i="11"/>
  <c r="G72" i="11"/>
  <c r="I74" i="11"/>
  <c r="M79" i="9"/>
  <c r="D74" i="11" s="1"/>
  <c r="F73" i="11"/>
  <c r="F319" i="11"/>
  <c r="F135" i="11"/>
  <c r="F256" i="11"/>
  <c r="F214" i="11"/>
  <c r="K332" i="9"/>
  <c r="L331" i="9"/>
  <c r="K267" i="9"/>
  <c r="L266" i="9"/>
  <c r="L79" i="9"/>
  <c r="K144" i="9"/>
  <c r="L143" i="9"/>
  <c r="K224" i="9"/>
  <c r="L223" i="9"/>
  <c r="H387" i="11" l="1"/>
  <c r="L387" i="11"/>
  <c r="E387" i="11"/>
  <c r="K387" i="11"/>
  <c r="H411" i="9"/>
  <c r="C395" i="11"/>
  <c r="G387" i="11"/>
  <c r="M387" i="11"/>
  <c r="J387" i="11"/>
  <c r="K404" i="9"/>
  <c r="I388" i="11"/>
  <c r="L403" i="9"/>
  <c r="F388" i="11" s="1"/>
  <c r="M403" i="9"/>
  <c r="D388" i="11" s="1"/>
  <c r="K257" i="11"/>
  <c r="L257" i="11"/>
  <c r="E257" i="11"/>
  <c r="E74" i="11"/>
  <c r="K74" i="11"/>
  <c r="L74" i="11"/>
  <c r="E215" i="11"/>
  <c r="K215" i="11"/>
  <c r="L215" i="11"/>
  <c r="K320" i="11"/>
  <c r="E320" i="11"/>
  <c r="L320" i="11"/>
  <c r="E136" i="11"/>
  <c r="K136" i="11"/>
  <c r="L136" i="11"/>
  <c r="I137" i="11"/>
  <c r="M144" i="9"/>
  <c r="D137" i="11" s="1"/>
  <c r="M318" i="11"/>
  <c r="G318" i="11"/>
  <c r="M213" i="11"/>
  <c r="G213" i="11"/>
  <c r="I258" i="11"/>
  <c r="M267" i="9"/>
  <c r="D258" i="11" s="1"/>
  <c r="M135" i="11"/>
  <c r="G135" i="11"/>
  <c r="M256" i="11"/>
  <c r="G256" i="11"/>
  <c r="I321" i="11"/>
  <c r="M332" i="9"/>
  <c r="D321" i="11" s="1"/>
  <c r="I216" i="11"/>
  <c r="M224" i="9"/>
  <c r="D216" i="11" s="1"/>
  <c r="G73" i="11"/>
  <c r="M73" i="11"/>
  <c r="F257" i="11"/>
  <c r="F320" i="11"/>
  <c r="F215" i="11"/>
  <c r="F136" i="11"/>
  <c r="F74" i="11"/>
  <c r="K333" i="9"/>
  <c r="L332" i="9"/>
  <c r="K225" i="9"/>
  <c r="L224" i="9"/>
  <c r="K145" i="9"/>
  <c r="L144" i="9"/>
  <c r="K268" i="9"/>
  <c r="L267" i="9"/>
  <c r="H388" i="11" l="1"/>
  <c r="L388" i="11"/>
  <c r="M388" i="11" s="1"/>
  <c r="K388" i="11"/>
  <c r="E388" i="11"/>
  <c r="H412" i="9"/>
  <c r="C396" i="11"/>
  <c r="G388" i="11"/>
  <c r="J388" i="11"/>
  <c r="K405" i="9"/>
  <c r="I389" i="11"/>
  <c r="L404" i="9"/>
  <c r="F389" i="11" s="1"/>
  <c r="M404" i="9"/>
  <c r="D389" i="11" s="1"/>
  <c r="L216" i="11"/>
  <c r="K216" i="11"/>
  <c r="E216" i="11"/>
  <c r="L258" i="11"/>
  <c r="E258" i="11"/>
  <c r="K258" i="11"/>
  <c r="E321" i="11"/>
  <c r="L321" i="11"/>
  <c r="K321" i="11"/>
  <c r="E137" i="11"/>
  <c r="K137" i="11"/>
  <c r="L137" i="11"/>
  <c r="M74" i="11"/>
  <c r="G74" i="11"/>
  <c r="I217" i="11"/>
  <c r="M225" i="9"/>
  <c r="D217" i="11" s="1"/>
  <c r="G257" i="11"/>
  <c r="M257" i="11"/>
  <c r="I138" i="11"/>
  <c r="M145" i="9"/>
  <c r="D138" i="11" s="1"/>
  <c r="I322" i="11"/>
  <c r="M333" i="9"/>
  <c r="D322" i="11" s="1"/>
  <c r="M319" i="11"/>
  <c r="G319" i="11"/>
  <c r="M320" i="11"/>
  <c r="G320" i="11"/>
  <c r="I259" i="11"/>
  <c r="M268" i="9"/>
  <c r="D259" i="11" s="1"/>
  <c r="M214" i="11"/>
  <c r="G214" i="11"/>
  <c r="F258" i="11"/>
  <c r="F321" i="11"/>
  <c r="F137" i="11"/>
  <c r="F216" i="11"/>
  <c r="K334" i="9"/>
  <c r="L333" i="9"/>
  <c r="K146" i="9"/>
  <c r="L145" i="9"/>
  <c r="K269" i="9"/>
  <c r="L268" i="9"/>
  <c r="K226" i="9"/>
  <c r="L225" i="9"/>
  <c r="H413" i="9" l="1"/>
  <c r="C397" i="11"/>
  <c r="H389" i="11"/>
  <c r="J389" i="11" s="1"/>
  <c r="L389" i="11"/>
  <c r="M389" i="11" s="1"/>
  <c r="E389" i="11"/>
  <c r="G389" i="11" s="1"/>
  <c r="K389" i="11"/>
  <c r="K406" i="9"/>
  <c r="I390" i="11"/>
  <c r="L405" i="9"/>
  <c r="F390" i="11" s="1"/>
  <c r="M405" i="9"/>
  <c r="D390" i="11" s="1"/>
  <c r="L259" i="11"/>
  <c r="E259" i="11"/>
  <c r="K259" i="11"/>
  <c r="L138" i="11"/>
  <c r="E138" i="11"/>
  <c r="K138" i="11"/>
  <c r="E217" i="11"/>
  <c r="L217" i="11"/>
  <c r="K217" i="11"/>
  <c r="E322" i="11"/>
  <c r="K322" i="11"/>
  <c r="L322" i="11"/>
  <c r="M321" i="11"/>
  <c r="G321" i="11"/>
  <c r="I323" i="11"/>
  <c r="M334" i="9"/>
  <c r="D323" i="11" s="1"/>
  <c r="M137" i="11"/>
  <c r="G137" i="11"/>
  <c r="M258" i="11"/>
  <c r="G258" i="11"/>
  <c r="M136" i="11"/>
  <c r="G136" i="11"/>
  <c r="I139" i="11"/>
  <c r="M146" i="9"/>
  <c r="D139" i="11" s="1"/>
  <c r="I218" i="11"/>
  <c r="M226" i="9"/>
  <c r="D218" i="11" s="1"/>
  <c r="I260" i="11"/>
  <c r="M269" i="9"/>
  <c r="D260" i="11" s="1"/>
  <c r="M215" i="11"/>
  <c r="G215" i="11"/>
  <c r="F217" i="11"/>
  <c r="F322" i="11"/>
  <c r="F138" i="11"/>
  <c r="F259" i="11"/>
  <c r="K335" i="9"/>
  <c r="L334" i="9"/>
  <c r="K147" i="9"/>
  <c r="L146" i="9"/>
  <c r="K270" i="9"/>
  <c r="L269" i="9"/>
  <c r="K227" i="9"/>
  <c r="L226" i="9"/>
  <c r="K390" i="11" l="1"/>
  <c r="H390" i="11"/>
  <c r="L390" i="11"/>
  <c r="M390" i="11" s="1"/>
  <c r="E390" i="11"/>
  <c r="G390" i="11" s="1"/>
  <c r="J390" i="11"/>
  <c r="K407" i="9"/>
  <c r="L406" i="9"/>
  <c r="F391" i="11" s="1"/>
  <c r="I391" i="11"/>
  <c r="M406" i="9"/>
  <c r="D391" i="11" s="1"/>
  <c r="H415" i="9"/>
  <c r="C398" i="11"/>
  <c r="K139" i="11"/>
  <c r="E139" i="11"/>
  <c r="L139" i="11"/>
  <c r="E323" i="11"/>
  <c r="K323" i="11"/>
  <c r="L323" i="11"/>
  <c r="E260" i="11"/>
  <c r="K260" i="11"/>
  <c r="L260" i="11"/>
  <c r="L218" i="11"/>
  <c r="K218" i="11"/>
  <c r="E218" i="11"/>
  <c r="I261" i="11"/>
  <c r="M270" i="9"/>
  <c r="D261" i="11" s="1"/>
  <c r="M217" i="11"/>
  <c r="I140" i="11"/>
  <c r="M147" i="9"/>
  <c r="D140" i="11" s="1"/>
  <c r="M259" i="11"/>
  <c r="G259" i="11"/>
  <c r="M322" i="11"/>
  <c r="G322" i="11"/>
  <c r="I324" i="11"/>
  <c r="M335" i="9"/>
  <c r="D324" i="11" s="1"/>
  <c r="I219" i="11"/>
  <c r="M227" i="9"/>
  <c r="D219" i="11" s="1"/>
  <c r="M138" i="11"/>
  <c r="G138" i="11"/>
  <c r="G217" i="11"/>
  <c r="M216" i="11"/>
  <c r="G216" i="11"/>
  <c r="F139" i="11"/>
  <c r="F323" i="11"/>
  <c r="F218" i="11"/>
  <c r="F260" i="11"/>
  <c r="K336" i="9"/>
  <c r="L335" i="9"/>
  <c r="K271" i="9"/>
  <c r="L270" i="9"/>
  <c r="K228" i="9"/>
  <c r="L227" i="9"/>
  <c r="K148" i="9"/>
  <c r="L147" i="9"/>
  <c r="H416" i="9" l="1"/>
  <c r="C399" i="11"/>
  <c r="E391" i="11"/>
  <c r="K391" i="11"/>
  <c r="H391" i="11"/>
  <c r="J391" i="11" s="1"/>
  <c r="L391" i="11"/>
  <c r="M391" i="11" s="1"/>
  <c r="K408" i="9"/>
  <c r="L407" i="9"/>
  <c r="F392" i="11" s="1"/>
  <c r="I392" i="11"/>
  <c r="M407" i="9"/>
  <c r="D392" i="11" s="1"/>
  <c r="G391" i="11"/>
  <c r="L324" i="11"/>
  <c r="K324" i="11"/>
  <c r="E324" i="11"/>
  <c r="L261" i="11"/>
  <c r="E261" i="11"/>
  <c r="K261" i="11"/>
  <c r="K219" i="11"/>
  <c r="E219" i="11"/>
  <c r="L219" i="11"/>
  <c r="K140" i="11"/>
  <c r="E140" i="11"/>
  <c r="L140" i="11"/>
  <c r="I262" i="11"/>
  <c r="M271" i="9"/>
  <c r="D262" i="11" s="1"/>
  <c r="I220" i="11"/>
  <c r="M228" i="9"/>
  <c r="D220" i="11" s="1"/>
  <c r="G139" i="11"/>
  <c r="M139" i="11"/>
  <c r="I325" i="11"/>
  <c r="M336" i="9"/>
  <c r="D325" i="11" s="1"/>
  <c r="G218" i="11"/>
  <c r="M218" i="11"/>
  <c r="I141" i="11"/>
  <c r="M148" i="9"/>
  <c r="D141" i="11" s="1"/>
  <c r="M323" i="11"/>
  <c r="G323" i="11"/>
  <c r="F324" i="11"/>
  <c r="F261" i="11"/>
  <c r="F140" i="11"/>
  <c r="F219" i="11"/>
  <c r="K337" i="9"/>
  <c r="M337" i="9" s="1"/>
  <c r="L336" i="9"/>
  <c r="K272" i="9"/>
  <c r="L271" i="9"/>
  <c r="K229" i="9"/>
  <c r="L228" i="9"/>
  <c r="K149" i="9"/>
  <c r="L148" i="9"/>
  <c r="K409" i="9" l="1"/>
  <c r="I393" i="11"/>
  <c r="L408" i="9"/>
  <c r="F393" i="11" s="1"/>
  <c r="M408" i="9"/>
  <c r="D393" i="11" s="1"/>
  <c r="E392" i="11"/>
  <c r="G392" i="11" s="1"/>
  <c r="K392" i="11"/>
  <c r="H392" i="11"/>
  <c r="J392" i="11" s="1"/>
  <c r="L392" i="11"/>
  <c r="M392" i="11" s="1"/>
  <c r="H417" i="9"/>
  <c r="C400" i="11"/>
  <c r="K220" i="11"/>
  <c r="L220" i="11"/>
  <c r="E220" i="11"/>
  <c r="K262" i="11"/>
  <c r="E262" i="11"/>
  <c r="L262" i="11"/>
  <c r="L141" i="11"/>
  <c r="K141" i="11"/>
  <c r="E141" i="11"/>
  <c r="D326" i="11"/>
  <c r="D327" i="11"/>
  <c r="L325" i="11"/>
  <c r="E325" i="11"/>
  <c r="K325" i="11"/>
  <c r="M324" i="11"/>
  <c r="G324" i="11"/>
  <c r="I263" i="11"/>
  <c r="M272" i="9"/>
  <c r="D263" i="11" s="1"/>
  <c r="M260" i="11"/>
  <c r="G260" i="11"/>
  <c r="I221" i="11"/>
  <c r="M229" i="9"/>
  <c r="D221" i="11" s="1"/>
  <c r="M140" i="11"/>
  <c r="G140" i="11"/>
  <c r="I142" i="11"/>
  <c r="M149" i="9"/>
  <c r="D142" i="11" s="1"/>
  <c r="M261" i="11"/>
  <c r="G261" i="11"/>
  <c r="F220" i="11"/>
  <c r="F262" i="11"/>
  <c r="F325" i="11"/>
  <c r="I326" i="11"/>
  <c r="I327" i="11"/>
  <c r="F141" i="11"/>
  <c r="L337" i="9"/>
  <c r="K338" i="9"/>
  <c r="M338" i="9" s="1"/>
  <c r="K150" i="9"/>
  <c r="L149" i="9"/>
  <c r="K230" i="9"/>
  <c r="M230" i="9" s="1"/>
  <c r="L229" i="9"/>
  <c r="K273" i="9"/>
  <c r="L272" i="9"/>
  <c r="H418" i="9" l="1"/>
  <c r="C401" i="11"/>
  <c r="E393" i="11"/>
  <c r="K393" i="11"/>
  <c r="H393" i="11"/>
  <c r="J393" i="11" s="1"/>
  <c r="L393" i="11"/>
  <c r="M393" i="11" s="1"/>
  <c r="G393" i="11"/>
  <c r="K410" i="9"/>
  <c r="I394" i="11"/>
  <c r="L409" i="9"/>
  <c r="F394" i="11" s="1"/>
  <c r="M409" i="9"/>
  <c r="D394" i="11" s="1"/>
  <c r="E221" i="11"/>
  <c r="L221" i="11"/>
  <c r="K221" i="11"/>
  <c r="D223" i="11"/>
  <c r="D222" i="11"/>
  <c r="L327" i="11"/>
  <c r="E327" i="11"/>
  <c r="K327" i="11"/>
  <c r="E142" i="11"/>
  <c r="K142" i="11"/>
  <c r="L142" i="11"/>
  <c r="E263" i="11"/>
  <c r="K263" i="11"/>
  <c r="L263" i="11"/>
  <c r="E326" i="11"/>
  <c r="L326" i="11"/>
  <c r="K326" i="11"/>
  <c r="M262" i="11"/>
  <c r="G262" i="11"/>
  <c r="I143" i="11"/>
  <c r="M150" i="9"/>
  <c r="D143" i="11" s="1"/>
  <c r="I264" i="11"/>
  <c r="M273" i="9"/>
  <c r="D264" i="11" s="1"/>
  <c r="G219" i="11"/>
  <c r="M219" i="11"/>
  <c r="M220" i="11"/>
  <c r="G220" i="11"/>
  <c r="M141" i="11"/>
  <c r="G141" i="11"/>
  <c r="F327" i="11"/>
  <c r="F326" i="11"/>
  <c r="F263" i="11"/>
  <c r="F221" i="11"/>
  <c r="I223" i="11"/>
  <c r="I222" i="11"/>
  <c r="F142" i="11"/>
  <c r="K339" i="9"/>
  <c r="L338" i="9"/>
  <c r="K151" i="9"/>
  <c r="M151" i="9" s="1"/>
  <c r="L150" i="9"/>
  <c r="K274" i="9"/>
  <c r="L273" i="9"/>
  <c r="K231" i="9"/>
  <c r="M231" i="9" s="1"/>
  <c r="L230" i="9"/>
  <c r="E394" i="11" l="1"/>
  <c r="G394" i="11" s="1"/>
  <c r="K394" i="11"/>
  <c r="H394" i="11"/>
  <c r="J394" i="11" s="1"/>
  <c r="L394" i="11"/>
  <c r="M394" i="11" s="1"/>
  <c r="K411" i="9"/>
  <c r="I395" i="11"/>
  <c r="L410" i="9"/>
  <c r="F395" i="11" s="1"/>
  <c r="M410" i="9"/>
  <c r="D395" i="11" s="1"/>
  <c r="H419" i="9"/>
  <c r="C402" i="11"/>
  <c r="K264" i="11"/>
  <c r="L264" i="11"/>
  <c r="E264" i="11"/>
  <c r="L143" i="11"/>
  <c r="K143" i="11"/>
  <c r="E143" i="11"/>
  <c r="K222" i="11"/>
  <c r="L222" i="11"/>
  <c r="E222" i="11"/>
  <c r="K223" i="11"/>
  <c r="L223" i="11"/>
  <c r="E223" i="11"/>
  <c r="D144" i="11"/>
  <c r="D145" i="11"/>
  <c r="I265" i="11"/>
  <c r="M274" i="9"/>
  <c r="D265" i="11" s="1"/>
  <c r="M142" i="11"/>
  <c r="G142" i="11"/>
  <c r="I328" i="11"/>
  <c r="M339" i="9"/>
  <c r="D328" i="11" s="1"/>
  <c r="M325" i="11"/>
  <c r="G325" i="11"/>
  <c r="F222" i="11"/>
  <c r="F223" i="11"/>
  <c r="F264" i="11"/>
  <c r="I145" i="11"/>
  <c r="I144" i="11"/>
  <c r="F143" i="11"/>
  <c r="L339" i="9"/>
  <c r="K340" i="9"/>
  <c r="K275" i="9"/>
  <c r="L274" i="9"/>
  <c r="L231" i="9"/>
  <c r="K152" i="9"/>
  <c r="M152" i="9" s="1"/>
  <c r="L151" i="9"/>
  <c r="K412" i="9" l="1"/>
  <c r="I396" i="11"/>
  <c r="L411" i="9"/>
  <c r="F396" i="11" s="1"/>
  <c r="M411" i="9"/>
  <c r="D396" i="11" s="1"/>
  <c r="H420" i="9"/>
  <c r="C403" i="11"/>
  <c r="H395" i="11"/>
  <c r="J395" i="11" s="1"/>
  <c r="L395" i="11"/>
  <c r="M395" i="11" s="1"/>
  <c r="E395" i="11"/>
  <c r="G395" i="11" s="1"/>
  <c r="K395" i="11"/>
  <c r="K328" i="11"/>
  <c r="E328" i="11"/>
  <c r="L328" i="11"/>
  <c r="E265" i="11"/>
  <c r="K265" i="11"/>
  <c r="L265" i="11"/>
  <c r="L145" i="11"/>
  <c r="E145" i="11"/>
  <c r="K145" i="11"/>
  <c r="K144" i="11"/>
  <c r="L144" i="11"/>
  <c r="E144" i="11"/>
  <c r="I329" i="11"/>
  <c r="M340" i="9"/>
  <c r="D329" i="11" s="1"/>
  <c r="M327" i="11"/>
  <c r="G327" i="11"/>
  <c r="M221" i="11"/>
  <c r="G221" i="11"/>
  <c r="M326" i="11"/>
  <c r="G326" i="11"/>
  <c r="M143" i="11"/>
  <c r="G143" i="11"/>
  <c r="I266" i="11"/>
  <c r="M275" i="9"/>
  <c r="D266" i="11" s="1"/>
  <c r="M263" i="11"/>
  <c r="G263" i="11"/>
  <c r="F328" i="11"/>
  <c r="F144" i="11"/>
  <c r="F145" i="11"/>
  <c r="F265" i="11"/>
  <c r="K341" i="9"/>
  <c r="L340" i="9"/>
  <c r="K276" i="9"/>
  <c r="L275" i="9"/>
  <c r="K153" i="9"/>
  <c r="L152" i="9"/>
  <c r="H396" i="11" l="1"/>
  <c r="J396" i="11" s="1"/>
  <c r="L396" i="11"/>
  <c r="M396" i="11" s="1"/>
  <c r="K396" i="11"/>
  <c r="E396" i="11"/>
  <c r="G396" i="11" s="1"/>
  <c r="H421" i="9"/>
  <c r="C404" i="11"/>
  <c r="K413" i="9"/>
  <c r="L412" i="9"/>
  <c r="F397" i="11" s="1"/>
  <c r="I397" i="11"/>
  <c r="M412" i="9"/>
  <c r="D397" i="11" s="1"/>
  <c r="E329" i="11"/>
  <c r="K329" i="11"/>
  <c r="L329" i="11"/>
  <c r="L266" i="11"/>
  <c r="K266" i="11"/>
  <c r="E266" i="11"/>
  <c r="M328" i="11"/>
  <c r="G328" i="11"/>
  <c r="I330" i="11"/>
  <c r="M341" i="9"/>
  <c r="D330" i="11" s="1"/>
  <c r="M222" i="11"/>
  <c r="G222" i="11"/>
  <c r="M223" i="11"/>
  <c r="G223" i="11"/>
  <c r="I146" i="11"/>
  <c r="M153" i="9"/>
  <c r="D146" i="11" s="1"/>
  <c r="M265" i="11"/>
  <c r="G265" i="11"/>
  <c r="I267" i="11"/>
  <c r="M276" i="9"/>
  <c r="D267" i="11" s="1"/>
  <c r="G264" i="11"/>
  <c r="M264" i="11"/>
  <c r="F266" i="11"/>
  <c r="F329" i="11"/>
  <c r="L341" i="9"/>
  <c r="K277" i="9"/>
  <c r="L276" i="9"/>
  <c r="K154" i="9"/>
  <c r="L153" i="9"/>
  <c r="H422" i="9" l="1"/>
  <c r="C405" i="11"/>
  <c r="H397" i="11"/>
  <c r="L397" i="11"/>
  <c r="E397" i="11"/>
  <c r="G397" i="11" s="1"/>
  <c r="K397" i="11"/>
  <c r="M397" i="11"/>
  <c r="J397" i="11"/>
  <c r="K414" i="9"/>
  <c r="I398" i="11"/>
  <c r="L413" i="9"/>
  <c r="F398" i="11" s="1"/>
  <c r="M413" i="9"/>
  <c r="D398" i="11" s="1"/>
  <c r="L146" i="11"/>
  <c r="K146" i="11"/>
  <c r="E146" i="11"/>
  <c r="E267" i="11"/>
  <c r="K267" i="11"/>
  <c r="L267" i="11"/>
  <c r="L330" i="11"/>
  <c r="E330" i="11"/>
  <c r="K330" i="11"/>
  <c r="G145" i="11"/>
  <c r="M145" i="11"/>
  <c r="G266" i="11"/>
  <c r="M266" i="11"/>
  <c r="I268" i="11"/>
  <c r="M277" i="9"/>
  <c r="D268" i="11" s="1"/>
  <c r="I147" i="11"/>
  <c r="M154" i="9"/>
  <c r="D147" i="11" s="1"/>
  <c r="M144" i="11"/>
  <c r="G144" i="11"/>
  <c r="F330" i="11"/>
  <c r="F146" i="11"/>
  <c r="F267" i="11"/>
  <c r="K155" i="9"/>
  <c r="L154" i="9"/>
  <c r="K278" i="9"/>
  <c r="L277" i="9"/>
  <c r="E398" i="11" l="1"/>
  <c r="H398" i="11"/>
  <c r="L398" i="11"/>
  <c r="M398" i="11" s="1"/>
  <c r="K398" i="11"/>
  <c r="G398" i="11"/>
  <c r="J398" i="11"/>
  <c r="L414" i="9"/>
  <c r="K415" i="9"/>
  <c r="H423" i="9"/>
  <c r="C407" i="11" s="1"/>
  <c r="C406" i="11"/>
  <c r="L268" i="11"/>
  <c r="K268" i="11"/>
  <c r="E268" i="11"/>
  <c r="E147" i="11"/>
  <c r="L147" i="11"/>
  <c r="K147" i="11"/>
  <c r="G267" i="11"/>
  <c r="M267" i="11"/>
  <c r="I269" i="11"/>
  <c r="M278" i="9"/>
  <c r="D269" i="11" s="1"/>
  <c r="I148" i="11"/>
  <c r="M155" i="9"/>
  <c r="D148" i="11" s="1"/>
  <c r="G329" i="11"/>
  <c r="M329" i="11"/>
  <c r="M146" i="11"/>
  <c r="G146" i="11"/>
  <c r="M330" i="11"/>
  <c r="G330" i="11"/>
  <c r="F268" i="11"/>
  <c r="F147" i="11"/>
  <c r="K279" i="9"/>
  <c r="L278" i="9"/>
  <c r="K156" i="9"/>
  <c r="L155" i="9"/>
  <c r="L415" i="9" l="1"/>
  <c r="F399" i="11" s="1"/>
  <c r="I399" i="11"/>
  <c r="K416" i="9"/>
  <c r="M415" i="9"/>
  <c r="D399" i="11" s="1"/>
  <c r="L148" i="11"/>
  <c r="E148" i="11"/>
  <c r="K148" i="11"/>
  <c r="E269" i="11"/>
  <c r="K269" i="11"/>
  <c r="L269" i="11"/>
  <c r="I270" i="11"/>
  <c r="M279" i="9"/>
  <c r="D270" i="11" s="1"/>
  <c r="M268" i="11"/>
  <c r="G268" i="11"/>
  <c r="I149" i="11"/>
  <c r="M156" i="9"/>
  <c r="D149" i="11" s="1"/>
  <c r="F148" i="11"/>
  <c r="F269" i="11"/>
  <c r="K157" i="9"/>
  <c r="L156" i="9"/>
  <c r="K280" i="9"/>
  <c r="L279" i="9"/>
  <c r="E399" i="11" l="1"/>
  <c r="K399" i="11"/>
  <c r="H399" i="11"/>
  <c r="J399" i="11" s="1"/>
  <c r="L399" i="11"/>
  <c r="M399" i="11" s="1"/>
  <c r="K417" i="9"/>
  <c r="L416" i="9"/>
  <c r="F400" i="11" s="1"/>
  <c r="I400" i="11"/>
  <c r="M416" i="9"/>
  <c r="D400" i="11" s="1"/>
  <c r="G399" i="11"/>
  <c r="L270" i="11"/>
  <c r="K270" i="11"/>
  <c r="E270" i="11"/>
  <c r="K149" i="11"/>
  <c r="E149" i="11"/>
  <c r="L149" i="11"/>
  <c r="I271" i="11"/>
  <c r="M280" i="9"/>
  <c r="D271" i="11" s="1"/>
  <c r="G147" i="11"/>
  <c r="M147" i="11"/>
  <c r="I150" i="11"/>
  <c r="M157" i="9"/>
  <c r="D150" i="11" s="1"/>
  <c r="M148" i="11"/>
  <c r="G148" i="11"/>
  <c r="F270" i="11"/>
  <c r="F149" i="11"/>
  <c r="K281" i="9"/>
  <c r="L280" i="9"/>
  <c r="K158" i="9"/>
  <c r="L157" i="9"/>
  <c r="E400" i="11" l="1"/>
  <c r="K400" i="11"/>
  <c r="L400" i="11"/>
  <c r="M400" i="11" s="1"/>
  <c r="H400" i="11"/>
  <c r="J400" i="11" s="1"/>
  <c r="K418" i="9"/>
  <c r="I401" i="11"/>
  <c r="L417" i="9"/>
  <c r="F401" i="11" s="1"/>
  <c r="M417" i="9"/>
  <c r="D401" i="11" s="1"/>
  <c r="G400" i="11"/>
  <c r="E271" i="11"/>
  <c r="K271" i="11"/>
  <c r="L271" i="11"/>
  <c r="K150" i="11"/>
  <c r="L150" i="11"/>
  <c r="E150" i="11"/>
  <c r="I272" i="11"/>
  <c r="M281" i="9"/>
  <c r="D272" i="11" s="1"/>
  <c r="M269" i="11"/>
  <c r="G269" i="11"/>
  <c r="M149" i="11"/>
  <c r="G149" i="11"/>
  <c r="M270" i="11"/>
  <c r="G270" i="11"/>
  <c r="I151" i="11"/>
  <c r="M158" i="9"/>
  <c r="D151" i="11" s="1"/>
  <c r="F150" i="11"/>
  <c r="F271" i="11"/>
  <c r="L281" i="9"/>
  <c r="K159" i="9"/>
  <c r="L158" i="9"/>
  <c r="K419" i="9" l="1"/>
  <c r="I402" i="11"/>
  <c r="L418" i="9"/>
  <c r="F402" i="11" s="1"/>
  <c r="M418" i="9"/>
  <c r="D402" i="11" s="1"/>
  <c r="E401" i="11"/>
  <c r="G401" i="11" s="1"/>
  <c r="K401" i="11"/>
  <c r="H401" i="11"/>
  <c r="J401" i="11" s="1"/>
  <c r="L401" i="11"/>
  <c r="M401" i="11" s="1"/>
  <c r="K151" i="11"/>
  <c r="E151" i="11"/>
  <c r="L151" i="11"/>
  <c r="L272" i="11"/>
  <c r="K272" i="11"/>
  <c r="E272" i="11"/>
  <c r="M150" i="11"/>
  <c r="G150" i="11"/>
  <c r="I152" i="11"/>
  <c r="M159" i="9"/>
  <c r="D152" i="11" s="1"/>
  <c r="F272" i="11"/>
  <c r="F151" i="11"/>
  <c r="K160" i="9"/>
  <c r="L159" i="9"/>
  <c r="K420" i="9" l="1"/>
  <c r="I403" i="11"/>
  <c r="L419" i="9"/>
  <c r="F403" i="11" s="1"/>
  <c r="M419" i="9"/>
  <c r="D403" i="11" s="1"/>
  <c r="H402" i="11"/>
  <c r="J402" i="11" s="1"/>
  <c r="E402" i="11"/>
  <c r="G402" i="11" s="1"/>
  <c r="K402" i="11"/>
  <c r="L402" i="11"/>
  <c r="M402" i="11" s="1"/>
  <c r="K152" i="11"/>
  <c r="E152" i="11"/>
  <c r="L152" i="11"/>
  <c r="M272" i="11"/>
  <c r="G272" i="11"/>
  <c r="M271" i="11"/>
  <c r="G271" i="11"/>
  <c r="I153" i="11"/>
  <c r="M160" i="9"/>
  <c r="D153" i="11" s="1"/>
  <c r="F152" i="11"/>
  <c r="K161" i="9"/>
  <c r="L160" i="9"/>
  <c r="H403" i="11" l="1"/>
  <c r="J403" i="11" s="1"/>
  <c r="L403" i="11"/>
  <c r="M403" i="11" s="1"/>
  <c r="E403" i="11"/>
  <c r="G403" i="11" s="1"/>
  <c r="K403" i="11"/>
  <c r="K421" i="9"/>
  <c r="L420" i="9"/>
  <c r="F404" i="11" s="1"/>
  <c r="I404" i="11"/>
  <c r="M420" i="9"/>
  <c r="D404" i="11" s="1"/>
  <c r="E153" i="11"/>
  <c r="L153" i="11"/>
  <c r="K153" i="11"/>
  <c r="G152" i="11"/>
  <c r="M152" i="11"/>
  <c r="I154" i="11"/>
  <c r="M161" i="9"/>
  <c r="D154" i="11" s="1"/>
  <c r="M151" i="11"/>
  <c r="G151" i="11"/>
  <c r="F153" i="11"/>
  <c r="K162" i="9"/>
  <c r="L161" i="9"/>
  <c r="K422" i="9" l="1"/>
  <c r="L421" i="9"/>
  <c r="F405" i="11" s="1"/>
  <c r="I405" i="11"/>
  <c r="M421" i="9"/>
  <c r="D405" i="11" s="1"/>
  <c r="H404" i="11"/>
  <c r="J404" i="11" s="1"/>
  <c r="L404" i="11"/>
  <c r="M404" i="11" s="1"/>
  <c r="E404" i="11"/>
  <c r="G404" i="11" s="1"/>
  <c r="K404" i="11"/>
  <c r="L154" i="11"/>
  <c r="K154" i="11"/>
  <c r="E154" i="11"/>
  <c r="M153" i="11"/>
  <c r="G153" i="11"/>
  <c r="I155" i="11"/>
  <c r="M162" i="9"/>
  <c r="D155" i="11" s="1"/>
  <c r="F154" i="11"/>
  <c r="K163" i="9"/>
  <c r="L162" i="9"/>
  <c r="H405" i="11" l="1"/>
  <c r="L405" i="11"/>
  <c r="E405" i="11"/>
  <c r="K405" i="11"/>
  <c r="M405" i="11"/>
  <c r="J405" i="11"/>
  <c r="G405" i="11"/>
  <c r="K423" i="9"/>
  <c r="I406" i="11"/>
  <c r="L422" i="9"/>
  <c r="F406" i="11" s="1"/>
  <c r="M422" i="9"/>
  <c r="D406" i="11" s="1"/>
  <c r="K155" i="11"/>
  <c r="E155" i="11"/>
  <c r="L155" i="11"/>
  <c r="I156" i="11"/>
  <c r="M163" i="9"/>
  <c r="D156" i="11" s="1"/>
  <c r="G154" i="11"/>
  <c r="M154" i="11"/>
  <c r="F155" i="11"/>
  <c r="K164" i="9"/>
  <c r="L163" i="9"/>
  <c r="E406" i="11" l="1"/>
  <c r="H406" i="11"/>
  <c r="J406" i="11" s="1"/>
  <c r="L406" i="11"/>
  <c r="M406" i="11" s="1"/>
  <c r="K406" i="11"/>
  <c r="L423" i="9"/>
  <c r="F407" i="11" s="1"/>
  <c r="I407" i="11"/>
  <c r="M423" i="9"/>
  <c r="D407" i="11" s="1"/>
  <c r="G406" i="11"/>
  <c r="K156" i="11"/>
  <c r="L156" i="11"/>
  <c r="E156" i="11"/>
  <c r="I157" i="11"/>
  <c r="M164" i="9"/>
  <c r="D157" i="11" s="1"/>
  <c r="M155" i="11"/>
  <c r="G155" i="11"/>
  <c r="F156" i="11"/>
  <c r="K165" i="9"/>
  <c r="L164" i="9"/>
  <c r="E407" i="11" l="1"/>
  <c r="G407" i="11" s="1"/>
  <c r="K407" i="11"/>
  <c r="H407" i="11"/>
  <c r="J407" i="11" s="1"/>
  <c r="L407" i="11"/>
  <c r="M407" i="11" s="1"/>
  <c r="K157" i="11"/>
  <c r="L157" i="11"/>
  <c r="E157" i="11"/>
  <c r="M156" i="11"/>
  <c r="G156" i="11"/>
  <c r="I158" i="11"/>
  <c r="M165" i="9"/>
  <c r="D158" i="11" s="1"/>
  <c r="F157" i="11"/>
  <c r="K166" i="9"/>
  <c r="L165" i="9"/>
  <c r="E158" i="11" l="1"/>
  <c r="L158" i="11"/>
  <c r="K158" i="11"/>
  <c r="M157" i="11"/>
  <c r="G157" i="11"/>
  <c r="I159" i="11"/>
  <c r="M166" i="9"/>
  <c r="D159" i="11" s="1"/>
  <c r="F158" i="11"/>
  <c r="K167" i="9"/>
  <c r="L166" i="9"/>
  <c r="E159" i="11" l="1"/>
  <c r="K159" i="11"/>
  <c r="L159" i="11"/>
  <c r="M158" i="11"/>
  <c r="G158" i="11"/>
  <c r="I160" i="11"/>
  <c r="M167" i="9"/>
  <c r="D160" i="11" s="1"/>
  <c r="F159" i="11"/>
  <c r="K168" i="9"/>
  <c r="L167" i="9"/>
  <c r="K160" i="11" l="1"/>
  <c r="L160" i="11"/>
  <c r="E160" i="11"/>
  <c r="I161" i="11"/>
  <c r="M168" i="9"/>
  <c r="D161" i="11" s="1"/>
  <c r="G159" i="11"/>
  <c r="M159" i="11"/>
  <c r="F160" i="11"/>
  <c r="K169" i="9"/>
  <c r="L168" i="9"/>
  <c r="K161" i="11" l="1"/>
  <c r="L161" i="11"/>
  <c r="E161" i="11"/>
  <c r="I162" i="11"/>
  <c r="M169" i="9"/>
  <c r="D162" i="11" s="1"/>
  <c r="M160" i="11"/>
  <c r="G160" i="11"/>
  <c r="F161" i="11"/>
  <c r="K170" i="9"/>
  <c r="L169" i="9"/>
  <c r="L162" i="11" l="1"/>
  <c r="K162" i="11"/>
  <c r="E162" i="11"/>
  <c r="I163" i="11"/>
  <c r="M170" i="9"/>
  <c r="D163" i="11" s="1"/>
  <c r="G161" i="11"/>
  <c r="M161" i="11"/>
  <c r="F162" i="11"/>
  <c r="K171" i="9"/>
  <c r="L170" i="9"/>
  <c r="L163" i="11" l="1"/>
  <c r="E163" i="11"/>
  <c r="K163" i="11"/>
  <c r="I164" i="11"/>
  <c r="M171" i="9"/>
  <c r="D164" i="11" s="1"/>
  <c r="G162" i="11"/>
  <c r="M162" i="11"/>
  <c r="F163" i="11"/>
  <c r="K172" i="9"/>
  <c r="L171" i="9"/>
  <c r="L164" i="11" l="1"/>
  <c r="K164" i="11"/>
  <c r="E164" i="11"/>
  <c r="I165" i="11"/>
  <c r="M172" i="9"/>
  <c r="D165" i="11" s="1"/>
  <c r="G163" i="11"/>
  <c r="M163" i="11"/>
  <c r="F164" i="11"/>
  <c r="K173" i="9"/>
  <c r="L172" i="9"/>
  <c r="E165" i="11" l="1"/>
  <c r="L165" i="11"/>
  <c r="K165" i="11"/>
  <c r="M164" i="11"/>
  <c r="G164" i="11"/>
  <c r="I166" i="11"/>
  <c r="M173" i="9"/>
  <c r="D166" i="11" s="1"/>
  <c r="F165" i="11"/>
  <c r="K174" i="9"/>
  <c r="L173" i="9"/>
  <c r="E166" i="11" l="1"/>
  <c r="L166" i="11"/>
  <c r="K166" i="11"/>
  <c r="I167" i="11"/>
  <c r="M174" i="9"/>
  <c r="D167" i="11" s="1"/>
  <c r="M165" i="11"/>
  <c r="G165" i="11"/>
  <c r="F166" i="11"/>
  <c r="K175" i="9"/>
  <c r="L174" i="9"/>
  <c r="K167" i="11" l="1"/>
  <c r="E167" i="11"/>
  <c r="L167" i="11"/>
  <c r="I168" i="11"/>
  <c r="M175" i="9"/>
  <c r="D168" i="11" s="1"/>
  <c r="M166" i="11"/>
  <c r="G166" i="11"/>
  <c r="F167" i="11"/>
  <c r="K176" i="9"/>
  <c r="L175" i="9"/>
  <c r="L168" i="11" l="1"/>
  <c r="K168" i="11"/>
  <c r="E168" i="11"/>
  <c r="I169" i="11"/>
  <c r="M176" i="9"/>
  <c r="D169" i="11" s="1"/>
  <c r="F168" i="11"/>
  <c r="K177" i="9"/>
  <c r="M177" i="9" s="1"/>
  <c r="L176" i="9"/>
  <c r="D171" i="11" l="1"/>
  <c r="D170" i="11"/>
  <c r="L169" i="11"/>
  <c r="E169" i="11"/>
  <c r="K169" i="11"/>
  <c r="M168" i="11"/>
  <c r="G168" i="11"/>
  <c r="M167" i="11"/>
  <c r="G167" i="11"/>
  <c r="F169" i="11"/>
  <c r="I170" i="11"/>
  <c r="I171" i="11"/>
  <c r="K178" i="9"/>
  <c r="M178" i="9" s="1"/>
  <c r="L177" i="9"/>
  <c r="L170" i="11" l="1"/>
  <c r="K170" i="11"/>
  <c r="E170" i="11"/>
  <c r="K171" i="11"/>
  <c r="L171" i="11"/>
  <c r="E171" i="11"/>
  <c r="G169" i="11"/>
  <c r="M169" i="11"/>
  <c r="F170" i="11"/>
  <c r="F171" i="11"/>
  <c r="K179" i="9"/>
  <c r="L178" i="9"/>
  <c r="I172" i="11" l="1"/>
  <c r="M179" i="9"/>
  <c r="D172" i="11" s="1"/>
  <c r="K180" i="9"/>
  <c r="L179" i="9"/>
  <c r="K172" i="11" l="1"/>
  <c r="L172" i="11"/>
  <c r="E172" i="11"/>
  <c r="I173" i="11"/>
  <c r="M180" i="9"/>
  <c r="D173" i="11" s="1"/>
  <c r="G171" i="11"/>
  <c r="M171" i="11"/>
  <c r="M170" i="11"/>
  <c r="G170" i="11"/>
  <c r="F172" i="11"/>
  <c r="K181" i="9"/>
  <c r="L180" i="9"/>
  <c r="L173" i="11" l="1"/>
  <c r="K173" i="11"/>
  <c r="E173" i="11"/>
  <c r="I174" i="11"/>
  <c r="M181" i="9"/>
  <c r="D174" i="11" s="1"/>
  <c r="M172" i="11"/>
  <c r="G172" i="11"/>
  <c r="F173" i="11"/>
  <c r="K182" i="9"/>
  <c r="L181" i="9"/>
  <c r="L174" i="11" l="1"/>
  <c r="K174" i="11"/>
  <c r="E174" i="11"/>
  <c r="I175" i="11"/>
  <c r="M182" i="9"/>
  <c r="D175" i="11" s="1"/>
  <c r="M173" i="11"/>
  <c r="G173" i="11"/>
  <c r="F174" i="11"/>
  <c r="K183" i="9"/>
  <c r="L182" i="9"/>
  <c r="E175" i="11" l="1"/>
  <c r="K175" i="11"/>
  <c r="L175" i="11"/>
  <c r="I176" i="11"/>
  <c r="M183" i="9"/>
  <c r="D176" i="11" s="1"/>
  <c r="F175" i="11"/>
  <c r="K184" i="9"/>
  <c r="L183" i="9"/>
  <c r="E176" i="11" l="1"/>
  <c r="K176" i="11"/>
  <c r="L176" i="11"/>
  <c r="I177" i="11"/>
  <c r="M184" i="9"/>
  <c r="D177" i="11" s="1"/>
  <c r="M175" i="11"/>
  <c r="G175" i="11"/>
  <c r="M174" i="11"/>
  <c r="G174" i="11"/>
  <c r="F176" i="11"/>
  <c r="K185" i="9"/>
  <c r="L184" i="9"/>
  <c r="L177" i="11" l="1"/>
  <c r="K177" i="11"/>
  <c r="E177" i="11"/>
  <c r="M176" i="11"/>
  <c r="G176" i="11"/>
  <c r="I178" i="11"/>
  <c r="M185" i="9"/>
  <c r="D178" i="11" s="1"/>
  <c r="F177" i="11"/>
  <c r="K186" i="9"/>
  <c r="L185" i="9"/>
  <c r="E178" i="11" l="1"/>
  <c r="K178" i="11"/>
  <c r="L178" i="11"/>
  <c r="I179" i="11"/>
  <c r="M186" i="9"/>
  <c r="D179" i="11" s="1"/>
  <c r="M177" i="11"/>
  <c r="G177" i="11"/>
  <c r="F178" i="11"/>
  <c r="K187" i="9"/>
  <c r="L186" i="9"/>
  <c r="K179" i="11" l="1"/>
  <c r="L179" i="11"/>
  <c r="E179" i="11"/>
  <c r="I180" i="11"/>
  <c r="M187" i="9"/>
  <c r="D180" i="11" s="1"/>
  <c r="G178" i="11"/>
  <c r="M178" i="11"/>
  <c r="F179" i="11"/>
  <c r="K188" i="9"/>
  <c r="L187" i="9"/>
  <c r="K180" i="11" l="1"/>
  <c r="E180" i="11"/>
  <c r="L180" i="11"/>
  <c r="I181" i="11"/>
  <c r="M188" i="9"/>
  <c r="D181" i="11" s="1"/>
  <c r="G179" i="11"/>
  <c r="M179" i="11"/>
  <c r="F180" i="11"/>
  <c r="L188" i="9"/>
  <c r="L181" i="11" l="1"/>
  <c r="K181" i="11"/>
  <c r="E181" i="11"/>
  <c r="M180" i="11"/>
  <c r="G180" i="11"/>
  <c r="F181" i="11"/>
  <c r="U343" i="12"/>
  <c r="V271" i="12"/>
  <c r="V273" i="12"/>
  <c r="V275" i="12"/>
  <c r="V278" i="12"/>
  <c r="V279" i="12"/>
  <c r="V281" i="12"/>
  <c r="U282" i="12"/>
  <c r="V289" i="12"/>
  <c r="V291" i="12"/>
  <c r="V294" i="12"/>
  <c r="V295" i="12"/>
  <c r="V303" i="12"/>
  <c r="V305" i="12"/>
  <c r="V307" i="12"/>
  <c r="V310" i="12"/>
  <c r="U311" i="12"/>
  <c r="V313" i="12"/>
  <c r="V318" i="12"/>
  <c r="V321" i="12"/>
  <c r="V323" i="12"/>
  <c r="V326" i="12"/>
  <c r="V329" i="12"/>
  <c r="U330" i="12"/>
  <c r="V334" i="12"/>
  <c r="U336" i="12"/>
  <c r="U337" i="12"/>
  <c r="V339" i="12"/>
  <c r="V342" i="12"/>
  <c r="V286" i="12"/>
  <c r="V287" i="12"/>
  <c r="U298" i="12"/>
  <c r="V319" i="12"/>
  <c r="M268" i="12"/>
  <c r="H20" i="9"/>
  <c r="C18" i="11" s="1"/>
  <c r="I22" i="9"/>
  <c r="M344" i="12"/>
  <c r="U344" i="12"/>
  <c r="F344" i="12"/>
  <c r="M343" i="12"/>
  <c r="F343" i="12"/>
  <c r="M342" i="12"/>
  <c r="F342" i="12"/>
  <c r="M341" i="12"/>
  <c r="F341" i="12"/>
  <c r="M340" i="12"/>
  <c r="F340" i="12"/>
  <c r="M339" i="12"/>
  <c r="F339" i="12"/>
  <c r="M338" i="12"/>
  <c r="F338" i="12"/>
  <c r="M337" i="12"/>
  <c r="F337" i="12"/>
  <c r="M336" i="12"/>
  <c r="F336" i="12"/>
  <c r="M335" i="12"/>
  <c r="F335" i="12"/>
  <c r="M334" i="12"/>
  <c r="F334" i="12"/>
  <c r="M333" i="12"/>
  <c r="F333" i="12"/>
  <c r="M332" i="12"/>
  <c r="F332" i="12"/>
  <c r="M331" i="12"/>
  <c r="F331" i="12"/>
  <c r="M330" i="12"/>
  <c r="F330" i="12"/>
  <c r="M329" i="12"/>
  <c r="F329" i="12"/>
  <c r="M328" i="12"/>
  <c r="V328" i="12"/>
  <c r="F328" i="12"/>
  <c r="M327" i="12"/>
  <c r="F327" i="12"/>
  <c r="M326" i="12"/>
  <c r="F326" i="12"/>
  <c r="M325" i="12"/>
  <c r="F325" i="12"/>
  <c r="M324" i="12"/>
  <c r="F324" i="12"/>
  <c r="M323" i="12"/>
  <c r="F323" i="12"/>
  <c r="M322" i="12"/>
  <c r="F322" i="12"/>
  <c r="M321" i="12"/>
  <c r="F321" i="12"/>
  <c r="U320" i="12"/>
  <c r="M320" i="12"/>
  <c r="V320" i="12"/>
  <c r="F320" i="12"/>
  <c r="M319" i="12"/>
  <c r="F319" i="12"/>
  <c r="M318" i="12"/>
  <c r="F318" i="12"/>
  <c r="M317" i="12"/>
  <c r="F317" i="12"/>
  <c r="M316" i="12"/>
  <c r="F316" i="12"/>
  <c r="M315" i="12"/>
  <c r="F315" i="12"/>
  <c r="M314" i="12"/>
  <c r="U314" i="12"/>
  <c r="F314" i="12"/>
  <c r="M313" i="12"/>
  <c r="F313" i="12"/>
  <c r="M312" i="12"/>
  <c r="V312" i="12"/>
  <c r="F312" i="12"/>
  <c r="M311" i="12"/>
  <c r="F311" i="12"/>
  <c r="M310" i="12"/>
  <c r="F310" i="12"/>
  <c r="M309" i="12"/>
  <c r="F309" i="12"/>
  <c r="M308" i="12"/>
  <c r="F308" i="12"/>
  <c r="M307" i="12"/>
  <c r="F307" i="12"/>
  <c r="M306" i="12"/>
  <c r="F306" i="12"/>
  <c r="M305" i="12"/>
  <c r="F305" i="12"/>
  <c r="M304" i="12"/>
  <c r="V304" i="12"/>
  <c r="F304" i="12"/>
  <c r="M303" i="12"/>
  <c r="F303" i="12"/>
  <c r="M302" i="12"/>
  <c r="V302" i="12"/>
  <c r="F302" i="12"/>
  <c r="M301" i="12"/>
  <c r="F301" i="12"/>
  <c r="M300" i="12"/>
  <c r="F300" i="12"/>
  <c r="M299" i="12"/>
  <c r="F299" i="12"/>
  <c r="M298" i="12"/>
  <c r="F298" i="12"/>
  <c r="M297" i="12"/>
  <c r="V297" i="12"/>
  <c r="F297" i="12"/>
  <c r="M296" i="12"/>
  <c r="V296" i="12"/>
  <c r="F296" i="12"/>
  <c r="M295" i="12"/>
  <c r="F295" i="12"/>
  <c r="M294" i="12"/>
  <c r="F294" i="12"/>
  <c r="M293" i="12"/>
  <c r="F293" i="12"/>
  <c r="M292" i="12"/>
  <c r="F292" i="12"/>
  <c r="M291" i="12"/>
  <c r="F291" i="12"/>
  <c r="M290" i="12"/>
  <c r="F290" i="12"/>
  <c r="M289" i="12"/>
  <c r="F289" i="12"/>
  <c r="M288" i="12"/>
  <c r="V288" i="12"/>
  <c r="F288" i="12"/>
  <c r="M287" i="12"/>
  <c r="F287" i="12"/>
  <c r="M286" i="12"/>
  <c r="F286" i="12"/>
  <c r="M285" i="12"/>
  <c r="F285" i="12"/>
  <c r="M284" i="12"/>
  <c r="F284" i="12"/>
  <c r="M283" i="12"/>
  <c r="F283" i="12"/>
  <c r="M282" i="12"/>
  <c r="F282" i="12"/>
  <c r="M281" i="12"/>
  <c r="F281" i="12"/>
  <c r="M280" i="12"/>
  <c r="U280" i="12"/>
  <c r="F280" i="12"/>
  <c r="M279" i="12"/>
  <c r="F279" i="12"/>
  <c r="M278" i="12"/>
  <c r="F278" i="12"/>
  <c r="M277" i="12"/>
  <c r="F277" i="12"/>
  <c r="M276" i="12"/>
  <c r="F276" i="12"/>
  <c r="M275" i="12"/>
  <c r="F275" i="12"/>
  <c r="M274" i="12"/>
  <c r="F274" i="12"/>
  <c r="M273" i="12"/>
  <c r="F273" i="12"/>
  <c r="M272" i="12"/>
  <c r="U272" i="12"/>
  <c r="F272" i="12"/>
  <c r="M271" i="12"/>
  <c r="F271" i="12"/>
  <c r="M270" i="12"/>
  <c r="V270" i="12"/>
  <c r="F270" i="12"/>
  <c r="M269" i="12"/>
  <c r="F269" i="12"/>
  <c r="F268" i="12"/>
  <c r="M267" i="12"/>
  <c r="F267" i="12"/>
  <c r="M266" i="12"/>
  <c r="U266" i="12"/>
  <c r="F266" i="12"/>
  <c r="M265" i="12"/>
  <c r="V265" i="12"/>
  <c r="F265" i="12"/>
  <c r="M264" i="12"/>
  <c r="U264" i="12"/>
  <c r="F264" i="12"/>
  <c r="M263" i="12"/>
  <c r="V263" i="12"/>
  <c r="F263" i="12"/>
  <c r="M262" i="12"/>
  <c r="V262" i="12"/>
  <c r="F262" i="12"/>
  <c r="M261" i="12"/>
  <c r="F261" i="12"/>
  <c r="M260" i="12"/>
  <c r="F260" i="12"/>
  <c r="M259" i="12"/>
  <c r="V259" i="12"/>
  <c r="F259" i="12"/>
  <c r="M258" i="12"/>
  <c r="F258" i="12"/>
  <c r="M257" i="12"/>
  <c r="V257" i="12"/>
  <c r="F257" i="12"/>
  <c r="M256" i="12"/>
  <c r="U256" i="12"/>
  <c r="F256" i="12"/>
  <c r="M255" i="12"/>
  <c r="V255" i="12"/>
  <c r="F255" i="12"/>
  <c r="M254" i="12"/>
  <c r="V254" i="12"/>
  <c r="F254" i="12"/>
  <c r="M253" i="12"/>
  <c r="F253" i="12"/>
  <c r="M252" i="12"/>
  <c r="F252" i="12"/>
  <c r="M251" i="12"/>
  <c r="F251" i="12"/>
  <c r="M250" i="12"/>
  <c r="U250" i="12"/>
  <c r="F250" i="12"/>
  <c r="M249" i="12"/>
  <c r="V249" i="12"/>
  <c r="F249" i="12"/>
  <c r="H256" i="11" s="1"/>
  <c r="M248" i="12"/>
  <c r="U248" i="12"/>
  <c r="F248" i="12"/>
  <c r="M247" i="12"/>
  <c r="V247" i="12"/>
  <c r="F247" i="12"/>
  <c r="M246" i="12"/>
  <c r="V246" i="12"/>
  <c r="F246" i="12"/>
  <c r="M245" i="12"/>
  <c r="F245" i="12"/>
  <c r="M244" i="12"/>
  <c r="F244" i="12"/>
  <c r="M243" i="12"/>
  <c r="U243" i="12"/>
  <c r="F243" i="12"/>
  <c r="M242" i="12"/>
  <c r="F242" i="12"/>
  <c r="M241" i="12"/>
  <c r="V241" i="12"/>
  <c r="F241" i="12"/>
  <c r="M240" i="12"/>
  <c r="U240" i="12"/>
  <c r="F240" i="12"/>
  <c r="M239" i="12"/>
  <c r="U239" i="12"/>
  <c r="F239" i="12"/>
  <c r="M238" i="12"/>
  <c r="V238" i="12"/>
  <c r="F238" i="12"/>
  <c r="M237" i="12"/>
  <c r="F237" i="12"/>
  <c r="M236" i="12"/>
  <c r="F236" i="12"/>
  <c r="M235" i="12"/>
  <c r="V235" i="12"/>
  <c r="F235" i="12"/>
  <c r="M234" i="12"/>
  <c r="F234" i="12"/>
  <c r="M233" i="12"/>
  <c r="V233" i="12"/>
  <c r="F233" i="12"/>
  <c r="M232" i="12"/>
  <c r="U232" i="12"/>
  <c r="F232" i="12"/>
  <c r="M231" i="12"/>
  <c r="U231" i="12"/>
  <c r="F231" i="12"/>
  <c r="M230" i="12"/>
  <c r="V230" i="12"/>
  <c r="F230" i="12"/>
  <c r="M229" i="12"/>
  <c r="F229" i="12"/>
  <c r="M228" i="12"/>
  <c r="F228" i="12"/>
  <c r="M227" i="12"/>
  <c r="V227" i="12"/>
  <c r="F227" i="12"/>
  <c r="M226" i="12"/>
  <c r="F226" i="12"/>
  <c r="M225" i="12"/>
  <c r="V225" i="12"/>
  <c r="F225" i="12"/>
  <c r="M224" i="12"/>
  <c r="U224" i="12"/>
  <c r="F224" i="12"/>
  <c r="M223" i="12"/>
  <c r="U223" i="12"/>
  <c r="F223" i="12"/>
  <c r="M222" i="12"/>
  <c r="V222" i="12"/>
  <c r="F222" i="12"/>
  <c r="M221" i="12"/>
  <c r="F221" i="12"/>
  <c r="M220" i="12"/>
  <c r="F220" i="12"/>
  <c r="M219" i="12"/>
  <c r="V219" i="12"/>
  <c r="F219" i="12"/>
  <c r="M218" i="12"/>
  <c r="F218" i="12"/>
  <c r="M217" i="12"/>
  <c r="V217" i="12"/>
  <c r="F217" i="12"/>
  <c r="M216" i="12"/>
  <c r="U216" i="12"/>
  <c r="F216" i="12"/>
  <c r="M215" i="12"/>
  <c r="U215" i="12"/>
  <c r="F215" i="12"/>
  <c r="M214" i="12"/>
  <c r="V214" i="12"/>
  <c r="F214" i="12"/>
  <c r="M213" i="12"/>
  <c r="F213" i="12"/>
  <c r="M212" i="12"/>
  <c r="F212" i="12"/>
  <c r="M211" i="12"/>
  <c r="U211" i="12"/>
  <c r="F211" i="12"/>
  <c r="M210" i="12"/>
  <c r="F210" i="12"/>
  <c r="M209" i="12"/>
  <c r="V209" i="12"/>
  <c r="F209" i="12"/>
  <c r="M208" i="12"/>
  <c r="U208" i="12"/>
  <c r="F208" i="12"/>
  <c r="M207" i="12"/>
  <c r="U207" i="12"/>
  <c r="F207" i="12"/>
  <c r="M206" i="12"/>
  <c r="V206" i="12"/>
  <c r="F206" i="12"/>
  <c r="M205" i="12"/>
  <c r="F205" i="12"/>
  <c r="M204" i="12"/>
  <c r="F204" i="12"/>
  <c r="M203" i="12"/>
  <c r="V203" i="12"/>
  <c r="F203" i="12"/>
  <c r="M202" i="12"/>
  <c r="F202" i="12"/>
  <c r="M201" i="12"/>
  <c r="V201" i="12"/>
  <c r="F201" i="12"/>
  <c r="M200" i="12"/>
  <c r="U200" i="12"/>
  <c r="F200" i="12"/>
  <c r="M199" i="12"/>
  <c r="U199" i="12"/>
  <c r="F199" i="12"/>
  <c r="M198" i="12"/>
  <c r="V198" i="12"/>
  <c r="F198" i="12"/>
  <c r="M197" i="12"/>
  <c r="F197" i="12"/>
  <c r="M196" i="12"/>
  <c r="F196" i="12"/>
  <c r="M195" i="12"/>
  <c r="V195" i="12"/>
  <c r="F195" i="12"/>
  <c r="M194" i="12"/>
  <c r="F194" i="12"/>
  <c r="M193" i="12"/>
  <c r="V193" i="12"/>
  <c r="F193" i="12"/>
  <c r="M192" i="12"/>
  <c r="V192" i="12"/>
  <c r="F192" i="12"/>
  <c r="M191" i="12"/>
  <c r="U191" i="12"/>
  <c r="F191" i="12"/>
  <c r="M190" i="12"/>
  <c r="V190" i="12"/>
  <c r="F190" i="12"/>
  <c r="M189" i="12"/>
  <c r="F189" i="12"/>
  <c r="M188" i="12"/>
  <c r="F188" i="12"/>
  <c r="M187" i="12"/>
  <c r="V187" i="12"/>
  <c r="F187" i="12"/>
  <c r="M186" i="12"/>
  <c r="U186" i="12"/>
  <c r="F186" i="12"/>
  <c r="M185" i="12"/>
  <c r="V185" i="12"/>
  <c r="F185" i="12"/>
  <c r="M184" i="12"/>
  <c r="V184" i="12"/>
  <c r="F184" i="12"/>
  <c r="M183" i="12"/>
  <c r="U183" i="12"/>
  <c r="F183" i="12"/>
  <c r="M182" i="12"/>
  <c r="V182" i="12"/>
  <c r="F182" i="12"/>
  <c r="M181" i="12"/>
  <c r="F181" i="12"/>
  <c r="M180" i="12"/>
  <c r="F180" i="12"/>
  <c r="M179" i="12"/>
  <c r="V179" i="12"/>
  <c r="F179" i="12"/>
  <c r="M178" i="12"/>
  <c r="F178" i="12"/>
  <c r="M177" i="12"/>
  <c r="V177" i="12"/>
  <c r="F177" i="12"/>
  <c r="M176" i="12"/>
  <c r="U176" i="12"/>
  <c r="F176" i="12"/>
  <c r="M175" i="12"/>
  <c r="F175" i="12"/>
  <c r="M174" i="12"/>
  <c r="V174" i="12"/>
  <c r="F174" i="12"/>
  <c r="M173" i="12"/>
  <c r="V173" i="12"/>
  <c r="F173" i="12"/>
  <c r="M172" i="12"/>
  <c r="F172" i="12"/>
  <c r="M171" i="12"/>
  <c r="F171" i="12"/>
  <c r="M170" i="12"/>
  <c r="F170" i="12"/>
  <c r="M169" i="12"/>
  <c r="F169" i="12"/>
  <c r="M168" i="12"/>
  <c r="U168" i="12"/>
  <c r="F168" i="12"/>
  <c r="M167" i="12"/>
  <c r="U167" i="12"/>
  <c r="F167" i="12"/>
  <c r="M166" i="12"/>
  <c r="F166" i="12"/>
  <c r="M165" i="12"/>
  <c r="V165" i="12"/>
  <c r="F165" i="12"/>
  <c r="M164" i="12"/>
  <c r="F164" i="12"/>
  <c r="M163" i="12"/>
  <c r="U163" i="12"/>
  <c r="F163" i="12"/>
  <c r="M162" i="12"/>
  <c r="F162" i="12"/>
  <c r="M161" i="12"/>
  <c r="F161" i="12"/>
  <c r="M160" i="12"/>
  <c r="F160" i="12"/>
  <c r="M159" i="12"/>
  <c r="U159" i="12"/>
  <c r="F159" i="12"/>
  <c r="M158" i="12"/>
  <c r="F158" i="12"/>
  <c r="M157" i="12"/>
  <c r="V157" i="12"/>
  <c r="F157" i="12"/>
  <c r="M156" i="12"/>
  <c r="F156" i="12"/>
  <c r="M155" i="12"/>
  <c r="V155" i="12"/>
  <c r="F155" i="12"/>
  <c r="M154" i="12"/>
  <c r="F154" i="12"/>
  <c r="M153" i="12"/>
  <c r="V153" i="12"/>
  <c r="F153" i="12"/>
  <c r="M152" i="12"/>
  <c r="U152" i="12"/>
  <c r="F152" i="12"/>
  <c r="M151" i="12"/>
  <c r="U151" i="12"/>
  <c r="F151" i="12"/>
  <c r="M150" i="12"/>
  <c r="F150" i="12"/>
  <c r="M149" i="12"/>
  <c r="V149" i="12"/>
  <c r="F149" i="12"/>
  <c r="M148" i="12"/>
  <c r="F148" i="12"/>
  <c r="M147" i="12"/>
  <c r="V147" i="12"/>
  <c r="F147" i="12"/>
  <c r="M146" i="12"/>
  <c r="F146" i="12"/>
  <c r="M145" i="12"/>
  <c r="F145" i="12"/>
  <c r="M144" i="12"/>
  <c r="F144" i="12"/>
  <c r="M143" i="12"/>
  <c r="U143" i="12"/>
  <c r="F143" i="12"/>
  <c r="M142" i="12"/>
  <c r="F142" i="12"/>
  <c r="M141" i="12"/>
  <c r="V141" i="12"/>
  <c r="F141" i="12"/>
  <c r="M140" i="12"/>
  <c r="F140" i="12"/>
  <c r="M139" i="12"/>
  <c r="F139" i="12"/>
  <c r="M138" i="12"/>
  <c r="F138" i="12"/>
  <c r="M137" i="12"/>
  <c r="V137" i="12"/>
  <c r="F137" i="12"/>
  <c r="M136" i="12"/>
  <c r="F136" i="12"/>
  <c r="M135" i="12"/>
  <c r="U135" i="12"/>
  <c r="F135" i="12"/>
  <c r="M134" i="12"/>
  <c r="F134" i="12"/>
  <c r="M133" i="12"/>
  <c r="V133" i="12"/>
  <c r="F133" i="12"/>
  <c r="M132" i="12"/>
  <c r="F132" i="12"/>
  <c r="M131" i="12"/>
  <c r="U131" i="12"/>
  <c r="F131" i="12"/>
  <c r="M130" i="12"/>
  <c r="F130" i="12"/>
  <c r="M129" i="12"/>
  <c r="V129" i="12"/>
  <c r="F129" i="12"/>
  <c r="M128" i="12"/>
  <c r="U128" i="12"/>
  <c r="F128" i="12"/>
  <c r="M127" i="12"/>
  <c r="U127" i="12"/>
  <c r="F127" i="12"/>
  <c r="M126" i="12"/>
  <c r="F126" i="12"/>
  <c r="M125" i="12"/>
  <c r="V125" i="12"/>
  <c r="F125" i="12"/>
  <c r="M124" i="12"/>
  <c r="F124" i="12"/>
  <c r="M123" i="12"/>
  <c r="V123" i="12"/>
  <c r="F123" i="12"/>
  <c r="M122" i="12"/>
  <c r="F122" i="12"/>
  <c r="M121" i="12"/>
  <c r="V121" i="12"/>
  <c r="F121" i="12"/>
  <c r="M120" i="12"/>
  <c r="F120" i="12"/>
  <c r="M119" i="12"/>
  <c r="U119" i="12"/>
  <c r="F119" i="12"/>
  <c r="M118" i="12"/>
  <c r="F118" i="12"/>
  <c r="M117" i="12"/>
  <c r="V117" i="12"/>
  <c r="F117" i="12"/>
  <c r="M116" i="12"/>
  <c r="F116" i="12"/>
  <c r="M115" i="12"/>
  <c r="U115" i="12"/>
  <c r="F115" i="12"/>
  <c r="M114" i="12"/>
  <c r="F114" i="12"/>
  <c r="M113" i="12"/>
  <c r="V113" i="12"/>
  <c r="F113" i="12"/>
  <c r="M112" i="12"/>
  <c r="F112" i="12"/>
  <c r="M111" i="12"/>
  <c r="U111" i="12"/>
  <c r="F111" i="12"/>
  <c r="M110" i="12"/>
  <c r="F110" i="12"/>
  <c r="M109" i="12"/>
  <c r="V109" i="12"/>
  <c r="F109" i="12"/>
  <c r="M108" i="12"/>
  <c r="F108" i="12"/>
  <c r="M107" i="12"/>
  <c r="V107" i="12"/>
  <c r="F107" i="12"/>
  <c r="M106" i="12"/>
  <c r="F106" i="12"/>
  <c r="M105" i="12"/>
  <c r="F105" i="12"/>
  <c r="M104" i="12"/>
  <c r="U104" i="12"/>
  <c r="F104" i="12"/>
  <c r="M103" i="12"/>
  <c r="U103" i="12"/>
  <c r="F103" i="12"/>
  <c r="M102" i="12"/>
  <c r="F102" i="12"/>
  <c r="M101" i="12"/>
  <c r="V101" i="12"/>
  <c r="F101" i="12"/>
  <c r="M100" i="12"/>
  <c r="F100" i="12"/>
  <c r="M99" i="12"/>
  <c r="V99" i="12"/>
  <c r="F99" i="12"/>
  <c r="M98" i="12"/>
  <c r="F98" i="12"/>
  <c r="M97" i="12"/>
  <c r="F97" i="12"/>
  <c r="M96" i="12"/>
  <c r="U96" i="12"/>
  <c r="F96" i="12"/>
  <c r="M95" i="12"/>
  <c r="U95" i="12"/>
  <c r="F95" i="12"/>
  <c r="M94" i="12"/>
  <c r="F94" i="12"/>
  <c r="M93" i="12"/>
  <c r="V93" i="12"/>
  <c r="F93" i="12"/>
  <c r="M92" i="12"/>
  <c r="F92" i="12"/>
  <c r="M91" i="12"/>
  <c r="F91" i="12"/>
  <c r="M90" i="12"/>
  <c r="F90" i="12"/>
  <c r="M89" i="12"/>
  <c r="V89" i="12"/>
  <c r="F89" i="12"/>
  <c r="M88" i="12"/>
  <c r="U88" i="12"/>
  <c r="F88" i="12"/>
  <c r="M87" i="12"/>
  <c r="U87" i="12"/>
  <c r="F87" i="12"/>
  <c r="M86" i="12"/>
  <c r="F86" i="12"/>
  <c r="M85" i="12"/>
  <c r="V85" i="12"/>
  <c r="F85" i="12"/>
  <c r="M84" i="12"/>
  <c r="F84" i="12"/>
  <c r="M83" i="12"/>
  <c r="V83" i="12"/>
  <c r="F83" i="12"/>
  <c r="M82" i="12"/>
  <c r="F82" i="12"/>
  <c r="M81" i="12"/>
  <c r="F81" i="12"/>
  <c r="M80" i="12"/>
  <c r="F80" i="12"/>
  <c r="M79" i="12"/>
  <c r="U79" i="12"/>
  <c r="F79" i="12"/>
  <c r="M78" i="12"/>
  <c r="F78" i="12"/>
  <c r="M77" i="12"/>
  <c r="V77" i="12"/>
  <c r="F77" i="12"/>
  <c r="M76" i="12"/>
  <c r="F76" i="12"/>
  <c r="M75" i="12"/>
  <c r="U75" i="12"/>
  <c r="F75" i="12"/>
  <c r="M74" i="12"/>
  <c r="F74" i="12"/>
  <c r="M73" i="12"/>
  <c r="V73" i="12"/>
  <c r="F73" i="12"/>
  <c r="M72" i="12"/>
  <c r="F72" i="12"/>
  <c r="M71" i="12"/>
  <c r="U71" i="12"/>
  <c r="F71" i="12"/>
  <c r="M70" i="12"/>
  <c r="F70" i="12"/>
  <c r="M69" i="12"/>
  <c r="F69" i="12"/>
  <c r="M68" i="12"/>
  <c r="F68" i="12"/>
  <c r="M67" i="12"/>
  <c r="V67" i="12"/>
  <c r="F67" i="12"/>
  <c r="M66" i="12"/>
  <c r="F66" i="12"/>
  <c r="M65" i="12"/>
  <c r="V65" i="12"/>
  <c r="F65" i="12"/>
  <c r="M64" i="12"/>
  <c r="U64" i="12"/>
  <c r="F64" i="12"/>
  <c r="M63" i="12"/>
  <c r="V63" i="12"/>
  <c r="F63" i="12"/>
  <c r="M62" i="12"/>
  <c r="V62" i="12"/>
  <c r="F62" i="12"/>
  <c r="M61" i="12"/>
  <c r="U61" i="12"/>
  <c r="F61" i="12"/>
  <c r="M60" i="12"/>
  <c r="V60" i="12"/>
  <c r="F60" i="12"/>
  <c r="M59" i="12"/>
  <c r="V59" i="12"/>
  <c r="F59" i="12"/>
  <c r="M58" i="12"/>
  <c r="F58" i="12"/>
  <c r="M57" i="12"/>
  <c r="U57" i="12"/>
  <c r="F57" i="12"/>
  <c r="M56" i="12"/>
  <c r="U56" i="12"/>
  <c r="F56" i="12"/>
  <c r="M55" i="12"/>
  <c r="V55" i="12"/>
  <c r="F55" i="12"/>
  <c r="M54" i="12"/>
  <c r="F54" i="12"/>
  <c r="M53" i="12"/>
  <c r="U53" i="12"/>
  <c r="F53" i="12"/>
  <c r="M52" i="12"/>
  <c r="V52" i="12"/>
  <c r="F52" i="12"/>
  <c r="M51" i="12"/>
  <c r="V51" i="12"/>
  <c r="F51" i="12"/>
  <c r="M50" i="12"/>
  <c r="F50" i="12"/>
  <c r="M49" i="12"/>
  <c r="F49" i="12"/>
  <c r="M48" i="12"/>
  <c r="U48" i="12"/>
  <c r="F48" i="12"/>
  <c r="H47" i="11" s="1"/>
  <c r="M47" i="12"/>
  <c r="V47" i="12"/>
  <c r="F47" i="12"/>
  <c r="M46" i="12"/>
  <c r="F46" i="12"/>
  <c r="M45" i="12"/>
  <c r="U45" i="12"/>
  <c r="F45" i="12"/>
  <c r="M44" i="12"/>
  <c r="V44" i="12"/>
  <c r="F44" i="12"/>
  <c r="M43" i="12"/>
  <c r="V43" i="12"/>
  <c r="F43" i="12"/>
  <c r="M42" i="12"/>
  <c r="F42" i="12"/>
  <c r="M41" i="12"/>
  <c r="V41" i="12"/>
  <c r="F41" i="12"/>
  <c r="M40" i="12"/>
  <c r="U40" i="12"/>
  <c r="F40" i="12"/>
  <c r="H38" i="11" s="1"/>
  <c r="M39" i="12"/>
  <c r="V39" i="12"/>
  <c r="F39" i="12"/>
  <c r="M38" i="12"/>
  <c r="F38" i="12"/>
  <c r="M37" i="12"/>
  <c r="U37" i="12"/>
  <c r="F37" i="12"/>
  <c r="M36" i="12"/>
  <c r="V36" i="12"/>
  <c r="F36" i="12"/>
  <c r="M35" i="12"/>
  <c r="V35" i="12"/>
  <c r="F35" i="12"/>
  <c r="M34" i="12"/>
  <c r="F34" i="12"/>
  <c r="M33" i="12"/>
  <c r="F33" i="12"/>
  <c r="M32" i="12"/>
  <c r="U32" i="12"/>
  <c r="F32" i="12"/>
  <c r="M31" i="12"/>
  <c r="V31" i="12"/>
  <c r="F31" i="12"/>
  <c r="M30" i="12"/>
  <c r="F30" i="12"/>
  <c r="M29" i="12"/>
  <c r="V29" i="12"/>
  <c r="F29" i="12"/>
  <c r="M28" i="12"/>
  <c r="V28" i="12"/>
  <c r="F28" i="12"/>
  <c r="M27" i="12"/>
  <c r="V27" i="12"/>
  <c r="F27" i="12"/>
  <c r="M26" i="12"/>
  <c r="F26" i="12"/>
  <c r="M25" i="12"/>
  <c r="F25" i="12"/>
  <c r="M24" i="12"/>
  <c r="V24" i="12"/>
  <c r="F24" i="12"/>
  <c r="M23" i="12"/>
  <c r="V23" i="12"/>
  <c r="F23" i="12"/>
  <c r="M22" i="12"/>
  <c r="F22" i="12"/>
  <c r="M21" i="12"/>
  <c r="V21" i="12"/>
  <c r="F21" i="12"/>
  <c r="M20" i="12"/>
  <c r="V20" i="12"/>
  <c r="F20" i="12"/>
  <c r="M19" i="12"/>
  <c r="V19" i="12"/>
  <c r="F19" i="12"/>
  <c r="M18" i="12"/>
  <c r="F18" i="12"/>
  <c r="M17" i="12"/>
  <c r="F17" i="12"/>
  <c r="M16" i="12"/>
  <c r="U16" i="12"/>
  <c r="F16" i="12"/>
  <c r="M15" i="12"/>
  <c r="V15" i="12"/>
  <c r="F15" i="12"/>
  <c r="M14" i="12"/>
  <c r="F14" i="12"/>
  <c r="M13" i="12"/>
  <c r="V13" i="12"/>
  <c r="F13" i="12"/>
  <c r="M12" i="12"/>
  <c r="V12" i="12"/>
  <c r="F12" i="12"/>
  <c r="M11" i="12"/>
  <c r="V11" i="12"/>
  <c r="F11" i="12"/>
  <c r="M10" i="12"/>
  <c r="F10" i="12"/>
  <c r="M9" i="12"/>
  <c r="F9" i="12"/>
  <c r="M8" i="12"/>
  <c r="F8" i="12"/>
  <c r="M7" i="12"/>
  <c r="V7" i="12"/>
  <c r="F7" i="12"/>
  <c r="M6" i="12"/>
  <c r="F6" i="12"/>
  <c r="M5" i="12"/>
  <c r="V5" i="12"/>
  <c r="F5" i="12"/>
  <c r="M4" i="12"/>
  <c r="V4" i="12"/>
  <c r="F4" i="12"/>
  <c r="B4" i="12"/>
  <c r="W4" i="12" s="1"/>
  <c r="H35" i="11" l="1"/>
  <c r="J35" i="11" s="1"/>
  <c r="H42" i="11"/>
  <c r="J42" i="11" s="1"/>
  <c r="H51" i="11"/>
  <c r="J51" i="11" s="1"/>
  <c r="H54" i="11"/>
  <c r="J54" i="11" s="1"/>
  <c r="H65" i="11"/>
  <c r="J65" i="11" s="1"/>
  <c r="H73" i="11"/>
  <c r="J73" i="11" s="1"/>
  <c r="H76" i="11"/>
  <c r="J76" i="11" s="1"/>
  <c r="H83" i="11"/>
  <c r="J83" i="11" s="1"/>
  <c r="H86" i="11"/>
  <c r="J86" i="11" s="1"/>
  <c r="H89" i="11"/>
  <c r="J89" i="11" s="1"/>
  <c r="H100" i="11"/>
  <c r="J100" i="11" s="1"/>
  <c r="H103" i="11"/>
  <c r="J103" i="11" s="1"/>
  <c r="H106" i="11"/>
  <c r="J106" i="11" s="1"/>
  <c r="H116" i="11"/>
  <c r="J116" i="11" s="1"/>
  <c r="H120" i="11"/>
  <c r="J120" i="11" s="1"/>
  <c r="H139" i="11"/>
  <c r="J139" i="11" s="1"/>
  <c r="H192" i="11"/>
  <c r="J192" i="11" s="1"/>
  <c r="H199" i="11"/>
  <c r="J199" i="11" s="1"/>
  <c r="H228" i="11"/>
  <c r="J228" i="11" s="1"/>
  <c r="H237" i="11"/>
  <c r="J237" i="11" s="1"/>
  <c r="H243" i="11"/>
  <c r="J243" i="11" s="1"/>
  <c r="H246" i="11"/>
  <c r="J246" i="11" s="1"/>
  <c r="H250" i="11"/>
  <c r="J250" i="11" s="1"/>
  <c r="H259" i="11"/>
  <c r="J259" i="11" s="1"/>
  <c r="H265" i="11"/>
  <c r="J265" i="11" s="1"/>
  <c r="N267" i="12"/>
  <c r="H275" i="11"/>
  <c r="H274" i="11"/>
  <c r="J274" i="11" s="1"/>
  <c r="H279" i="11"/>
  <c r="J279" i="11" s="1"/>
  <c r="H290" i="11"/>
  <c r="J290" i="11" s="1"/>
  <c r="H294" i="11"/>
  <c r="J294" i="11" s="1"/>
  <c r="H306" i="11"/>
  <c r="J306" i="11" s="1"/>
  <c r="H313" i="11"/>
  <c r="J313" i="11" s="1"/>
  <c r="H339" i="11"/>
  <c r="J339" i="11" s="1"/>
  <c r="H343" i="11"/>
  <c r="J343" i="11" s="1"/>
  <c r="H347" i="11"/>
  <c r="J347" i="11" s="1"/>
  <c r="H351" i="11"/>
  <c r="J351" i="11" s="1"/>
  <c r="H26" i="11"/>
  <c r="J26" i="11" s="1"/>
  <c r="H29" i="11"/>
  <c r="J29" i="11" s="1"/>
  <c r="H23" i="11"/>
  <c r="J23" i="11" s="1"/>
  <c r="H45" i="11"/>
  <c r="J45" i="11" s="1"/>
  <c r="H48" i="11"/>
  <c r="J48" i="11" s="1"/>
  <c r="H57" i="11"/>
  <c r="J57" i="11" s="1"/>
  <c r="H60" i="11"/>
  <c r="J60" i="11" s="1"/>
  <c r="H70" i="11"/>
  <c r="J70" i="11" s="1"/>
  <c r="H94" i="11"/>
  <c r="J94" i="11" s="1"/>
  <c r="H97" i="11"/>
  <c r="J97" i="11" s="1"/>
  <c r="H110" i="11"/>
  <c r="J110" i="11" s="1"/>
  <c r="H113" i="11"/>
  <c r="J113" i="11" s="1"/>
  <c r="H127" i="11"/>
  <c r="J127" i="11" s="1"/>
  <c r="H130" i="11"/>
  <c r="J130" i="11" s="1"/>
  <c r="H133" i="11"/>
  <c r="J133" i="11" s="1"/>
  <c r="H136" i="11"/>
  <c r="J136" i="11" s="1"/>
  <c r="H143" i="11"/>
  <c r="J143" i="11" s="1"/>
  <c r="H147" i="11"/>
  <c r="J147" i="11" s="1"/>
  <c r="H154" i="11"/>
  <c r="J154" i="11" s="1"/>
  <c r="H160" i="11"/>
  <c r="J160" i="11" s="1"/>
  <c r="H163" i="11"/>
  <c r="J163" i="11" s="1"/>
  <c r="H170" i="11"/>
  <c r="J170" i="11" s="1"/>
  <c r="H171" i="11"/>
  <c r="J171" i="11" s="1"/>
  <c r="H174" i="11"/>
  <c r="J174" i="11" s="1"/>
  <c r="H187" i="11"/>
  <c r="J187" i="11" s="1"/>
  <c r="H203" i="11"/>
  <c r="J203" i="11" s="1"/>
  <c r="H212" i="11"/>
  <c r="J212" i="11" s="1"/>
  <c r="H218" i="11"/>
  <c r="J218" i="11" s="1"/>
  <c r="H221" i="11"/>
  <c r="J221" i="11" s="1"/>
  <c r="H225" i="11"/>
  <c r="J225" i="11" s="1"/>
  <c r="H231" i="11"/>
  <c r="J231" i="11" s="1"/>
  <c r="H234" i="11"/>
  <c r="J234" i="11" s="1"/>
  <c r="H240" i="11"/>
  <c r="J240" i="11" s="1"/>
  <c r="H269" i="11"/>
  <c r="J269" i="11" s="1"/>
  <c r="H283" i="11"/>
  <c r="J283" i="11" s="1"/>
  <c r="H287" i="11"/>
  <c r="J287" i="11" s="1"/>
  <c r="H298" i="11"/>
  <c r="J298" i="11" s="1"/>
  <c r="H303" i="11"/>
  <c r="J303" i="11" s="1"/>
  <c r="H310" i="11"/>
  <c r="J310" i="11" s="1"/>
  <c r="H317" i="11"/>
  <c r="J317" i="11" s="1"/>
  <c r="H321" i="11"/>
  <c r="J321" i="11" s="1"/>
  <c r="H324" i="11"/>
  <c r="J324" i="11" s="1"/>
  <c r="H329" i="11"/>
  <c r="J329" i="11" s="1"/>
  <c r="H332" i="11"/>
  <c r="J332" i="11" s="1"/>
  <c r="H336" i="11"/>
  <c r="J336" i="11" s="1"/>
  <c r="H33" i="11"/>
  <c r="J33" i="11" s="1"/>
  <c r="H63" i="11"/>
  <c r="J63" i="11" s="1"/>
  <c r="H67" i="11"/>
  <c r="J67" i="11" s="1"/>
  <c r="H66" i="11"/>
  <c r="J66" i="11" s="1"/>
  <c r="H77" i="11"/>
  <c r="J77" i="11" s="1"/>
  <c r="H80" i="11"/>
  <c r="J80" i="11" s="1"/>
  <c r="H87" i="11"/>
  <c r="J87" i="11" s="1"/>
  <c r="H104" i="11"/>
  <c r="J104" i="11" s="1"/>
  <c r="H107" i="11"/>
  <c r="J107" i="11" s="1"/>
  <c r="H121" i="11"/>
  <c r="J121" i="11" s="1"/>
  <c r="H124" i="11"/>
  <c r="J124" i="11" s="1"/>
  <c r="H151" i="11"/>
  <c r="J151" i="11" s="1"/>
  <c r="H157" i="11"/>
  <c r="J157" i="11" s="1"/>
  <c r="H167" i="11"/>
  <c r="J167" i="11" s="1"/>
  <c r="H178" i="11"/>
  <c r="J178" i="11" s="1"/>
  <c r="H181" i="11"/>
  <c r="J181" i="11" s="1"/>
  <c r="H184" i="11"/>
  <c r="J184" i="11" s="1"/>
  <c r="H190" i="11"/>
  <c r="J190" i="11" s="1"/>
  <c r="H193" i="11"/>
  <c r="J193" i="11" s="1"/>
  <c r="H196" i="11"/>
  <c r="J196" i="11" s="1"/>
  <c r="H197" i="11"/>
  <c r="J197" i="11" s="1"/>
  <c r="H200" i="11"/>
  <c r="J200" i="11" s="1"/>
  <c r="H206" i="11"/>
  <c r="J206" i="11" s="1"/>
  <c r="H209" i="11"/>
  <c r="J209" i="11" s="1"/>
  <c r="H215" i="11"/>
  <c r="J215" i="11" s="1"/>
  <c r="H244" i="11"/>
  <c r="J244" i="11" s="1"/>
  <c r="H254" i="11"/>
  <c r="J254" i="11" s="1"/>
  <c r="H260" i="11"/>
  <c r="J260" i="11" s="1"/>
  <c r="H263" i="11"/>
  <c r="J263" i="11" s="1"/>
  <c r="H266" i="11"/>
  <c r="J266" i="11" s="1"/>
  <c r="H272" i="11"/>
  <c r="J272" i="11" s="1"/>
  <c r="H276" i="11"/>
  <c r="J276" i="11" s="1"/>
  <c r="H280" i="11"/>
  <c r="J280" i="11" s="1"/>
  <c r="H291" i="11"/>
  <c r="J291" i="11" s="1"/>
  <c r="H295" i="11"/>
  <c r="J295" i="11" s="1"/>
  <c r="H340" i="11"/>
  <c r="J340" i="11" s="1"/>
  <c r="H344" i="11"/>
  <c r="J344" i="11" s="1"/>
  <c r="H348" i="11"/>
  <c r="J348" i="11" s="1"/>
  <c r="H352" i="11"/>
  <c r="J352" i="11" s="1"/>
  <c r="H21" i="11"/>
  <c r="J21" i="11" s="1"/>
  <c r="H24" i="11"/>
  <c r="J24" i="11" s="1"/>
  <c r="H27" i="11"/>
  <c r="J27" i="11" s="1"/>
  <c r="H30" i="11"/>
  <c r="J30" i="11" s="1"/>
  <c r="H36" i="11"/>
  <c r="J36" i="11" s="1"/>
  <c r="H39" i="11"/>
  <c r="J39" i="11" s="1"/>
  <c r="H43" i="11"/>
  <c r="J43" i="11" s="1"/>
  <c r="H46" i="11"/>
  <c r="J46" i="11" s="1"/>
  <c r="H49" i="11"/>
  <c r="J49" i="11" s="1"/>
  <c r="H52" i="11"/>
  <c r="J52" i="11" s="1"/>
  <c r="H55" i="11"/>
  <c r="J55" i="11" s="1"/>
  <c r="H58" i="11"/>
  <c r="J58" i="11" s="1"/>
  <c r="H71" i="11"/>
  <c r="J71" i="11" s="1"/>
  <c r="H74" i="11"/>
  <c r="J74" i="11" s="1"/>
  <c r="H84" i="11"/>
  <c r="J84" i="11" s="1"/>
  <c r="H90" i="11"/>
  <c r="J90" i="11" s="1"/>
  <c r="H101" i="11"/>
  <c r="J101" i="11" s="1"/>
  <c r="H114" i="11"/>
  <c r="J114" i="11" s="1"/>
  <c r="H117" i="11"/>
  <c r="J117" i="11" s="1"/>
  <c r="H137" i="11"/>
  <c r="J137" i="11" s="1"/>
  <c r="H140" i="11"/>
  <c r="J140" i="11" s="1"/>
  <c r="H148" i="11"/>
  <c r="J148" i="11" s="1"/>
  <c r="H164" i="11"/>
  <c r="J164" i="11" s="1"/>
  <c r="H175" i="11"/>
  <c r="J175" i="11" s="1"/>
  <c r="H219" i="11"/>
  <c r="J219" i="11" s="1"/>
  <c r="H229" i="11"/>
  <c r="J229" i="11" s="1"/>
  <c r="H235" i="11"/>
  <c r="J235" i="11" s="1"/>
  <c r="H238" i="11"/>
  <c r="J238" i="11" s="1"/>
  <c r="H241" i="11"/>
  <c r="J241" i="11" s="1"/>
  <c r="H247" i="11"/>
  <c r="J247" i="11" s="1"/>
  <c r="H251" i="11"/>
  <c r="J251" i="11" s="1"/>
  <c r="H257" i="11"/>
  <c r="J257" i="11" s="1"/>
  <c r="H277" i="11"/>
  <c r="J277" i="11" s="1"/>
  <c r="H284" i="11"/>
  <c r="J284" i="11" s="1"/>
  <c r="H288" i="11"/>
  <c r="J288" i="11" s="1"/>
  <c r="H299" i="11"/>
  <c r="J299" i="11" s="1"/>
  <c r="H304" i="11"/>
  <c r="J304" i="11" s="1"/>
  <c r="H307" i="11"/>
  <c r="J307" i="11" s="1"/>
  <c r="H311" i="11"/>
  <c r="J311" i="11" s="1"/>
  <c r="H314" i="11"/>
  <c r="J314" i="11" s="1"/>
  <c r="H318" i="11"/>
  <c r="J318" i="11" s="1"/>
  <c r="H325" i="11"/>
  <c r="J325" i="11" s="1"/>
  <c r="H330" i="11"/>
  <c r="J330" i="11" s="1"/>
  <c r="H333" i="11"/>
  <c r="J333" i="11" s="1"/>
  <c r="H337" i="11"/>
  <c r="J337" i="11" s="1"/>
  <c r="H32" i="11"/>
  <c r="J32" i="11" s="1"/>
  <c r="H61" i="11"/>
  <c r="J61" i="11" s="1"/>
  <c r="H81" i="11"/>
  <c r="J81" i="11" s="1"/>
  <c r="H95" i="11"/>
  <c r="J95" i="11" s="1"/>
  <c r="H98" i="11"/>
  <c r="J98" i="11" s="1"/>
  <c r="H108" i="11"/>
  <c r="J108" i="11" s="1"/>
  <c r="H111" i="11"/>
  <c r="J111" i="11" s="1"/>
  <c r="H125" i="11"/>
  <c r="J125" i="11" s="1"/>
  <c r="H128" i="11"/>
  <c r="J128" i="11" s="1"/>
  <c r="H131" i="11"/>
  <c r="J131" i="11" s="1"/>
  <c r="H134" i="11"/>
  <c r="J134" i="11" s="1"/>
  <c r="H144" i="11"/>
  <c r="H145" i="11"/>
  <c r="J145" i="11" s="1"/>
  <c r="H152" i="11"/>
  <c r="J152" i="11" s="1"/>
  <c r="H155" i="11"/>
  <c r="J155" i="11" s="1"/>
  <c r="H158" i="11"/>
  <c r="J158" i="11" s="1"/>
  <c r="H161" i="11"/>
  <c r="J161" i="11" s="1"/>
  <c r="H168" i="11"/>
  <c r="J168" i="11" s="1"/>
  <c r="H172" i="11"/>
  <c r="J172" i="11" s="1"/>
  <c r="H185" i="11"/>
  <c r="J185" i="11" s="1"/>
  <c r="H188" i="11"/>
  <c r="J188" i="11" s="1"/>
  <c r="H194" i="11"/>
  <c r="J194" i="11" s="1"/>
  <c r="H204" i="11"/>
  <c r="J204" i="11" s="1"/>
  <c r="H210" i="11"/>
  <c r="J210" i="11" s="1"/>
  <c r="H213" i="11"/>
  <c r="J213" i="11" s="1"/>
  <c r="H216" i="11"/>
  <c r="J216" i="11" s="1"/>
  <c r="H223" i="11"/>
  <c r="J223" i="11" s="1"/>
  <c r="H222" i="11"/>
  <c r="J222" i="11" s="1"/>
  <c r="H226" i="11"/>
  <c r="J226" i="11" s="1"/>
  <c r="H232" i="11"/>
  <c r="J232" i="11" s="1"/>
  <c r="H261" i="11"/>
  <c r="J261" i="11" s="1"/>
  <c r="H270" i="11"/>
  <c r="J270" i="11" s="1"/>
  <c r="H292" i="11"/>
  <c r="J292" i="11" s="1"/>
  <c r="H296" i="11"/>
  <c r="J296" i="11" s="1"/>
  <c r="H322" i="11"/>
  <c r="J322" i="11" s="1"/>
  <c r="H341" i="11"/>
  <c r="J341" i="11" s="1"/>
  <c r="H345" i="11"/>
  <c r="J345" i="11" s="1"/>
  <c r="H349" i="11"/>
  <c r="J349" i="11" s="1"/>
  <c r="H353" i="11"/>
  <c r="J353" i="11" s="1"/>
  <c r="H25" i="11"/>
  <c r="J25" i="11" s="1"/>
  <c r="H34" i="11"/>
  <c r="J34" i="11" s="1"/>
  <c r="H37" i="11"/>
  <c r="J37" i="11" s="1"/>
  <c r="H50" i="11"/>
  <c r="J50" i="11" s="1"/>
  <c r="H64" i="11"/>
  <c r="J64" i="11" s="1"/>
  <c r="H68" i="11"/>
  <c r="J68" i="11" s="1"/>
  <c r="H75" i="11"/>
  <c r="J75" i="11" s="1"/>
  <c r="H78" i="11"/>
  <c r="J78" i="11" s="1"/>
  <c r="H85" i="11"/>
  <c r="J85" i="11" s="1"/>
  <c r="H88" i="11"/>
  <c r="J88" i="11" s="1"/>
  <c r="H91" i="11"/>
  <c r="J91" i="11" s="1"/>
  <c r="H102" i="11"/>
  <c r="J102" i="11" s="1"/>
  <c r="H105" i="11"/>
  <c r="J105" i="11" s="1"/>
  <c r="H118" i="11"/>
  <c r="J118" i="11" s="1"/>
  <c r="H119" i="11"/>
  <c r="J119" i="11" s="1"/>
  <c r="H122" i="11"/>
  <c r="J122" i="11" s="1"/>
  <c r="H141" i="11"/>
  <c r="J141" i="11" s="1"/>
  <c r="H149" i="11"/>
  <c r="J149" i="11" s="1"/>
  <c r="H165" i="11"/>
  <c r="J165" i="11" s="1"/>
  <c r="H176" i="11"/>
  <c r="J176" i="11" s="1"/>
  <c r="H179" i="11"/>
  <c r="J179" i="11" s="1"/>
  <c r="H182" i="11"/>
  <c r="J182" i="11" s="1"/>
  <c r="H191" i="11"/>
  <c r="J191" i="11" s="1"/>
  <c r="H198" i="11"/>
  <c r="J198" i="11" s="1"/>
  <c r="H201" i="11"/>
  <c r="J201" i="11" s="1"/>
  <c r="H207" i="11"/>
  <c r="J207" i="11" s="1"/>
  <c r="H236" i="11"/>
  <c r="J236" i="11" s="1"/>
  <c r="H245" i="11"/>
  <c r="J245" i="11" s="1"/>
  <c r="H252" i="11"/>
  <c r="J252" i="11" s="1"/>
  <c r="H255" i="11"/>
  <c r="J255" i="11" s="1"/>
  <c r="H264" i="11"/>
  <c r="J264" i="11" s="1"/>
  <c r="H267" i="11"/>
  <c r="J267" i="11" s="1"/>
  <c r="H273" i="11"/>
  <c r="J273" i="11" s="1"/>
  <c r="H278" i="11"/>
  <c r="J278" i="11" s="1"/>
  <c r="H281" i="11"/>
  <c r="J281" i="11" s="1"/>
  <c r="H285" i="11"/>
  <c r="J285" i="11" s="1"/>
  <c r="H301" i="11"/>
  <c r="J301" i="11" s="1"/>
  <c r="H300" i="11"/>
  <c r="J300" i="11" s="1"/>
  <c r="H305" i="11"/>
  <c r="J305" i="11" s="1"/>
  <c r="H308" i="11"/>
  <c r="J308" i="11" s="1"/>
  <c r="H315" i="11"/>
  <c r="J315" i="11" s="1"/>
  <c r="H319" i="11"/>
  <c r="J319" i="11" s="1"/>
  <c r="H327" i="11"/>
  <c r="J327" i="11" s="1"/>
  <c r="H326" i="11"/>
  <c r="J326" i="11" s="1"/>
  <c r="H334" i="11"/>
  <c r="J334" i="11" s="1"/>
  <c r="H338" i="11"/>
  <c r="J338" i="11" s="1"/>
  <c r="H28" i="11"/>
  <c r="J28" i="11" s="1"/>
  <c r="H40" i="11"/>
  <c r="J40" i="11" s="1"/>
  <c r="H41" i="11"/>
  <c r="J41" i="11" s="1"/>
  <c r="H44" i="11"/>
  <c r="J44" i="11" s="1"/>
  <c r="H53" i="11"/>
  <c r="J53" i="11" s="1"/>
  <c r="H56" i="11"/>
  <c r="J56" i="11" s="1"/>
  <c r="H59" i="11"/>
  <c r="J59" i="11" s="1"/>
  <c r="H72" i="11"/>
  <c r="J72" i="11" s="1"/>
  <c r="H82" i="11"/>
  <c r="J82" i="11" s="1"/>
  <c r="H96" i="11"/>
  <c r="J96" i="11" s="1"/>
  <c r="H99" i="11"/>
  <c r="J99" i="11" s="1"/>
  <c r="H112" i="11"/>
  <c r="J112" i="11" s="1"/>
  <c r="H115" i="11"/>
  <c r="J115" i="11" s="1"/>
  <c r="H129" i="11"/>
  <c r="J129" i="11" s="1"/>
  <c r="H135" i="11"/>
  <c r="J135" i="11" s="1"/>
  <c r="H138" i="11"/>
  <c r="J138" i="11" s="1"/>
  <c r="H146" i="11"/>
  <c r="J146" i="11" s="1"/>
  <c r="H162" i="11"/>
  <c r="J162" i="11" s="1"/>
  <c r="H186" i="11"/>
  <c r="J186" i="11" s="1"/>
  <c r="H211" i="11"/>
  <c r="J211" i="11" s="1"/>
  <c r="H220" i="11"/>
  <c r="J220" i="11" s="1"/>
  <c r="H227" i="11"/>
  <c r="J227" i="11" s="1"/>
  <c r="H230" i="11"/>
  <c r="J230" i="11" s="1"/>
  <c r="H233" i="11"/>
  <c r="J233" i="11" s="1"/>
  <c r="H239" i="11"/>
  <c r="J239" i="11" s="1"/>
  <c r="H242" i="11"/>
  <c r="J242" i="11" s="1"/>
  <c r="H249" i="11"/>
  <c r="J249" i="11" s="1"/>
  <c r="H248" i="11"/>
  <c r="J248" i="11" s="1"/>
  <c r="H258" i="11"/>
  <c r="J258" i="11" s="1"/>
  <c r="H289" i="11"/>
  <c r="J289" i="11" s="1"/>
  <c r="H293" i="11"/>
  <c r="J293" i="11" s="1"/>
  <c r="H312" i="11"/>
  <c r="J312" i="11" s="1"/>
  <c r="H323" i="11"/>
  <c r="J323" i="11" s="1"/>
  <c r="H342" i="11"/>
  <c r="J342" i="11" s="1"/>
  <c r="H346" i="11"/>
  <c r="J346" i="11" s="1"/>
  <c r="H350" i="11"/>
  <c r="J350" i="11" s="1"/>
  <c r="H354" i="11"/>
  <c r="J354" i="11" s="1"/>
  <c r="H22" i="11"/>
  <c r="J22" i="11" s="1"/>
  <c r="H31" i="11"/>
  <c r="J31" i="11" s="1"/>
  <c r="H62" i="11"/>
  <c r="J62" i="11" s="1"/>
  <c r="H69" i="11"/>
  <c r="J69" i="11" s="1"/>
  <c r="H79" i="11"/>
  <c r="J79" i="11" s="1"/>
  <c r="H93" i="11"/>
  <c r="J93" i="11" s="1"/>
  <c r="H92" i="11"/>
  <c r="J92" i="11" s="1"/>
  <c r="H109" i="11"/>
  <c r="J109" i="11" s="1"/>
  <c r="H123" i="11"/>
  <c r="J123" i="11" s="1"/>
  <c r="H126" i="11"/>
  <c r="J126" i="11" s="1"/>
  <c r="H132" i="11"/>
  <c r="J132" i="11" s="1"/>
  <c r="H142" i="11"/>
  <c r="J142" i="11" s="1"/>
  <c r="H150" i="11"/>
  <c r="J150" i="11" s="1"/>
  <c r="H153" i="11"/>
  <c r="J153" i="11" s="1"/>
  <c r="H156" i="11"/>
  <c r="J156" i="11" s="1"/>
  <c r="H159" i="11"/>
  <c r="J159" i="11" s="1"/>
  <c r="H166" i="11"/>
  <c r="J166" i="11" s="1"/>
  <c r="H169" i="11"/>
  <c r="J169" i="11" s="1"/>
  <c r="H173" i="11"/>
  <c r="J173" i="11" s="1"/>
  <c r="H177" i="11"/>
  <c r="J177" i="11" s="1"/>
  <c r="H180" i="11"/>
  <c r="J180" i="11" s="1"/>
  <c r="H183" i="11"/>
  <c r="J183" i="11" s="1"/>
  <c r="H189" i="11"/>
  <c r="J189" i="11" s="1"/>
  <c r="H195" i="11"/>
  <c r="J195" i="11" s="1"/>
  <c r="H202" i="11"/>
  <c r="J202" i="11" s="1"/>
  <c r="H205" i="11"/>
  <c r="J205" i="11" s="1"/>
  <c r="H208" i="11"/>
  <c r="J208" i="11" s="1"/>
  <c r="H214" i="11"/>
  <c r="J214" i="11" s="1"/>
  <c r="H217" i="11"/>
  <c r="J217" i="11" s="1"/>
  <c r="H224" i="11"/>
  <c r="J224" i="11" s="1"/>
  <c r="H253" i="11"/>
  <c r="J253" i="11" s="1"/>
  <c r="H262" i="11"/>
  <c r="J262" i="11" s="1"/>
  <c r="H268" i="11"/>
  <c r="J268" i="11" s="1"/>
  <c r="H271" i="11"/>
  <c r="J271" i="11" s="1"/>
  <c r="H282" i="11"/>
  <c r="J282" i="11" s="1"/>
  <c r="H286" i="11"/>
  <c r="J286" i="11" s="1"/>
  <c r="H297" i="11"/>
  <c r="J297" i="11" s="1"/>
  <c r="H302" i="11"/>
  <c r="J302" i="11" s="1"/>
  <c r="H309" i="11"/>
  <c r="J309" i="11" s="1"/>
  <c r="H316" i="11"/>
  <c r="J316" i="11" s="1"/>
  <c r="H320" i="11"/>
  <c r="J320" i="11" s="1"/>
  <c r="H328" i="11"/>
  <c r="J328" i="11" s="1"/>
  <c r="H331" i="11"/>
  <c r="J331" i="11" s="1"/>
  <c r="H335" i="11"/>
  <c r="J335" i="11" s="1"/>
  <c r="M181" i="11"/>
  <c r="G181" i="11"/>
  <c r="N194" i="12"/>
  <c r="N40" i="12"/>
  <c r="J38" i="11"/>
  <c r="N48" i="12"/>
  <c r="J47" i="11"/>
  <c r="N112" i="12"/>
  <c r="J275" i="11"/>
  <c r="N249" i="12"/>
  <c r="J256" i="11"/>
  <c r="J144" i="11"/>
  <c r="N213" i="12"/>
  <c r="N261" i="12"/>
  <c r="N177" i="12"/>
  <c r="N55" i="12"/>
  <c r="N155" i="12"/>
  <c r="N171" i="12"/>
  <c r="N332" i="12"/>
  <c r="N86" i="12"/>
  <c r="N110" i="12"/>
  <c r="N139" i="12"/>
  <c r="N9" i="12"/>
  <c r="N25" i="12"/>
  <c r="V311" i="12"/>
  <c r="N80" i="12"/>
  <c r="U227" i="12"/>
  <c r="V264" i="12"/>
  <c r="N252" i="12"/>
  <c r="U86" i="12"/>
  <c r="N229" i="12"/>
  <c r="N123" i="12"/>
  <c r="U203" i="12"/>
  <c r="V327" i="12"/>
  <c r="N334" i="12"/>
  <c r="N67" i="12"/>
  <c r="N225" i="12"/>
  <c r="U273" i="12"/>
  <c r="N289" i="12"/>
  <c r="N328" i="12"/>
  <c r="N39" i="12"/>
  <c r="U93" i="12"/>
  <c r="N99" i="12"/>
  <c r="N233" i="12"/>
  <c r="N241" i="12"/>
  <c r="N284" i="12"/>
  <c r="V243" i="12"/>
  <c r="N148" i="12"/>
  <c r="N172" i="12"/>
  <c r="N205" i="12"/>
  <c r="N218" i="12"/>
  <c r="N226" i="12"/>
  <c r="U268" i="12"/>
  <c r="N54" i="12"/>
  <c r="U26" i="12"/>
  <c r="N49" i="12"/>
  <c r="V56" i="12"/>
  <c r="U65" i="12"/>
  <c r="V75" i="12"/>
  <c r="V91" i="12"/>
  <c r="N107" i="12"/>
  <c r="U149" i="12"/>
  <c r="N166" i="12"/>
  <c r="U185" i="12"/>
  <c r="U187" i="12"/>
  <c r="V256" i="12"/>
  <c r="N286" i="12"/>
  <c r="N293" i="12"/>
  <c r="V26" i="12"/>
  <c r="V79" i="12"/>
  <c r="U142" i="12"/>
  <c r="U166" i="12"/>
  <c r="N178" i="12"/>
  <c r="V211" i="12"/>
  <c r="U249" i="12"/>
  <c r="N278" i="12"/>
  <c r="N280" i="12"/>
  <c r="N319" i="12"/>
  <c r="N326" i="12"/>
  <c r="U118" i="12"/>
  <c r="V142" i="12"/>
  <c r="V232" i="12"/>
  <c r="N245" i="12"/>
  <c r="V272" i="12"/>
  <c r="V280" i="12"/>
  <c r="V64" i="12"/>
  <c r="N71" i="12"/>
  <c r="V118" i="12"/>
  <c r="V171" i="12"/>
  <c r="V176" i="12"/>
  <c r="U193" i="12"/>
  <c r="U219" i="12"/>
  <c r="N221" i="12"/>
  <c r="V240" i="12"/>
  <c r="U265" i="12"/>
  <c r="N277" i="12"/>
  <c r="N320" i="12"/>
  <c r="V337" i="12"/>
  <c r="N32" i="12"/>
  <c r="U55" i="12"/>
  <c r="N78" i="12"/>
  <c r="V111" i="12"/>
  <c r="U155" i="12"/>
  <c r="N336" i="12"/>
  <c r="N8" i="12"/>
  <c r="N5" i="12"/>
  <c r="N7" i="12"/>
  <c r="V32" i="12"/>
  <c r="N72" i="12"/>
  <c r="N91" i="12"/>
  <c r="U126" i="12"/>
  <c r="U160" i="12"/>
  <c r="N185" i="12"/>
  <c r="N246" i="12"/>
  <c r="U257" i="12"/>
  <c r="N316" i="12"/>
  <c r="U318" i="12"/>
  <c r="U327" i="12"/>
  <c r="N181" i="12"/>
  <c r="N22" i="12"/>
  <c r="U8" i="12"/>
  <c r="U10" i="12"/>
  <c r="V48" i="12"/>
  <c r="V86" i="12"/>
  <c r="N115" i="12"/>
  <c r="N134" i="12"/>
  <c r="V163" i="12"/>
  <c r="N190" i="12"/>
  <c r="N192" i="12"/>
  <c r="U235" i="12"/>
  <c r="N237" i="12"/>
  <c r="N242" i="12"/>
  <c r="N248" i="12"/>
  <c r="U286" i="12"/>
  <c r="V314" i="12"/>
  <c r="U335" i="12"/>
  <c r="V336" i="12"/>
  <c r="N342" i="12"/>
  <c r="V344" i="12"/>
  <c r="U15" i="12"/>
  <c r="U39" i="12"/>
  <c r="N42" i="12"/>
  <c r="N83" i="12"/>
  <c r="U91" i="12"/>
  <c r="V115" i="12"/>
  <c r="U134" i="12"/>
  <c r="N159" i="12"/>
  <c r="U209" i="12"/>
  <c r="V224" i="12"/>
  <c r="V248" i="12"/>
  <c r="N297" i="12"/>
  <c r="U303" i="12"/>
  <c r="N311" i="12"/>
  <c r="V335" i="12"/>
  <c r="N337" i="12"/>
  <c r="N341" i="12"/>
  <c r="N14" i="12"/>
  <c r="N131" i="12"/>
  <c r="N193" i="12"/>
  <c r="N234" i="12"/>
  <c r="V9" i="12"/>
  <c r="N38" i="12"/>
  <c r="V42" i="12"/>
  <c r="N57" i="12"/>
  <c r="N61" i="12"/>
  <c r="N103" i="12"/>
  <c r="N108" i="12"/>
  <c r="V119" i="12"/>
  <c r="V126" i="12"/>
  <c r="U139" i="12"/>
  <c r="N144" i="12"/>
  <c r="U177" i="12"/>
  <c r="N200" i="12"/>
  <c r="V208" i="12"/>
  <c r="N210" i="12"/>
  <c r="V216" i="12"/>
  <c r="U281" i="12"/>
  <c r="N300" i="12"/>
  <c r="U302" i="12"/>
  <c r="U319" i="12"/>
  <c r="N327" i="12"/>
  <c r="U328" i="12"/>
  <c r="V330" i="12"/>
  <c r="V343" i="12"/>
  <c r="N10" i="12"/>
  <c r="V16" i="12"/>
  <c r="N75" i="12"/>
  <c r="U83" i="12"/>
  <c r="U101" i="12"/>
  <c r="N118" i="12"/>
  <c r="V135" i="12"/>
  <c r="U171" i="12"/>
  <c r="N209" i="12"/>
  <c r="N217" i="12"/>
  <c r="N256" i="12"/>
  <c r="N264" i="12"/>
  <c r="N270" i="12"/>
  <c r="N272" i="12"/>
  <c r="N303" i="12"/>
  <c r="N310" i="12"/>
  <c r="H19" i="9"/>
  <c r="C17" i="11" s="1"/>
  <c r="V8" i="12"/>
  <c r="N17" i="12"/>
  <c r="U18" i="12"/>
  <c r="U41" i="12"/>
  <c r="N45" i="12"/>
  <c r="V57" i="12"/>
  <c r="V61" i="12"/>
  <c r="N65" i="12"/>
  <c r="U66" i="12"/>
  <c r="N70" i="12"/>
  <c r="V71" i="12"/>
  <c r="U78" i="12"/>
  <c r="N102" i="12"/>
  <c r="V103" i="12"/>
  <c r="U107" i="12"/>
  <c r="U110" i="12"/>
  <c r="U123" i="12"/>
  <c r="V131" i="12"/>
  <c r="V134" i="12"/>
  <c r="N136" i="12"/>
  <c r="V139" i="12"/>
  <c r="V166" i="12"/>
  <c r="U173" i="12"/>
  <c r="N182" i="12"/>
  <c r="N184" i="12"/>
  <c r="U192" i="12"/>
  <c r="N197" i="12"/>
  <c r="V200" i="12"/>
  <c r="N202" i="12"/>
  <c r="N247" i="12"/>
  <c r="N255" i="12"/>
  <c r="N263" i="12"/>
  <c r="N271" i="12"/>
  <c r="N279" i="12"/>
  <c r="N288" i="12"/>
  <c r="U289" i="12"/>
  <c r="N296" i="12"/>
  <c r="U297" i="12"/>
  <c r="N309" i="12"/>
  <c r="U334" i="12"/>
  <c r="N6" i="12"/>
  <c r="U7" i="12"/>
  <c r="V18" i="12"/>
  <c r="N24" i="12"/>
  <c r="U25" i="12"/>
  <c r="N29" i="12"/>
  <c r="N33" i="12"/>
  <c r="U34" i="12"/>
  <c r="V45" i="12"/>
  <c r="U50" i="12"/>
  <c r="N58" i="12"/>
  <c r="V66" i="12"/>
  <c r="U70" i="12"/>
  <c r="V78" i="12"/>
  <c r="U85" i="12"/>
  <c r="N95" i="12"/>
  <c r="U102" i="12"/>
  <c r="V110" i="12"/>
  <c r="N120" i="12"/>
  <c r="U125" i="12"/>
  <c r="U141" i="12"/>
  <c r="N147" i="12"/>
  <c r="N151" i="12"/>
  <c r="N158" i="12"/>
  <c r="V159" i="12"/>
  <c r="N189" i="12"/>
  <c r="U195" i="12"/>
  <c r="N201" i="12"/>
  <c r="N287" i="12"/>
  <c r="N295" i="12"/>
  <c r="N304" i="12"/>
  <c r="U305" i="12"/>
  <c r="N312" i="12"/>
  <c r="U313" i="12"/>
  <c r="N325" i="12"/>
  <c r="V25" i="12"/>
  <c r="U31" i="12"/>
  <c r="V34" i="12"/>
  <c r="U47" i="12"/>
  <c r="V50" i="12"/>
  <c r="U63" i="12"/>
  <c r="V70" i="12"/>
  <c r="V102" i="12"/>
  <c r="U133" i="12"/>
  <c r="U144" i="12"/>
  <c r="U158" i="12"/>
  <c r="U165" i="12"/>
  <c r="U184" i="12"/>
  <c r="U210" i="12"/>
  <c r="U218" i="12"/>
  <c r="U226" i="12"/>
  <c r="U234" i="12"/>
  <c r="U242" i="12"/>
  <c r="U247" i="12"/>
  <c r="U255" i="12"/>
  <c r="U263" i="12"/>
  <c r="U271" i="12"/>
  <c r="U279" i="12"/>
  <c r="U288" i="12"/>
  <c r="U296" i="12"/>
  <c r="U321" i="12"/>
  <c r="U329" i="12"/>
  <c r="V10" i="12"/>
  <c r="N16" i="12"/>
  <c r="U17" i="12"/>
  <c r="N21" i="12"/>
  <c r="N23" i="12"/>
  <c r="U24" i="12"/>
  <c r="N26" i="12"/>
  <c r="N30" i="12"/>
  <c r="V40" i="12"/>
  <c r="N46" i="12"/>
  <c r="U77" i="12"/>
  <c r="N87" i="12"/>
  <c r="N94" i="12"/>
  <c r="V95" i="12"/>
  <c r="U99" i="12"/>
  <c r="U109" i="12"/>
  <c r="U117" i="12"/>
  <c r="N127" i="12"/>
  <c r="U136" i="12"/>
  <c r="N143" i="12"/>
  <c r="N150" i="12"/>
  <c r="V151" i="12"/>
  <c r="V158" i="12"/>
  <c r="N160" i="12"/>
  <c r="N186" i="12"/>
  <c r="U202" i="12"/>
  <c r="N206" i="12"/>
  <c r="N208" i="12"/>
  <c r="N214" i="12"/>
  <c r="N216" i="12"/>
  <c r="N222" i="12"/>
  <c r="N224" i="12"/>
  <c r="N230" i="12"/>
  <c r="N232" i="12"/>
  <c r="N238" i="12"/>
  <c r="N240" i="12"/>
  <c r="N254" i="12"/>
  <c r="N257" i="12"/>
  <c r="N262" i="12"/>
  <c r="N265" i="12"/>
  <c r="N273" i="12"/>
  <c r="N281" i="12"/>
  <c r="U287" i="12"/>
  <c r="U295" i="12"/>
  <c r="U304" i="12"/>
  <c r="U312" i="12"/>
  <c r="N344" i="12"/>
  <c r="V17" i="12"/>
  <c r="U33" i="12"/>
  <c r="N37" i="12"/>
  <c r="U49" i="12"/>
  <c r="N53" i="12"/>
  <c r="U58" i="12"/>
  <c r="N62" i="12"/>
  <c r="U80" i="12"/>
  <c r="N84" i="12"/>
  <c r="U94" i="12"/>
  <c r="U112" i="12"/>
  <c r="U120" i="12"/>
  <c r="N132" i="12"/>
  <c r="N135" i="12"/>
  <c r="U150" i="12"/>
  <c r="N167" i="12"/>
  <c r="N174" i="12"/>
  <c r="N176" i="12"/>
  <c r="U217" i="12"/>
  <c r="U225" i="12"/>
  <c r="U233" i="12"/>
  <c r="U241" i="12"/>
  <c r="V250" i="12"/>
  <c r="V266" i="12"/>
  <c r="V282" i="12"/>
  <c r="N294" i="12"/>
  <c r="N302" i="12"/>
  <c r="N335" i="12"/>
  <c r="N343" i="12"/>
  <c r="U9" i="12"/>
  <c r="N13" i="12"/>
  <c r="N15" i="12"/>
  <c r="N18" i="12"/>
  <c r="U23" i="12"/>
  <c r="V33" i="12"/>
  <c r="V37" i="12"/>
  <c r="N41" i="12"/>
  <c r="U42" i="12"/>
  <c r="V49" i="12"/>
  <c r="V53" i="12"/>
  <c r="V58" i="12"/>
  <c r="N66" i="12"/>
  <c r="N68" i="12"/>
  <c r="U72" i="12"/>
  <c r="N79" i="12"/>
  <c r="V87" i="12"/>
  <c r="V94" i="12"/>
  <c r="N96" i="12"/>
  <c r="N111" i="12"/>
  <c r="N119" i="12"/>
  <c r="N126" i="12"/>
  <c r="V127" i="12"/>
  <c r="N142" i="12"/>
  <c r="V143" i="12"/>
  <c r="U147" i="12"/>
  <c r="V150" i="12"/>
  <c r="U157" i="12"/>
  <c r="N163" i="12"/>
  <c r="U179" i="12"/>
  <c r="U194" i="12"/>
  <c r="N198" i="12"/>
  <c r="U201" i="12"/>
  <c r="V298" i="12"/>
  <c r="N305" i="12"/>
  <c r="N313" i="12"/>
  <c r="N318" i="12"/>
  <c r="N31" i="12"/>
  <c r="N34" i="12"/>
  <c r="N47" i="12"/>
  <c r="N50" i="12"/>
  <c r="N63" i="12"/>
  <c r="V167" i="12"/>
  <c r="N321" i="12"/>
  <c r="N329" i="12"/>
  <c r="U175" i="12"/>
  <c r="N175" i="12"/>
  <c r="V175" i="12"/>
  <c r="N4" i="12"/>
  <c r="U6" i="12"/>
  <c r="N12" i="12"/>
  <c r="U14" i="12"/>
  <c r="N20" i="12"/>
  <c r="U22" i="12"/>
  <c r="N28" i="12"/>
  <c r="U30" i="12"/>
  <c r="N36" i="12"/>
  <c r="U38" i="12"/>
  <c r="N44" i="12"/>
  <c r="U46" i="12"/>
  <c r="N52" i="12"/>
  <c r="U54" i="12"/>
  <c r="N60" i="12"/>
  <c r="U62" i="12"/>
  <c r="V69" i="12"/>
  <c r="N69" i="12"/>
  <c r="U89" i="12"/>
  <c r="N89" i="12"/>
  <c r="N92" i="12"/>
  <c r="V108" i="12"/>
  <c r="U108" i="12"/>
  <c r="V122" i="12"/>
  <c r="U122" i="12"/>
  <c r="N122" i="12"/>
  <c r="N128" i="12"/>
  <c r="U153" i="12"/>
  <c r="N153" i="12"/>
  <c r="N156" i="12"/>
  <c r="V172" i="12"/>
  <c r="U172" i="12"/>
  <c r="U81" i="12"/>
  <c r="N81" i="12"/>
  <c r="V100" i="12"/>
  <c r="U100" i="12"/>
  <c r="V114" i="12"/>
  <c r="U114" i="12"/>
  <c r="N114" i="12"/>
  <c r="U145" i="12"/>
  <c r="N145" i="12"/>
  <c r="V164" i="12"/>
  <c r="U164" i="12"/>
  <c r="U5" i="12"/>
  <c r="V6" i="12"/>
  <c r="N11" i="12"/>
  <c r="U13" i="12"/>
  <c r="V14" i="12"/>
  <c r="N19" i="12"/>
  <c r="U21" i="12"/>
  <c r="V22" i="12"/>
  <c r="N27" i="12"/>
  <c r="U29" i="12"/>
  <c r="V30" i="12"/>
  <c r="N35" i="12"/>
  <c r="V38" i="12"/>
  <c r="N43" i="12"/>
  <c r="V46" i="12"/>
  <c r="N51" i="12"/>
  <c r="V54" i="12"/>
  <c r="N59" i="12"/>
  <c r="V81" i="12"/>
  <c r="U97" i="12"/>
  <c r="N97" i="12"/>
  <c r="N100" i="12"/>
  <c r="V116" i="12"/>
  <c r="U116" i="12"/>
  <c r="V130" i="12"/>
  <c r="U130" i="12"/>
  <c r="N130" i="12"/>
  <c r="V145" i="12"/>
  <c r="U161" i="12"/>
  <c r="N161" i="12"/>
  <c r="N164" i="12"/>
  <c r="U4" i="12"/>
  <c r="U12" i="12"/>
  <c r="U20" i="12"/>
  <c r="U28" i="12"/>
  <c r="U36" i="12"/>
  <c r="U44" i="12"/>
  <c r="U52" i="12"/>
  <c r="U60" i="12"/>
  <c r="V74" i="12"/>
  <c r="U74" i="12"/>
  <c r="N74" i="12"/>
  <c r="U105" i="12"/>
  <c r="N105" i="12"/>
  <c r="V124" i="12"/>
  <c r="U124" i="12"/>
  <c r="V138" i="12"/>
  <c r="U138" i="12"/>
  <c r="N138" i="12"/>
  <c r="U169" i="12"/>
  <c r="N169" i="12"/>
  <c r="U11" i="12"/>
  <c r="U19" i="12"/>
  <c r="U27" i="12"/>
  <c r="U35" i="12"/>
  <c r="U43" i="12"/>
  <c r="U51" i="12"/>
  <c r="U59" i="12"/>
  <c r="V68" i="12"/>
  <c r="U68" i="12"/>
  <c r="U69" i="12"/>
  <c r="V82" i="12"/>
  <c r="U82" i="12"/>
  <c r="N82" i="12"/>
  <c r="N88" i="12"/>
  <c r="V97" i="12"/>
  <c r="U113" i="12"/>
  <c r="N113" i="12"/>
  <c r="N116" i="12"/>
  <c r="V132" i="12"/>
  <c r="U132" i="12"/>
  <c r="V146" i="12"/>
  <c r="U146" i="12"/>
  <c r="N146" i="12"/>
  <c r="N152" i="12"/>
  <c r="V161" i="12"/>
  <c r="N56" i="12"/>
  <c r="N64" i="12"/>
  <c r="V76" i="12"/>
  <c r="U76" i="12"/>
  <c r="V90" i="12"/>
  <c r="U90" i="12"/>
  <c r="N90" i="12"/>
  <c r="V105" i="12"/>
  <c r="U121" i="12"/>
  <c r="N121" i="12"/>
  <c r="N124" i="12"/>
  <c r="V140" i="12"/>
  <c r="U140" i="12"/>
  <c r="V154" i="12"/>
  <c r="U154" i="12"/>
  <c r="N154" i="12"/>
  <c r="V169" i="12"/>
  <c r="V84" i="12"/>
  <c r="U84" i="12"/>
  <c r="V98" i="12"/>
  <c r="U98" i="12"/>
  <c r="N98" i="12"/>
  <c r="N104" i="12"/>
  <c r="U129" i="12"/>
  <c r="N129" i="12"/>
  <c r="V148" i="12"/>
  <c r="U148" i="12"/>
  <c r="V162" i="12"/>
  <c r="U162" i="12"/>
  <c r="N162" i="12"/>
  <c r="N168" i="12"/>
  <c r="U73" i="12"/>
  <c r="N73" i="12"/>
  <c r="N76" i="12"/>
  <c r="V92" i="12"/>
  <c r="U92" i="12"/>
  <c r="V106" i="12"/>
  <c r="U106" i="12"/>
  <c r="N106" i="12"/>
  <c r="U137" i="12"/>
  <c r="N137" i="12"/>
  <c r="N140" i="12"/>
  <c r="V156" i="12"/>
  <c r="U156" i="12"/>
  <c r="V170" i="12"/>
  <c r="U170" i="12"/>
  <c r="N170" i="12"/>
  <c r="V181" i="12"/>
  <c r="U181" i="12"/>
  <c r="V183" i="12"/>
  <c r="V189" i="12"/>
  <c r="U189" i="12"/>
  <c r="V191" i="12"/>
  <c r="V197" i="12"/>
  <c r="U197" i="12"/>
  <c r="V199" i="12"/>
  <c r="V205" i="12"/>
  <c r="U205" i="12"/>
  <c r="V207" i="12"/>
  <c r="V213" i="12"/>
  <c r="U213" i="12"/>
  <c r="V215" i="12"/>
  <c r="V221" i="12"/>
  <c r="U221" i="12"/>
  <c r="V223" i="12"/>
  <c r="V229" i="12"/>
  <c r="U229" i="12"/>
  <c r="V231" i="12"/>
  <c r="V237" i="12"/>
  <c r="U237" i="12"/>
  <c r="V239" i="12"/>
  <c r="V245" i="12"/>
  <c r="U245" i="12"/>
  <c r="V252" i="12"/>
  <c r="U252" i="12"/>
  <c r="U259" i="12"/>
  <c r="N259" i="12"/>
  <c r="V261" i="12"/>
  <c r="U261" i="12"/>
  <c r="U275" i="12"/>
  <c r="N275" i="12"/>
  <c r="V277" i="12"/>
  <c r="U277" i="12"/>
  <c r="V284" i="12"/>
  <c r="U284" i="12"/>
  <c r="U291" i="12"/>
  <c r="N291" i="12"/>
  <c r="V293" i="12"/>
  <c r="U293" i="12"/>
  <c r="V300" i="12"/>
  <c r="U300" i="12"/>
  <c r="U307" i="12"/>
  <c r="N307" i="12"/>
  <c r="V309" i="12"/>
  <c r="U309" i="12"/>
  <c r="V316" i="12"/>
  <c r="U316" i="12"/>
  <c r="U323" i="12"/>
  <c r="N323" i="12"/>
  <c r="V325" i="12"/>
  <c r="U325" i="12"/>
  <c r="V332" i="12"/>
  <c r="U332" i="12"/>
  <c r="U339" i="12"/>
  <c r="N339" i="12"/>
  <c r="V341" i="12"/>
  <c r="U341" i="12"/>
  <c r="V72" i="12"/>
  <c r="N77" i="12"/>
  <c r="V80" i="12"/>
  <c r="N85" i="12"/>
  <c r="V88" i="12"/>
  <c r="N93" i="12"/>
  <c r="V96" i="12"/>
  <c r="N101" i="12"/>
  <c r="V104" i="12"/>
  <c r="N109" i="12"/>
  <c r="V112" i="12"/>
  <c r="N117" i="12"/>
  <c r="V120" i="12"/>
  <c r="N125" i="12"/>
  <c r="V128" i="12"/>
  <c r="N133" i="12"/>
  <c r="V136" i="12"/>
  <c r="N141" i="12"/>
  <c r="V144" i="12"/>
  <c r="N149" i="12"/>
  <c r="V152" i="12"/>
  <c r="N157" i="12"/>
  <c r="V160" i="12"/>
  <c r="N165" i="12"/>
  <c r="V168" i="12"/>
  <c r="N173" i="12"/>
  <c r="U174" i="12"/>
  <c r="U182" i="12"/>
  <c r="U190" i="12"/>
  <c r="U198" i="12"/>
  <c r="U206" i="12"/>
  <c r="U214" i="12"/>
  <c r="U222" i="12"/>
  <c r="U230" i="12"/>
  <c r="U238" i="12"/>
  <c r="U246" i="12"/>
  <c r="U262" i="12"/>
  <c r="U278" i="12"/>
  <c r="U294" i="12"/>
  <c r="U310" i="12"/>
  <c r="U326" i="12"/>
  <c r="U342" i="12"/>
  <c r="U178" i="12"/>
  <c r="U180" i="12"/>
  <c r="U188" i="12"/>
  <c r="U196" i="12"/>
  <c r="U204" i="12"/>
  <c r="U212" i="12"/>
  <c r="U220" i="12"/>
  <c r="U228" i="12"/>
  <c r="U236" i="12"/>
  <c r="U244" i="12"/>
  <c r="N258" i="12"/>
  <c r="N274" i="12"/>
  <c r="N290" i="12"/>
  <c r="N306" i="12"/>
  <c r="N322" i="12"/>
  <c r="N338" i="12"/>
  <c r="V178" i="12"/>
  <c r="V186" i="12"/>
  <c r="V194" i="12"/>
  <c r="V202" i="12"/>
  <c r="V210" i="12"/>
  <c r="V218" i="12"/>
  <c r="V226" i="12"/>
  <c r="V234" i="12"/>
  <c r="V242" i="12"/>
  <c r="U251" i="12"/>
  <c r="N251" i="12"/>
  <c r="V253" i="12"/>
  <c r="U253" i="12"/>
  <c r="V260" i="12"/>
  <c r="U260" i="12"/>
  <c r="V269" i="12"/>
  <c r="U269" i="12"/>
  <c r="V276" i="12"/>
  <c r="U276" i="12"/>
  <c r="U283" i="12"/>
  <c r="N283" i="12"/>
  <c r="V285" i="12"/>
  <c r="U285" i="12"/>
  <c r="V292" i="12"/>
  <c r="U292" i="12"/>
  <c r="U299" i="12"/>
  <c r="N299" i="12"/>
  <c r="V301" i="12"/>
  <c r="U301" i="12"/>
  <c r="V308" i="12"/>
  <c r="U308" i="12"/>
  <c r="U315" i="12"/>
  <c r="N315" i="12"/>
  <c r="V317" i="12"/>
  <c r="U317" i="12"/>
  <c r="V324" i="12"/>
  <c r="U324" i="12"/>
  <c r="U331" i="12"/>
  <c r="N331" i="12"/>
  <c r="V333" i="12"/>
  <c r="U333" i="12"/>
  <c r="V340" i="12"/>
  <c r="U340" i="12"/>
  <c r="U67" i="12"/>
  <c r="N180" i="12"/>
  <c r="N183" i="12"/>
  <c r="N188" i="12"/>
  <c r="N191" i="12"/>
  <c r="N196" i="12"/>
  <c r="N199" i="12"/>
  <c r="N204" i="12"/>
  <c r="N207" i="12"/>
  <c r="N212" i="12"/>
  <c r="N215" i="12"/>
  <c r="N220" i="12"/>
  <c r="N223" i="12"/>
  <c r="N228" i="12"/>
  <c r="N231" i="12"/>
  <c r="N236" i="12"/>
  <c r="N239" i="12"/>
  <c r="N244" i="12"/>
  <c r="U254" i="12"/>
  <c r="U258" i="12"/>
  <c r="U270" i="12"/>
  <c r="U274" i="12"/>
  <c r="U290" i="12"/>
  <c r="U306" i="12"/>
  <c r="U322" i="12"/>
  <c r="U338" i="12"/>
  <c r="N179" i="12"/>
  <c r="V180" i="12"/>
  <c r="N187" i="12"/>
  <c r="V188" i="12"/>
  <c r="N195" i="12"/>
  <c r="V196" i="12"/>
  <c r="N203" i="12"/>
  <c r="V204" i="12"/>
  <c r="N211" i="12"/>
  <c r="V212" i="12"/>
  <c r="N219" i="12"/>
  <c r="V220" i="12"/>
  <c r="N227" i="12"/>
  <c r="V228" i="12"/>
  <c r="N235" i="12"/>
  <c r="V236" i="12"/>
  <c r="N243" i="12"/>
  <c r="V244" i="12"/>
  <c r="V251" i="12"/>
  <c r="N253" i="12"/>
  <c r="V258" i="12"/>
  <c r="N260" i="12"/>
  <c r="N269" i="12"/>
  <c r="V274" i="12"/>
  <c r="N276" i="12"/>
  <c r="V283" i="12"/>
  <c r="N285" i="12"/>
  <c r="V290" i="12"/>
  <c r="N292" i="12"/>
  <c r="V299" i="12"/>
  <c r="N301" i="12"/>
  <c r="V306" i="12"/>
  <c r="N308" i="12"/>
  <c r="V315" i="12"/>
  <c r="N317" i="12"/>
  <c r="V322" i="12"/>
  <c r="N324" i="12"/>
  <c r="V331" i="12"/>
  <c r="N333" i="12"/>
  <c r="V338" i="12"/>
  <c r="N340" i="12"/>
  <c r="N250" i="12"/>
  <c r="N266" i="12"/>
  <c r="N282" i="12"/>
  <c r="N298" i="12"/>
  <c r="N314" i="12"/>
  <c r="N330" i="12"/>
  <c r="V268" i="12" l="1"/>
  <c r="N268" i="12"/>
  <c r="H18" i="9"/>
  <c r="C16" i="11" s="1"/>
  <c r="H17" i="9" l="1"/>
  <c r="C15" i="11" s="1"/>
  <c r="H16" i="9" l="1"/>
  <c r="C14" i="11" s="1"/>
  <c r="H15" i="9" l="1"/>
  <c r="C13" i="11" s="1"/>
  <c r="H14" i="9" l="1"/>
  <c r="C12" i="11" s="1"/>
  <c r="H13" i="9" l="1"/>
  <c r="C11" i="11" s="1"/>
  <c r="H12" i="9" l="1"/>
  <c r="C10" i="11" s="1"/>
  <c r="H11" i="9" l="1"/>
  <c r="C9" i="11" s="1"/>
  <c r="H10" i="9" l="1"/>
  <c r="C8" i="11" s="1"/>
  <c r="H9" i="9" l="1"/>
  <c r="C7" i="11" s="1"/>
  <c r="H8" i="9" l="1"/>
  <c r="C6" i="11" s="1"/>
  <c r="H7" i="9" l="1"/>
  <c r="C5" i="11" s="1"/>
  <c r="H6" i="9" l="1"/>
  <c r="C4" i="11" s="1"/>
  <c r="H5" i="9" l="1"/>
  <c r="C3" i="11" s="1"/>
  <c r="H4" i="9" l="1"/>
  <c r="C3" i="9" l="1"/>
  <c r="C2" i="11"/>
  <c r="K4" i="9"/>
  <c r="M4" i="9" s="1"/>
  <c r="D2" i="11" s="1"/>
  <c r="E2" i="11" l="1"/>
  <c r="K2" i="11"/>
  <c r="L2" i="11"/>
  <c r="H2" i="11"/>
  <c r="L4" i="9"/>
  <c r="F2" i="11" s="1"/>
  <c r="I2" i="11"/>
  <c r="K5" i="9"/>
  <c r="G2" i="11" l="1"/>
  <c r="M2" i="11"/>
  <c r="J2" i="11"/>
  <c r="I3" i="11"/>
  <c r="M5" i="9"/>
  <c r="D3" i="11" s="1"/>
  <c r="L5" i="9"/>
  <c r="K6" i="9"/>
  <c r="L3" i="11" l="1"/>
  <c r="K3" i="11"/>
  <c r="E3" i="11"/>
  <c r="H3" i="11"/>
  <c r="I4" i="11"/>
  <c r="M6" i="9"/>
  <c r="D4" i="11" s="1"/>
  <c r="L6" i="9"/>
  <c r="K7" i="9"/>
  <c r="L7" i="9" s="1"/>
  <c r="F3" i="11"/>
  <c r="L4" i="11" l="1"/>
  <c r="E4" i="11"/>
  <c r="K4" i="11"/>
  <c r="H4" i="11"/>
  <c r="J4" i="11" s="1"/>
  <c r="I5" i="11"/>
  <c r="M7" i="9"/>
  <c r="D5" i="11" s="1"/>
  <c r="M4" i="11"/>
  <c r="K8" i="9"/>
  <c r="F5" i="11"/>
  <c r="F4" i="11"/>
  <c r="L5" i="11" l="1"/>
  <c r="M5" i="11" s="1"/>
  <c r="E5" i="11"/>
  <c r="G5" i="11" s="1"/>
  <c r="K5" i="11"/>
  <c r="H5" i="11"/>
  <c r="J5" i="11" s="1"/>
  <c r="I6" i="11"/>
  <c r="M8" i="9"/>
  <c r="D6" i="11" s="1"/>
  <c r="L8" i="9"/>
  <c r="F6" i="11" s="1"/>
  <c r="K9" i="9"/>
  <c r="K10" i="9" s="1"/>
  <c r="M3" i="11"/>
  <c r="G3" i="11"/>
  <c r="J3" i="11"/>
  <c r="G4" i="11"/>
  <c r="K6" i="11" l="1"/>
  <c r="L6" i="11"/>
  <c r="E6" i="11"/>
  <c r="G6" i="11" s="1"/>
  <c r="H6" i="11"/>
  <c r="J6" i="11" s="1"/>
  <c r="L9" i="9"/>
  <c r="F7" i="11" s="1"/>
  <c r="I7" i="11"/>
  <c r="M9" i="9"/>
  <c r="D7" i="11" s="1"/>
  <c r="M6" i="11"/>
  <c r="I8" i="11"/>
  <c r="M10" i="9"/>
  <c r="D8" i="11" s="1"/>
  <c r="K11" i="9"/>
  <c r="L10" i="9"/>
  <c r="E8" i="11" l="1"/>
  <c r="L8" i="11"/>
  <c r="K8" i="11"/>
  <c r="H8" i="11"/>
  <c r="L7" i="11"/>
  <c r="E7" i="11"/>
  <c r="K7" i="11"/>
  <c r="H7" i="11"/>
  <c r="I9" i="11"/>
  <c r="M11" i="9"/>
  <c r="D9" i="11" s="1"/>
  <c r="F8" i="11"/>
  <c r="K12" i="9"/>
  <c r="L11" i="9"/>
  <c r="E9" i="11" l="1"/>
  <c r="K9" i="11"/>
  <c r="L9" i="11"/>
  <c r="H9" i="11"/>
  <c r="M7" i="11"/>
  <c r="G7" i="11"/>
  <c r="J7" i="11"/>
  <c r="I10" i="11"/>
  <c r="M12" i="9"/>
  <c r="D10" i="11" s="1"/>
  <c r="F9" i="11"/>
  <c r="K13" i="9"/>
  <c r="L12" i="9"/>
  <c r="K10" i="11" l="1"/>
  <c r="L10" i="11"/>
  <c r="E10" i="11"/>
  <c r="H10" i="11"/>
  <c r="G9" i="11"/>
  <c r="M9" i="11"/>
  <c r="J9" i="11"/>
  <c r="M8" i="11"/>
  <c r="G8" i="11"/>
  <c r="J8" i="11"/>
  <c r="I11" i="11"/>
  <c r="M13" i="9"/>
  <c r="D11" i="11" s="1"/>
  <c r="F10" i="11"/>
  <c r="K14" i="9"/>
  <c r="L13" i="9"/>
  <c r="K11" i="11" l="1"/>
  <c r="L11" i="11"/>
  <c r="E11" i="11"/>
  <c r="H11" i="11"/>
  <c r="I12" i="11"/>
  <c r="M14" i="9"/>
  <c r="D12" i="11" s="1"/>
  <c r="F11" i="11"/>
  <c r="K15" i="9"/>
  <c r="L14" i="9"/>
  <c r="E12" i="11" l="1"/>
  <c r="K12" i="11"/>
  <c r="L12" i="11"/>
  <c r="H12" i="11"/>
  <c r="M11" i="11"/>
  <c r="G11" i="11"/>
  <c r="J11" i="11"/>
  <c r="M10" i="11"/>
  <c r="G10" i="11"/>
  <c r="J10" i="11"/>
  <c r="I13" i="11"/>
  <c r="M15" i="9"/>
  <c r="D13" i="11" s="1"/>
  <c r="F12" i="11"/>
  <c r="K16" i="9"/>
  <c r="L15" i="9"/>
  <c r="K13" i="11" l="1"/>
  <c r="L13" i="11"/>
  <c r="E13" i="11"/>
  <c r="H13" i="11"/>
  <c r="I14" i="11"/>
  <c r="M16" i="9"/>
  <c r="D14" i="11" s="1"/>
  <c r="F13" i="11"/>
  <c r="K17" i="9"/>
  <c r="L16" i="9"/>
  <c r="E14" i="11" l="1"/>
  <c r="L14" i="11"/>
  <c r="K14" i="11"/>
  <c r="H14" i="11"/>
  <c r="M12" i="11"/>
  <c r="G12" i="11"/>
  <c r="J12" i="11"/>
  <c r="I15" i="11"/>
  <c r="M17" i="9"/>
  <c r="D15" i="11" s="1"/>
  <c r="F14" i="11"/>
  <c r="K18" i="9"/>
  <c r="L17" i="9"/>
  <c r="K15" i="11" l="1"/>
  <c r="L15" i="11"/>
  <c r="E15" i="11"/>
  <c r="H15" i="11"/>
  <c r="I16" i="11"/>
  <c r="M18" i="9"/>
  <c r="D16" i="11" s="1"/>
  <c r="M13" i="11"/>
  <c r="G13" i="11"/>
  <c r="J13" i="11"/>
  <c r="F15" i="11"/>
  <c r="K19" i="9"/>
  <c r="L18" i="9"/>
  <c r="E16" i="11" l="1"/>
  <c r="K16" i="11"/>
  <c r="L16" i="11"/>
  <c r="H16" i="11"/>
  <c r="M14" i="11"/>
  <c r="G14" i="11"/>
  <c r="J14" i="11"/>
  <c r="M15" i="11"/>
  <c r="G15" i="11"/>
  <c r="J15" i="11"/>
  <c r="I17" i="11"/>
  <c r="M19" i="9"/>
  <c r="D17" i="11" s="1"/>
  <c r="F16" i="11"/>
  <c r="K20" i="9"/>
  <c r="L19" i="9"/>
  <c r="L17" i="11" l="1"/>
  <c r="K17" i="11"/>
  <c r="E17" i="11"/>
  <c r="H17" i="11"/>
  <c r="I18" i="11"/>
  <c r="M20" i="9"/>
  <c r="D18" i="11" s="1"/>
  <c r="F17" i="11"/>
  <c r="K21" i="9"/>
  <c r="M21" i="9" s="1"/>
  <c r="L20" i="9"/>
  <c r="L18" i="11" l="1"/>
  <c r="K18" i="11"/>
  <c r="E18" i="11"/>
  <c r="H18" i="11"/>
  <c r="M16" i="11"/>
  <c r="G16" i="11"/>
  <c r="J16" i="11"/>
  <c r="F18" i="11"/>
  <c r="K22" i="9"/>
  <c r="L21" i="9"/>
  <c r="I19" i="11" l="1"/>
  <c r="M22" i="9"/>
  <c r="D19" i="11" s="1"/>
  <c r="G18" i="11"/>
  <c r="M18" i="11"/>
  <c r="J18" i="11"/>
  <c r="G17" i="11"/>
  <c r="M17" i="11"/>
  <c r="J17" i="11"/>
  <c r="L22" i="9"/>
  <c r="K23" i="9"/>
  <c r="L19" i="11" l="1"/>
  <c r="K19" i="11"/>
  <c r="E19" i="11"/>
  <c r="H19" i="11"/>
  <c r="I20" i="11"/>
  <c r="M23" i="9"/>
  <c r="D20" i="11" s="1"/>
  <c r="F19" i="11"/>
  <c r="L23" i="9"/>
  <c r="K20" i="11" l="1"/>
  <c r="L20" i="11"/>
  <c r="E20" i="11"/>
  <c r="H20" i="11"/>
  <c r="F20" i="11"/>
  <c r="M20" i="11" l="1"/>
  <c r="G20" i="11"/>
  <c r="J20" i="11"/>
  <c r="M19" i="11"/>
  <c r="G19" i="11"/>
  <c r="J19" i="11"/>
</calcChain>
</file>

<file path=xl/sharedStrings.xml><?xml version="1.0" encoding="utf-8"?>
<sst xmlns="http://schemas.openxmlformats.org/spreadsheetml/2006/main" count="59" uniqueCount="47">
  <si>
    <t>NORTHING</t>
  </si>
  <si>
    <t>EASTING</t>
  </si>
  <si>
    <t>PFL</t>
  </si>
  <si>
    <t>REVISED CONTINIOUS DFCC CHAINAGE</t>
  </si>
  <si>
    <t>IR KM POST</t>
  </si>
  <si>
    <t>IR KM</t>
  </si>
  <si>
    <t>DFCC KM</t>
  </si>
  <si>
    <t>REMARK</t>
  </si>
  <si>
    <t>Start of Link Line</t>
  </si>
  <si>
    <t>DFCC LINK LINE NEW SHAMBHU TO RAJPURA</t>
  </si>
  <si>
    <t>DFCC_301_L_Section Report from IR KM :  282-289 kms (Linked Line)</t>
  </si>
  <si>
    <t>Station</t>
  </si>
  <si>
    <t>Existing</t>
  </si>
  <si>
    <t>DFCC Chainage</t>
  </si>
  <si>
    <t>Track Center</t>
  </si>
  <si>
    <t>Proposed</t>
  </si>
  <si>
    <t>PRL-ERL</t>
  </si>
  <si>
    <t>PFL-EFL</t>
  </si>
  <si>
    <t>Left Toe</t>
  </si>
  <si>
    <t>Right Toe</t>
  </si>
  <si>
    <t>Natural Ground Levels</t>
  </si>
  <si>
    <t>Cut/Fill (PFL-GL)</t>
  </si>
  <si>
    <t>Cut/Fill (PFL- Left Toe Level)</t>
  </si>
  <si>
    <t>Cut/Fill (PFL- Right Toe Level)</t>
  </si>
  <si>
    <t>Northing</t>
  </si>
  <si>
    <t>Easting</t>
  </si>
  <si>
    <t>ERL</t>
  </si>
  <si>
    <t>EFL</t>
  </si>
  <si>
    <t>PRL</t>
  </si>
  <si>
    <t>Offset</t>
  </si>
  <si>
    <t>Level</t>
  </si>
  <si>
    <t>Difference-(Between Old RL &amp; Revised RL)m.</t>
  </si>
  <si>
    <t>(ERL)</t>
  </si>
  <si>
    <t>(EFL)</t>
  </si>
  <si>
    <t>(PFL-EFL)</t>
  </si>
  <si>
    <t>GL</t>
  </si>
  <si>
    <t>DFC TRACK 
CENTER
(-) LHS (+) RHS FROM IR TRACK</t>
  </si>
  <si>
    <t>Remarks</t>
  </si>
  <si>
    <t>PVI</t>
  </si>
  <si>
    <t>(PFL)</t>
  </si>
  <si>
    <t>(RL)</t>
  </si>
  <si>
    <t>EXG. GL AT 
TOE OF DFC 
TRACK (LH)</t>
  </si>
  <si>
    <t>HEIGHT OF BANKING (+)/
 DEPTH OF
 CUTTING (-)
(PFL-GL)</t>
  </si>
  <si>
    <t>Revised Elevation With Respect to
 (New TBM)</t>
  </si>
  <si>
    <t>Difference-
(Between Old PFL &amp; REV PFL</t>
  </si>
  <si>
    <t>DFCC NEW 
KM</t>
  </si>
  <si>
    <t xml:space="preserve"> IR MODIFICATION  LINE AT RAJPURA YARD (CONNECTING)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</si>
</sst>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\+000.000"/>
    <numFmt numFmtId="165" formatCode="0.000"/>
    <numFmt numFmtId="166" formatCode="0.0"/>
    <numFmt numFmtId="167" formatCode="00\+000.000"/>
  </numFmts>
  <fonts count="1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charset val="1"/>
    </font>
    <font>
      <sz val="11"/>
      <name val="Calibri"/>
      <family val="2"/>
      <charset val="1"/>
    </font>
    <font>
      <b/>
      <sz val="11"/>
      <color rgb="FFFF000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9900FF"/>
      <name val="Calibri"/>
      <family val="2"/>
    </font>
    <font>
      <b/>
      <sz val="14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 style="hair">
        <color indexed="8"/>
      </right>
      <top/>
      <bottom style="hair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86">
    <xf numFmtId="0" fontId="0" fillId="0" borderId="0" xfId="0"/>
    <xf numFmtId="165" fontId="6" fillId="2" borderId="2" xfId="2" applyNumberFormat="1" applyFont="1" applyFill="1" applyBorder="1" applyAlignment="1">
      <alignment horizontal="center" vertical="center" wrapText="1"/>
    </xf>
    <xf numFmtId="165" fontId="6" fillId="0" borderId="0" xfId="2" applyNumberFormat="1" applyFont="1" applyAlignment="1">
      <alignment horizontal="center" vertical="center"/>
    </xf>
    <xf numFmtId="165" fontId="6" fillId="0" borderId="2" xfId="2" applyNumberFormat="1" applyFont="1" applyBorder="1" applyAlignment="1">
      <alignment horizontal="center" vertical="center" wrapText="1"/>
    </xf>
    <xf numFmtId="0" fontId="6" fillId="0" borderId="0" xfId="2" applyFont="1" applyAlignment="1">
      <alignment horizontal="center" vertical="center"/>
    </xf>
    <xf numFmtId="0" fontId="6" fillId="0" borderId="0" xfId="2" applyFont="1" applyAlignment="1">
      <alignment horizontal="center"/>
    </xf>
    <xf numFmtId="165" fontId="5" fillId="0" borderId="2" xfId="2" applyNumberFormat="1" applyFont="1" applyBorder="1" applyAlignment="1">
      <alignment horizontal="center" vertical="center" wrapText="1"/>
    </xf>
    <xf numFmtId="165" fontId="6" fillId="0" borderId="2" xfId="2" applyNumberFormat="1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 wrapText="1"/>
    </xf>
    <xf numFmtId="165" fontId="7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3" fillId="0" borderId="1" xfId="0" applyFont="1" applyBorder="1" applyAlignment="1">
      <alignment horizontal="center" vertical="center" wrapText="1"/>
    </xf>
    <xf numFmtId="165" fontId="7" fillId="0" borderId="1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165" fontId="7" fillId="0" borderId="0" xfId="0" applyNumberFormat="1" applyFont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 wrapText="1"/>
    </xf>
    <xf numFmtId="165" fontId="2" fillId="0" borderId="1" xfId="0" applyNumberFormat="1" applyFont="1" applyBorder="1" applyAlignment="1">
      <alignment horizontal="center" vertical="center" wrapText="1"/>
    </xf>
    <xf numFmtId="165" fontId="2" fillId="0" borderId="0" xfId="0" applyNumberFormat="1" applyFont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165" fontId="7" fillId="0" borderId="0" xfId="0" applyNumberFormat="1" applyFont="1" applyAlignment="1">
      <alignment horizontal="center"/>
    </xf>
    <xf numFmtId="164" fontId="2" fillId="0" borderId="1" xfId="1" applyNumberFormat="1" applyFont="1" applyBorder="1" applyAlignment="1">
      <alignment horizontal="center" vertical="center"/>
    </xf>
    <xf numFmtId="165" fontId="2" fillId="0" borderId="1" xfId="1" applyNumberFormat="1" applyFont="1" applyBorder="1" applyAlignment="1">
      <alignment horizontal="center" vertical="center"/>
    </xf>
    <xf numFmtId="165" fontId="2" fillId="0" borderId="1" xfId="1" applyNumberFormat="1" applyFont="1" applyBorder="1" applyAlignment="1">
      <alignment horizontal="center" vertical="center" wrapText="1"/>
    </xf>
    <xf numFmtId="164" fontId="2" fillId="0" borderId="1" xfId="1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center"/>
    </xf>
    <xf numFmtId="165" fontId="8" fillId="0" borderId="0" xfId="0" applyNumberFormat="1" applyFont="1" applyAlignment="1">
      <alignment horizontal="center" vertical="center"/>
    </xf>
    <xf numFmtId="166" fontId="8" fillId="0" borderId="0" xfId="0" applyNumberFormat="1" applyFont="1" applyAlignment="1">
      <alignment horizontal="center" vertical="center"/>
    </xf>
    <xf numFmtId="166" fontId="7" fillId="0" borderId="0" xfId="0" applyNumberFormat="1" applyFont="1" applyAlignment="1">
      <alignment horizontal="center" vertical="center" wrapText="1"/>
    </xf>
    <xf numFmtId="165" fontId="7" fillId="0" borderId="0" xfId="0" applyNumberFormat="1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165" fontId="0" fillId="0" borderId="0" xfId="0" applyNumberFormat="1" applyAlignment="1">
      <alignment horizontal="center" vertical="center" wrapText="1"/>
    </xf>
    <xf numFmtId="166" fontId="0" fillId="0" borderId="0" xfId="0" applyNumberFormat="1" applyAlignment="1">
      <alignment horizontal="center" vertical="center" wrapText="1"/>
    </xf>
    <xf numFmtId="166" fontId="7" fillId="0" borderId="0" xfId="0" applyNumberFormat="1" applyFont="1" applyAlignment="1">
      <alignment horizontal="center" vertical="center"/>
    </xf>
    <xf numFmtId="165" fontId="9" fillId="0" borderId="0" xfId="0" applyNumberFormat="1" applyFont="1" applyAlignment="1">
      <alignment horizontal="center" vertical="center" wrapText="1"/>
    </xf>
    <xf numFmtId="166" fontId="0" fillId="0" borderId="0" xfId="0" applyNumberFormat="1" applyAlignment="1">
      <alignment wrapText="1"/>
    </xf>
    <xf numFmtId="0" fontId="9" fillId="0" borderId="0" xfId="0" applyFont="1" applyAlignment="1">
      <alignment wrapText="1"/>
    </xf>
    <xf numFmtId="165" fontId="6" fillId="3" borderId="0" xfId="2" applyNumberFormat="1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165" fontId="8" fillId="0" borderId="0" xfId="0" applyNumberFormat="1" applyFont="1" applyAlignment="1">
      <alignment horizontal="center" vertical="center" wrapText="1"/>
    </xf>
    <xf numFmtId="165" fontId="5" fillId="0" borderId="2" xfId="2" applyNumberFormat="1" applyFont="1" applyBorder="1" applyAlignment="1">
      <alignment horizontal="center" vertical="center" wrapText="1"/>
    </xf>
    <xf numFmtId="165" fontId="5" fillId="0" borderId="3" xfId="2" applyNumberFormat="1" applyFont="1" applyBorder="1" applyAlignment="1">
      <alignment horizontal="center" vertical="center" wrapText="1"/>
    </xf>
    <xf numFmtId="165" fontId="5" fillId="0" borderId="4" xfId="2" applyNumberFormat="1" applyFont="1" applyBorder="1" applyAlignment="1">
      <alignment horizontal="center" vertical="center" wrapText="1"/>
    </xf>
    <xf numFmtId="165" fontId="3" fillId="0" borderId="1" xfId="0" applyNumberFormat="1" applyFont="1" applyBorder="1" applyAlignment="1">
      <alignment horizontal="center" vertical="center" wrapText="1"/>
    </xf>
    <xf numFmtId="165" fontId="7" fillId="0" borderId="1" xfId="0" applyNumberFormat="1" applyFont="1" applyBorder="1" applyAlignment="1">
      <alignment horizontal="center" vertical="center" wrapText="1"/>
    </xf>
    <xf numFmtId="0" fontId="6" fillId="4" borderId="0" xfId="2" applyFont="1" applyFill="1" applyAlignment="1">
      <alignment horizontal="center"/>
    </xf>
    <xf numFmtId="165" fontId="6" fillId="4" borderId="0" xfId="2" applyNumberFormat="1" applyFont="1" applyFill="1" applyAlignment="1">
      <alignment horizontal="center" vertical="center"/>
    </xf>
    <xf numFmtId="0" fontId="6" fillId="4" borderId="0" xfId="2" applyFont="1" applyFill="1" applyAlignment="1">
      <alignment horizontal="center" vertical="center"/>
    </xf>
    <xf numFmtId="0" fontId="6" fillId="0" borderId="0" xfId="2" applyFont="1" applyFill="1" applyAlignment="1">
      <alignment horizontal="center"/>
    </xf>
    <xf numFmtId="165" fontId="6" fillId="0" borderId="0" xfId="2" applyNumberFormat="1" applyFont="1" applyFill="1" applyAlignment="1">
      <alignment horizontal="center" vertical="center"/>
    </xf>
    <xf numFmtId="165" fontId="6" fillId="0" borderId="2" xfId="2" applyNumberFormat="1" applyFont="1" applyFill="1" applyBorder="1" applyAlignment="1">
      <alignment horizontal="center" vertical="center" wrapText="1"/>
    </xf>
    <xf numFmtId="0" fontId="6" fillId="0" borderId="0" xfId="2" applyFont="1" applyFill="1" applyAlignment="1">
      <alignment horizontal="center" vertical="center"/>
    </xf>
    <xf numFmtId="165" fontId="10" fillId="0" borderId="0" xfId="2" applyNumberFormat="1" applyFont="1" applyFill="1" applyAlignment="1">
      <alignment horizontal="center" vertical="center"/>
    </xf>
    <xf numFmtId="167" fontId="2" fillId="0" borderId="1" xfId="0" applyNumberFormat="1" applyFont="1" applyBorder="1" applyAlignment="1">
      <alignment horizontal="center" vertical="center" wrapText="1"/>
    </xf>
    <xf numFmtId="167" fontId="2" fillId="0" borderId="1" xfId="0" applyNumberFormat="1" applyFont="1" applyBorder="1" applyAlignment="1">
      <alignment horizontal="center"/>
    </xf>
    <xf numFmtId="165" fontId="2" fillId="0" borderId="5" xfId="0" applyNumberFormat="1" applyFont="1" applyBorder="1" applyAlignment="1">
      <alignment horizontal="center" vertical="center" wrapText="1"/>
    </xf>
    <xf numFmtId="165" fontId="2" fillId="0" borderId="1" xfId="0" applyNumberFormat="1" applyFont="1" applyBorder="1"/>
    <xf numFmtId="0" fontId="7" fillId="0" borderId="1" xfId="0" applyFont="1" applyBorder="1" applyAlignment="1">
      <alignment horizontal="center" vertical="center"/>
    </xf>
    <xf numFmtId="165" fontId="7" fillId="0" borderId="1" xfId="0" applyNumberFormat="1" applyFont="1" applyBorder="1" applyAlignment="1">
      <alignment horizontal="center"/>
    </xf>
    <xf numFmtId="0" fontId="2" fillId="0" borderId="1" xfId="0" applyFont="1" applyBorder="1"/>
    <xf numFmtId="0" fontId="2" fillId="4" borderId="5" xfId="0" applyFont="1" applyFill="1" applyBorder="1" applyAlignment="1">
      <alignment horizontal="center"/>
    </xf>
    <xf numFmtId="165" fontId="2" fillId="4" borderId="5" xfId="0" applyNumberFormat="1" applyFont="1" applyFill="1" applyBorder="1" applyAlignment="1">
      <alignment horizontal="center" vertical="center" wrapText="1"/>
    </xf>
    <xf numFmtId="165" fontId="7" fillId="4" borderId="5" xfId="0" applyNumberFormat="1" applyFont="1" applyFill="1" applyBorder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/>
    </xf>
    <xf numFmtId="165" fontId="2" fillId="4" borderId="0" xfId="0" applyNumberFormat="1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0" fontId="2" fillId="4" borderId="0" xfId="0" applyFont="1" applyFill="1"/>
    <xf numFmtId="166" fontId="0" fillId="4" borderId="0" xfId="0" applyNumberFormat="1" applyFill="1" applyAlignment="1">
      <alignment wrapText="1"/>
    </xf>
    <xf numFmtId="166" fontId="7" fillId="4" borderId="0" xfId="0" applyNumberFormat="1" applyFont="1" applyFill="1" applyAlignment="1">
      <alignment horizontal="center" vertical="center"/>
    </xf>
    <xf numFmtId="0" fontId="0" fillId="4" borderId="0" xfId="0" applyFill="1" applyAlignment="1">
      <alignment wrapText="1"/>
    </xf>
    <xf numFmtId="0" fontId="9" fillId="4" borderId="0" xfId="0" applyFont="1" applyFill="1" applyAlignment="1">
      <alignment wrapText="1"/>
    </xf>
    <xf numFmtId="165" fontId="6" fillId="0" borderId="0" xfId="2" applyNumberFormat="1" applyFont="1" applyFill="1" applyAlignment="1">
      <alignment horizontal="center"/>
    </xf>
    <xf numFmtId="165" fontId="0" fillId="0" borderId="0" xfId="0" applyNumberFormat="1" applyAlignment="1">
      <alignment horizontal="center" wrapText="1"/>
    </xf>
    <xf numFmtId="0" fontId="2" fillId="0" borderId="5" xfId="0" applyFont="1" applyBorder="1" applyAlignment="1">
      <alignment horizontal="center" vertical="center" wrapText="1"/>
    </xf>
    <xf numFmtId="164" fontId="2" fillId="0" borderId="5" xfId="0" applyNumberFormat="1" applyFont="1" applyBorder="1" applyAlignment="1">
      <alignment horizontal="center" vertical="center" wrapText="1"/>
    </xf>
    <xf numFmtId="165" fontId="7" fillId="0" borderId="5" xfId="0" applyNumberFormat="1" applyFont="1" applyBorder="1" applyAlignment="1">
      <alignment horizontal="center" vertical="center" wrapText="1"/>
    </xf>
    <xf numFmtId="165" fontId="11" fillId="0" borderId="5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3" xfId="2" xr:uid="{17C96C30-730C-4B87-8EC9-435E42466947}"/>
  </cellStyles>
  <dxfs count="2"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99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ataprojects4-my.sharepoint.com/personal/vijaypratap_tataprojects_com/Documents/GIL-TPL%20JV%20301/APPROVED%20DATA/AS%20BUILT%20DATA/Submission/6.%20P&amp;P/L-Section%20Data/LINK%20LINE/CivilReport.xlsx" TargetMode="External"/><Relationship Id="rId1" Type="http://schemas.openxmlformats.org/officeDocument/2006/relationships/externalLinkPath" Target="CivilRepor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ivilReport"/>
    </sheetNames>
    <sheetDataSet>
      <sheetData sheetId="0">
        <row r="2">
          <cell r="A2">
            <v>282253.32520000002</v>
          </cell>
          <cell r="B2">
            <v>3369298.6579999998</v>
          </cell>
          <cell r="C2">
            <v>659123.21</v>
          </cell>
          <cell r="D2">
            <v>0</v>
          </cell>
          <cell r="E2">
            <v>-10.565</v>
          </cell>
        </row>
        <row r="3">
          <cell r="A3">
            <v>282260</v>
          </cell>
          <cell r="B3">
            <v>3369302.5040000002</v>
          </cell>
          <cell r="C3">
            <v>659117.755</v>
          </cell>
          <cell r="D3">
            <v>0</v>
          </cell>
          <cell r="E3">
            <v>-10.563000000000001</v>
          </cell>
        </row>
        <row r="4">
          <cell r="A4">
            <v>282280</v>
          </cell>
          <cell r="B4">
            <v>3369314.03</v>
          </cell>
          <cell r="C4">
            <v>659101.40500000003</v>
          </cell>
          <cell r="D4">
            <v>0</v>
          </cell>
          <cell r="E4">
            <v>-10.566000000000001</v>
          </cell>
        </row>
        <row r="5">
          <cell r="A5">
            <v>282300</v>
          </cell>
          <cell r="B5">
            <v>3369325.5520000001</v>
          </cell>
          <cell r="C5">
            <v>659085.05900000001</v>
          </cell>
          <cell r="D5">
            <v>0</v>
          </cell>
          <cell r="E5">
            <v>-10.57</v>
          </cell>
        </row>
        <row r="6">
          <cell r="A6">
            <v>282320</v>
          </cell>
          <cell r="B6">
            <v>3369337.0759999999</v>
          </cell>
          <cell r="C6">
            <v>659068.71200000006</v>
          </cell>
          <cell r="D6">
            <v>0</v>
          </cell>
          <cell r="E6">
            <v>-10.571</v>
          </cell>
        </row>
        <row r="7">
          <cell r="A7">
            <v>282340</v>
          </cell>
          <cell r="B7">
            <v>3369348.6069999998</v>
          </cell>
          <cell r="C7">
            <v>659052.35499999998</v>
          </cell>
          <cell r="D7">
            <v>0</v>
          </cell>
          <cell r="E7">
            <v>-10.597</v>
          </cell>
        </row>
        <row r="8">
          <cell r="A8">
            <v>282360</v>
          </cell>
          <cell r="B8">
            <v>3369360.1060000001</v>
          </cell>
          <cell r="C8">
            <v>659036.04299999995</v>
          </cell>
          <cell r="D8">
            <v>0</v>
          </cell>
          <cell r="E8">
            <v>-10.598000000000001</v>
          </cell>
        </row>
        <row r="9">
          <cell r="A9">
            <v>282380</v>
          </cell>
          <cell r="B9">
            <v>3369371.6290000002</v>
          </cell>
          <cell r="C9">
            <v>659019.696</v>
          </cell>
          <cell r="D9">
            <v>0</v>
          </cell>
          <cell r="E9">
            <v>-10.548</v>
          </cell>
        </row>
        <row r="10">
          <cell r="A10">
            <v>282400</v>
          </cell>
          <cell r="B10">
            <v>3369383.159</v>
          </cell>
          <cell r="C10">
            <v>659003.34100000001</v>
          </cell>
          <cell r="D10">
            <v>0</v>
          </cell>
          <cell r="E10">
            <v>-10.506</v>
          </cell>
        </row>
        <row r="11">
          <cell r="A11">
            <v>282420</v>
          </cell>
          <cell r="B11">
            <v>3369394.699</v>
          </cell>
          <cell r="C11">
            <v>658986.96900000004</v>
          </cell>
          <cell r="D11">
            <v>0</v>
          </cell>
          <cell r="E11">
            <v>-10.478999999999999</v>
          </cell>
        </row>
        <row r="12">
          <cell r="A12">
            <v>282440</v>
          </cell>
          <cell r="B12">
            <v>3369406.2230000002</v>
          </cell>
          <cell r="C12">
            <v>658970.62199999997</v>
          </cell>
          <cell r="D12">
            <v>0</v>
          </cell>
          <cell r="E12">
            <v>-10.505000000000001</v>
          </cell>
        </row>
        <row r="13">
          <cell r="A13">
            <v>282460</v>
          </cell>
          <cell r="B13">
            <v>3369417.7450000001</v>
          </cell>
          <cell r="C13">
            <v>658954.27800000005</v>
          </cell>
          <cell r="D13">
            <v>0</v>
          </cell>
          <cell r="E13">
            <v>-10.528</v>
          </cell>
        </row>
        <row r="14">
          <cell r="A14">
            <v>282480</v>
          </cell>
          <cell r="B14">
            <v>3369429.2680000002</v>
          </cell>
          <cell r="C14">
            <v>658937.93099999998</v>
          </cell>
          <cell r="D14">
            <v>0</v>
          </cell>
          <cell r="E14">
            <v>-10.55</v>
          </cell>
        </row>
        <row r="15">
          <cell r="A15">
            <v>282500</v>
          </cell>
          <cell r="B15">
            <v>3369440.7889999999</v>
          </cell>
          <cell r="C15">
            <v>658921.58799999999</v>
          </cell>
          <cell r="D15">
            <v>0</v>
          </cell>
          <cell r="E15">
            <v>-10.564</v>
          </cell>
        </row>
        <row r="16">
          <cell r="A16">
            <v>282520</v>
          </cell>
          <cell r="B16">
            <v>3369452.307</v>
          </cell>
          <cell r="C16">
            <v>658905.24800000002</v>
          </cell>
          <cell r="D16">
            <v>0</v>
          </cell>
          <cell r="E16">
            <v>-10.571999999999999</v>
          </cell>
        </row>
        <row r="17">
          <cell r="A17">
            <v>282540</v>
          </cell>
          <cell r="B17">
            <v>3369463.83</v>
          </cell>
          <cell r="C17">
            <v>658888.90099999995</v>
          </cell>
          <cell r="D17">
            <v>0</v>
          </cell>
          <cell r="E17">
            <v>-10.569000000000001</v>
          </cell>
        </row>
        <row r="18">
          <cell r="A18">
            <v>282560</v>
          </cell>
          <cell r="B18">
            <v>3369475.36</v>
          </cell>
          <cell r="C18">
            <v>658872.54599999997</v>
          </cell>
          <cell r="D18">
            <v>0</v>
          </cell>
          <cell r="E18">
            <v>-10.579000000000001</v>
          </cell>
        </row>
        <row r="19">
          <cell r="A19">
            <v>282580</v>
          </cell>
          <cell r="B19">
            <v>3369486.8829999999</v>
          </cell>
          <cell r="C19">
            <v>658856.19900000002</v>
          </cell>
          <cell r="D19">
            <v>0</v>
          </cell>
          <cell r="E19">
            <v>-10.597</v>
          </cell>
        </row>
        <row r="20">
          <cell r="A20">
            <v>282600</v>
          </cell>
          <cell r="B20">
            <v>3369498.358</v>
          </cell>
          <cell r="C20">
            <v>658839.92099999997</v>
          </cell>
          <cell r="D20">
            <v>0</v>
          </cell>
          <cell r="E20">
            <v>-10.47</v>
          </cell>
        </row>
        <row r="21">
          <cell r="A21">
            <v>282620</v>
          </cell>
          <cell r="B21">
            <v>3369509.9389999998</v>
          </cell>
          <cell r="C21">
            <v>658823.49300000002</v>
          </cell>
          <cell r="D21">
            <v>0</v>
          </cell>
          <cell r="E21">
            <v>-10.331</v>
          </cell>
        </row>
        <row r="22">
          <cell r="A22">
            <v>282640</v>
          </cell>
          <cell r="B22">
            <v>3369521.4619999998</v>
          </cell>
          <cell r="C22">
            <v>658807.147</v>
          </cell>
          <cell r="D22">
            <v>0</v>
          </cell>
          <cell r="E22">
            <v>-10.41</v>
          </cell>
        </row>
        <row r="23">
          <cell r="A23">
            <v>282660</v>
          </cell>
          <cell r="B23">
            <v>3369532.9720000001</v>
          </cell>
          <cell r="C23">
            <v>658790.81799999997</v>
          </cell>
          <cell r="D23">
            <v>0</v>
          </cell>
          <cell r="E23">
            <v>-10.422000000000001</v>
          </cell>
        </row>
        <row r="24">
          <cell r="A24">
            <v>282680</v>
          </cell>
          <cell r="B24">
            <v>3369544.4959999998</v>
          </cell>
          <cell r="C24">
            <v>658774.47199999995</v>
          </cell>
          <cell r="D24">
            <v>0</v>
          </cell>
          <cell r="E24">
            <v>-10.425000000000001</v>
          </cell>
        </row>
        <row r="25">
          <cell r="A25">
            <v>282700</v>
          </cell>
          <cell r="B25">
            <v>3369556.023</v>
          </cell>
          <cell r="C25">
            <v>658758.11899999995</v>
          </cell>
          <cell r="D25">
            <v>0</v>
          </cell>
          <cell r="E25">
            <v>-10.438000000000001</v>
          </cell>
        </row>
        <row r="26">
          <cell r="A26">
            <v>282720</v>
          </cell>
          <cell r="B26">
            <v>3369567.5460000001</v>
          </cell>
          <cell r="C26">
            <v>658741.77300000004</v>
          </cell>
          <cell r="D26">
            <v>0</v>
          </cell>
          <cell r="E26">
            <v>-10.458</v>
          </cell>
        </row>
        <row r="27">
          <cell r="A27">
            <v>282740</v>
          </cell>
          <cell r="B27">
            <v>3369579.0610000002</v>
          </cell>
          <cell r="C27">
            <v>658725.43799999997</v>
          </cell>
          <cell r="D27">
            <v>0</v>
          </cell>
          <cell r="E27">
            <v>-10.457000000000001</v>
          </cell>
        </row>
        <row r="28">
          <cell r="A28">
            <v>282760</v>
          </cell>
          <cell r="B28">
            <v>3369590.5839999998</v>
          </cell>
          <cell r="C28">
            <v>658709.09100000001</v>
          </cell>
          <cell r="D28">
            <v>0</v>
          </cell>
          <cell r="E28">
            <v>-10.449</v>
          </cell>
        </row>
        <row r="29">
          <cell r="A29">
            <v>282780</v>
          </cell>
          <cell r="B29">
            <v>3369602.1150000002</v>
          </cell>
          <cell r="C29">
            <v>658692.73400000005</v>
          </cell>
          <cell r="D29">
            <v>0</v>
          </cell>
          <cell r="E29">
            <v>-10.462</v>
          </cell>
        </row>
        <row r="30">
          <cell r="A30">
            <v>282800</v>
          </cell>
          <cell r="B30">
            <v>3369613.6340000001</v>
          </cell>
          <cell r="C30">
            <v>658676.39399999997</v>
          </cell>
          <cell r="D30">
            <v>0</v>
          </cell>
          <cell r="E30">
            <v>-10.472</v>
          </cell>
        </row>
        <row r="31">
          <cell r="A31">
            <v>282820</v>
          </cell>
          <cell r="B31">
            <v>3369625.1570000001</v>
          </cell>
          <cell r="C31">
            <v>658660.04700000002</v>
          </cell>
          <cell r="D31">
            <v>0</v>
          </cell>
          <cell r="E31">
            <v>-10.473000000000001</v>
          </cell>
        </row>
        <row r="32">
          <cell r="A32">
            <v>282840</v>
          </cell>
          <cell r="B32">
            <v>3369636.6830000002</v>
          </cell>
          <cell r="C32">
            <v>658643.69799999997</v>
          </cell>
          <cell r="D32">
            <v>0</v>
          </cell>
          <cell r="E32">
            <v>-10.477</v>
          </cell>
        </row>
        <row r="33">
          <cell r="A33">
            <v>282860</v>
          </cell>
          <cell r="B33">
            <v>3369648.2059999998</v>
          </cell>
          <cell r="C33">
            <v>658627.35100000002</v>
          </cell>
          <cell r="D33">
            <v>0</v>
          </cell>
          <cell r="E33">
            <v>-10.484999999999999</v>
          </cell>
        </row>
        <row r="34">
          <cell r="A34">
            <v>282880</v>
          </cell>
          <cell r="B34">
            <v>3369659.7250000001</v>
          </cell>
          <cell r="C34">
            <v>658611.01</v>
          </cell>
          <cell r="D34">
            <v>0</v>
          </cell>
          <cell r="E34">
            <v>-10.481999999999999</v>
          </cell>
        </row>
        <row r="35">
          <cell r="A35">
            <v>282900</v>
          </cell>
          <cell r="B35">
            <v>3369671.2489999998</v>
          </cell>
          <cell r="C35">
            <v>658594.66</v>
          </cell>
          <cell r="D35">
            <v>0</v>
          </cell>
          <cell r="E35">
            <v>-10.478</v>
          </cell>
        </row>
        <row r="36">
          <cell r="A36">
            <v>282920</v>
          </cell>
          <cell r="B36">
            <v>3369682.7510000002</v>
          </cell>
          <cell r="C36">
            <v>658578.299</v>
          </cell>
          <cell r="D36">
            <v>0</v>
          </cell>
          <cell r="E36">
            <v>-10.503</v>
          </cell>
        </row>
        <row r="37">
          <cell r="A37">
            <v>282940</v>
          </cell>
          <cell r="B37">
            <v>3369694.2080000001</v>
          </cell>
          <cell r="C37">
            <v>658561.89500000002</v>
          </cell>
          <cell r="D37">
            <v>0</v>
          </cell>
          <cell r="E37">
            <v>-10.597</v>
          </cell>
        </row>
        <row r="38">
          <cell r="A38">
            <v>282960</v>
          </cell>
          <cell r="B38">
            <v>3369705.594</v>
          </cell>
          <cell r="C38">
            <v>658545.451</v>
          </cell>
          <cell r="D38">
            <v>0</v>
          </cell>
          <cell r="E38">
            <v>-10.78</v>
          </cell>
        </row>
        <row r="39">
          <cell r="A39">
            <v>282980</v>
          </cell>
          <cell r="B39">
            <v>3369716.9240000001</v>
          </cell>
          <cell r="C39">
            <v>658528.97499999998</v>
          </cell>
          <cell r="D39">
            <v>0</v>
          </cell>
          <cell r="E39">
            <v>-11.022</v>
          </cell>
        </row>
        <row r="40">
          <cell r="A40">
            <v>283000</v>
          </cell>
          <cell r="B40">
            <v>3369728.2340000002</v>
          </cell>
          <cell r="C40">
            <v>658512.478</v>
          </cell>
          <cell r="D40">
            <v>0</v>
          </cell>
          <cell r="E40">
            <v>-11.289</v>
          </cell>
        </row>
        <row r="41">
          <cell r="A41">
            <v>283020</v>
          </cell>
          <cell r="B41">
            <v>3369739.5449999999</v>
          </cell>
          <cell r="C41">
            <v>658495.97600000002</v>
          </cell>
          <cell r="D41">
            <v>0</v>
          </cell>
          <cell r="E41">
            <v>-11.566000000000001</v>
          </cell>
        </row>
        <row r="42">
          <cell r="A42">
            <v>283040</v>
          </cell>
          <cell r="B42">
            <v>3369750.8509999998</v>
          </cell>
          <cell r="C42">
            <v>658479.48100000003</v>
          </cell>
          <cell r="D42">
            <v>0</v>
          </cell>
          <cell r="E42">
            <v>-11.840999999999999</v>
          </cell>
        </row>
        <row r="43">
          <cell r="A43">
            <v>283060</v>
          </cell>
          <cell r="B43">
            <v>3369762.159</v>
          </cell>
          <cell r="C43">
            <v>658462.98199999996</v>
          </cell>
          <cell r="D43">
            <v>0</v>
          </cell>
          <cell r="E43">
            <v>-12.11</v>
          </cell>
        </row>
        <row r="44">
          <cell r="A44">
            <v>283080</v>
          </cell>
          <cell r="B44">
            <v>3369773.46</v>
          </cell>
          <cell r="C44">
            <v>658446.49300000002</v>
          </cell>
          <cell r="D44">
            <v>0</v>
          </cell>
          <cell r="E44">
            <v>-12.37</v>
          </cell>
        </row>
        <row r="45">
          <cell r="A45">
            <v>283100</v>
          </cell>
          <cell r="B45">
            <v>3369784.7680000002</v>
          </cell>
          <cell r="C45">
            <v>658429.995</v>
          </cell>
          <cell r="D45">
            <v>0</v>
          </cell>
          <cell r="E45">
            <v>-12.621</v>
          </cell>
        </row>
        <row r="46">
          <cell r="A46">
            <v>283120</v>
          </cell>
          <cell r="B46">
            <v>3369796.08</v>
          </cell>
          <cell r="C46">
            <v>658413.49199999997</v>
          </cell>
          <cell r="D46">
            <v>0</v>
          </cell>
          <cell r="E46">
            <v>-12.879</v>
          </cell>
        </row>
        <row r="47">
          <cell r="A47">
            <v>283140</v>
          </cell>
          <cell r="B47">
            <v>3369807.389</v>
          </cell>
          <cell r="C47">
            <v>658396.99199999997</v>
          </cell>
          <cell r="D47">
            <v>0</v>
          </cell>
          <cell r="E47">
            <v>-13.14</v>
          </cell>
        </row>
        <row r="48">
          <cell r="A48">
            <v>283160</v>
          </cell>
          <cell r="B48">
            <v>3369818.7050000001</v>
          </cell>
          <cell r="C48">
            <v>658380.49899999995</v>
          </cell>
          <cell r="D48">
            <v>0</v>
          </cell>
          <cell r="E48">
            <v>-13.393000000000001</v>
          </cell>
        </row>
        <row r="49">
          <cell r="A49">
            <v>283180</v>
          </cell>
          <cell r="B49">
            <v>3369830.0419999999</v>
          </cell>
          <cell r="C49">
            <v>658364.03700000001</v>
          </cell>
          <cell r="D49">
            <v>0</v>
          </cell>
          <cell r="E49">
            <v>-13.602</v>
          </cell>
        </row>
        <row r="50">
          <cell r="A50">
            <v>283200</v>
          </cell>
          <cell r="B50">
            <v>3369841.42</v>
          </cell>
          <cell r="C50">
            <v>658347.58700000006</v>
          </cell>
          <cell r="D50">
            <v>0</v>
          </cell>
          <cell r="E50">
            <v>-13.760999999999999</v>
          </cell>
        </row>
        <row r="51">
          <cell r="A51">
            <v>283220</v>
          </cell>
          <cell r="B51">
            <v>3369852.8360000001</v>
          </cell>
          <cell r="C51">
            <v>658331.152</v>
          </cell>
          <cell r="D51">
            <v>0</v>
          </cell>
          <cell r="E51">
            <v>-13.895</v>
          </cell>
        </row>
        <row r="52">
          <cell r="A52">
            <v>283240</v>
          </cell>
          <cell r="B52">
            <v>3369864.27</v>
          </cell>
          <cell r="C52">
            <v>658314.76</v>
          </cell>
          <cell r="D52">
            <v>0</v>
          </cell>
          <cell r="E52">
            <v>-13.986000000000001</v>
          </cell>
        </row>
        <row r="53">
          <cell r="A53">
            <v>283260</v>
          </cell>
          <cell r="B53">
            <v>3369875.7459999998</v>
          </cell>
          <cell r="C53">
            <v>658298.38</v>
          </cell>
          <cell r="D53">
            <v>0</v>
          </cell>
          <cell r="E53">
            <v>-14.021000000000001</v>
          </cell>
        </row>
        <row r="54">
          <cell r="A54">
            <v>283280</v>
          </cell>
          <cell r="B54">
            <v>3369887.2510000002</v>
          </cell>
          <cell r="C54">
            <v>658282.02500000002</v>
          </cell>
          <cell r="D54">
            <v>0</v>
          </cell>
          <cell r="E54">
            <v>-14.013999999999999</v>
          </cell>
        </row>
        <row r="55">
          <cell r="A55">
            <v>283300</v>
          </cell>
          <cell r="B55">
            <v>3369898.7740000002</v>
          </cell>
          <cell r="C55">
            <v>658265.67799999996</v>
          </cell>
          <cell r="D55">
            <v>0</v>
          </cell>
          <cell r="E55">
            <v>-13.984999999999999</v>
          </cell>
        </row>
        <row r="56">
          <cell r="A56">
            <v>283320</v>
          </cell>
          <cell r="B56">
            <v>3369910.3</v>
          </cell>
          <cell r="C56">
            <v>658249.32700000005</v>
          </cell>
          <cell r="D56">
            <v>0</v>
          </cell>
          <cell r="E56">
            <v>-13.962999999999999</v>
          </cell>
        </row>
        <row r="57">
          <cell r="A57">
            <v>283340</v>
          </cell>
          <cell r="B57">
            <v>3369921.8339999998</v>
          </cell>
          <cell r="C57">
            <v>658232.96499999997</v>
          </cell>
          <cell r="D57">
            <v>0</v>
          </cell>
          <cell r="E57">
            <v>-13.951000000000001</v>
          </cell>
        </row>
        <row r="58">
          <cell r="A58">
            <v>283360</v>
          </cell>
          <cell r="B58">
            <v>3369933.358</v>
          </cell>
          <cell r="C58">
            <v>658216.61800000002</v>
          </cell>
          <cell r="D58">
            <v>0</v>
          </cell>
          <cell r="E58">
            <v>-13.956</v>
          </cell>
        </row>
        <row r="59">
          <cell r="A59">
            <v>283380</v>
          </cell>
          <cell r="B59">
            <v>3369944.872</v>
          </cell>
          <cell r="C59">
            <v>658200.28500000003</v>
          </cell>
          <cell r="D59">
            <v>0</v>
          </cell>
          <cell r="E59">
            <v>-13.951000000000001</v>
          </cell>
        </row>
        <row r="60">
          <cell r="A60">
            <v>283400</v>
          </cell>
          <cell r="B60">
            <v>3369956.395</v>
          </cell>
          <cell r="C60">
            <v>658183.93799999997</v>
          </cell>
          <cell r="D60">
            <v>0</v>
          </cell>
          <cell r="E60">
            <v>-13.933</v>
          </cell>
        </row>
        <row r="61">
          <cell r="A61">
            <v>283420</v>
          </cell>
          <cell r="B61">
            <v>3369967.9160000002</v>
          </cell>
          <cell r="C61">
            <v>658167.59499999997</v>
          </cell>
          <cell r="D61">
            <v>0</v>
          </cell>
          <cell r="E61">
            <v>-13.926</v>
          </cell>
        </row>
        <row r="62">
          <cell r="A62">
            <v>283440</v>
          </cell>
          <cell r="B62">
            <v>3369979.4389999998</v>
          </cell>
          <cell r="C62">
            <v>658151.24800000002</v>
          </cell>
          <cell r="D62">
            <v>0</v>
          </cell>
          <cell r="E62">
            <v>-13.901999999999999</v>
          </cell>
        </row>
        <row r="63">
          <cell r="A63">
            <v>283460</v>
          </cell>
          <cell r="B63">
            <v>3369990.969</v>
          </cell>
          <cell r="C63">
            <v>658134.89199999999</v>
          </cell>
          <cell r="D63">
            <v>0</v>
          </cell>
          <cell r="E63">
            <v>-13.891</v>
          </cell>
        </row>
        <row r="64">
          <cell r="A64">
            <v>283480</v>
          </cell>
          <cell r="B64">
            <v>3370002.4920000001</v>
          </cell>
          <cell r="C64">
            <v>658118.54599999997</v>
          </cell>
          <cell r="D64">
            <v>0</v>
          </cell>
          <cell r="E64">
            <v>-13.884</v>
          </cell>
        </row>
        <row r="65">
          <cell r="A65">
            <v>283500</v>
          </cell>
          <cell r="B65">
            <v>3370014.0150000001</v>
          </cell>
          <cell r="C65">
            <v>658102.19900000002</v>
          </cell>
          <cell r="D65">
            <v>0</v>
          </cell>
          <cell r="E65">
            <v>-13.877000000000001</v>
          </cell>
        </row>
        <row r="66">
          <cell r="A66">
            <v>283520</v>
          </cell>
          <cell r="B66">
            <v>3370025.5380000002</v>
          </cell>
          <cell r="C66">
            <v>658085.853</v>
          </cell>
          <cell r="D66">
            <v>0</v>
          </cell>
          <cell r="E66">
            <v>-13.869</v>
          </cell>
        </row>
        <row r="67">
          <cell r="A67">
            <v>283540</v>
          </cell>
          <cell r="B67">
            <v>3370037.0639999998</v>
          </cell>
          <cell r="C67">
            <v>658069.50800000003</v>
          </cell>
          <cell r="D67">
            <v>0</v>
          </cell>
          <cell r="E67">
            <v>-13.859</v>
          </cell>
        </row>
        <row r="68">
          <cell r="A68">
            <v>283560</v>
          </cell>
          <cell r="B68">
            <v>3370048.62</v>
          </cell>
          <cell r="C68">
            <v>658053.16599999997</v>
          </cell>
          <cell r="D68">
            <v>0</v>
          </cell>
          <cell r="E68">
            <v>-13.837999999999999</v>
          </cell>
        </row>
        <row r="69">
          <cell r="A69">
            <v>283580</v>
          </cell>
          <cell r="B69">
            <v>3370060.2149999999</v>
          </cell>
          <cell r="C69">
            <v>658036.87</v>
          </cell>
          <cell r="D69">
            <v>0</v>
          </cell>
          <cell r="E69">
            <v>-13.763999999999999</v>
          </cell>
        </row>
        <row r="70">
          <cell r="A70">
            <v>283600</v>
          </cell>
          <cell r="B70">
            <v>3370071.8569999998</v>
          </cell>
          <cell r="C70">
            <v>658020.61699999997</v>
          </cell>
          <cell r="D70">
            <v>0</v>
          </cell>
          <cell r="E70">
            <v>-13.621</v>
          </cell>
        </row>
        <row r="71">
          <cell r="A71">
            <v>283620</v>
          </cell>
          <cell r="B71">
            <v>3370083.537</v>
          </cell>
          <cell r="C71">
            <v>658004.38100000005</v>
          </cell>
          <cell r="D71">
            <v>0</v>
          </cell>
          <cell r="E71">
            <v>-13.430999999999999</v>
          </cell>
        </row>
        <row r="72">
          <cell r="A72">
            <v>283640</v>
          </cell>
          <cell r="B72">
            <v>3370095.2170000002</v>
          </cell>
          <cell r="C72">
            <v>657988.16200000001</v>
          </cell>
          <cell r="D72">
            <v>0</v>
          </cell>
          <cell r="E72">
            <v>-13.23</v>
          </cell>
        </row>
        <row r="73">
          <cell r="A73">
            <v>283660</v>
          </cell>
          <cell r="B73">
            <v>3370106.906</v>
          </cell>
          <cell r="C73">
            <v>657971.93099999998</v>
          </cell>
          <cell r="D73">
            <v>0</v>
          </cell>
          <cell r="E73">
            <v>-13.007999999999999</v>
          </cell>
        </row>
        <row r="74">
          <cell r="A74">
            <v>283680</v>
          </cell>
          <cell r="B74">
            <v>3370118.5860000001</v>
          </cell>
          <cell r="C74">
            <v>657955.71200000006</v>
          </cell>
          <cell r="D74">
            <v>0</v>
          </cell>
          <cell r="E74">
            <v>-12.782999999999999</v>
          </cell>
        </row>
        <row r="75">
          <cell r="A75">
            <v>283700</v>
          </cell>
          <cell r="B75">
            <v>3370130.2749999999</v>
          </cell>
          <cell r="C75">
            <v>657939.48199999996</v>
          </cell>
          <cell r="D75">
            <v>0</v>
          </cell>
          <cell r="E75">
            <v>-12.542</v>
          </cell>
        </row>
        <row r="76">
          <cell r="A76">
            <v>283720</v>
          </cell>
          <cell r="B76">
            <v>3370141.9810000001</v>
          </cell>
          <cell r="C76">
            <v>657923.22699999996</v>
          </cell>
          <cell r="D76">
            <v>0</v>
          </cell>
          <cell r="E76">
            <v>-12.303000000000001</v>
          </cell>
        </row>
        <row r="77">
          <cell r="A77">
            <v>283740</v>
          </cell>
          <cell r="B77">
            <v>3370153.6690000002</v>
          </cell>
          <cell r="C77">
            <v>657906.99699999997</v>
          </cell>
          <cell r="D77">
            <v>0</v>
          </cell>
          <cell r="E77">
            <v>-12.108000000000001</v>
          </cell>
        </row>
        <row r="78">
          <cell r="A78">
            <v>283760</v>
          </cell>
          <cell r="B78">
            <v>3370165.358</v>
          </cell>
          <cell r="C78">
            <v>657890.76599999995</v>
          </cell>
          <cell r="D78">
            <v>0</v>
          </cell>
          <cell r="E78">
            <v>-11.913</v>
          </cell>
        </row>
        <row r="79">
          <cell r="A79">
            <v>283780</v>
          </cell>
          <cell r="B79">
            <v>3370177.0260000001</v>
          </cell>
          <cell r="C79">
            <v>657874.56099999999</v>
          </cell>
          <cell r="D79">
            <v>0</v>
          </cell>
          <cell r="E79">
            <v>-11.682</v>
          </cell>
        </row>
        <row r="80">
          <cell r="A80">
            <v>283800</v>
          </cell>
          <cell r="B80">
            <v>3370188.693</v>
          </cell>
          <cell r="C80">
            <v>657858.31599999999</v>
          </cell>
          <cell r="D80">
            <v>0</v>
          </cell>
          <cell r="E80">
            <v>-11.458</v>
          </cell>
        </row>
        <row r="81">
          <cell r="A81">
            <v>283820</v>
          </cell>
          <cell r="B81">
            <v>3370200.35</v>
          </cell>
          <cell r="C81">
            <v>657842.01699999999</v>
          </cell>
          <cell r="D81">
            <v>0</v>
          </cell>
          <cell r="E81">
            <v>-11.287000000000001</v>
          </cell>
        </row>
        <row r="82">
          <cell r="A82">
            <v>283840</v>
          </cell>
          <cell r="B82">
            <v>3370211.952</v>
          </cell>
          <cell r="C82">
            <v>657825.72600000002</v>
          </cell>
          <cell r="D82">
            <v>0</v>
          </cell>
          <cell r="E82">
            <v>-11.208</v>
          </cell>
        </row>
        <row r="83">
          <cell r="A83">
            <v>283860</v>
          </cell>
          <cell r="B83">
            <v>3370223.5090000001</v>
          </cell>
          <cell r="C83">
            <v>657809.429</v>
          </cell>
          <cell r="D83">
            <v>0</v>
          </cell>
          <cell r="E83">
            <v>-11.169</v>
          </cell>
        </row>
        <row r="84">
          <cell r="A84">
            <v>283880</v>
          </cell>
          <cell r="B84">
            <v>3370235.0460000001</v>
          </cell>
          <cell r="C84">
            <v>657793.09199999995</v>
          </cell>
          <cell r="D84">
            <v>0</v>
          </cell>
          <cell r="E84">
            <v>-11.132</v>
          </cell>
        </row>
        <row r="85">
          <cell r="A85">
            <v>283900</v>
          </cell>
          <cell r="B85">
            <v>3370246.557</v>
          </cell>
          <cell r="C85">
            <v>657776.73699999996</v>
          </cell>
          <cell r="D85">
            <v>0</v>
          </cell>
          <cell r="E85">
            <v>-11.127000000000001</v>
          </cell>
        </row>
        <row r="86">
          <cell r="A86">
            <v>283920</v>
          </cell>
          <cell r="B86">
            <v>3370258.0660000001</v>
          </cell>
          <cell r="C86">
            <v>657760.37600000005</v>
          </cell>
          <cell r="D86">
            <v>0</v>
          </cell>
          <cell r="E86">
            <v>-11.131</v>
          </cell>
        </row>
        <row r="87">
          <cell r="A87">
            <v>283940</v>
          </cell>
          <cell r="B87">
            <v>3370269.574</v>
          </cell>
          <cell r="C87">
            <v>657744.01800000004</v>
          </cell>
          <cell r="D87">
            <v>0</v>
          </cell>
          <cell r="E87">
            <v>-11.135999999999999</v>
          </cell>
        </row>
        <row r="88">
          <cell r="A88">
            <v>283960</v>
          </cell>
          <cell r="B88">
            <v>3370281.074</v>
          </cell>
          <cell r="C88">
            <v>657727.67000000004</v>
          </cell>
          <cell r="D88">
            <v>0</v>
          </cell>
          <cell r="E88">
            <v>-11.137</v>
          </cell>
        </row>
        <row r="89">
          <cell r="A89">
            <v>283980</v>
          </cell>
          <cell r="B89">
            <v>3370292.5819999999</v>
          </cell>
          <cell r="C89">
            <v>657711.31299999997</v>
          </cell>
          <cell r="D89">
            <v>0</v>
          </cell>
          <cell r="E89">
            <v>-11.12</v>
          </cell>
        </row>
        <row r="90">
          <cell r="A90">
            <v>284000</v>
          </cell>
          <cell r="B90">
            <v>3370304.0890000002</v>
          </cell>
          <cell r="C90">
            <v>657694.95499999996</v>
          </cell>
          <cell r="D90">
            <v>0</v>
          </cell>
          <cell r="E90">
            <v>-11.105</v>
          </cell>
        </row>
        <row r="91">
          <cell r="A91">
            <v>284020</v>
          </cell>
          <cell r="B91">
            <v>3370315.6170000001</v>
          </cell>
          <cell r="C91">
            <v>657678.56799999997</v>
          </cell>
          <cell r="D91">
            <v>0</v>
          </cell>
          <cell r="E91">
            <v>-11.146000000000001</v>
          </cell>
        </row>
        <row r="92">
          <cell r="A92">
            <v>284040</v>
          </cell>
          <cell r="B92">
            <v>3370327.1030000001</v>
          </cell>
          <cell r="C92">
            <v>657662.24</v>
          </cell>
          <cell r="D92">
            <v>0</v>
          </cell>
          <cell r="E92">
            <v>-11.135</v>
          </cell>
        </row>
        <row r="93">
          <cell r="A93">
            <v>284060</v>
          </cell>
          <cell r="B93">
            <v>3370338.611</v>
          </cell>
          <cell r="C93">
            <v>657645.88199999998</v>
          </cell>
          <cell r="D93">
            <v>0</v>
          </cell>
          <cell r="E93">
            <v>-11.116</v>
          </cell>
        </row>
        <row r="94">
          <cell r="A94">
            <v>284080</v>
          </cell>
          <cell r="B94">
            <v>3370350.1260000002</v>
          </cell>
          <cell r="C94">
            <v>657629.51399999997</v>
          </cell>
          <cell r="D94">
            <v>0</v>
          </cell>
          <cell r="E94">
            <v>-11.111000000000001</v>
          </cell>
        </row>
        <row r="95">
          <cell r="A95">
            <v>284100</v>
          </cell>
          <cell r="B95">
            <v>3370361.6329999999</v>
          </cell>
          <cell r="C95">
            <v>657613.15599999996</v>
          </cell>
          <cell r="D95">
            <v>0</v>
          </cell>
          <cell r="E95">
            <v>-11.116</v>
          </cell>
        </row>
        <row r="96">
          <cell r="A96">
            <v>284120</v>
          </cell>
          <cell r="B96">
            <v>3370373.1430000002</v>
          </cell>
          <cell r="C96">
            <v>657596.79500000004</v>
          </cell>
          <cell r="D96">
            <v>0</v>
          </cell>
          <cell r="E96">
            <v>-11.122999999999999</v>
          </cell>
        </row>
        <row r="97">
          <cell r="A97">
            <v>284140</v>
          </cell>
          <cell r="B97">
            <v>3370384.6510000001</v>
          </cell>
          <cell r="C97">
            <v>657580.43700000003</v>
          </cell>
          <cell r="D97">
            <v>0</v>
          </cell>
          <cell r="E97">
            <v>-11.135999999999999</v>
          </cell>
        </row>
        <row r="98">
          <cell r="A98">
            <v>284160</v>
          </cell>
          <cell r="B98">
            <v>3370396.156</v>
          </cell>
          <cell r="C98">
            <v>657564.08299999998</v>
          </cell>
          <cell r="D98">
            <v>0</v>
          </cell>
          <cell r="E98">
            <v>-11.148</v>
          </cell>
        </row>
        <row r="99">
          <cell r="A99">
            <v>284180</v>
          </cell>
          <cell r="B99">
            <v>3370407.6630000002</v>
          </cell>
          <cell r="C99">
            <v>657547.72499999998</v>
          </cell>
          <cell r="D99">
            <v>0</v>
          </cell>
          <cell r="E99">
            <v>-11.153</v>
          </cell>
        </row>
        <row r="100">
          <cell r="A100">
            <v>284200</v>
          </cell>
          <cell r="B100">
            <v>3370419.1770000001</v>
          </cell>
          <cell r="C100">
            <v>657531.35800000001</v>
          </cell>
          <cell r="D100">
            <v>0</v>
          </cell>
          <cell r="E100">
            <v>-11.16</v>
          </cell>
        </row>
        <row r="101">
          <cell r="A101">
            <v>284220</v>
          </cell>
          <cell r="B101">
            <v>3370430.6839999999</v>
          </cell>
          <cell r="C101">
            <v>657515</v>
          </cell>
          <cell r="D101">
            <v>0</v>
          </cell>
          <cell r="E101">
            <v>-11.185</v>
          </cell>
        </row>
        <row r="102">
          <cell r="A102">
            <v>284240</v>
          </cell>
          <cell r="B102">
            <v>3370442.1830000002</v>
          </cell>
          <cell r="C102">
            <v>657498.65500000003</v>
          </cell>
          <cell r="D102">
            <v>0</v>
          </cell>
          <cell r="E102">
            <v>-11.2</v>
          </cell>
        </row>
        <row r="103">
          <cell r="A103">
            <v>284260</v>
          </cell>
          <cell r="B103">
            <v>3370453.69</v>
          </cell>
          <cell r="C103">
            <v>657482.29799999995</v>
          </cell>
          <cell r="D103">
            <v>0</v>
          </cell>
          <cell r="E103">
            <v>-11.196</v>
          </cell>
        </row>
        <row r="104">
          <cell r="A104">
            <v>284280</v>
          </cell>
          <cell r="B104">
            <v>3370465.2030000002</v>
          </cell>
          <cell r="C104">
            <v>657465.93200000003</v>
          </cell>
          <cell r="D104">
            <v>0</v>
          </cell>
          <cell r="E104">
            <v>-11.199</v>
          </cell>
        </row>
        <row r="105">
          <cell r="A105">
            <v>284300</v>
          </cell>
          <cell r="B105">
            <v>3370476.7110000001</v>
          </cell>
          <cell r="C105">
            <v>657449.57400000002</v>
          </cell>
          <cell r="D105">
            <v>0</v>
          </cell>
          <cell r="E105">
            <v>-11.212</v>
          </cell>
        </row>
        <row r="106">
          <cell r="A106">
            <v>284320</v>
          </cell>
          <cell r="B106">
            <v>3370488.213</v>
          </cell>
          <cell r="C106">
            <v>657433.22400000005</v>
          </cell>
          <cell r="D106">
            <v>0</v>
          </cell>
          <cell r="E106">
            <v>-11.218999999999999</v>
          </cell>
        </row>
        <row r="107">
          <cell r="A107">
            <v>284340</v>
          </cell>
          <cell r="B107">
            <v>3370499.72</v>
          </cell>
          <cell r="C107">
            <v>657416.86600000004</v>
          </cell>
          <cell r="D107">
            <v>0</v>
          </cell>
          <cell r="E107">
            <v>-11.215999999999999</v>
          </cell>
        </row>
        <row r="108">
          <cell r="A108">
            <v>284360</v>
          </cell>
          <cell r="B108">
            <v>3370511.2370000002</v>
          </cell>
          <cell r="C108">
            <v>657400.495</v>
          </cell>
          <cell r="D108">
            <v>0</v>
          </cell>
          <cell r="E108">
            <v>-11.225</v>
          </cell>
        </row>
        <row r="109">
          <cell r="A109">
            <v>284380</v>
          </cell>
          <cell r="B109">
            <v>3370522.7450000001</v>
          </cell>
          <cell r="C109">
            <v>657384.13699999999</v>
          </cell>
          <cell r="D109">
            <v>0</v>
          </cell>
          <cell r="E109">
            <v>-11.250999999999999</v>
          </cell>
        </row>
        <row r="110">
          <cell r="A110">
            <v>284400</v>
          </cell>
          <cell r="B110">
            <v>3370534.24</v>
          </cell>
          <cell r="C110">
            <v>657367.79700000002</v>
          </cell>
          <cell r="D110">
            <v>0</v>
          </cell>
          <cell r="E110">
            <v>-11.253</v>
          </cell>
        </row>
        <row r="111">
          <cell r="A111">
            <v>284420</v>
          </cell>
          <cell r="B111">
            <v>3370545.747</v>
          </cell>
          <cell r="C111">
            <v>657351.43900000001</v>
          </cell>
          <cell r="D111">
            <v>0</v>
          </cell>
          <cell r="E111">
            <v>-11.241</v>
          </cell>
        </row>
        <row r="112">
          <cell r="A112">
            <v>284440</v>
          </cell>
          <cell r="B112">
            <v>3370557.2549999999</v>
          </cell>
          <cell r="C112">
            <v>657335.08100000001</v>
          </cell>
          <cell r="D112">
            <v>0</v>
          </cell>
          <cell r="E112">
            <v>-11.228</v>
          </cell>
        </row>
        <row r="113">
          <cell r="A113">
            <v>284460</v>
          </cell>
          <cell r="B113">
            <v>3370568.7650000001</v>
          </cell>
          <cell r="C113">
            <v>657318.71900000004</v>
          </cell>
          <cell r="D113">
            <v>0</v>
          </cell>
          <cell r="E113">
            <v>-11.224</v>
          </cell>
        </row>
        <row r="114">
          <cell r="A114">
            <v>284480</v>
          </cell>
          <cell r="B114">
            <v>3370580.273</v>
          </cell>
          <cell r="C114">
            <v>657302.36100000003</v>
          </cell>
          <cell r="D114">
            <v>0</v>
          </cell>
          <cell r="E114">
            <v>-11.221</v>
          </cell>
        </row>
        <row r="115">
          <cell r="A115">
            <v>284500</v>
          </cell>
          <cell r="B115">
            <v>3370591.7779999999</v>
          </cell>
          <cell r="C115">
            <v>657286.00600000005</v>
          </cell>
          <cell r="D115">
            <v>0</v>
          </cell>
          <cell r="E115">
            <v>-11.214</v>
          </cell>
        </row>
        <row r="116">
          <cell r="A116">
            <v>284520</v>
          </cell>
          <cell r="B116">
            <v>3370603.2859999998</v>
          </cell>
          <cell r="C116">
            <v>657269.64800000004</v>
          </cell>
          <cell r="D116">
            <v>0</v>
          </cell>
          <cell r="E116">
            <v>-11.205</v>
          </cell>
        </row>
        <row r="117">
          <cell r="A117">
            <v>284540</v>
          </cell>
          <cell r="B117">
            <v>3370614.8020000001</v>
          </cell>
          <cell r="C117">
            <v>657253.277</v>
          </cell>
          <cell r="D117">
            <v>0</v>
          </cell>
          <cell r="E117">
            <v>-11.212</v>
          </cell>
        </row>
        <row r="118">
          <cell r="A118">
            <v>284560</v>
          </cell>
          <cell r="B118">
            <v>3370626.31</v>
          </cell>
          <cell r="C118">
            <v>657236.92000000004</v>
          </cell>
          <cell r="D118">
            <v>0</v>
          </cell>
          <cell r="E118">
            <v>-11.231999999999999</v>
          </cell>
        </row>
        <row r="119">
          <cell r="A119">
            <v>284580</v>
          </cell>
          <cell r="B119">
            <v>3370637.807</v>
          </cell>
          <cell r="C119">
            <v>657220.576</v>
          </cell>
          <cell r="D119">
            <v>0</v>
          </cell>
          <cell r="E119">
            <v>-11.227</v>
          </cell>
        </row>
        <row r="120">
          <cell r="A120">
            <v>284600</v>
          </cell>
          <cell r="B120">
            <v>3370649.3149999999</v>
          </cell>
          <cell r="C120">
            <v>657204.21900000004</v>
          </cell>
          <cell r="D120">
            <v>0</v>
          </cell>
          <cell r="E120">
            <v>-11.214</v>
          </cell>
        </row>
        <row r="121">
          <cell r="A121">
            <v>284620</v>
          </cell>
          <cell r="B121">
            <v>3370660.824</v>
          </cell>
          <cell r="C121">
            <v>657187.85800000001</v>
          </cell>
          <cell r="D121">
            <v>0</v>
          </cell>
          <cell r="E121">
            <v>-11.208</v>
          </cell>
        </row>
        <row r="122">
          <cell r="A122">
            <v>284640</v>
          </cell>
          <cell r="B122">
            <v>3370672.3319999999</v>
          </cell>
          <cell r="C122">
            <v>657171.5</v>
          </cell>
          <cell r="D122">
            <v>0</v>
          </cell>
          <cell r="E122">
            <v>-11.202</v>
          </cell>
        </row>
        <row r="123">
          <cell r="A123">
            <v>284660</v>
          </cell>
          <cell r="B123">
            <v>3370683.838</v>
          </cell>
          <cell r="C123">
            <v>657155.14399999997</v>
          </cell>
          <cell r="D123">
            <v>0</v>
          </cell>
          <cell r="E123">
            <v>-11.194000000000001</v>
          </cell>
        </row>
        <row r="124">
          <cell r="A124">
            <v>284680</v>
          </cell>
          <cell r="B124">
            <v>3370695.3450000002</v>
          </cell>
          <cell r="C124">
            <v>657138.78599999996</v>
          </cell>
          <cell r="D124">
            <v>0</v>
          </cell>
          <cell r="E124">
            <v>-11.185</v>
          </cell>
        </row>
        <row r="125">
          <cell r="A125">
            <v>284700</v>
          </cell>
          <cell r="B125">
            <v>3370706.8539999998</v>
          </cell>
          <cell r="C125">
            <v>657122.42599999998</v>
          </cell>
          <cell r="D125">
            <v>0</v>
          </cell>
          <cell r="E125">
            <v>-11.178000000000001</v>
          </cell>
        </row>
        <row r="126">
          <cell r="A126">
            <v>284720</v>
          </cell>
          <cell r="B126">
            <v>3370718.3620000002</v>
          </cell>
          <cell r="C126">
            <v>657106.06799999997</v>
          </cell>
          <cell r="D126">
            <v>0</v>
          </cell>
          <cell r="E126">
            <v>-11.172000000000001</v>
          </cell>
        </row>
        <row r="127">
          <cell r="A127">
            <v>284740</v>
          </cell>
          <cell r="B127">
            <v>3370729.8650000002</v>
          </cell>
          <cell r="C127">
            <v>657089.71600000001</v>
          </cell>
          <cell r="D127">
            <v>0</v>
          </cell>
          <cell r="E127">
            <v>-11.159000000000001</v>
          </cell>
        </row>
        <row r="128">
          <cell r="A128">
            <v>284760</v>
          </cell>
          <cell r="B128">
            <v>3370741.3730000001</v>
          </cell>
          <cell r="C128">
            <v>657073.35900000005</v>
          </cell>
          <cell r="D128">
            <v>0</v>
          </cell>
          <cell r="E128">
            <v>-11.141</v>
          </cell>
        </row>
        <row r="129">
          <cell r="A129">
            <v>284780</v>
          </cell>
          <cell r="B129">
            <v>3370752.8909999998</v>
          </cell>
          <cell r="C129">
            <v>657056.98600000003</v>
          </cell>
          <cell r="D129">
            <v>0</v>
          </cell>
          <cell r="E129">
            <v>-11.13</v>
          </cell>
        </row>
        <row r="130">
          <cell r="A130">
            <v>284800</v>
          </cell>
          <cell r="B130">
            <v>3370764.398</v>
          </cell>
          <cell r="C130">
            <v>657040.62800000003</v>
          </cell>
          <cell r="D130">
            <v>0</v>
          </cell>
          <cell r="E130">
            <v>-11.145</v>
          </cell>
        </row>
        <row r="131">
          <cell r="A131">
            <v>284820</v>
          </cell>
          <cell r="B131">
            <v>3370775.8849999998</v>
          </cell>
          <cell r="C131">
            <v>657024.30000000005</v>
          </cell>
          <cell r="D131">
            <v>0</v>
          </cell>
          <cell r="E131">
            <v>-11.135999999999999</v>
          </cell>
        </row>
        <row r="132">
          <cell r="A132">
            <v>284840</v>
          </cell>
          <cell r="B132">
            <v>3370787.392</v>
          </cell>
          <cell r="C132">
            <v>657007.94200000004</v>
          </cell>
          <cell r="D132">
            <v>0</v>
          </cell>
          <cell r="E132">
            <v>-11.087</v>
          </cell>
        </row>
        <row r="133">
          <cell r="A133">
            <v>284860</v>
          </cell>
          <cell r="B133">
            <v>3370798.9109999998</v>
          </cell>
          <cell r="C133">
            <v>656991.56799999997</v>
          </cell>
          <cell r="D133">
            <v>0</v>
          </cell>
          <cell r="E133">
            <v>-11.048</v>
          </cell>
        </row>
        <row r="134">
          <cell r="A134">
            <v>284880</v>
          </cell>
          <cell r="B134">
            <v>3370810.4180000001</v>
          </cell>
          <cell r="C134">
            <v>656975.21</v>
          </cell>
          <cell r="D134">
            <v>0</v>
          </cell>
          <cell r="E134">
            <v>-11.034000000000001</v>
          </cell>
        </row>
        <row r="135">
          <cell r="A135">
            <v>284900</v>
          </cell>
          <cell r="B135">
            <v>3370821.929</v>
          </cell>
          <cell r="C135">
            <v>656958.848</v>
          </cell>
          <cell r="D135">
            <v>0</v>
          </cell>
          <cell r="E135">
            <v>-11.022</v>
          </cell>
        </row>
        <row r="136">
          <cell r="A136">
            <v>284920</v>
          </cell>
          <cell r="B136">
            <v>3370833.4360000002</v>
          </cell>
          <cell r="C136">
            <v>656942.49</v>
          </cell>
          <cell r="D136">
            <v>0</v>
          </cell>
          <cell r="E136">
            <v>-11.016999999999999</v>
          </cell>
        </row>
        <row r="137">
          <cell r="A137">
            <v>284940</v>
          </cell>
          <cell r="B137">
            <v>3370844.9470000002</v>
          </cell>
          <cell r="C137">
            <v>656926.12899999996</v>
          </cell>
          <cell r="D137">
            <v>0</v>
          </cell>
          <cell r="E137">
            <v>-11.010999999999999</v>
          </cell>
        </row>
        <row r="138">
          <cell r="A138">
            <v>284960</v>
          </cell>
          <cell r="B138">
            <v>3370856.4539999999</v>
          </cell>
          <cell r="C138">
            <v>656909.77099999995</v>
          </cell>
          <cell r="D138">
            <v>0</v>
          </cell>
          <cell r="E138">
            <v>-11.016</v>
          </cell>
        </row>
        <row r="139">
          <cell r="A139">
            <v>284980</v>
          </cell>
          <cell r="B139">
            <v>3370867.9619999998</v>
          </cell>
          <cell r="C139">
            <v>656893.41299999994</v>
          </cell>
          <cell r="D139">
            <v>0</v>
          </cell>
          <cell r="E139">
            <v>-11.019</v>
          </cell>
        </row>
        <row r="140">
          <cell r="A140">
            <v>285000</v>
          </cell>
          <cell r="B140">
            <v>3370879.4670000002</v>
          </cell>
          <cell r="C140">
            <v>656877.05799999996</v>
          </cell>
          <cell r="D140">
            <v>0</v>
          </cell>
          <cell r="E140">
            <v>-11.018000000000001</v>
          </cell>
        </row>
        <row r="141">
          <cell r="A141">
            <v>285020</v>
          </cell>
          <cell r="B141">
            <v>3370890.9750000001</v>
          </cell>
          <cell r="C141">
            <v>656860.69999999995</v>
          </cell>
          <cell r="D141">
            <v>0</v>
          </cell>
          <cell r="E141">
            <v>-11.016</v>
          </cell>
        </row>
        <row r="142">
          <cell r="A142">
            <v>285040</v>
          </cell>
          <cell r="B142">
            <v>3370902.483</v>
          </cell>
          <cell r="C142">
            <v>656844.34100000001</v>
          </cell>
          <cell r="D142">
            <v>0</v>
          </cell>
          <cell r="E142">
            <v>-11.016999999999999</v>
          </cell>
        </row>
        <row r="143">
          <cell r="A143">
            <v>285060</v>
          </cell>
          <cell r="B143">
            <v>3370913.9909999999</v>
          </cell>
          <cell r="C143">
            <v>656827.98300000001</v>
          </cell>
          <cell r="D143">
            <v>0</v>
          </cell>
          <cell r="E143">
            <v>-11.018000000000001</v>
          </cell>
        </row>
        <row r="144">
          <cell r="A144">
            <v>285080</v>
          </cell>
          <cell r="B144">
            <v>3370925.4950000001</v>
          </cell>
          <cell r="C144">
            <v>656811.63</v>
          </cell>
          <cell r="D144">
            <v>0</v>
          </cell>
          <cell r="E144">
            <v>-11.013999999999999</v>
          </cell>
        </row>
        <row r="145">
          <cell r="A145">
            <v>285100</v>
          </cell>
          <cell r="B145">
            <v>3370937.0019999999</v>
          </cell>
          <cell r="C145">
            <v>656795.272</v>
          </cell>
          <cell r="D145">
            <v>0</v>
          </cell>
          <cell r="E145">
            <v>-11.005000000000001</v>
          </cell>
        </row>
        <row r="146">
          <cell r="A146">
            <v>285120</v>
          </cell>
          <cell r="B146">
            <v>3370948.51</v>
          </cell>
          <cell r="C146">
            <v>656778.91399999999</v>
          </cell>
          <cell r="D146">
            <v>0</v>
          </cell>
          <cell r="E146">
            <v>-10.994999999999999</v>
          </cell>
        </row>
        <row r="147">
          <cell r="A147">
            <v>285140</v>
          </cell>
          <cell r="B147">
            <v>3370960.0210000002</v>
          </cell>
          <cell r="C147">
            <v>656762.55099999998</v>
          </cell>
          <cell r="D147">
            <v>0</v>
          </cell>
          <cell r="E147">
            <v>-10.994999999999999</v>
          </cell>
        </row>
        <row r="148">
          <cell r="A148">
            <v>285160</v>
          </cell>
          <cell r="B148">
            <v>3370971.5279999999</v>
          </cell>
          <cell r="C148">
            <v>656746.19400000002</v>
          </cell>
          <cell r="D148">
            <v>0</v>
          </cell>
          <cell r="E148">
            <v>-10.997</v>
          </cell>
        </row>
        <row r="149">
          <cell r="A149">
            <v>285180</v>
          </cell>
          <cell r="B149">
            <v>3370983.0329999998</v>
          </cell>
          <cell r="C149">
            <v>656729.83900000004</v>
          </cell>
          <cell r="D149">
            <v>0</v>
          </cell>
          <cell r="E149">
            <v>-10.994999999999999</v>
          </cell>
        </row>
        <row r="150">
          <cell r="A150">
            <v>285200</v>
          </cell>
          <cell r="B150">
            <v>3370994.5410000002</v>
          </cell>
          <cell r="C150">
            <v>656713.48199999996</v>
          </cell>
          <cell r="D150">
            <v>0</v>
          </cell>
          <cell r="E150">
            <v>-10.988</v>
          </cell>
        </row>
        <row r="151">
          <cell r="A151">
            <v>285220</v>
          </cell>
          <cell r="B151">
            <v>3371006.0550000002</v>
          </cell>
          <cell r="C151">
            <v>656697.11300000001</v>
          </cell>
          <cell r="D151">
            <v>0</v>
          </cell>
          <cell r="E151">
            <v>-10.993</v>
          </cell>
        </row>
        <row r="152">
          <cell r="A152">
            <v>285240</v>
          </cell>
          <cell r="B152">
            <v>3371017.5630000001</v>
          </cell>
          <cell r="C152">
            <v>656680.75600000005</v>
          </cell>
          <cell r="D152">
            <v>0</v>
          </cell>
          <cell r="E152">
            <v>-11.009</v>
          </cell>
        </row>
        <row r="153">
          <cell r="A153">
            <v>285260</v>
          </cell>
          <cell r="B153">
            <v>3371029.0669999998</v>
          </cell>
          <cell r="C153">
            <v>656664.40300000005</v>
          </cell>
          <cell r="D153">
            <v>0</v>
          </cell>
          <cell r="E153">
            <v>-11.023999999999999</v>
          </cell>
        </row>
        <row r="154">
          <cell r="A154">
            <v>285280</v>
          </cell>
          <cell r="B154">
            <v>3371040.574</v>
          </cell>
          <cell r="C154">
            <v>656648.04500000004</v>
          </cell>
          <cell r="D154">
            <v>0</v>
          </cell>
          <cell r="E154">
            <v>-11.03</v>
          </cell>
        </row>
        <row r="155">
          <cell r="A155">
            <v>285300</v>
          </cell>
          <cell r="B155">
            <v>3371052.074</v>
          </cell>
          <cell r="C155">
            <v>656631.69799999997</v>
          </cell>
          <cell r="D155">
            <v>0</v>
          </cell>
          <cell r="E155">
            <v>-11.032999999999999</v>
          </cell>
        </row>
        <row r="156">
          <cell r="A156">
            <v>285320</v>
          </cell>
          <cell r="B156">
            <v>3371063.5819999999</v>
          </cell>
          <cell r="C156">
            <v>656615.34</v>
          </cell>
          <cell r="D156">
            <v>0</v>
          </cell>
          <cell r="E156">
            <v>-11.013999999999999</v>
          </cell>
        </row>
        <row r="157">
          <cell r="A157">
            <v>285340</v>
          </cell>
          <cell r="B157">
            <v>3371075.0890000002</v>
          </cell>
          <cell r="C157">
            <v>656598.98199999996</v>
          </cell>
          <cell r="D157">
            <v>0</v>
          </cell>
          <cell r="E157">
            <v>-10.997</v>
          </cell>
        </row>
        <row r="158">
          <cell r="A158">
            <v>285360</v>
          </cell>
          <cell r="B158">
            <v>3371086.605</v>
          </cell>
          <cell r="C158">
            <v>656582.61199999996</v>
          </cell>
          <cell r="D158">
            <v>0</v>
          </cell>
          <cell r="E158">
            <v>-11</v>
          </cell>
        </row>
        <row r="159">
          <cell r="A159">
            <v>285380</v>
          </cell>
          <cell r="B159">
            <v>3371098.1129999999</v>
          </cell>
          <cell r="C159">
            <v>656566.25399999996</v>
          </cell>
          <cell r="D159">
            <v>0</v>
          </cell>
          <cell r="E159">
            <v>-11.009</v>
          </cell>
        </row>
        <row r="160">
          <cell r="A160">
            <v>285400</v>
          </cell>
          <cell r="B160">
            <v>3371109.625</v>
          </cell>
          <cell r="C160">
            <v>656549.88899999997</v>
          </cell>
          <cell r="D160">
            <v>0</v>
          </cell>
          <cell r="E160">
            <v>-11.03</v>
          </cell>
        </row>
        <row r="161">
          <cell r="A161">
            <v>285420</v>
          </cell>
          <cell r="B161">
            <v>3371121.1329999999</v>
          </cell>
          <cell r="C161">
            <v>656533.53099999996</v>
          </cell>
          <cell r="D161">
            <v>0</v>
          </cell>
          <cell r="E161">
            <v>-11.055999999999999</v>
          </cell>
        </row>
        <row r="162">
          <cell r="A162">
            <v>285440</v>
          </cell>
          <cell r="B162">
            <v>3371132.6379999998</v>
          </cell>
          <cell r="C162">
            <v>656517.17700000003</v>
          </cell>
          <cell r="D162">
            <v>0</v>
          </cell>
          <cell r="E162">
            <v>-11.079000000000001</v>
          </cell>
        </row>
        <row r="163">
          <cell r="A163">
            <v>285460</v>
          </cell>
          <cell r="B163">
            <v>3371144.1570000001</v>
          </cell>
          <cell r="C163">
            <v>656500.82799999998</v>
          </cell>
          <cell r="D163">
            <v>0</v>
          </cell>
          <cell r="E163">
            <v>-11.082000000000001</v>
          </cell>
        </row>
        <row r="164">
          <cell r="A164">
            <v>285480</v>
          </cell>
          <cell r="B164">
            <v>3371155.7390000001</v>
          </cell>
          <cell r="C164">
            <v>656484.49300000002</v>
          </cell>
          <cell r="D164">
            <v>0</v>
          </cell>
          <cell r="E164">
            <v>-11.055</v>
          </cell>
        </row>
        <row r="165">
          <cell r="A165">
            <v>285500</v>
          </cell>
          <cell r="B165">
            <v>3371167.361</v>
          </cell>
          <cell r="C165">
            <v>656468.21699999995</v>
          </cell>
          <cell r="D165">
            <v>0</v>
          </cell>
          <cell r="E165">
            <v>-10.975</v>
          </cell>
        </row>
        <row r="166">
          <cell r="A166">
            <v>285520</v>
          </cell>
          <cell r="B166">
            <v>3371179.054</v>
          </cell>
          <cell r="C166">
            <v>656451.95600000001</v>
          </cell>
          <cell r="D166">
            <v>0</v>
          </cell>
          <cell r="E166">
            <v>-10.84</v>
          </cell>
        </row>
        <row r="167">
          <cell r="A167">
            <v>285540</v>
          </cell>
          <cell r="B167">
            <v>3371190.83</v>
          </cell>
          <cell r="C167">
            <v>656435.69499999995</v>
          </cell>
          <cell r="D167">
            <v>0</v>
          </cell>
          <cell r="E167">
            <v>-10.744999999999999</v>
          </cell>
        </row>
        <row r="168">
          <cell r="A168">
            <v>285560</v>
          </cell>
          <cell r="B168">
            <v>3371202.6150000002</v>
          </cell>
          <cell r="C168">
            <v>656419.53500000003</v>
          </cell>
          <cell r="D168">
            <v>0</v>
          </cell>
          <cell r="E168">
            <v>-10.66</v>
          </cell>
        </row>
        <row r="169">
          <cell r="A169">
            <v>285580</v>
          </cell>
          <cell r="B169">
            <v>3371214.469</v>
          </cell>
          <cell r="C169">
            <v>656403.36600000004</v>
          </cell>
          <cell r="D169">
            <v>0</v>
          </cell>
          <cell r="E169">
            <v>-10.561</v>
          </cell>
        </row>
        <row r="170">
          <cell r="A170">
            <v>285600</v>
          </cell>
          <cell r="B170">
            <v>3371226.2990000001</v>
          </cell>
          <cell r="C170">
            <v>656387.24100000004</v>
          </cell>
          <cell r="D170">
            <v>0</v>
          </cell>
          <cell r="E170">
            <v>-10.509</v>
          </cell>
        </row>
        <row r="171">
          <cell r="A171">
            <v>285620</v>
          </cell>
          <cell r="B171">
            <v>3371238.1359999999</v>
          </cell>
          <cell r="C171">
            <v>656371.10699999996</v>
          </cell>
          <cell r="D171">
            <v>0</v>
          </cell>
          <cell r="E171">
            <v>-10.465</v>
          </cell>
        </row>
        <row r="172">
          <cell r="A172">
            <v>285640</v>
          </cell>
          <cell r="B172">
            <v>3371249.9670000002</v>
          </cell>
          <cell r="C172">
            <v>656354.98100000003</v>
          </cell>
          <cell r="D172">
            <v>0</v>
          </cell>
          <cell r="E172">
            <v>-10.432</v>
          </cell>
        </row>
        <row r="173">
          <cell r="A173">
            <v>285660</v>
          </cell>
          <cell r="B173">
            <v>3371261.8050000002</v>
          </cell>
          <cell r="C173">
            <v>656338.84400000004</v>
          </cell>
          <cell r="D173">
            <v>0</v>
          </cell>
          <cell r="E173">
            <v>-10.409000000000001</v>
          </cell>
        </row>
        <row r="174">
          <cell r="A174">
            <v>285680</v>
          </cell>
          <cell r="B174">
            <v>3371273.6359999999</v>
          </cell>
          <cell r="C174">
            <v>656322.71900000004</v>
          </cell>
          <cell r="D174">
            <v>0</v>
          </cell>
          <cell r="E174">
            <v>-10.403</v>
          </cell>
        </row>
        <row r="175">
          <cell r="A175">
            <v>285700</v>
          </cell>
          <cell r="B175">
            <v>3371285.466</v>
          </cell>
          <cell r="C175">
            <v>656306.59299999999</v>
          </cell>
          <cell r="D175">
            <v>0</v>
          </cell>
          <cell r="E175">
            <v>-10.397</v>
          </cell>
        </row>
        <row r="176">
          <cell r="A176">
            <v>285720</v>
          </cell>
          <cell r="B176">
            <v>3371297.3139999998</v>
          </cell>
          <cell r="C176">
            <v>656290.44400000002</v>
          </cell>
          <cell r="D176">
            <v>0</v>
          </cell>
          <cell r="E176">
            <v>-10.443</v>
          </cell>
        </row>
        <row r="177">
          <cell r="A177">
            <v>285740</v>
          </cell>
          <cell r="B177">
            <v>3371309.148</v>
          </cell>
          <cell r="C177">
            <v>656274.31400000001</v>
          </cell>
          <cell r="D177">
            <v>0</v>
          </cell>
          <cell r="E177">
            <v>-10.494999999999999</v>
          </cell>
        </row>
        <row r="178">
          <cell r="A178">
            <v>285760</v>
          </cell>
          <cell r="B178">
            <v>3371320.9789999998</v>
          </cell>
          <cell r="C178">
            <v>656258.18799999997</v>
          </cell>
          <cell r="D178">
            <v>0</v>
          </cell>
          <cell r="E178">
            <v>-10.555</v>
          </cell>
        </row>
        <row r="179">
          <cell r="A179">
            <v>285780</v>
          </cell>
          <cell r="B179">
            <v>3371332.8029999998</v>
          </cell>
          <cell r="C179">
            <v>656242.071</v>
          </cell>
          <cell r="D179">
            <v>0</v>
          </cell>
          <cell r="E179">
            <v>-10.602</v>
          </cell>
        </row>
        <row r="180">
          <cell r="A180">
            <v>285800</v>
          </cell>
          <cell r="B180">
            <v>3371344.6340000001</v>
          </cell>
          <cell r="C180">
            <v>656225.94499999995</v>
          </cell>
          <cell r="D180">
            <v>0</v>
          </cell>
          <cell r="E180">
            <v>-10.641999999999999</v>
          </cell>
        </row>
        <row r="181">
          <cell r="A181">
            <v>285820</v>
          </cell>
          <cell r="B181">
            <v>3371356.4619999998</v>
          </cell>
          <cell r="C181">
            <v>656209.82299999997</v>
          </cell>
          <cell r="D181">
            <v>0</v>
          </cell>
          <cell r="E181">
            <v>-10.676</v>
          </cell>
        </row>
        <row r="182">
          <cell r="A182">
            <v>285840</v>
          </cell>
          <cell r="B182">
            <v>3371368.284</v>
          </cell>
          <cell r="C182">
            <v>656193.70900000003</v>
          </cell>
          <cell r="D182">
            <v>0</v>
          </cell>
          <cell r="E182">
            <v>-10.701000000000001</v>
          </cell>
        </row>
        <row r="183">
          <cell r="A183">
            <v>285860</v>
          </cell>
          <cell r="B183">
            <v>3371380.1150000002</v>
          </cell>
          <cell r="C183">
            <v>656177.58400000003</v>
          </cell>
          <cell r="D183">
            <v>0</v>
          </cell>
          <cell r="E183">
            <v>-10.705</v>
          </cell>
        </row>
        <row r="184">
          <cell r="A184">
            <v>285880</v>
          </cell>
          <cell r="B184">
            <v>3371391.9509999999</v>
          </cell>
          <cell r="C184">
            <v>656161.44999999995</v>
          </cell>
          <cell r="D184">
            <v>0</v>
          </cell>
          <cell r="E184">
            <v>-10.72</v>
          </cell>
        </row>
        <row r="185">
          <cell r="A185">
            <v>285900</v>
          </cell>
          <cell r="B185">
            <v>3371403.7820000001</v>
          </cell>
          <cell r="C185">
            <v>656145.32400000002</v>
          </cell>
          <cell r="D185">
            <v>0</v>
          </cell>
          <cell r="E185">
            <v>-10.744</v>
          </cell>
        </row>
        <row r="186">
          <cell r="A186">
            <v>285920</v>
          </cell>
          <cell r="B186">
            <v>3371415.6030000001</v>
          </cell>
          <cell r="C186">
            <v>656129.21100000001</v>
          </cell>
          <cell r="D186">
            <v>0</v>
          </cell>
          <cell r="E186">
            <v>-10.744999999999999</v>
          </cell>
        </row>
        <row r="187">
          <cell r="A187">
            <v>285940</v>
          </cell>
          <cell r="B187">
            <v>3371427.4330000002</v>
          </cell>
          <cell r="C187">
            <v>656113.08600000001</v>
          </cell>
          <cell r="D187">
            <v>0</v>
          </cell>
          <cell r="E187">
            <v>-10.739000000000001</v>
          </cell>
        </row>
        <row r="188">
          <cell r="A188">
            <v>285960</v>
          </cell>
          <cell r="B188">
            <v>3371439.267</v>
          </cell>
          <cell r="C188">
            <v>656096.95700000005</v>
          </cell>
          <cell r="D188">
            <v>0</v>
          </cell>
          <cell r="E188">
            <v>-10.739000000000001</v>
          </cell>
        </row>
        <row r="189">
          <cell r="A189">
            <v>285980</v>
          </cell>
          <cell r="B189">
            <v>3371451.1009999998</v>
          </cell>
          <cell r="C189">
            <v>656080.826</v>
          </cell>
          <cell r="D189">
            <v>0</v>
          </cell>
          <cell r="E189">
            <v>-10.742000000000001</v>
          </cell>
        </row>
        <row r="190">
          <cell r="A190">
            <v>286000</v>
          </cell>
          <cell r="B190">
            <v>3371462.9309999999</v>
          </cell>
          <cell r="C190">
            <v>656064.701</v>
          </cell>
          <cell r="D190">
            <v>0</v>
          </cell>
          <cell r="E190">
            <v>-10.755000000000001</v>
          </cell>
        </row>
        <row r="191">
          <cell r="A191">
            <v>286020</v>
          </cell>
          <cell r="B191">
            <v>3371474.76</v>
          </cell>
          <cell r="C191">
            <v>656048.57700000005</v>
          </cell>
          <cell r="D191">
            <v>0</v>
          </cell>
          <cell r="E191">
            <v>-10.766999999999999</v>
          </cell>
        </row>
        <row r="192">
          <cell r="A192">
            <v>286040</v>
          </cell>
          <cell r="B192">
            <v>3371486.591</v>
          </cell>
          <cell r="C192">
            <v>656032.451</v>
          </cell>
          <cell r="D192">
            <v>0</v>
          </cell>
          <cell r="E192">
            <v>-10.773999999999999</v>
          </cell>
        </row>
        <row r="193">
          <cell r="A193">
            <v>286060</v>
          </cell>
          <cell r="B193">
            <v>3371498.4219999998</v>
          </cell>
          <cell r="C193">
            <v>656016.326</v>
          </cell>
          <cell r="D193">
            <v>0</v>
          </cell>
          <cell r="E193">
            <v>-10.782</v>
          </cell>
        </row>
        <row r="194">
          <cell r="A194">
            <v>286080</v>
          </cell>
          <cell r="B194">
            <v>3371510.2480000001</v>
          </cell>
          <cell r="C194">
            <v>656000.20600000001</v>
          </cell>
          <cell r="D194">
            <v>0</v>
          </cell>
          <cell r="E194">
            <v>-10.781000000000001</v>
          </cell>
        </row>
        <row r="195">
          <cell r="A195">
            <v>286100</v>
          </cell>
          <cell r="B195">
            <v>3371522.0780000002</v>
          </cell>
          <cell r="C195">
            <v>655984.07999999996</v>
          </cell>
          <cell r="D195">
            <v>0</v>
          </cell>
          <cell r="E195">
            <v>-10.775</v>
          </cell>
        </row>
        <row r="196">
          <cell r="A196">
            <v>286120</v>
          </cell>
          <cell r="B196">
            <v>3371533.8909999998</v>
          </cell>
          <cell r="C196">
            <v>655967.98</v>
          </cell>
          <cell r="D196">
            <v>0</v>
          </cell>
          <cell r="E196">
            <v>-10.733000000000001</v>
          </cell>
        </row>
        <row r="197">
          <cell r="A197">
            <v>286140</v>
          </cell>
          <cell r="B197">
            <v>3371545.7220000001</v>
          </cell>
          <cell r="C197">
            <v>655951.85400000005</v>
          </cell>
          <cell r="D197">
            <v>0</v>
          </cell>
          <cell r="E197">
            <v>-10.675000000000001</v>
          </cell>
        </row>
        <row r="198">
          <cell r="A198">
            <v>286160</v>
          </cell>
          <cell r="B198">
            <v>3371557.5860000001</v>
          </cell>
          <cell r="C198">
            <v>655935.68299999996</v>
          </cell>
          <cell r="D198">
            <v>0</v>
          </cell>
          <cell r="E198">
            <v>-10.682</v>
          </cell>
        </row>
        <row r="199">
          <cell r="A199">
            <v>286180</v>
          </cell>
          <cell r="B199">
            <v>3371569.4160000002</v>
          </cell>
          <cell r="C199">
            <v>655919.55700000003</v>
          </cell>
          <cell r="D199">
            <v>0</v>
          </cell>
          <cell r="E199">
            <v>-10.726000000000001</v>
          </cell>
        </row>
        <row r="200">
          <cell r="A200">
            <v>286200</v>
          </cell>
          <cell r="B200">
            <v>3371581.2319999998</v>
          </cell>
          <cell r="C200">
            <v>655903.451</v>
          </cell>
          <cell r="D200">
            <v>0</v>
          </cell>
          <cell r="E200">
            <v>-10.728999999999999</v>
          </cell>
        </row>
        <row r="201">
          <cell r="A201">
            <v>286220</v>
          </cell>
          <cell r="B201">
            <v>3371593.0630000001</v>
          </cell>
          <cell r="C201">
            <v>655887.326</v>
          </cell>
          <cell r="D201">
            <v>0</v>
          </cell>
          <cell r="E201">
            <v>-10.725</v>
          </cell>
        </row>
        <row r="202">
          <cell r="A202">
            <v>286240</v>
          </cell>
          <cell r="B202">
            <v>3371604.8990000002</v>
          </cell>
          <cell r="C202">
            <v>655871.19200000004</v>
          </cell>
          <cell r="D202">
            <v>0</v>
          </cell>
          <cell r="E202">
            <v>-10.737</v>
          </cell>
        </row>
        <row r="203">
          <cell r="A203">
            <v>286260</v>
          </cell>
          <cell r="B203">
            <v>3371616.7289999998</v>
          </cell>
          <cell r="C203">
            <v>655855.06700000004</v>
          </cell>
          <cell r="D203">
            <v>0</v>
          </cell>
          <cell r="E203">
            <v>-10.750999999999999</v>
          </cell>
        </row>
        <row r="204">
          <cell r="A204">
            <v>286280</v>
          </cell>
          <cell r="B204">
            <v>3371628.5109999999</v>
          </cell>
          <cell r="C204">
            <v>655839.00899999996</v>
          </cell>
          <cell r="D204">
            <v>0</v>
          </cell>
          <cell r="E204">
            <v>-10.653</v>
          </cell>
        </row>
        <row r="205">
          <cell r="A205">
            <v>286300</v>
          </cell>
          <cell r="B205">
            <v>3371640.324</v>
          </cell>
          <cell r="C205">
            <v>655822.90599999996</v>
          </cell>
          <cell r="D205">
            <v>0</v>
          </cell>
          <cell r="E205">
            <v>-10.475</v>
          </cell>
        </row>
        <row r="206">
          <cell r="A206">
            <v>286320</v>
          </cell>
          <cell r="B206">
            <v>3371652.09</v>
          </cell>
          <cell r="C206">
            <v>655806.83900000004</v>
          </cell>
          <cell r="D206">
            <v>0</v>
          </cell>
          <cell r="E206">
            <v>-10.210000000000001</v>
          </cell>
        </row>
        <row r="207">
          <cell r="A207">
            <v>286340</v>
          </cell>
          <cell r="B207">
            <v>3371663.824</v>
          </cell>
          <cell r="C207">
            <v>655790.68799999997</v>
          </cell>
          <cell r="D207">
            <v>0</v>
          </cell>
          <cell r="E207">
            <v>-9.9049999999999994</v>
          </cell>
        </row>
        <row r="208">
          <cell r="A208">
            <v>286360</v>
          </cell>
          <cell r="B208">
            <v>3371675.4180000001</v>
          </cell>
          <cell r="C208">
            <v>655774.48499999999</v>
          </cell>
          <cell r="D208">
            <v>0</v>
          </cell>
          <cell r="E208">
            <v>-9.6389999999999993</v>
          </cell>
        </row>
        <row r="209">
          <cell r="A209">
            <v>286380</v>
          </cell>
          <cell r="B209">
            <v>3371686.8870000001</v>
          </cell>
          <cell r="C209">
            <v>655758.125</v>
          </cell>
          <cell r="D209">
            <v>0</v>
          </cell>
          <cell r="E209">
            <v>-9.4610000000000003</v>
          </cell>
        </row>
        <row r="210">
          <cell r="A210">
            <v>286400</v>
          </cell>
          <cell r="B210">
            <v>3371698.2039999999</v>
          </cell>
          <cell r="C210">
            <v>655741.63500000001</v>
          </cell>
          <cell r="D210">
            <v>0</v>
          </cell>
          <cell r="E210">
            <v>-9.4429999999999996</v>
          </cell>
        </row>
        <row r="211">
          <cell r="A211">
            <v>286420</v>
          </cell>
          <cell r="B211">
            <v>3371709.2969999998</v>
          </cell>
          <cell r="C211">
            <v>655725.12100000004</v>
          </cell>
          <cell r="D211">
            <v>0</v>
          </cell>
          <cell r="E211">
            <v>-9.4220000000000006</v>
          </cell>
        </row>
        <row r="212">
          <cell r="A212">
            <v>286440</v>
          </cell>
          <cell r="B212">
            <v>3371720.2480000001</v>
          </cell>
          <cell r="C212">
            <v>655708.47400000005</v>
          </cell>
          <cell r="D212">
            <v>0</v>
          </cell>
          <cell r="E212">
            <v>-9.4689999999999994</v>
          </cell>
        </row>
        <row r="213">
          <cell r="A213">
            <v>286460</v>
          </cell>
          <cell r="B213">
            <v>3371731.0819999999</v>
          </cell>
          <cell r="C213">
            <v>655691.75</v>
          </cell>
          <cell r="D213">
            <v>0</v>
          </cell>
          <cell r="E213">
            <v>-9.5169999999999995</v>
          </cell>
        </row>
        <row r="214">
          <cell r="A214">
            <v>286480</v>
          </cell>
          <cell r="B214">
            <v>3371741.8539999998</v>
          </cell>
          <cell r="C214">
            <v>655674.98400000005</v>
          </cell>
          <cell r="D214">
            <v>0</v>
          </cell>
          <cell r="E214">
            <v>-9.5229999999999997</v>
          </cell>
        </row>
        <row r="215">
          <cell r="A215">
            <v>286500</v>
          </cell>
          <cell r="B215">
            <v>3371752.622</v>
          </cell>
          <cell r="C215">
            <v>655658.19200000004</v>
          </cell>
          <cell r="D215">
            <v>0</v>
          </cell>
          <cell r="E215">
            <v>-9.4290000000000003</v>
          </cell>
        </row>
        <row r="216">
          <cell r="A216">
            <v>286520</v>
          </cell>
          <cell r="B216">
            <v>3371763.42</v>
          </cell>
          <cell r="C216">
            <v>655641.35600000003</v>
          </cell>
          <cell r="D216">
            <v>0</v>
          </cell>
          <cell r="E216">
            <v>-9.2379999999999995</v>
          </cell>
        </row>
        <row r="217">
          <cell r="A217">
            <v>286540</v>
          </cell>
          <cell r="B217">
            <v>3371774.21</v>
          </cell>
          <cell r="C217">
            <v>655624.53</v>
          </cell>
          <cell r="D217">
            <v>0</v>
          </cell>
          <cell r="E217">
            <v>-9.02</v>
          </cell>
        </row>
        <row r="218">
          <cell r="A218">
            <v>286560</v>
          </cell>
          <cell r="B218">
            <v>3371785.0129999998</v>
          </cell>
          <cell r="C218">
            <v>655607.68500000006</v>
          </cell>
          <cell r="D218">
            <v>0</v>
          </cell>
          <cell r="E218">
            <v>-8.8160000000000007</v>
          </cell>
        </row>
        <row r="219">
          <cell r="A219">
            <v>286580</v>
          </cell>
          <cell r="B219">
            <v>3371795.81</v>
          </cell>
          <cell r="C219">
            <v>655590.84900000005</v>
          </cell>
          <cell r="D219">
            <v>0</v>
          </cell>
          <cell r="E219">
            <v>-8.6210000000000004</v>
          </cell>
        </row>
        <row r="220">
          <cell r="A220">
            <v>286600</v>
          </cell>
          <cell r="B220">
            <v>3371806.6129999999</v>
          </cell>
          <cell r="C220">
            <v>655574.00300000003</v>
          </cell>
          <cell r="D220">
            <v>0</v>
          </cell>
          <cell r="E220">
            <v>-8.4429999999999996</v>
          </cell>
        </row>
        <row r="221">
          <cell r="A221">
            <v>286620</v>
          </cell>
          <cell r="B221">
            <v>3371817.41</v>
          </cell>
          <cell r="C221">
            <v>655557.16700000002</v>
          </cell>
          <cell r="D221">
            <v>0</v>
          </cell>
          <cell r="E221">
            <v>-8.2750000000000004</v>
          </cell>
        </row>
        <row r="222">
          <cell r="A222">
            <v>286640</v>
          </cell>
          <cell r="B222">
            <v>3371828.2549999999</v>
          </cell>
          <cell r="C222">
            <v>655540.25699999998</v>
          </cell>
          <cell r="D222">
            <v>0</v>
          </cell>
          <cell r="E222">
            <v>-8.1449999999999996</v>
          </cell>
        </row>
        <row r="223">
          <cell r="A223">
            <v>286660</v>
          </cell>
          <cell r="B223">
            <v>3371839.0619999999</v>
          </cell>
          <cell r="C223">
            <v>655523.429</v>
          </cell>
          <cell r="D223">
            <v>0</v>
          </cell>
          <cell r="E223">
            <v>-8.1809999999999992</v>
          </cell>
        </row>
        <row r="224">
          <cell r="A224">
            <v>286680</v>
          </cell>
          <cell r="B224">
            <v>3371849.9670000002</v>
          </cell>
          <cell r="C224">
            <v>655506.57700000005</v>
          </cell>
          <cell r="D224">
            <v>0</v>
          </cell>
          <cell r="E224">
            <v>-8.202</v>
          </cell>
        </row>
        <row r="225">
          <cell r="A225">
            <v>286700</v>
          </cell>
          <cell r="B225">
            <v>3371860.9360000002</v>
          </cell>
          <cell r="C225">
            <v>655489.853</v>
          </cell>
          <cell r="D225">
            <v>0</v>
          </cell>
          <cell r="E225">
            <v>-8.2210000000000001</v>
          </cell>
        </row>
        <row r="226">
          <cell r="A226">
            <v>286720</v>
          </cell>
          <cell r="B226">
            <v>3371872.0559999999</v>
          </cell>
          <cell r="C226">
            <v>655473.14300000004</v>
          </cell>
          <cell r="D226">
            <v>0</v>
          </cell>
          <cell r="E226">
            <v>-8.2140000000000004</v>
          </cell>
        </row>
        <row r="227">
          <cell r="A227">
            <v>286740</v>
          </cell>
          <cell r="B227">
            <v>3371883.2769999998</v>
          </cell>
          <cell r="C227">
            <v>655456.52500000002</v>
          </cell>
          <cell r="D227">
            <v>0</v>
          </cell>
          <cell r="E227">
            <v>-8.234</v>
          </cell>
        </row>
        <row r="228">
          <cell r="A228">
            <v>286760</v>
          </cell>
          <cell r="B228">
            <v>3371894.6120000002</v>
          </cell>
          <cell r="C228">
            <v>655439.97600000002</v>
          </cell>
          <cell r="D228">
            <v>0</v>
          </cell>
          <cell r="E228">
            <v>-8.25</v>
          </cell>
        </row>
        <row r="229">
          <cell r="A229">
            <v>286780</v>
          </cell>
          <cell r="B229">
            <v>3371906.0550000002</v>
          </cell>
          <cell r="C229">
            <v>655423.50800000003</v>
          </cell>
          <cell r="D229">
            <v>0</v>
          </cell>
          <cell r="E229">
            <v>-8.2390000000000008</v>
          </cell>
        </row>
        <row r="230">
          <cell r="A230">
            <v>286800</v>
          </cell>
          <cell r="B230">
            <v>3371917.6120000002</v>
          </cell>
          <cell r="C230">
            <v>655407.11100000003</v>
          </cell>
          <cell r="D230">
            <v>0</v>
          </cell>
          <cell r="E230">
            <v>-8.1980000000000004</v>
          </cell>
        </row>
        <row r="231">
          <cell r="A231">
            <v>286820</v>
          </cell>
          <cell r="B231">
            <v>3371929.2420000001</v>
          </cell>
          <cell r="C231">
            <v>655390.84</v>
          </cell>
          <cell r="D231">
            <v>0</v>
          </cell>
          <cell r="E231">
            <v>-8.1379999999999999</v>
          </cell>
        </row>
        <row r="232">
          <cell r="A232">
            <v>286840</v>
          </cell>
          <cell r="B232">
            <v>3371941.0019999999</v>
          </cell>
          <cell r="C232">
            <v>655374.603</v>
          </cell>
          <cell r="D232">
            <v>0</v>
          </cell>
          <cell r="E232">
            <v>-8.0670000000000002</v>
          </cell>
        </row>
        <row r="233">
          <cell r="A233">
            <v>286860</v>
          </cell>
          <cell r="B233">
            <v>3371952.8119999999</v>
          </cell>
          <cell r="C233">
            <v>655358.41700000002</v>
          </cell>
          <cell r="D233">
            <v>0</v>
          </cell>
          <cell r="E233">
            <v>-8.0120000000000005</v>
          </cell>
        </row>
        <row r="234">
          <cell r="A234">
            <v>286880</v>
          </cell>
          <cell r="B234">
            <v>3371964.6329999999</v>
          </cell>
          <cell r="C234">
            <v>655342.23800000001</v>
          </cell>
          <cell r="D234">
            <v>0</v>
          </cell>
          <cell r="E234">
            <v>-8.0350000000000001</v>
          </cell>
        </row>
        <row r="235">
          <cell r="A235">
            <v>286900</v>
          </cell>
          <cell r="B235">
            <v>3371976.432</v>
          </cell>
          <cell r="C235">
            <v>655326.08900000004</v>
          </cell>
          <cell r="D235">
            <v>0</v>
          </cell>
          <cell r="E235">
            <v>-8.07</v>
          </cell>
        </row>
        <row r="236">
          <cell r="A236">
            <v>286920</v>
          </cell>
          <cell r="B236">
            <v>3371988.2409999999</v>
          </cell>
          <cell r="C236">
            <v>655309.92599999998</v>
          </cell>
          <cell r="D236">
            <v>0</v>
          </cell>
          <cell r="E236">
            <v>-8.1359999999999992</v>
          </cell>
        </row>
        <row r="237">
          <cell r="A237">
            <v>286940</v>
          </cell>
          <cell r="B237">
            <v>3372000.04</v>
          </cell>
          <cell r="C237">
            <v>655293.777</v>
          </cell>
          <cell r="D237">
            <v>0</v>
          </cell>
          <cell r="E237">
            <v>-8.2129999999999992</v>
          </cell>
        </row>
        <row r="238">
          <cell r="A238">
            <v>286960</v>
          </cell>
          <cell r="B238">
            <v>3372011.8339999998</v>
          </cell>
          <cell r="C238">
            <v>655277.63399999996</v>
          </cell>
          <cell r="D238">
            <v>0</v>
          </cell>
          <cell r="E238">
            <v>-8.2739999999999991</v>
          </cell>
        </row>
        <row r="239">
          <cell r="A239">
            <v>286980</v>
          </cell>
          <cell r="B239">
            <v>3372023.6329999999</v>
          </cell>
          <cell r="C239">
            <v>655261.48499999999</v>
          </cell>
          <cell r="D239">
            <v>0</v>
          </cell>
          <cell r="E239">
            <v>-8.3309999999999995</v>
          </cell>
        </row>
        <row r="240">
          <cell r="A240">
            <v>287000</v>
          </cell>
          <cell r="B240">
            <v>3372035.4350000001</v>
          </cell>
          <cell r="C240">
            <v>655245.33299999998</v>
          </cell>
          <cell r="D240">
            <v>0</v>
          </cell>
          <cell r="E240">
            <v>-8.3960000000000008</v>
          </cell>
        </row>
        <row r="241">
          <cell r="A241">
            <v>287020</v>
          </cell>
          <cell r="B241">
            <v>3372047.233</v>
          </cell>
          <cell r="C241">
            <v>655229.18400000001</v>
          </cell>
          <cell r="D241">
            <v>0</v>
          </cell>
          <cell r="E241">
            <v>-8.4649999999999999</v>
          </cell>
        </row>
        <row r="242">
          <cell r="A242">
            <v>287040</v>
          </cell>
          <cell r="B242">
            <v>3372059.0320000001</v>
          </cell>
          <cell r="C242">
            <v>655213.03500000003</v>
          </cell>
          <cell r="D242">
            <v>0</v>
          </cell>
          <cell r="E242">
            <v>-8.532</v>
          </cell>
        </row>
        <row r="243">
          <cell r="A243">
            <v>287060</v>
          </cell>
          <cell r="B243">
            <v>3372070.8309999998</v>
          </cell>
          <cell r="C243">
            <v>655196.88600000006</v>
          </cell>
          <cell r="D243">
            <v>0</v>
          </cell>
          <cell r="E243">
            <v>-8.5980000000000008</v>
          </cell>
        </row>
        <row r="244">
          <cell r="A244">
            <v>287080</v>
          </cell>
          <cell r="B244">
            <v>3372082.6239999998</v>
          </cell>
          <cell r="C244">
            <v>655180.73300000001</v>
          </cell>
          <cell r="D244">
            <v>0</v>
          </cell>
          <cell r="E244">
            <v>-8.6720000000000006</v>
          </cell>
        </row>
        <row r="245">
          <cell r="A245">
            <v>287100</v>
          </cell>
          <cell r="B245">
            <v>3372094.372</v>
          </cell>
          <cell r="C245">
            <v>655164.54599999997</v>
          </cell>
          <cell r="D245">
            <v>0</v>
          </cell>
          <cell r="E245">
            <v>-8.8030000000000008</v>
          </cell>
        </row>
        <row r="246">
          <cell r="A246">
            <v>287120</v>
          </cell>
          <cell r="B246">
            <v>3372106.0329999998</v>
          </cell>
          <cell r="C246">
            <v>655148.31299999997</v>
          </cell>
          <cell r="D246">
            <v>0</v>
          </cell>
          <cell r="E246">
            <v>-9.0210000000000008</v>
          </cell>
        </row>
        <row r="247">
          <cell r="A247">
            <v>287140</v>
          </cell>
          <cell r="B247">
            <v>3372117.622</v>
          </cell>
          <cell r="C247">
            <v>655132.01</v>
          </cell>
          <cell r="D247">
            <v>0</v>
          </cell>
          <cell r="E247">
            <v>-9.3170000000000002</v>
          </cell>
        </row>
        <row r="248">
          <cell r="A248">
            <v>287160</v>
          </cell>
          <cell r="B248">
            <v>3372129.1359999999</v>
          </cell>
          <cell r="C248">
            <v>655115.64300000004</v>
          </cell>
          <cell r="D248">
            <v>0</v>
          </cell>
          <cell r="E248">
            <v>-9.718</v>
          </cell>
        </row>
        <row r="249">
          <cell r="A249">
            <v>287180</v>
          </cell>
          <cell r="B249">
            <v>3372140.5989999999</v>
          </cell>
          <cell r="C249">
            <v>655099.24800000002</v>
          </cell>
          <cell r="D249">
            <v>0</v>
          </cell>
          <cell r="E249">
            <v>-10.186</v>
          </cell>
        </row>
        <row r="250">
          <cell r="A250">
            <v>287200</v>
          </cell>
          <cell r="B250">
            <v>3372152.051</v>
          </cell>
          <cell r="C250">
            <v>655082.85600000003</v>
          </cell>
          <cell r="D250">
            <v>0</v>
          </cell>
          <cell r="E250">
            <v>-10.653</v>
          </cell>
        </row>
        <row r="251">
          <cell r="A251">
            <v>287220</v>
          </cell>
          <cell r="B251">
            <v>3372163.5079999999</v>
          </cell>
          <cell r="C251">
            <v>655066.45700000005</v>
          </cell>
          <cell r="D251">
            <v>0</v>
          </cell>
          <cell r="E251">
            <v>-11.109</v>
          </cell>
        </row>
        <row r="252">
          <cell r="A252">
            <v>287240</v>
          </cell>
          <cell r="B252">
            <v>3372174.9759999998</v>
          </cell>
          <cell r="C252">
            <v>655050.04299999995</v>
          </cell>
          <cell r="D252">
            <v>0</v>
          </cell>
          <cell r="E252">
            <v>-11.584</v>
          </cell>
        </row>
        <row r="253">
          <cell r="A253">
            <v>287260</v>
          </cell>
          <cell r="B253">
            <v>3372186.4339999999</v>
          </cell>
          <cell r="C253">
            <v>655033.64300000004</v>
          </cell>
          <cell r="D253">
            <v>0</v>
          </cell>
          <cell r="E253">
            <v>-12.071999999999999</v>
          </cell>
        </row>
        <row r="254">
          <cell r="A254">
            <v>287280</v>
          </cell>
          <cell r="B254">
            <v>3372197.8810000001</v>
          </cell>
          <cell r="C254">
            <v>655017.25699999998</v>
          </cell>
          <cell r="D254">
            <v>0</v>
          </cell>
          <cell r="E254">
            <v>-12.545999999999999</v>
          </cell>
        </row>
        <row r="255">
          <cell r="A255">
            <v>287300</v>
          </cell>
          <cell r="B255">
            <v>3372209.34</v>
          </cell>
          <cell r="C255">
            <v>655000.85900000005</v>
          </cell>
          <cell r="D255">
            <v>0</v>
          </cell>
          <cell r="E255">
            <v>-13.003</v>
          </cell>
        </row>
        <row r="256">
          <cell r="A256">
            <v>287320</v>
          </cell>
          <cell r="B256">
            <v>3372220.8330000001</v>
          </cell>
          <cell r="C256">
            <v>654984.47100000002</v>
          </cell>
          <cell r="D256">
            <v>0</v>
          </cell>
          <cell r="E256">
            <v>-13.433999999999999</v>
          </cell>
        </row>
        <row r="257">
          <cell r="A257">
            <v>287340</v>
          </cell>
          <cell r="B257">
            <v>3372232.372</v>
          </cell>
          <cell r="C257">
            <v>654968.14099999995</v>
          </cell>
          <cell r="D257">
            <v>0</v>
          </cell>
          <cell r="E257">
            <v>-13.804</v>
          </cell>
        </row>
        <row r="258">
          <cell r="A258">
            <v>287360</v>
          </cell>
          <cell r="B258">
            <v>3372243.9759999998</v>
          </cell>
          <cell r="C258">
            <v>654951.85</v>
          </cell>
          <cell r="D258">
            <v>0</v>
          </cell>
          <cell r="E258">
            <v>-14.086</v>
          </cell>
        </row>
        <row r="259">
          <cell r="A259">
            <v>287380</v>
          </cell>
          <cell r="B259">
            <v>3372255.6260000002</v>
          </cell>
          <cell r="C259">
            <v>654935.62600000005</v>
          </cell>
          <cell r="D259">
            <v>0</v>
          </cell>
          <cell r="E259">
            <v>-14.269</v>
          </cell>
        </row>
        <row r="260">
          <cell r="A260">
            <v>287400</v>
          </cell>
          <cell r="B260">
            <v>3372267.389</v>
          </cell>
          <cell r="C260">
            <v>654919.375</v>
          </cell>
          <cell r="D260">
            <v>0</v>
          </cell>
          <cell r="E260">
            <v>-14.428000000000001</v>
          </cell>
        </row>
        <row r="261">
          <cell r="A261">
            <v>287420</v>
          </cell>
          <cell r="B261">
            <v>3372279.179</v>
          </cell>
          <cell r="C261">
            <v>654903.21900000004</v>
          </cell>
          <cell r="D261">
            <v>0</v>
          </cell>
          <cell r="E261">
            <v>-14.526999999999999</v>
          </cell>
        </row>
        <row r="262">
          <cell r="A262">
            <v>287440</v>
          </cell>
          <cell r="B262">
            <v>3372291.003</v>
          </cell>
          <cell r="C262">
            <v>654887.12100000004</v>
          </cell>
          <cell r="D262">
            <v>0</v>
          </cell>
          <cell r="E262">
            <v>-14.542</v>
          </cell>
        </row>
        <row r="263">
          <cell r="A263">
            <v>287460</v>
          </cell>
          <cell r="B263">
            <v>3372302.858</v>
          </cell>
          <cell r="C263">
            <v>654871.01300000004</v>
          </cell>
          <cell r="D263">
            <v>0</v>
          </cell>
          <cell r="E263">
            <v>-14.523</v>
          </cell>
        </row>
        <row r="264">
          <cell r="A264">
            <v>287480</v>
          </cell>
          <cell r="B264">
            <v>3372314.713</v>
          </cell>
          <cell r="C264">
            <v>654854.90599999996</v>
          </cell>
          <cell r="D264">
            <v>0</v>
          </cell>
          <cell r="E264">
            <v>-14.505000000000001</v>
          </cell>
        </row>
        <row r="265">
          <cell r="A265">
            <v>287500</v>
          </cell>
          <cell r="B265">
            <v>3372326.5690000001</v>
          </cell>
          <cell r="C265">
            <v>654838.79799999995</v>
          </cell>
          <cell r="D265">
            <v>0</v>
          </cell>
          <cell r="E265">
            <v>-14.487</v>
          </cell>
        </row>
        <row r="266">
          <cell r="A266">
            <v>287520</v>
          </cell>
          <cell r="B266">
            <v>3372338.41</v>
          </cell>
          <cell r="C266">
            <v>654822.71</v>
          </cell>
          <cell r="D266">
            <v>0</v>
          </cell>
          <cell r="E266">
            <v>-14.446</v>
          </cell>
        </row>
        <row r="267">
          <cell r="A267">
            <v>287540</v>
          </cell>
          <cell r="B267">
            <v>3372350.3050000002</v>
          </cell>
          <cell r="C267">
            <v>654806.549</v>
          </cell>
          <cell r="D267">
            <v>0</v>
          </cell>
          <cell r="E267">
            <v>-14.41</v>
          </cell>
        </row>
        <row r="268">
          <cell r="A268">
            <v>287560</v>
          </cell>
          <cell r="B268">
            <v>3372362.1609999998</v>
          </cell>
          <cell r="C268">
            <v>654790.44200000004</v>
          </cell>
          <cell r="D268">
            <v>0</v>
          </cell>
          <cell r="E268">
            <v>-14.451000000000001</v>
          </cell>
        </row>
        <row r="269">
          <cell r="A269">
            <v>287580</v>
          </cell>
          <cell r="B269">
            <v>3372373.9720000001</v>
          </cell>
          <cell r="C269">
            <v>654774.39500000002</v>
          </cell>
          <cell r="D269">
            <v>0</v>
          </cell>
          <cell r="E269">
            <v>-14.442</v>
          </cell>
        </row>
        <row r="270">
          <cell r="A270">
            <v>287600</v>
          </cell>
          <cell r="B270">
            <v>3372385.86</v>
          </cell>
          <cell r="C270">
            <v>654758.24300000002</v>
          </cell>
          <cell r="D270">
            <v>0</v>
          </cell>
          <cell r="E270">
            <v>-14.388</v>
          </cell>
        </row>
        <row r="271">
          <cell r="A271">
            <v>287620</v>
          </cell>
          <cell r="B271">
            <v>3372397.7149999999</v>
          </cell>
          <cell r="C271">
            <v>654742.13600000006</v>
          </cell>
          <cell r="D271">
            <v>0</v>
          </cell>
          <cell r="E271">
            <v>-14.401</v>
          </cell>
        </row>
        <row r="272">
          <cell r="A272">
            <v>287640</v>
          </cell>
          <cell r="B272">
            <v>3372409.57</v>
          </cell>
          <cell r="C272">
            <v>654726.02800000005</v>
          </cell>
          <cell r="D272">
            <v>0</v>
          </cell>
          <cell r="E272">
            <v>-14.414999999999999</v>
          </cell>
        </row>
        <row r="273">
          <cell r="A273">
            <v>287660</v>
          </cell>
          <cell r="B273">
            <v>3372421.4109999998</v>
          </cell>
          <cell r="C273">
            <v>654709.94099999999</v>
          </cell>
          <cell r="D273">
            <v>0</v>
          </cell>
          <cell r="E273">
            <v>-14.401</v>
          </cell>
        </row>
        <row r="274">
          <cell r="A274">
            <v>287680</v>
          </cell>
          <cell r="B274">
            <v>3372433.287</v>
          </cell>
          <cell r="C274">
            <v>654693.80599999998</v>
          </cell>
          <cell r="D274">
            <v>0</v>
          </cell>
          <cell r="E274">
            <v>-14.393000000000001</v>
          </cell>
        </row>
        <row r="275">
          <cell r="A275">
            <v>287700</v>
          </cell>
          <cell r="B275">
            <v>3372445.128</v>
          </cell>
          <cell r="C275">
            <v>654677.71799999999</v>
          </cell>
          <cell r="D275">
            <v>0</v>
          </cell>
          <cell r="E275">
            <v>-14.403</v>
          </cell>
        </row>
        <row r="276">
          <cell r="A276">
            <v>287720</v>
          </cell>
          <cell r="B276">
            <v>3372456.9819999998</v>
          </cell>
          <cell r="C276">
            <v>654661.61300000001</v>
          </cell>
          <cell r="D276">
            <v>0</v>
          </cell>
          <cell r="E276">
            <v>-14.401999999999999</v>
          </cell>
        </row>
        <row r="277">
          <cell r="A277">
            <v>287740</v>
          </cell>
          <cell r="B277">
            <v>3372468.8369999998</v>
          </cell>
          <cell r="C277">
            <v>654645.50600000005</v>
          </cell>
          <cell r="D277">
            <v>0</v>
          </cell>
          <cell r="E277">
            <v>-14.391</v>
          </cell>
        </row>
        <row r="278">
          <cell r="A278">
            <v>287760</v>
          </cell>
          <cell r="B278">
            <v>3372480.6889999998</v>
          </cell>
          <cell r="C278">
            <v>654629.40300000005</v>
          </cell>
          <cell r="D278">
            <v>0</v>
          </cell>
          <cell r="E278">
            <v>-14.372999999999999</v>
          </cell>
        </row>
        <row r="279">
          <cell r="A279">
            <v>287780</v>
          </cell>
          <cell r="B279">
            <v>3372492.5449999999</v>
          </cell>
          <cell r="C279">
            <v>654613.29599999997</v>
          </cell>
          <cell r="D279">
            <v>0</v>
          </cell>
          <cell r="E279">
            <v>-14.353999999999999</v>
          </cell>
        </row>
        <row r="280">
          <cell r="A280">
            <v>287800</v>
          </cell>
          <cell r="B280">
            <v>3372504.42</v>
          </cell>
          <cell r="C280">
            <v>654597.21400000004</v>
          </cell>
          <cell r="D280">
            <v>0</v>
          </cell>
          <cell r="E280">
            <v>-14.292999999999999</v>
          </cell>
        </row>
        <row r="281">
          <cell r="A281">
            <v>287820</v>
          </cell>
          <cell r="B281">
            <v>3372516.3939999999</v>
          </cell>
          <cell r="C281">
            <v>654581.19200000004</v>
          </cell>
          <cell r="D281">
            <v>0</v>
          </cell>
          <cell r="E281">
            <v>-14.116</v>
          </cell>
        </row>
        <row r="282">
          <cell r="A282">
            <v>287840</v>
          </cell>
          <cell r="B282">
            <v>3372528.5109999999</v>
          </cell>
          <cell r="C282">
            <v>654565.26599999995</v>
          </cell>
          <cell r="D282">
            <v>0</v>
          </cell>
          <cell r="E282">
            <v>-13.779</v>
          </cell>
        </row>
        <row r="283">
          <cell r="A283">
            <v>287860</v>
          </cell>
          <cell r="B283">
            <v>3372540.7510000002</v>
          </cell>
          <cell r="C283">
            <v>654549.43000000005</v>
          </cell>
          <cell r="D283">
            <v>0</v>
          </cell>
          <cell r="E283">
            <v>-13.294</v>
          </cell>
        </row>
        <row r="284">
          <cell r="A284">
            <v>287880</v>
          </cell>
          <cell r="B284">
            <v>3372553.0419999999</v>
          </cell>
          <cell r="C284">
            <v>654533.64300000004</v>
          </cell>
          <cell r="D284">
            <v>0</v>
          </cell>
          <cell r="E284">
            <v>-12.747</v>
          </cell>
        </row>
        <row r="285">
          <cell r="A285">
            <v>287900</v>
          </cell>
          <cell r="B285">
            <v>3372565.3309999998</v>
          </cell>
          <cell r="C285">
            <v>654517.87199999997</v>
          </cell>
          <cell r="D285">
            <v>0</v>
          </cell>
          <cell r="E285">
            <v>-12.186</v>
          </cell>
        </row>
        <row r="286">
          <cell r="A286">
            <v>287920</v>
          </cell>
          <cell r="B286">
            <v>3372577.6290000002</v>
          </cell>
          <cell r="C286">
            <v>654502.09</v>
          </cell>
          <cell r="D286">
            <v>0</v>
          </cell>
          <cell r="E286">
            <v>-11.609</v>
          </cell>
        </row>
        <row r="287">
          <cell r="A287">
            <v>287940</v>
          </cell>
          <cell r="B287">
            <v>3372589.9360000002</v>
          </cell>
          <cell r="C287">
            <v>654486.29500000004</v>
          </cell>
          <cell r="D287">
            <v>0</v>
          </cell>
          <cell r="E287">
            <v>-11.032</v>
          </cell>
        </row>
        <row r="288">
          <cell r="A288">
            <v>287960</v>
          </cell>
          <cell r="B288">
            <v>3372602.236</v>
          </cell>
          <cell r="C288">
            <v>654470.5</v>
          </cell>
          <cell r="D288">
            <v>0</v>
          </cell>
          <cell r="E288">
            <v>-10.488</v>
          </cell>
        </row>
        <row r="289">
          <cell r="A289">
            <v>287980</v>
          </cell>
          <cell r="B289">
            <v>3372614.5049999999</v>
          </cell>
          <cell r="C289">
            <v>654454.66299999994</v>
          </cell>
          <cell r="D289">
            <v>0</v>
          </cell>
          <cell r="E289">
            <v>-9.9860000000000007</v>
          </cell>
        </row>
        <row r="290">
          <cell r="A290">
            <v>288000</v>
          </cell>
          <cell r="B290">
            <v>3372626.7149999999</v>
          </cell>
          <cell r="C290">
            <v>654438.73899999994</v>
          </cell>
          <cell r="D290">
            <v>0</v>
          </cell>
          <cell r="E290">
            <v>-9.5790000000000006</v>
          </cell>
        </row>
        <row r="291">
          <cell r="A291">
            <v>288020</v>
          </cell>
          <cell r="B291">
            <v>3372638.8289999999</v>
          </cell>
          <cell r="C291">
            <v>654422.72</v>
          </cell>
          <cell r="D291">
            <v>0</v>
          </cell>
          <cell r="E291">
            <v>-9.3040000000000003</v>
          </cell>
        </row>
        <row r="292">
          <cell r="A292">
            <v>288040</v>
          </cell>
          <cell r="B292">
            <v>3372650.8420000002</v>
          </cell>
          <cell r="C292">
            <v>654406.62600000005</v>
          </cell>
          <cell r="D292">
            <v>0</v>
          </cell>
          <cell r="E292">
            <v>-9.1560000000000006</v>
          </cell>
        </row>
        <row r="293">
          <cell r="A293">
            <v>288060</v>
          </cell>
          <cell r="B293">
            <v>3372662.7749999999</v>
          </cell>
          <cell r="C293">
            <v>654390.50199999998</v>
          </cell>
          <cell r="D293">
            <v>0</v>
          </cell>
          <cell r="E293">
            <v>-9.0730000000000004</v>
          </cell>
        </row>
        <row r="294">
          <cell r="A294">
            <v>288080</v>
          </cell>
          <cell r="B294">
            <v>3372674.682</v>
          </cell>
          <cell r="C294">
            <v>654374.36300000001</v>
          </cell>
          <cell r="D294">
            <v>0</v>
          </cell>
          <cell r="E294">
            <v>-9.016</v>
          </cell>
        </row>
        <row r="295">
          <cell r="A295">
            <v>288100</v>
          </cell>
          <cell r="B295">
            <v>3372686.5980000002</v>
          </cell>
          <cell r="C295">
            <v>654358.21200000006</v>
          </cell>
          <cell r="D295">
            <v>0</v>
          </cell>
          <cell r="E295">
            <v>-8.9920000000000009</v>
          </cell>
        </row>
        <row r="296">
          <cell r="A296">
            <v>288120</v>
          </cell>
          <cell r="B296">
            <v>3372698.5040000002</v>
          </cell>
          <cell r="C296">
            <v>654342.07200000004</v>
          </cell>
          <cell r="D296">
            <v>0</v>
          </cell>
          <cell r="E296">
            <v>-8.9700000000000006</v>
          </cell>
        </row>
        <row r="297">
          <cell r="A297">
            <v>288140</v>
          </cell>
          <cell r="B297">
            <v>3372710.4130000002</v>
          </cell>
          <cell r="C297">
            <v>654325.929</v>
          </cell>
          <cell r="D297">
            <v>0</v>
          </cell>
          <cell r="E297">
            <v>-8.9559999999999995</v>
          </cell>
        </row>
        <row r="298">
          <cell r="A298">
            <v>288160</v>
          </cell>
          <cell r="B298">
            <v>3372722.3190000001</v>
          </cell>
          <cell r="C298">
            <v>654309.79</v>
          </cell>
          <cell r="D298">
            <v>0</v>
          </cell>
          <cell r="E298">
            <v>-8.9440000000000008</v>
          </cell>
        </row>
        <row r="299">
          <cell r="A299">
            <v>288180</v>
          </cell>
          <cell r="B299">
            <v>3372734.2239999999</v>
          </cell>
          <cell r="C299">
            <v>654293.652</v>
          </cell>
          <cell r="D299">
            <v>0</v>
          </cell>
          <cell r="E299">
            <v>-8.93</v>
          </cell>
        </row>
        <row r="300">
          <cell r="A300">
            <v>288200</v>
          </cell>
          <cell r="B300">
            <v>3372746.128</v>
          </cell>
          <cell r="C300">
            <v>654277.51500000001</v>
          </cell>
          <cell r="D300">
            <v>0</v>
          </cell>
          <cell r="E300">
            <v>-8.9149999999999991</v>
          </cell>
        </row>
        <row r="301">
          <cell r="A301">
            <v>288220</v>
          </cell>
          <cell r="B301">
            <v>3372758.0469999998</v>
          </cell>
          <cell r="C301">
            <v>654261.36100000003</v>
          </cell>
          <cell r="D301">
            <v>0</v>
          </cell>
          <cell r="E301">
            <v>-8.9550000000000001</v>
          </cell>
        </row>
        <row r="302">
          <cell r="A302">
            <v>288240</v>
          </cell>
          <cell r="B302">
            <v>3372769.9339999999</v>
          </cell>
          <cell r="C302">
            <v>654245.29700000002</v>
          </cell>
          <cell r="D302">
            <v>0</v>
          </cell>
          <cell r="E302">
            <v>-9.0030000000000001</v>
          </cell>
        </row>
        <row r="303">
          <cell r="A303">
            <v>288260</v>
          </cell>
          <cell r="B303">
            <v>3372781.9410000001</v>
          </cell>
          <cell r="C303">
            <v>654229.21699999995</v>
          </cell>
          <cell r="D303">
            <v>0</v>
          </cell>
          <cell r="E303">
            <v>-9.1910000000000007</v>
          </cell>
        </row>
        <row r="304">
          <cell r="A304">
            <v>288280</v>
          </cell>
          <cell r="B304">
            <v>3372794.02</v>
          </cell>
          <cell r="C304">
            <v>654213.28399999999</v>
          </cell>
          <cell r="D304">
            <v>0</v>
          </cell>
          <cell r="E304">
            <v>-9.2910000000000004</v>
          </cell>
        </row>
        <row r="305">
          <cell r="A305">
            <v>288300</v>
          </cell>
          <cell r="B305">
            <v>3372806.1779999998</v>
          </cell>
          <cell r="C305">
            <v>654197.53599999996</v>
          </cell>
          <cell r="D305">
            <v>0</v>
          </cell>
          <cell r="E305">
            <v>-9.3719999999999999</v>
          </cell>
        </row>
        <row r="306">
          <cell r="A306">
            <v>288320</v>
          </cell>
          <cell r="B306">
            <v>3372818.5210000002</v>
          </cell>
          <cell r="C306">
            <v>654181.83600000001</v>
          </cell>
          <cell r="D306">
            <v>0</v>
          </cell>
          <cell r="E306">
            <v>-9.3979999999999997</v>
          </cell>
        </row>
        <row r="307">
          <cell r="A307">
            <v>288340</v>
          </cell>
          <cell r="B307">
            <v>3372830.9440000001</v>
          </cell>
          <cell r="C307">
            <v>654166.321</v>
          </cell>
          <cell r="D307">
            <v>0</v>
          </cell>
          <cell r="E307">
            <v>-9.3010000000000002</v>
          </cell>
        </row>
        <row r="308">
          <cell r="A308">
            <v>288360</v>
          </cell>
          <cell r="B308">
            <v>3372843.56</v>
          </cell>
          <cell r="C308">
            <v>654150.84600000002</v>
          </cell>
          <cell r="D308">
            <v>0</v>
          </cell>
          <cell r="E308">
            <v>-9.2260000000000009</v>
          </cell>
        </row>
        <row r="309">
          <cell r="A309">
            <v>288380</v>
          </cell>
          <cell r="B309">
            <v>3372856.304</v>
          </cell>
          <cell r="C309">
            <v>654135.49600000004</v>
          </cell>
          <cell r="D309">
            <v>0</v>
          </cell>
          <cell r="E309">
            <v>-9.0359999999999996</v>
          </cell>
        </row>
        <row r="310">
          <cell r="A310">
            <v>288400</v>
          </cell>
          <cell r="B310">
            <v>3372869.1609999998</v>
          </cell>
          <cell r="C310">
            <v>654120.26599999995</v>
          </cell>
          <cell r="D310">
            <v>0</v>
          </cell>
          <cell r="E310">
            <v>-8.7650000000000006</v>
          </cell>
        </row>
        <row r="311">
          <cell r="A311">
            <v>288420</v>
          </cell>
          <cell r="B311">
            <v>3372882.1740000001</v>
          </cell>
          <cell r="C311">
            <v>654105.02899999998</v>
          </cell>
          <cell r="D311">
            <v>0</v>
          </cell>
          <cell r="E311">
            <v>-8.4779999999999998</v>
          </cell>
        </row>
        <row r="312">
          <cell r="A312">
            <v>288440</v>
          </cell>
          <cell r="B312">
            <v>3372895.2519999999</v>
          </cell>
          <cell r="C312">
            <v>654089.80000000005</v>
          </cell>
          <cell r="D312">
            <v>0</v>
          </cell>
          <cell r="E312">
            <v>-8.2750000000000004</v>
          </cell>
        </row>
        <row r="313">
          <cell r="A313">
            <v>288460</v>
          </cell>
          <cell r="B313">
            <v>3372908.3289999999</v>
          </cell>
          <cell r="C313">
            <v>654074.58400000003</v>
          </cell>
          <cell r="D313">
            <v>0</v>
          </cell>
          <cell r="E313">
            <v>-8.1509999999999998</v>
          </cell>
        </row>
        <row r="314">
          <cell r="A314">
            <v>288480</v>
          </cell>
          <cell r="B314">
            <v>3372921.37</v>
          </cell>
          <cell r="C314">
            <v>654059.41099999996</v>
          </cell>
          <cell r="D314">
            <v>0</v>
          </cell>
          <cell r="E314">
            <v>-8.14</v>
          </cell>
        </row>
        <row r="315">
          <cell r="A315">
            <v>288500</v>
          </cell>
          <cell r="B315">
            <v>3372934.409</v>
          </cell>
          <cell r="C315">
            <v>654044.23600000003</v>
          </cell>
          <cell r="D315">
            <v>0</v>
          </cell>
          <cell r="E315">
            <v>-8.1319999999999997</v>
          </cell>
        </row>
        <row r="316">
          <cell r="A316">
            <v>288520</v>
          </cell>
          <cell r="B316">
            <v>3372947.4190000002</v>
          </cell>
          <cell r="C316">
            <v>654029.03399999999</v>
          </cell>
          <cell r="D316">
            <v>0</v>
          </cell>
          <cell r="E316">
            <v>-8.1630000000000003</v>
          </cell>
        </row>
        <row r="317">
          <cell r="A317">
            <v>288540</v>
          </cell>
          <cell r="B317">
            <v>3372960.3360000001</v>
          </cell>
          <cell r="C317">
            <v>654013.78300000005</v>
          </cell>
          <cell r="D317">
            <v>0</v>
          </cell>
          <cell r="E317">
            <v>-8.2590000000000003</v>
          </cell>
        </row>
        <row r="318">
          <cell r="A318">
            <v>288560</v>
          </cell>
          <cell r="B318">
            <v>3372973.1439999999</v>
          </cell>
          <cell r="C318">
            <v>653998.42500000005</v>
          </cell>
          <cell r="D318">
            <v>0</v>
          </cell>
          <cell r="E318">
            <v>-8.4979999999999993</v>
          </cell>
        </row>
        <row r="319">
          <cell r="A319">
            <v>288580</v>
          </cell>
          <cell r="B319">
            <v>3372985.8119999999</v>
          </cell>
          <cell r="C319">
            <v>653982.98499999999</v>
          </cell>
          <cell r="D319">
            <v>0</v>
          </cell>
          <cell r="E319">
            <v>-8.8800000000000008</v>
          </cell>
        </row>
        <row r="320">
          <cell r="A320">
            <v>288600</v>
          </cell>
          <cell r="B320">
            <v>3372998.3420000002</v>
          </cell>
          <cell r="C320">
            <v>653967.46200000006</v>
          </cell>
          <cell r="D320">
            <v>0</v>
          </cell>
          <cell r="E320">
            <v>-9.2279999999999998</v>
          </cell>
        </row>
        <row r="321">
          <cell r="A321">
            <v>288620</v>
          </cell>
          <cell r="B321">
            <v>3373010.7239999999</v>
          </cell>
          <cell r="C321">
            <v>653951.87199999997</v>
          </cell>
          <cell r="D321">
            <v>0</v>
          </cell>
          <cell r="E321">
            <v>-9.5860000000000003</v>
          </cell>
        </row>
        <row r="322">
          <cell r="A322">
            <v>288640</v>
          </cell>
          <cell r="B322">
            <v>3373023.04</v>
          </cell>
          <cell r="C322">
            <v>653936.10499999998</v>
          </cell>
          <cell r="D322">
            <v>0</v>
          </cell>
          <cell r="E322">
            <v>-10.035</v>
          </cell>
        </row>
        <row r="323">
          <cell r="A323">
            <v>288660</v>
          </cell>
          <cell r="B323">
            <v>3373035.1490000002</v>
          </cell>
          <cell r="C323">
            <v>653920.34699999995</v>
          </cell>
          <cell r="D323">
            <v>0</v>
          </cell>
          <cell r="E323">
            <v>-10.503</v>
          </cell>
        </row>
        <row r="324">
          <cell r="A324">
            <v>288680</v>
          </cell>
          <cell r="B324">
            <v>3373047.2149999999</v>
          </cell>
          <cell r="C324">
            <v>653904.38399999996</v>
          </cell>
          <cell r="D324">
            <v>0</v>
          </cell>
          <cell r="E324">
            <v>-11.004</v>
          </cell>
        </row>
        <row r="325">
          <cell r="A325">
            <v>288700</v>
          </cell>
          <cell r="B325">
            <v>3373059.1060000001</v>
          </cell>
          <cell r="C325">
            <v>653888.38699999999</v>
          </cell>
          <cell r="D325">
            <v>0</v>
          </cell>
          <cell r="E325">
            <v>-11.573</v>
          </cell>
        </row>
        <row r="326">
          <cell r="A326">
            <v>288720</v>
          </cell>
          <cell r="B326">
            <v>3373070.9190000002</v>
          </cell>
          <cell r="C326">
            <v>653872.23</v>
          </cell>
          <cell r="D326">
            <v>0</v>
          </cell>
          <cell r="E326">
            <v>-12.25</v>
          </cell>
        </row>
        <row r="327">
          <cell r="A327">
            <v>288740</v>
          </cell>
          <cell r="B327">
            <v>3373082.5419999999</v>
          </cell>
          <cell r="C327">
            <v>653856.12800000003</v>
          </cell>
          <cell r="D327">
            <v>0</v>
          </cell>
          <cell r="E327">
            <v>-12.808</v>
          </cell>
        </row>
        <row r="328">
          <cell r="A328">
            <v>288760</v>
          </cell>
          <cell r="B328">
            <v>3373094.1439999999</v>
          </cell>
          <cell r="C328">
            <v>653839.95499999996</v>
          </cell>
          <cell r="D328">
            <v>0</v>
          </cell>
          <cell r="E328">
            <v>-13.365</v>
          </cell>
        </row>
        <row r="329">
          <cell r="A329">
            <v>288780</v>
          </cell>
          <cell r="B329">
            <v>3373105.7969999998</v>
          </cell>
          <cell r="C329">
            <v>653823.69400000002</v>
          </cell>
          <cell r="D329">
            <v>0</v>
          </cell>
          <cell r="E329">
            <v>-13.824</v>
          </cell>
        </row>
        <row r="330">
          <cell r="A330">
            <v>288800</v>
          </cell>
          <cell r="B330">
            <v>3373117.3769999999</v>
          </cell>
          <cell r="C330">
            <v>653807.53799999994</v>
          </cell>
          <cell r="D330">
            <v>0</v>
          </cell>
          <cell r="E330">
            <v>-14.23</v>
          </cell>
        </row>
        <row r="331">
          <cell r="A331">
            <v>288820</v>
          </cell>
          <cell r="B331">
            <v>3373129.0279999999</v>
          </cell>
          <cell r="C331">
            <v>653791.28</v>
          </cell>
          <cell r="D331">
            <v>0</v>
          </cell>
          <cell r="E331">
            <v>-14.513</v>
          </cell>
        </row>
        <row r="332">
          <cell r="A332">
            <v>288840</v>
          </cell>
          <cell r="B332">
            <v>3373140.6660000002</v>
          </cell>
          <cell r="C332">
            <v>653775.04099999997</v>
          </cell>
          <cell r="D332">
            <v>0</v>
          </cell>
          <cell r="E332">
            <v>-14.782999999999999</v>
          </cell>
        </row>
        <row r="333">
          <cell r="A333">
            <v>288860</v>
          </cell>
          <cell r="B333">
            <v>3373152.318</v>
          </cell>
          <cell r="C333">
            <v>653758.78399999999</v>
          </cell>
          <cell r="D333">
            <v>0</v>
          </cell>
          <cell r="E333">
            <v>-15.034000000000001</v>
          </cell>
        </row>
        <row r="334">
          <cell r="A334">
            <v>288880</v>
          </cell>
          <cell r="B334">
            <v>3373163.969</v>
          </cell>
          <cell r="C334">
            <v>653742.52599999995</v>
          </cell>
          <cell r="D334">
            <v>0</v>
          </cell>
          <cell r="E334">
            <v>-15.285</v>
          </cell>
        </row>
        <row r="335">
          <cell r="A335">
            <v>288900</v>
          </cell>
          <cell r="B335">
            <v>3373175.6269999999</v>
          </cell>
          <cell r="C335">
            <v>653726.27399999998</v>
          </cell>
          <cell r="D335">
            <v>0</v>
          </cell>
          <cell r="E335">
            <v>-15.526999999999999</v>
          </cell>
        </row>
        <row r="336">
          <cell r="A336">
            <v>288920</v>
          </cell>
          <cell r="B336">
            <v>3373187.3259999999</v>
          </cell>
          <cell r="C336">
            <v>653710.06999999995</v>
          </cell>
          <cell r="D336">
            <v>0</v>
          </cell>
          <cell r="E336">
            <v>-15.69</v>
          </cell>
        </row>
        <row r="337">
          <cell r="A337">
            <v>288940</v>
          </cell>
          <cell r="B337">
            <v>3373199.1290000002</v>
          </cell>
          <cell r="C337">
            <v>653693.924</v>
          </cell>
          <cell r="D337">
            <v>0</v>
          </cell>
          <cell r="E337">
            <v>-15.733000000000001</v>
          </cell>
        </row>
        <row r="338">
          <cell r="A338">
            <v>288960</v>
          </cell>
          <cell r="B338">
            <v>3373211.0440000002</v>
          </cell>
          <cell r="C338">
            <v>653677.85100000002</v>
          </cell>
          <cell r="D338">
            <v>0</v>
          </cell>
          <cell r="E338">
            <v>-15.651</v>
          </cell>
        </row>
        <row r="339">
          <cell r="A339">
            <v>288980</v>
          </cell>
          <cell r="B339">
            <v>3373223.0619999999</v>
          </cell>
          <cell r="C339">
            <v>653661.86300000001</v>
          </cell>
          <cell r="D339">
            <v>0</v>
          </cell>
          <cell r="E339">
            <v>-15.436</v>
          </cell>
        </row>
        <row r="340">
          <cell r="A340">
            <v>289000</v>
          </cell>
          <cell r="B340">
            <v>3373235.18</v>
          </cell>
          <cell r="C340">
            <v>653645.96100000001</v>
          </cell>
          <cell r="D340">
            <v>0</v>
          </cell>
          <cell r="E340">
            <v>-15.08</v>
          </cell>
        </row>
        <row r="341">
          <cell r="A341">
            <v>289020</v>
          </cell>
          <cell r="B341">
            <v>3373247.4</v>
          </cell>
          <cell r="C341">
            <v>653630.07900000003</v>
          </cell>
          <cell r="D341">
            <v>0</v>
          </cell>
          <cell r="E341">
            <v>-14.628</v>
          </cell>
        </row>
        <row r="342">
          <cell r="A342">
            <v>289037.92700000003</v>
          </cell>
          <cell r="B342">
            <v>3373258.3569999998</v>
          </cell>
          <cell r="C342">
            <v>653615.88399999996</v>
          </cell>
          <cell r="D342">
            <v>0</v>
          </cell>
          <cell r="E342">
            <v>-14.236000000000001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B7E94-A8D2-4F18-9D18-44EBFCB260ED}">
  <dimension ref="A1:IV397"/>
  <sheetViews>
    <sheetView view="pageBreakPreview" zoomScaleNormal="100" zoomScaleSheetLayoutView="100" workbookViewId="0">
      <pane xSplit="2" ySplit="3" topLeftCell="C381" activePane="bottomRight" state="frozen"/>
      <selection pane="topRight" activeCell="B1" sqref="B1"/>
      <selection pane="bottomLeft" activeCell="A4" sqref="A4"/>
      <selection pane="bottomRight" activeCell="B346" sqref="B346:B397"/>
    </sheetView>
  </sheetViews>
  <sheetFormatPr defaultColWidth="11.5703125" defaultRowHeight="15" x14ac:dyDescent="0.25"/>
  <cols>
    <col min="1" max="1" width="14.28515625" style="5" bestFit="1" customWidth="1"/>
    <col min="2" max="2" width="14.42578125" style="2" customWidth="1"/>
    <col min="3" max="3" width="15" style="2" customWidth="1"/>
    <col min="4" max="4" width="12.140625" style="2" bestFit="1" customWidth="1"/>
    <col min="5" max="6" width="11.5703125" style="2"/>
    <col min="7" max="7" width="14.28515625" style="2" customWidth="1"/>
    <col min="8" max="8" width="12.28515625" style="2" bestFit="1" customWidth="1"/>
    <col min="9" max="10" width="13" style="2" customWidth="1"/>
    <col min="11" max="12" width="11.42578125" style="2" customWidth="1"/>
    <col min="13" max="15" width="10" style="2" customWidth="1"/>
    <col min="16" max="16" width="10" style="44" customWidth="1"/>
    <col min="17" max="18" width="10" style="2" customWidth="1"/>
    <col min="19" max="19" width="12" style="44" customWidth="1"/>
    <col min="20" max="20" width="10.7109375" style="4" customWidth="1"/>
    <col min="21" max="21" width="11.85546875" style="4" customWidth="1"/>
    <col min="22" max="22" width="14.28515625" style="4" customWidth="1"/>
    <col min="23" max="254" width="11.5703125" style="4"/>
    <col min="255" max="257" width="11.5703125" style="5"/>
    <col min="258" max="258" width="14.42578125" style="5" customWidth="1"/>
    <col min="259" max="259" width="15" style="5" customWidth="1"/>
    <col min="260" max="260" width="12.140625" style="5" bestFit="1" customWidth="1"/>
    <col min="261" max="262" width="11.5703125" style="5"/>
    <col min="263" max="263" width="14.28515625" style="5" customWidth="1"/>
    <col min="264" max="264" width="10.140625" style="5" customWidth="1"/>
    <col min="265" max="266" width="13" style="5" customWidth="1"/>
    <col min="267" max="268" width="11.42578125" style="5" customWidth="1"/>
    <col min="269" max="274" width="10" style="5" customWidth="1"/>
    <col min="275" max="275" width="12" style="5" customWidth="1"/>
    <col min="276" max="276" width="8.85546875" style="5" customWidth="1"/>
    <col min="277" max="277" width="9.85546875" style="5" customWidth="1"/>
    <col min="278" max="513" width="11.5703125" style="5"/>
    <col min="514" max="514" width="14.42578125" style="5" customWidth="1"/>
    <col min="515" max="515" width="15" style="5" customWidth="1"/>
    <col min="516" max="516" width="12.140625" style="5" bestFit="1" customWidth="1"/>
    <col min="517" max="518" width="11.5703125" style="5"/>
    <col min="519" max="519" width="14.28515625" style="5" customWidth="1"/>
    <col min="520" max="520" width="10.140625" style="5" customWidth="1"/>
    <col min="521" max="522" width="13" style="5" customWidth="1"/>
    <col min="523" max="524" width="11.42578125" style="5" customWidth="1"/>
    <col min="525" max="530" width="10" style="5" customWidth="1"/>
    <col min="531" max="531" width="12" style="5" customWidth="1"/>
    <col min="532" max="532" width="8.85546875" style="5" customWidth="1"/>
    <col min="533" max="533" width="9.85546875" style="5" customWidth="1"/>
    <col min="534" max="769" width="11.5703125" style="5"/>
    <col min="770" max="770" width="14.42578125" style="5" customWidth="1"/>
    <col min="771" max="771" width="15" style="5" customWidth="1"/>
    <col min="772" max="772" width="12.140625" style="5" bestFit="1" customWidth="1"/>
    <col min="773" max="774" width="11.5703125" style="5"/>
    <col min="775" max="775" width="14.28515625" style="5" customWidth="1"/>
    <col min="776" max="776" width="10.140625" style="5" customWidth="1"/>
    <col min="777" max="778" width="13" style="5" customWidth="1"/>
    <col min="779" max="780" width="11.42578125" style="5" customWidth="1"/>
    <col min="781" max="786" width="10" style="5" customWidth="1"/>
    <col min="787" max="787" width="12" style="5" customWidth="1"/>
    <col min="788" max="788" width="8.85546875" style="5" customWidth="1"/>
    <col min="789" max="789" width="9.85546875" style="5" customWidth="1"/>
    <col min="790" max="1025" width="11.5703125" style="5"/>
    <col min="1026" max="1026" width="14.42578125" style="5" customWidth="1"/>
    <col min="1027" max="1027" width="15" style="5" customWidth="1"/>
    <col min="1028" max="1028" width="12.140625" style="5" bestFit="1" customWidth="1"/>
    <col min="1029" max="1030" width="11.5703125" style="5"/>
    <col min="1031" max="1031" width="14.28515625" style="5" customWidth="1"/>
    <col min="1032" max="1032" width="10.140625" style="5" customWidth="1"/>
    <col min="1033" max="1034" width="13" style="5" customWidth="1"/>
    <col min="1035" max="1036" width="11.42578125" style="5" customWidth="1"/>
    <col min="1037" max="1042" width="10" style="5" customWidth="1"/>
    <col min="1043" max="1043" width="12" style="5" customWidth="1"/>
    <col min="1044" max="1044" width="8.85546875" style="5" customWidth="1"/>
    <col min="1045" max="1045" width="9.85546875" style="5" customWidth="1"/>
    <col min="1046" max="1281" width="11.5703125" style="5"/>
    <col min="1282" max="1282" width="14.42578125" style="5" customWidth="1"/>
    <col min="1283" max="1283" width="15" style="5" customWidth="1"/>
    <col min="1284" max="1284" width="12.140625" style="5" bestFit="1" customWidth="1"/>
    <col min="1285" max="1286" width="11.5703125" style="5"/>
    <col min="1287" max="1287" width="14.28515625" style="5" customWidth="1"/>
    <col min="1288" max="1288" width="10.140625" style="5" customWidth="1"/>
    <col min="1289" max="1290" width="13" style="5" customWidth="1"/>
    <col min="1291" max="1292" width="11.42578125" style="5" customWidth="1"/>
    <col min="1293" max="1298" width="10" style="5" customWidth="1"/>
    <col min="1299" max="1299" width="12" style="5" customWidth="1"/>
    <col min="1300" max="1300" width="8.85546875" style="5" customWidth="1"/>
    <col min="1301" max="1301" width="9.85546875" style="5" customWidth="1"/>
    <col min="1302" max="1537" width="11.5703125" style="5"/>
    <col min="1538" max="1538" width="14.42578125" style="5" customWidth="1"/>
    <col min="1539" max="1539" width="15" style="5" customWidth="1"/>
    <col min="1540" max="1540" width="12.140625" style="5" bestFit="1" customWidth="1"/>
    <col min="1541" max="1542" width="11.5703125" style="5"/>
    <col min="1543" max="1543" width="14.28515625" style="5" customWidth="1"/>
    <col min="1544" max="1544" width="10.140625" style="5" customWidth="1"/>
    <col min="1545" max="1546" width="13" style="5" customWidth="1"/>
    <col min="1547" max="1548" width="11.42578125" style="5" customWidth="1"/>
    <col min="1549" max="1554" width="10" style="5" customWidth="1"/>
    <col min="1555" max="1555" width="12" style="5" customWidth="1"/>
    <col min="1556" max="1556" width="8.85546875" style="5" customWidth="1"/>
    <col min="1557" max="1557" width="9.85546875" style="5" customWidth="1"/>
    <col min="1558" max="1793" width="11.5703125" style="5"/>
    <col min="1794" max="1794" width="14.42578125" style="5" customWidth="1"/>
    <col min="1795" max="1795" width="15" style="5" customWidth="1"/>
    <col min="1796" max="1796" width="12.140625" style="5" bestFit="1" customWidth="1"/>
    <col min="1797" max="1798" width="11.5703125" style="5"/>
    <col min="1799" max="1799" width="14.28515625" style="5" customWidth="1"/>
    <col min="1800" max="1800" width="10.140625" style="5" customWidth="1"/>
    <col min="1801" max="1802" width="13" style="5" customWidth="1"/>
    <col min="1803" max="1804" width="11.42578125" style="5" customWidth="1"/>
    <col min="1805" max="1810" width="10" style="5" customWidth="1"/>
    <col min="1811" max="1811" width="12" style="5" customWidth="1"/>
    <col min="1812" max="1812" width="8.85546875" style="5" customWidth="1"/>
    <col min="1813" max="1813" width="9.85546875" style="5" customWidth="1"/>
    <col min="1814" max="2049" width="11.5703125" style="5"/>
    <col min="2050" max="2050" width="14.42578125" style="5" customWidth="1"/>
    <col min="2051" max="2051" width="15" style="5" customWidth="1"/>
    <col min="2052" max="2052" width="12.140625" style="5" bestFit="1" customWidth="1"/>
    <col min="2053" max="2054" width="11.5703125" style="5"/>
    <col min="2055" max="2055" width="14.28515625" style="5" customWidth="1"/>
    <col min="2056" max="2056" width="10.140625" style="5" customWidth="1"/>
    <col min="2057" max="2058" width="13" style="5" customWidth="1"/>
    <col min="2059" max="2060" width="11.42578125" style="5" customWidth="1"/>
    <col min="2061" max="2066" width="10" style="5" customWidth="1"/>
    <col min="2067" max="2067" width="12" style="5" customWidth="1"/>
    <col min="2068" max="2068" width="8.85546875" style="5" customWidth="1"/>
    <col min="2069" max="2069" width="9.85546875" style="5" customWidth="1"/>
    <col min="2070" max="2305" width="11.5703125" style="5"/>
    <col min="2306" max="2306" width="14.42578125" style="5" customWidth="1"/>
    <col min="2307" max="2307" width="15" style="5" customWidth="1"/>
    <col min="2308" max="2308" width="12.140625" style="5" bestFit="1" customWidth="1"/>
    <col min="2309" max="2310" width="11.5703125" style="5"/>
    <col min="2311" max="2311" width="14.28515625" style="5" customWidth="1"/>
    <col min="2312" max="2312" width="10.140625" style="5" customWidth="1"/>
    <col min="2313" max="2314" width="13" style="5" customWidth="1"/>
    <col min="2315" max="2316" width="11.42578125" style="5" customWidth="1"/>
    <col min="2317" max="2322" width="10" style="5" customWidth="1"/>
    <col min="2323" max="2323" width="12" style="5" customWidth="1"/>
    <col min="2324" max="2324" width="8.85546875" style="5" customWidth="1"/>
    <col min="2325" max="2325" width="9.85546875" style="5" customWidth="1"/>
    <col min="2326" max="2561" width="11.5703125" style="5"/>
    <col min="2562" max="2562" width="14.42578125" style="5" customWidth="1"/>
    <col min="2563" max="2563" width="15" style="5" customWidth="1"/>
    <col min="2564" max="2564" width="12.140625" style="5" bestFit="1" customWidth="1"/>
    <col min="2565" max="2566" width="11.5703125" style="5"/>
    <col min="2567" max="2567" width="14.28515625" style="5" customWidth="1"/>
    <col min="2568" max="2568" width="10.140625" style="5" customWidth="1"/>
    <col min="2569" max="2570" width="13" style="5" customWidth="1"/>
    <col min="2571" max="2572" width="11.42578125" style="5" customWidth="1"/>
    <col min="2573" max="2578" width="10" style="5" customWidth="1"/>
    <col min="2579" max="2579" width="12" style="5" customWidth="1"/>
    <col min="2580" max="2580" width="8.85546875" style="5" customWidth="1"/>
    <col min="2581" max="2581" width="9.85546875" style="5" customWidth="1"/>
    <col min="2582" max="2817" width="11.5703125" style="5"/>
    <col min="2818" max="2818" width="14.42578125" style="5" customWidth="1"/>
    <col min="2819" max="2819" width="15" style="5" customWidth="1"/>
    <col min="2820" max="2820" width="12.140625" style="5" bestFit="1" customWidth="1"/>
    <col min="2821" max="2822" width="11.5703125" style="5"/>
    <col min="2823" max="2823" width="14.28515625" style="5" customWidth="1"/>
    <col min="2824" max="2824" width="10.140625" style="5" customWidth="1"/>
    <col min="2825" max="2826" width="13" style="5" customWidth="1"/>
    <col min="2827" max="2828" width="11.42578125" style="5" customWidth="1"/>
    <col min="2829" max="2834" width="10" style="5" customWidth="1"/>
    <col min="2835" max="2835" width="12" style="5" customWidth="1"/>
    <col min="2836" max="2836" width="8.85546875" style="5" customWidth="1"/>
    <col min="2837" max="2837" width="9.85546875" style="5" customWidth="1"/>
    <col min="2838" max="3073" width="11.5703125" style="5"/>
    <col min="3074" max="3074" width="14.42578125" style="5" customWidth="1"/>
    <col min="3075" max="3075" width="15" style="5" customWidth="1"/>
    <col min="3076" max="3076" width="12.140625" style="5" bestFit="1" customWidth="1"/>
    <col min="3077" max="3078" width="11.5703125" style="5"/>
    <col min="3079" max="3079" width="14.28515625" style="5" customWidth="1"/>
    <col min="3080" max="3080" width="10.140625" style="5" customWidth="1"/>
    <col min="3081" max="3082" width="13" style="5" customWidth="1"/>
    <col min="3083" max="3084" width="11.42578125" style="5" customWidth="1"/>
    <col min="3085" max="3090" width="10" style="5" customWidth="1"/>
    <col min="3091" max="3091" width="12" style="5" customWidth="1"/>
    <col min="3092" max="3092" width="8.85546875" style="5" customWidth="1"/>
    <col min="3093" max="3093" width="9.85546875" style="5" customWidth="1"/>
    <col min="3094" max="3329" width="11.5703125" style="5"/>
    <col min="3330" max="3330" width="14.42578125" style="5" customWidth="1"/>
    <col min="3331" max="3331" width="15" style="5" customWidth="1"/>
    <col min="3332" max="3332" width="12.140625" style="5" bestFit="1" customWidth="1"/>
    <col min="3333" max="3334" width="11.5703125" style="5"/>
    <col min="3335" max="3335" width="14.28515625" style="5" customWidth="1"/>
    <col min="3336" max="3336" width="10.140625" style="5" customWidth="1"/>
    <col min="3337" max="3338" width="13" style="5" customWidth="1"/>
    <col min="3339" max="3340" width="11.42578125" style="5" customWidth="1"/>
    <col min="3341" max="3346" width="10" style="5" customWidth="1"/>
    <col min="3347" max="3347" width="12" style="5" customWidth="1"/>
    <col min="3348" max="3348" width="8.85546875" style="5" customWidth="1"/>
    <col min="3349" max="3349" width="9.85546875" style="5" customWidth="1"/>
    <col min="3350" max="3585" width="11.5703125" style="5"/>
    <col min="3586" max="3586" width="14.42578125" style="5" customWidth="1"/>
    <col min="3587" max="3587" width="15" style="5" customWidth="1"/>
    <col min="3588" max="3588" width="12.140625" style="5" bestFit="1" customWidth="1"/>
    <col min="3589" max="3590" width="11.5703125" style="5"/>
    <col min="3591" max="3591" width="14.28515625" style="5" customWidth="1"/>
    <col min="3592" max="3592" width="10.140625" style="5" customWidth="1"/>
    <col min="3593" max="3594" width="13" style="5" customWidth="1"/>
    <col min="3595" max="3596" width="11.42578125" style="5" customWidth="1"/>
    <col min="3597" max="3602" width="10" style="5" customWidth="1"/>
    <col min="3603" max="3603" width="12" style="5" customWidth="1"/>
    <col min="3604" max="3604" width="8.85546875" style="5" customWidth="1"/>
    <col min="3605" max="3605" width="9.85546875" style="5" customWidth="1"/>
    <col min="3606" max="3841" width="11.5703125" style="5"/>
    <col min="3842" max="3842" width="14.42578125" style="5" customWidth="1"/>
    <col min="3843" max="3843" width="15" style="5" customWidth="1"/>
    <col min="3844" max="3844" width="12.140625" style="5" bestFit="1" customWidth="1"/>
    <col min="3845" max="3846" width="11.5703125" style="5"/>
    <col min="3847" max="3847" width="14.28515625" style="5" customWidth="1"/>
    <col min="3848" max="3848" width="10.140625" style="5" customWidth="1"/>
    <col min="3849" max="3850" width="13" style="5" customWidth="1"/>
    <col min="3851" max="3852" width="11.42578125" style="5" customWidth="1"/>
    <col min="3853" max="3858" width="10" style="5" customWidth="1"/>
    <col min="3859" max="3859" width="12" style="5" customWidth="1"/>
    <col min="3860" max="3860" width="8.85546875" style="5" customWidth="1"/>
    <col min="3861" max="3861" width="9.85546875" style="5" customWidth="1"/>
    <col min="3862" max="4097" width="11.5703125" style="5"/>
    <col min="4098" max="4098" width="14.42578125" style="5" customWidth="1"/>
    <col min="4099" max="4099" width="15" style="5" customWidth="1"/>
    <col min="4100" max="4100" width="12.140625" style="5" bestFit="1" customWidth="1"/>
    <col min="4101" max="4102" width="11.5703125" style="5"/>
    <col min="4103" max="4103" width="14.28515625" style="5" customWidth="1"/>
    <col min="4104" max="4104" width="10.140625" style="5" customWidth="1"/>
    <col min="4105" max="4106" width="13" style="5" customWidth="1"/>
    <col min="4107" max="4108" width="11.42578125" style="5" customWidth="1"/>
    <col min="4109" max="4114" width="10" style="5" customWidth="1"/>
    <col min="4115" max="4115" width="12" style="5" customWidth="1"/>
    <col min="4116" max="4116" width="8.85546875" style="5" customWidth="1"/>
    <col min="4117" max="4117" width="9.85546875" style="5" customWidth="1"/>
    <col min="4118" max="4353" width="11.5703125" style="5"/>
    <col min="4354" max="4354" width="14.42578125" style="5" customWidth="1"/>
    <col min="4355" max="4355" width="15" style="5" customWidth="1"/>
    <col min="4356" max="4356" width="12.140625" style="5" bestFit="1" customWidth="1"/>
    <col min="4357" max="4358" width="11.5703125" style="5"/>
    <col min="4359" max="4359" width="14.28515625" style="5" customWidth="1"/>
    <col min="4360" max="4360" width="10.140625" style="5" customWidth="1"/>
    <col min="4361" max="4362" width="13" style="5" customWidth="1"/>
    <col min="4363" max="4364" width="11.42578125" style="5" customWidth="1"/>
    <col min="4365" max="4370" width="10" style="5" customWidth="1"/>
    <col min="4371" max="4371" width="12" style="5" customWidth="1"/>
    <col min="4372" max="4372" width="8.85546875" style="5" customWidth="1"/>
    <col min="4373" max="4373" width="9.85546875" style="5" customWidth="1"/>
    <col min="4374" max="4609" width="11.5703125" style="5"/>
    <col min="4610" max="4610" width="14.42578125" style="5" customWidth="1"/>
    <col min="4611" max="4611" width="15" style="5" customWidth="1"/>
    <col min="4612" max="4612" width="12.140625" style="5" bestFit="1" customWidth="1"/>
    <col min="4613" max="4614" width="11.5703125" style="5"/>
    <col min="4615" max="4615" width="14.28515625" style="5" customWidth="1"/>
    <col min="4616" max="4616" width="10.140625" style="5" customWidth="1"/>
    <col min="4617" max="4618" width="13" style="5" customWidth="1"/>
    <col min="4619" max="4620" width="11.42578125" style="5" customWidth="1"/>
    <col min="4621" max="4626" width="10" style="5" customWidth="1"/>
    <col min="4627" max="4627" width="12" style="5" customWidth="1"/>
    <col min="4628" max="4628" width="8.85546875" style="5" customWidth="1"/>
    <col min="4629" max="4629" width="9.85546875" style="5" customWidth="1"/>
    <col min="4630" max="4865" width="11.5703125" style="5"/>
    <col min="4866" max="4866" width="14.42578125" style="5" customWidth="1"/>
    <col min="4867" max="4867" width="15" style="5" customWidth="1"/>
    <col min="4868" max="4868" width="12.140625" style="5" bestFit="1" customWidth="1"/>
    <col min="4869" max="4870" width="11.5703125" style="5"/>
    <col min="4871" max="4871" width="14.28515625" style="5" customWidth="1"/>
    <col min="4872" max="4872" width="10.140625" style="5" customWidth="1"/>
    <col min="4873" max="4874" width="13" style="5" customWidth="1"/>
    <col min="4875" max="4876" width="11.42578125" style="5" customWidth="1"/>
    <col min="4877" max="4882" width="10" style="5" customWidth="1"/>
    <col min="4883" max="4883" width="12" style="5" customWidth="1"/>
    <col min="4884" max="4884" width="8.85546875" style="5" customWidth="1"/>
    <col min="4885" max="4885" width="9.85546875" style="5" customWidth="1"/>
    <col min="4886" max="5121" width="11.5703125" style="5"/>
    <col min="5122" max="5122" width="14.42578125" style="5" customWidth="1"/>
    <col min="5123" max="5123" width="15" style="5" customWidth="1"/>
    <col min="5124" max="5124" width="12.140625" style="5" bestFit="1" customWidth="1"/>
    <col min="5125" max="5126" width="11.5703125" style="5"/>
    <col min="5127" max="5127" width="14.28515625" style="5" customWidth="1"/>
    <col min="5128" max="5128" width="10.140625" style="5" customWidth="1"/>
    <col min="5129" max="5130" width="13" style="5" customWidth="1"/>
    <col min="5131" max="5132" width="11.42578125" style="5" customWidth="1"/>
    <col min="5133" max="5138" width="10" style="5" customWidth="1"/>
    <col min="5139" max="5139" width="12" style="5" customWidth="1"/>
    <col min="5140" max="5140" width="8.85546875" style="5" customWidth="1"/>
    <col min="5141" max="5141" width="9.85546875" style="5" customWidth="1"/>
    <col min="5142" max="5377" width="11.5703125" style="5"/>
    <col min="5378" max="5378" width="14.42578125" style="5" customWidth="1"/>
    <col min="5379" max="5379" width="15" style="5" customWidth="1"/>
    <col min="5380" max="5380" width="12.140625" style="5" bestFit="1" customWidth="1"/>
    <col min="5381" max="5382" width="11.5703125" style="5"/>
    <col min="5383" max="5383" width="14.28515625" style="5" customWidth="1"/>
    <col min="5384" max="5384" width="10.140625" style="5" customWidth="1"/>
    <col min="5385" max="5386" width="13" style="5" customWidth="1"/>
    <col min="5387" max="5388" width="11.42578125" style="5" customWidth="1"/>
    <col min="5389" max="5394" width="10" style="5" customWidth="1"/>
    <col min="5395" max="5395" width="12" style="5" customWidth="1"/>
    <col min="5396" max="5396" width="8.85546875" style="5" customWidth="1"/>
    <col min="5397" max="5397" width="9.85546875" style="5" customWidth="1"/>
    <col min="5398" max="5633" width="11.5703125" style="5"/>
    <col min="5634" max="5634" width="14.42578125" style="5" customWidth="1"/>
    <col min="5635" max="5635" width="15" style="5" customWidth="1"/>
    <col min="5636" max="5636" width="12.140625" style="5" bestFit="1" customWidth="1"/>
    <col min="5637" max="5638" width="11.5703125" style="5"/>
    <col min="5639" max="5639" width="14.28515625" style="5" customWidth="1"/>
    <col min="5640" max="5640" width="10.140625" style="5" customWidth="1"/>
    <col min="5641" max="5642" width="13" style="5" customWidth="1"/>
    <col min="5643" max="5644" width="11.42578125" style="5" customWidth="1"/>
    <col min="5645" max="5650" width="10" style="5" customWidth="1"/>
    <col min="5651" max="5651" width="12" style="5" customWidth="1"/>
    <col min="5652" max="5652" width="8.85546875" style="5" customWidth="1"/>
    <col min="5653" max="5653" width="9.85546875" style="5" customWidth="1"/>
    <col min="5654" max="5889" width="11.5703125" style="5"/>
    <col min="5890" max="5890" width="14.42578125" style="5" customWidth="1"/>
    <col min="5891" max="5891" width="15" style="5" customWidth="1"/>
    <col min="5892" max="5892" width="12.140625" style="5" bestFit="1" customWidth="1"/>
    <col min="5893" max="5894" width="11.5703125" style="5"/>
    <col min="5895" max="5895" width="14.28515625" style="5" customWidth="1"/>
    <col min="5896" max="5896" width="10.140625" style="5" customWidth="1"/>
    <col min="5897" max="5898" width="13" style="5" customWidth="1"/>
    <col min="5899" max="5900" width="11.42578125" style="5" customWidth="1"/>
    <col min="5901" max="5906" width="10" style="5" customWidth="1"/>
    <col min="5907" max="5907" width="12" style="5" customWidth="1"/>
    <col min="5908" max="5908" width="8.85546875" style="5" customWidth="1"/>
    <col min="5909" max="5909" width="9.85546875" style="5" customWidth="1"/>
    <col min="5910" max="6145" width="11.5703125" style="5"/>
    <col min="6146" max="6146" width="14.42578125" style="5" customWidth="1"/>
    <col min="6147" max="6147" width="15" style="5" customWidth="1"/>
    <col min="6148" max="6148" width="12.140625" style="5" bestFit="1" customWidth="1"/>
    <col min="6149" max="6150" width="11.5703125" style="5"/>
    <col min="6151" max="6151" width="14.28515625" style="5" customWidth="1"/>
    <col min="6152" max="6152" width="10.140625" style="5" customWidth="1"/>
    <col min="6153" max="6154" width="13" style="5" customWidth="1"/>
    <col min="6155" max="6156" width="11.42578125" style="5" customWidth="1"/>
    <col min="6157" max="6162" width="10" style="5" customWidth="1"/>
    <col min="6163" max="6163" width="12" style="5" customWidth="1"/>
    <col min="6164" max="6164" width="8.85546875" style="5" customWidth="1"/>
    <col min="6165" max="6165" width="9.85546875" style="5" customWidth="1"/>
    <col min="6166" max="6401" width="11.5703125" style="5"/>
    <col min="6402" max="6402" width="14.42578125" style="5" customWidth="1"/>
    <col min="6403" max="6403" width="15" style="5" customWidth="1"/>
    <col min="6404" max="6404" width="12.140625" style="5" bestFit="1" customWidth="1"/>
    <col min="6405" max="6406" width="11.5703125" style="5"/>
    <col min="6407" max="6407" width="14.28515625" style="5" customWidth="1"/>
    <col min="6408" max="6408" width="10.140625" style="5" customWidth="1"/>
    <col min="6409" max="6410" width="13" style="5" customWidth="1"/>
    <col min="6411" max="6412" width="11.42578125" style="5" customWidth="1"/>
    <col min="6413" max="6418" width="10" style="5" customWidth="1"/>
    <col min="6419" max="6419" width="12" style="5" customWidth="1"/>
    <col min="6420" max="6420" width="8.85546875" style="5" customWidth="1"/>
    <col min="6421" max="6421" width="9.85546875" style="5" customWidth="1"/>
    <col min="6422" max="6657" width="11.5703125" style="5"/>
    <col min="6658" max="6658" width="14.42578125" style="5" customWidth="1"/>
    <col min="6659" max="6659" width="15" style="5" customWidth="1"/>
    <col min="6660" max="6660" width="12.140625" style="5" bestFit="1" customWidth="1"/>
    <col min="6661" max="6662" width="11.5703125" style="5"/>
    <col min="6663" max="6663" width="14.28515625" style="5" customWidth="1"/>
    <col min="6664" max="6664" width="10.140625" style="5" customWidth="1"/>
    <col min="6665" max="6666" width="13" style="5" customWidth="1"/>
    <col min="6667" max="6668" width="11.42578125" style="5" customWidth="1"/>
    <col min="6669" max="6674" width="10" style="5" customWidth="1"/>
    <col min="6675" max="6675" width="12" style="5" customWidth="1"/>
    <col min="6676" max="6676" width="8.85546875" style="5" customWidth="1"/>
    <col min="6677" max="6677" width="9.85546875" style="5" customWidth="1"/>
    <col min="6678" max="6913" width="11.5703125" style="5"/>
    <col min="6914" max="6914" width="14.42578125" style="5" customWidth="1"/>
    <col min="6915" max="6915" width="15" style="5" customWidth="1"/>
    <col min="6916" max="6916" width="12.140625" style="5" bestFit="1" customWidth="1"/>
    <col min="6917" max="6918" width="11.5703125" style="5"/>
    <col min="6919" max="6919" width="14.28515625" style="5" customWidth="1"/>
    <col min="6920" max="6920" width="10.140625" style="5" customWidth="1"/>
    <col min="6921" max="6922" width="13" style="5" customWidth="1"/>
    <col min="6923" max="6924" width="11.42578125" style="5" customWidth="1"/>
    <col min="6925" max="6930" width="10" style="5" customWidth="1"/>
    <col min="6931" max="6931" width="12" style="5" customWidth="1"/>
    <col min="6932" max="6932" width="8.85546875" style="5" customWidth="1"/>
    <col min="6933" max="6933" width="9.85546875" style="5" customWidth="1"/>
    <col min="6934" max="7169" width="11.5703125" style="5"/>
    <col min="7170" max="7170" width="14.42578125" style="5" customWidth="1"/>
    <col min="7171" max="7171" width="15" style="5" customWidth="1"/>
    <col min="7172" max="7172" width="12.140625" style="5" bestFit="1" customWidth="1"/>
    <col min="7173" max="7174" width="11.5703125" style="5"/>
    <col min="7175" max="7175" width="14.28515625" style="5" customWidth="1"/>
    <col min="7176" max="7176" width="10.140625" style="5" customWidth="1"/>
    <col min="7177" max="7178" width="13" style="5" customWidth="1"/>
    <col min="7179" max="7180" width="11.42578125" style="5" customWidth="1"/>
    <col min="7181" max="7186" width="10" style="5" customWidth="1"/>
    <col min="7187" max="7187" width="12" style="5" customWidth="1"/>
    <col min="7188" max="7188" width="8.85546875" style="5" customWidth="1"/>
    <col min="7189" max="7189" width="9.85546875" style="5" customWidth="1"/>
    <col min="7190" max="7425" width="11.5703125" style="5"/>
    <col min="7426" max="7426" width="14.42578125" style="5" customWidth="1"/>
    <col min="7427" max="7427" width="15" style="5" customWidth="1"/>
    <col min="7428" max="7428" width="12.140625" style="5" bestFit="1" customWidth="1"/>
    <col min="7429" max="7430" width="11.5703125" style="5"/>
    <col min="7431" max="7431" width="14.28515625" style="5" customWidth="1"/>
    <col min="7432" max="7432" width="10.140625" style="5" customWidth="1"/>
    <col min="7433" max="7434" width="13" style="5" customWidth="1"/>
    <col min="7435" max="7436" width="11.42578125" style="5" customWidth="1"/>
    <col min="7437" max="7442" width="10" style="5" customWidth="1"/>
    <col min="7443" max="7443" width="12" style="5" customWidth="1"/>
    <col min="7444" max="7444" width="8.85546875" style="5" customWidth="1"/>
    <col min="7445" max="7445" width="9.85546875" style="5" customWidth="1"/>
    <col min="7446" max="7681" width="11.5703125" style="5"/>
    <col min="7682" max="7682" width="14.42578125" style="5" customWidth="1"/>
    <col min="7683" max="7683" width="15" style="5" customWidth="1"/>
    <col min="7684" max="7684" width="12.140625" style="5" bestFit="1" customWidth="1"/>
    <col min="7685" max="7686" width="11.5703125" style="5"/>
    <col min="7687" max="7687" width="14.28515625" style="5" customWidth="1"/>
    <col min="7688" max="7688" width="10.140625" style="5" customWidth="1"/>
    <col min="7689" max="7690" width="13" style="5" customWidth="1"/>
    <col min="7691" max="7692" width="11.42578125" style="5" customWidth="1"/>
    <col min="7693" max="7698" width="10" style="5" customWidth="1"/>
    <col min="7699" max="7699" width="12" style="5" customWidth="1"/>
    <col min="7700" max="7700" width="8.85546875" style="5" customWidth="1"/>
    <col min="7701" max="7701" width="9.85546875" style="5" customWidth="1"/>
    <col min="7702" max="7937" width="11.5703125" style="5"/>
    <col min="7938" max="7938" width="14.42578125" style="5" customWidth="1"/>
    <col min="7939" max="7939" width="15" style="5" customWidth="1"/>
    <col min="7940" max="7940" width="12.140625" style="5" bestFit="1" customWidth="1"/>
    <col min="7941" max="7942" width="11.5703125" style="5"/>
    <col min="7943" max="7943" width="14.28515625" style="5" customWidth="1"/>
    <col min="7944" max="7944" width="10.140625" style="5" customWidth="1"/>
    <col min="7945" max="7946" width="13" style="5" customWidth="1"/>
    <col min="7947" max="7948" width="11.42578125" style="5" customWidth="1"/>
    <col min="7949" max="7954" width="10" style="5" customWidth="1"/>
    <col min="7955" max="7955" width="12" style="5" customWidth="1"/>
    <col min="7956" max="7956" width="8.85546875" style="5" customWidth="1"/>
    <col min="7957" max="7957" width="9.85546875" style="5" customWidth="1"/>
    <col min="7958" max="8193" width="11.5703125" style="5"/>
    <col min="8194" max="8194" width="14.42578125" style="5" customWidth="1"/>
    <col min="8195" max="8195" width="15" style="5" customWidth="1"/>
    <col min="8196" max="8196" width="12.140625" style="5" bestFit="1" customWidth="1"/>
    <col min="8197" max="8198" width="11.5703125" style="5"/>
    <col min="8199" max="8199" width="14.28515625" style="5" customWidth="1"/>
    <col min="8200" max="8200" width="10.140625" style="5" customWidth="1"/>
    <col min="8201" max="8202" width="13" style="5" customWidth="1"/>
    <col min="8203" max="8204" width="11.42578125" style="5" customWidth="1"/>
    <col min="8205" max="8210" width="10" style="5" customWidth="1"/>
    <col min="8211" max="8211" width="12" style="5" customWidth="1"/>
    <col min="8212" max="8212" width="8.85546875" style="5" customWidth="1"/>
    <col min="8213" max="8213" width="9.85546875" style="5" customWidth="1"/>
    <col min="8214" max="8449" width="11.5703125" style="5"/>
    <col min="8450" max="8450" width="14.42578125" style="5" customWidth="1"/>
    <col min="8451" max="8451" width="15" style="5" customWidth="1"/>
    <col min="8452" max="8452" width="12.140625" style="5" bestFit="1" customWidth="1"/>
    <col min="8453" max="8454" width="11.5703125" style="5"/>
    <col min="8455" max="8455" width="14.28515625" style="5" customWidth="1"/>
    <col min="8456" max="8456" width="10.140625" style="5" customWidth="1"/>
    <col min="8457" max="8458" width="13" style="5" customWidth="1"/>
    <col min="8459" max="8460" width="11.42578125" style="5" customWidth="1"/>
    <col min="8461" max="8466" width="10" style="5" customWidth="1"/>
    <col min="8467" max="8467" width="12" style="5" customWidth="1"/>
    <col min="8468" max="8468" width="8.85546875" style="5" customWidth="1"/>
    <col min="8469" max="8469" width="9.85546875" style="5" customWidth="1"/>
    <col min="8470" max="8705" width="11.5703125" style="5"/>
    <col min="8706" max="8706" width="14.42578125" style="5" customWidth="1"/>
    <col min="8707" max="8707" width="15" style="5" customWidth="1"/>
    <col min="8708" max="8708" width="12.140625" style="5" bestFit="1" customWidth="1"/>
    <col min="8709" max="8710" width="11.5703125" style="5"/>
    <col min="8711" max="8711" width="14.28515625" style="5" customWidth="1"/>
    <col min="8712" max="8712" width="10.140625" style="5" customWidth="1"/>
    <col min="8713" max="8714" width="13" style="5" customWidth="1"/>
    <col min="8715" max="8716" width="11.42578125" style="5" customWidth="1"/>
    <col min="8717" max="8722" width="10" style="5" customWidth="1"/>
    <col min="8723" max="8723" width="12" style="5" customWidth="1"/>
    <col min="8724" max="8724" width="8.85546875" style="5" customWidth="1"/>
    <col min="8725" max="8725" width="9.85546875" style="5" customWidth="1"/>
    <col min="8726" max="8961" width="11.5703125" style="5"/>
    <col min="8962" max="8962" width="14.42578125" style="5" customWidth="1"/>
    <col min="8963" max="8963" width="15" style="5" customWidth="1"/>
    <col min="8964" max="8964" width="12.140625" style="5" bestFit="1" customWidth="1"/>
    <col min="8965" max="8966" width="11.5703125" style="5"/>
    <col min="8967" max="8967" width="14.28515625" style="5" customWidth="1"/>
    <col min="8968" max="8968" width="10.140625" style="5" customWidth="1"/>
    <col min="8969" max="8970" width="13" style="5" customWidth="1"/>
    <col min="8971" max="8972" width="11.42578125" style="5" customWidth="1"/>
    <col min="8973" max="8978" width="10" style="5" customWidth="1"/>
    <col min="8979" max="8979" width="12" style="5" customWidth="1"/>
    <col min="8980" max="8980" width="8.85546875" style="5" customWidth="1"/>
    <col min="8981" max="8981" width="9.85546875" style="5" customWidth="1"/>
    <col min="8982" max="9217" width="11.5703125" style="5"/>
    <col min="9218" max="9218" width="14.42578125" style="5" customWidth="1"/>
    <col min="9219" max="9219" width="15" style="5" customWidth="1"/>
    <col min="9220" max="9220" width="12.140625" style="5" bestFit="1" customWidth="1"/>
    <col min="9221" max="9222" width="11.5703125" style="5"/>
    <col min="9223" max="9223" width="14.28515625" style="5" customWidth="1"/>
    <col min="9224" max="9224" width="10.140625" style="5" customWidth="1"/>
    <col min="9225" max="9226" width="13" style="5" customWidth="1"/>
    <col min="9227" max="9228" width="11.42578125" style="5" customWidth="1"/>
    <col min="9229" max="9234" width="10" style="5" customWidth="1"/>
    <col min="9235" max="9235" width="12" style="5" customWidth="1"/>
    <col min="9236" max="9236" width="8.85546875" style="5" customWidth="1"/>
    <col min="9237" max="9237" width="9.85546875" style="5" customWidth="1"/>
    <col min="9238" max="9473" width="11.5703125" style="5"/>
    <col min="9474" max="9474" width="14.42578125" style="5" customWidth="1"/>
    <col min="9475" max="9475" width="15" style="5" customWidth="1"/>
    <col min="9476" max="9476" width="12.140625" style="5" bestFit="1" customWidth="1"/>
    <col min="9477" max="9478" width="11.5703125" style="5"/>
    <col min="9479" max="9479" width="14.28515625" style="5" customWidth="1"/>
    <col min="9480" max="9480" width="10.140625" style="5" customWidth="1"/>
    <col min="9481" max="9482" width="13" style="5" customWidth="1"/>
    <col min="9483" max="9484" width="11.42578125" style="5" customWidth="1"/>
    <col min="9485" max="9490" width="10" style="5" customWidth="1"/>
    <col min="9491" max="9491" width="12" style="5" customWidth="1"/>
    <col min="9492" max="9492" width="8.85546875" style="5" customWidth="1"/>
    <col min="9493" max="9493" width="9.85546875" style="5" customWidth="1"/>
    <col min="9494" max="9729" width="11.5703125" style="5"/>
    <col min="9730" max="9730" width="14.42578125" style="5" customWidth="1"/>
    <col min="9731" max="9731" width="15" style="5" customWidth="1"/>
    <col min="9732" max="9732" width="12.140625" style="5" bestFit="1" customWidth="1"/>
    <col min="9733" max="9734" width="11.5703125" style="5"/>
    <col min="9735" max="9735" width="14.28515625" style="5" customWidth="1"/>
    <col min="9736" max="9736" width="10.140625" style="5" customWidth="1"/>
    <col min="9737" max="9738" width="13" style="5" customWidth="1"/>
    <col min="9739" max="9740" width="11.42578125" style="5" customWidth="1"/>
    <col min="9741" max="9746" width="10" style="5" customWidth="1"/>
    <col min="9747" max="9747" width="12" style="5" customWidth="1"/>
    <col min="9748" max="9748" width="8.85546875" style="5" customWidth="1"/>
    <col min="9749" max="9749" width="9.85546875" style="5" customWidth="1"/>
    <col min="9750" max="9985" width="11.5703125" style="5"/>
    <col min="9986" max="9986" width="14.42578125" style="5" customWidth="1"/>
    <col min="9987" max="9987" width="15" style="5" customWidth="1"/>
    <col min="9988" max="9988" width="12.140625" style="5" bestFit="1" customWidth="1"/>
    <col min="9989" max="9990" width="11.5703125" style="5"/>
    <col min="9991" max="9991" width="14.28515625" style="5" customWidth="1"/>
    <col min="9992" max="9992" width="10.140625" style="5" customWidth="1"/>
    <col min="9993" max="9994" width="13" style="5" customWidth="1"/>
    <col min="9995" max="9996" width="11.42578125" style="5" customWidth="1"/>
    <col min="9997" max="10002" width="10" style="5" customWidth="1"/>
    <col min="10003" max="10003" width="12" style="5" customWidth="1"/>
    <col min="10004" max="10004" width="8.85546875" style="5" customWidth="1"/>
    <col min="10005" max="10005" width="9.85546875" style="5" customWidth="1"/>
    <col min="10006" max="10241" width="11.5703125" style="5"/>
    <col min="10242" max="10242" width="14.42578125" style="5" customWidth="1"/>
    <col min="10243" max="10243" width="15" style="5" customWidth="1"/>
    <col min="10244" max="10244" width="12.140625" style="5" bestFit="1" customWidth="1"/>
    <col min="10245" max="10246" width="11.5703125" style="5"/>
    <col min="10247" max="10247" width="14.28515625" style="5" customWidth="1"/>
    <col min="10248" max="10248" width="10.140625" style="5" customWidth="1"/>
    <col min="10249" max="10250" width="13" style="5" customWidth="1"/>
    <col min="10251" max="10252" width="11.42578125" style="5" customWidth="1"/>
    <col min="10253" max="10258" width="10" style="5" customWidth="1"/>
    <col min="10259" max="10259" width="12" style="5" customWidth="1"/>
    <col min="10260" max="10260" width="8.85546875" style="5" customWidth="1"/>
    <col min="10261" max="10261" width="9.85546875" style="5" customWidth="1"/>
    <col min="10262" max="10497" width="11.5703125" style="5"/>
    <col min="10498" max="10498" width="14.42578125" style="5" customWidth="1"/>
    <col min="10499" max="10499" width="15" style="5" customWidth="1"/>
    <col min="10500" max="10500" width="12.140625" style="5" bestFit="1" customWidth="1"/>
    <col min="10501" max="10502" width="11.5703125" style="5"/>
    <col min="10503" max="10503" width="14.28515625" style="5" customWidth="1"/>
    <col min="10504" max="10504" width="10.140625" style="5" customWidth="1"/>
    <col min="10505" max="10506" width="13" style="5" customWidth="1"/>
    <col min="10507" max="10508" width="11.42578125" style="5" customWidth="1"/>
    <col min="10509" max="10514" width="10" style="5" customWidth="1"/>
    <col min="10515" max="10515" width="12" style="5" customWidth="1"/>
    <col min="10516" max="10516" width="8.85546875" style="5" customWidth="1"/>
    <col min="10517" max="10517" width="9.85546875" style="5" customWidth="1"/>
    <col min="10518" max="10753" width="11.5703125" style="5"/>
    <col min="10754" max="10754" width="14.42578125" style="5" customWidth="1"/>
    <col min="10755" max="10755" width="15" style="5" customWidth="1"/>
    <col min="10756" max="10756" width="12.140625" style="5" bestFit="1" customWidth="1"/>
    <col min="10757" max="10758" width="11.5703125" style="5"/>
    <col min="10759" max="10759" width="14.28515625" style="5" customWidth="1"/>
    <col min="10760" max="10760" width="10.140625" style="5" customWidth="1"/>
    <col min="10761" max="10762" width="13" style="5" customWidth="1"/>
    <col min="10763" max="10764" width="11.42578125" style="5" customWidth="1"/>
    <col min="10765" max="10770" width="10" style="5" customWidth="1"/>
    <col min="10771" max="10771" width="12" style="5" customWidth="1"/>
    <col min="10772" max="10772" width="8.85546875" style="5" customWidth="1"/>
    <col min="10773" max="10773" width="9.85546875" style="5" customWidth="1"/>
    <col min="10774" max="11009" width="11.5703125" style="5"/>
    <col min="11010" max="11010" width="14.42578125" style="5" customWidth="1"/>
    <col min="11011" max="11011" width="15" style="5" customWidth="1"/>
    <col min="11012" max="11012" width="12.140625" style="5" bestFit="1" customWidth="1"/>
    <col min="11013" max="11014" width="11.5703125" style="5"/>
    <col min="11015" max="11015" width="14.28515625" style="5" customWidth="1"/>
    <col min="11016" max="11016" width="10.140625" style="5" customWidth="1"/>
    <col min="11017" max="11018" width="13" style="5" customWidth="1"/>
    <col min="11019" max="11020" width="11.42578125" style="5" customWidth="1"/>
    <col min="11021" max="11026" width="10" style="5" customWidth="1"/>
    <col min="11027" max="11027" width="12" style="5" customWidth="1"/>
    <col min="11028" max="11028" width="8.85546875" style="5" customWidth="1"/>
    <col min="11029" max="11029" width="9.85546875" style="5" customWidth="1"/>
    <col min="11030" max="11265" width="11.5703125" style="5"/>
    <col min="11266" max="11266" width="14.42578125" style="5" customWidth="1"/>
    <col min="11267" max="11267" width="15" style="5" customWidth="1"/>
    <col min="11268" max="11268" width="12.140625" style="5" bestFit="1" customWidth="1"/>
    <col min="11269" max="11270" width="11.5703125" style="5"/>
    <col min="11271" max="11271" width="14.28515625" style="5" customWidth="1"/>
    <col min="11272" max="11272" width="10.140625" style="5" customWidth="1"/>
    <col min="11273" max="11274" width="13" style="5" customWidth="1"/>
    <col min="11275" max="11276" width="11.42578125" style="5" customWidth="1"/>
    <col min="11277" max="11282" width="10" style="5" customWidth="1"/>
    <col min="11283" max="11283" width="12" style="5" customWidth="1"/>
    <col min="11284" max="11284" width="8.85546875" style="5" customWidth="1"/>
    <col min="11285" max="11285" width="9.85546875" style="5" customWidth="1"/>
    <col min="11286" max="11521" width="11.5703125" style="5"/>
    <col min="11522" max="11522" width="14.42578125" style="5" customWidth="1"/>
    <col min="11523" max="11523" width="15" style="5" customWidth="1"/>
    <col min="11524" max="11524" width="12.140625" style="5" bestFit="1" customWidth="1"/>
    <col min="11525" max="11526" width="11.5703125" style="5"/>
    <col min="11527" max="11527" width="14.28515625" style="5" customWidth="1"/>
    <col min="11528" max="11528" width="10.140625" style="5" customWidth="1"/>
    <col min="11529" max="11530" width="13" style="5" customWidth="1"/>
    <col min="11531" max="11532" width="11.42578125" style="5" customWidth="1"/>
    <col min="11533" max="11538" width="10" style="5" customWidth="1"/>
    <col min="11539" max="11539" width="12" style="5" customWidth="1"/>
    <col min="11540" max="11540" width="8.85546875" style="5" customWidth="1"/>
    <col min="11541" max="11541" width="9.85546875" style="5" customWidth="1"/>
    <col min="11542" max="11777" width="11.5703125" style="5"/>
    <col min="11778" max="11778" width="14.42578125" style="5" customWidth="1"/>
    <col min="11779" max="11779" width="15" style="5" customWidth="1"/>
    <col min="11780" max="11780" width="12.140625" style="5" bestFit="1" customWidth="1"/>
    <col min="11781" max="11782" width="11.5703125" style="5"/>
    <col min="11783" max="11783" width="14.28515625" style="5" customWidth="1"/>
    <col min="11784" max="11784" width="10.140625" style="5" customWidth="1"/>
    <col min="11785" max="11786" width="13" style="5" customWidth="1"/>
    <col min="11787" max="11788" width="11.42578125" style="5" customWidth="1"/>
    <col min="11789" max="11794" width="10" style="5" customWidth="1"/>
    <col min="11795" max="11795" width="12" style="5" customWidth="1"/>
    <col min="11796" max="11796" width="8.85546875" style="5" customWidth="1"/>
    <col min="11797" max="11797" width="9.85546875" style="5" customWidth="1"/>
    <col min="11798" max="12033" width="11.5703125" style="5"/>
    <col min="12034" max="12034" width="14.42578125" style="5" customWidth="1"/>
    <col min="12035" max="12035" width="15" style="5" customWidth="1"/>
    <col min="12036" max="12036" width="12.140625" style="5" bestFit="1" customWidth="1"/>
    <col min="12037" max="12038" width="11.5703125" style="5"/>
    <col min="12039" max="12039" width="14.28515625" style="5" customWidth="1"/>
    <col min="12040" max="12040" width="10.140625" style="5" customWidth="1"/>
    <col min="12041" max="12042" width="13" style="5" customWidth="1"/>
    <col min="12043" max="12044" width="11.42578125" style="5" customWidth="1"/>
    <col min="12045" max="12050" width="10" style="5" customWidth="1"/>
    <col min="12051" max="12051" width="12" style="5" customWidth="1"/>
    <col min="12052" max="12052" width="8.85546875" style="5" customWidth="1"/>
    <col min="12053" max="12053" width="9.85546875" style="5" customWidth="1"/>
    <col min="12054" max="12289" width="11.5703125" style="5"/>
    <col min="12290" max="12290" width="14.42578125" style="5" customWidth="1"/>
    <col min="12291" max="12291" width="15" style="5" customWidth="1"/>
    <col min="12292" max="12292" width="12.140625" style="5" bestFit="1" customWidth="1"/>
    <col min="12293" max="12294" width="11.5703125" style="5"/>
    <col min="12295" max="12295" width="14.28515625" style="5" customWidth="1"/>
    <col min="12296" max="12296" width="10.140625" style="5" customWidth="1"/>
    <col min="12297" max="12298" width="13" style="5" customWidth="1"/>
    <col min="12299" max="12300" width="11.42578125" style="5" customWidth="1"/>
    <col min="12301" max="12306" width="10" style="5" customWidth="1"/>
    <col min="12307" max="12307" width="12" style="5" customWidth="1"/>
    <col min="12308" max="12308" width="8.85546875" style="5" customWidth="1"/>
    <col min="12309" max="12309" width="9.85546875" style="5" customWidth="1"/>
    <col min="12310" max="12545" width="11.5703125" style="5"/>
    <col min="12546" max="12546" width="14.42578125" style="5" customWidth="1"/>
    <col min="12547" max="12547" width="15" style="5" customWidth="1"/>
    <col min="12548" max="12548" width="12.140625" style="5" bestFit="1" customWidth="1"/>
    <col min="12549" max="12550" width="11.5703125" style="5"/>
    <col min="12551" max="12551" width="14.28515625" style="5" customWidth="1"/>
    <col min="12552" max="12552" width="10.140625" style="5" customWidth="1"/>
    <col min="12553" max="12554" width="13" style="5" customWidth="1"/>
    <col min="12555" max="12556" width="11.42578125" style="5" customWidth="1"/>
    <col min="12557" max="12562" width="10" style="5" customWidth="1"/>
    <col min="12563" max="12563" width="12" style="5" customWidth="1"/>
    <col min="12564" max="12564" width="8.85546875" style="5" customWidth="1"/>
    <col min="12565" max="12565" width="9.85546875" style="5" customWidth="1"/>
    <col min="12566" max="12801" width="11.5703125" style="5"/>
    <col min="12802" max="12802" width="14.42578125" style="5" customWidth="1"/>
    <col min="12803" max="12803" width="15" style="5" customWidth="1"/>
    <col min="12804" max="12804" width="12.140625" style="5" bestFit="1" customWidth="1"/>
    <col min="12805" max="12806" width="11.5703125" style="5"/>
    <col min="12807" max="12807" width="14.28515625" style="5" customWidth="1"/>
    <col min="12808" max="12808" width="10.140625" style="5" customWidth="1"/>
    <col min="12809" max="12810" width="13" style="5" customWidth="1"/>
    <col min="12811" max="12812" width="11.42578125" style="5" customWidth="1"/>
    <col min="12813" max="12818" width="10" style="5" customWidth="1"/>
    <col min="12819" max="12819" width="12" style="5" customWidth="1"/>
    <col min="12820" max="12820" width="8.85546875" style="5" customWidth="1"/>
    <col min="12821" max="12821" width="9.85546875" style="5" customWidth="1"/>
    <col min="12822" max="13057" width="11.5703125" style="5"/>
    <col min="13058" max="13058" width="14.42578125" style="5" customWidth="1"/>
    <col min="13059" max="13059" width="15" style="5" customWidth="1"/>
    <col min="13060" max="13060" width="12.140625" style="5" bestFit="1" customWidth="1"/>
    <col min="13061" max="13062" width="11.5703125" style="5"/>
    <col min="13063" max="13063" width="14.28515625" style="5" customWidth="1"/>
    <col min="13064" max="13064" width="10.140625" style="5" customWidth="1"/>
    <col min="13065" max="13066" width="13" style="5" customWidth="1"/>
    <col min="13067" max="13068" width="11.42578125" style="5" customWidth="1"/>
    <col min="13069" max="13074" width="10" style="5" customWidth="1"/>
    <col min="13075" max="13075" width="12" style="5" customWidth="1"/>
    <col min="13076" max="13076" width="8.85546875" style="5" customWidth="1"/>
    <col min="13077" max="13077" width="9.85546875" style="5" customWidth="1"/>
    <col min="13078" max="13313" width="11.5703125" style="5"/>
    <col min="13314" max="13314" width="14.42578125" style="5" customWidth="1"/>
    <col min="13315" max="13315" width="15" style="5" customWidth="1"/>
    <col min="13316" max="13316" width="12.140625" style="5" bestFit="1" customWidth="1"/>
    <col min="13317" max="13318" width="11.5703125" style="5"/>
    <col min="13319" max="13319" width="14.28515625" style="5" customWidth="1"/>
    <col min="13320" max="13320" width="10.140625" style="5" customWidth="1"/>
    <col min="13321" max="13322" width="13" style="5" customWidth="1"/>
    <col min="13323" max="13324" width="11.42578125" style="5" customWidth="1"/>
    <col min="13325" max="13330" width="10" style="5" customWidth="1"/>
    <col min="13331" max="13331" width="12" style="5" customWidth="1"/>
    <col min="13332" max="13332" width="8.85546875" style="5" customWidth="1"/>
    <col min="13333" max="13333" width="9.85546875" style="5" customWidth="1"/>
    <col min="13334" max="13569" width="11.5703125" style="5"/>
    <col min="13570" max="13570" width="14.42578125" style="5" customWidth="1"/>
    <col min="13571" max="13571" width="15" style="5" customWidth="1"/>
    <col min="13572" max="13572" width="12.140625" style="5" bestFit="1" customWidth="1"/>
    <col min="13573" max="13574" width="11.5703125" style="5"/>
    <col min="13575" max="13575" width="14.28515625" style="5" customWidth="1"/>
    <col min="13576" max="13576" width="10.140625" style="5" customWidth="1"/>
    <col min="13577" max="13578" width="13" style="5" customWidth="1"/>
    <col min="13579" max="13580" width="11.42578125" style="5" customWidth="1"/>
    <col min="13581" max="13586" width="10" style="5" customWidth="1"/>
    <col min="13587" max="13587" width="12" style="5" customWidth="1"/>
    <col min="13588" max="13588" width="8.85546875" style="5" customWidth="1"/>
    <col min="13589" max="13589" width="9.85546875" style="5" customWidth="1"/>
    <col min="13590" max="13825" width="11.5703125" style="5"/>
    <col min="13826" max="13826" width="14.42578125" style="5" customWidth="1"/>
    <col min="13827" max="13827" width="15" style="5" customWidth="1"/>
    <col min="13828" max="13828" width="12.140625" style="5" bestFit="1" customWidth="1"/>
    <col min="13829" max="13830" width="11.5703125" style="5"/>
    <col min="13831" max="13831" width="14.28515625" style="5" customWidth="1"/>
    <col min="13832" max="13832" width="10.140625" style="5" customWidth="1"/>
    <col min="13833" max="13834" width="13" style="5" customWidth="1"/>
    <col min="13835" max="13836" width="11.42578125" style="5" customWidth="1"/>
    <col min="13837" max="13842" width="10" style="5" customWidth="1"/>
    <col min="13843" max="13843" width="12" style="5" customWidth="1"/>
    <col min="13844" max="13844" width="8.85546875" style="5" customWidth="1"/>
    <col min="13845" max="13845" width="9.85546875" style="5" customWidth="1"/>
    <col min="13846" max="14081" width="11.5703125" style="5"/>
    <col min="14082" max="14082" width="14.42578125" style="5" customWidth="1"/>
    <col min="14083" max="14083" width="15" style="5" customWidth="1"/>
    <col min="14084" max="14084" width="12.140625" style="5" bestFit="1" customWidth="1"/>
    <col min="14085" max="14086" width="11.5703125" style="5"/>
    <col min="14087" max="14087" width="14.28515625" style="5" customWidth="1"/>
    <col min="14088" max="14088" width="10.140625" style="5" customWidth="1"/>
    <col min="14089" max="14090" width="13" style="5" customWidth="1"/>
    <col min="14091" max="14092" width="11.42578125" style="5" customWidth="1"/>
    <col min="14093" max="14098" width="10" style="5" customWidth="1"/>
    <col min="14099" max="14099" width="12" style="5" customWidth="1"/>
    <col min="14100" max="14100" width="8.85546875" style="5" customWidth="1"/>
    <col min="14101" max="14101" width="9.85546875" style="5" customWidth="1"/>
    <col min="14102" max="14337" width="11.5703125" style="5"/>
    <col min="14338" max="14338" width="14.42578125" style="5" customWidth="1"/>
    <col min="14339" max="14339" width="15" style="5" customWidth="1"/>
    <col min="14340" max="14340" width="12.140625" style="5" bestFit="1" customWidth="1"/>
    <col min="14341" max="14342" width="11.5703125" style="5"/>
    <col min="14343" max="14343" width="14.28515625" style="5" customWidth="1"/>
    <col min="14344" max="14344" width="10.140625" style="5" customWidth="1"/>
    <col min="14345" max="14346" width="13" style="5" customWidth="1"/>
    <col min="14347" max="14348" width="11.42578125" style="5" customWidth="1"/>
    <col min="14349" max="14354" width="10" style="5" customWidth="1"/>
    <col min="14355" max="14355" width="12" style="5" customWidth="1"/>
    <col min="14356" max="14356" width="8.85546875" style="5" customWidth="1"/>
    <col min="14357" max="14357" width="9.85546875" style="5" customWidth="1"/>
    <col min="14358" max="14593" width="11.5703125" style="5"/>
    <col min="14594" max="14594" width="14.42578125" style="5" customWidth="1"/>
    <col min="14595" max="14595" width="15" style="5" customWidth="1"/>
    <col min="14596" max="14596" width="12.140625" style="5" bestFit="1" customWidth="1"/>
    <col min="14597" max="14598" width="11.5703125" style="5"/>
    <col min="14599" max="14599" width="14.28515625" style="5" customWidth="1"/>
    <col min="14600" max="14600" width="10.140625" style="5" customWidth="1"/>
    <col min="14601" max="14602" width="13" style="5" customWidth="1"/>
    <col min="14603" max="14604" width="11.42578125" style="5" customWidth="1"/>
    <col min="14605" max="14610" width="10" style="5" customWidth="1"/>
    <col min="14611" max="14611" width="12" style="5" customWidth="1"/>
    <col min="14612" max="14612" width="8.85546875" style="5" customWidth="1"/>
    <col min="14613" max="14613" width="9.85546875" style="5" customWidth="1"/>
    <col min="14614" max="14849" width="11.5703125" style="5"/>
    <col min="14850" max="14850" width="14.42578125" style="5" customWidth="1"/>
    <col min="14851" max="14851" width="15" style="5" customWidth="1"/>
    <col min="14852" max="14852" width="12.140625" style="5" bestFit="1" customWidth="1"/>
    <col min="14853" max="14854" width="11.5703125" style="5"/>
    <col min="14855" max="14855" width="14.28515625" style="5" customWidth="1"/>
    <col min="14856" max="14856" width="10.140625" style="5" customWidth="1"/>
    <col min="14857" max="14858" width="13" style="5" customWidth="1"/>
    <col min="14859" max="14860" width="11.42578125" style="5" customWidth="1"/>
    <col min="14861" max="14866" width="10" style="5" customWidth="1"/>
    <col min="14867" max="14867" width="12" style="5" customWidth="1"/>
    <col min="14868" max="14868" width="8.85546875" style="5" customWidth="1"/>
    <col min="14869" max="14869" width="9.85546875" style="5" customWidth="1"/>
    <col min="14870" max="15105" width="11.5703125" style="5"/>
    <col min="15106" max="15106" width="14.42578125" style="5" customWidth="1"/>
    <col min="15107" max="15107" width="15" style="5" customWidth="1"/>
    <col min="15108" max="15108" width="12.140625" style="5" bestFit="1" customWidth="1"/>
    <col min="15109" max="15110" width="11.5703125" style="5"/>
    <col min="15111" max="15111" width="14.28515625" style="5" customWidth="1"/>
    <col min="15112" max="15112" width="10.140625" style="5" customWidth="1"/>
    <col min="15113" max="15114" width="13" style="5" customWidth="1"/>
    <col min="15115" max="15116" width="11.42578125" style="5" customWidth="1"/>
    <col min="15117" max="15122" width="10" style="5" customWidth="1"/>
    <col min="15123" max="15123" width="12" style="5" customWidth="1"/>
    <col min="15124" max="15124" width="8.85546875" style="5" customWidth="1"/>
    <col min="15125" max="15125" width="9.85546875" style="5" customWidth="1"/>
    <col min="15126" max="15361" width="11.5703125" style="5"/>
    <col min="15362" max="15362" width="14.42578125" style="5" customWidth="1"/>
    <col min="15363" max="15363" width="15" style="5" customWidth="1"/>
    <col min="15364" max="15364" width="12.140625" style="5" bestFit="1" customWidth="1"/>
    <col min="15365" max="15366" width="11.5703125" style="5"/>
    <col min="15367" max="15367" width="14.28515625" style="5" customWidth="1"/>
    <col min="15368" max="15368" width="10.140625" style="5" customWidth="1"/>
    <col min="15369" max="15370" width="13" style="5" customWidth="1"/>
    <col min="15371" max="15372" width="11.42578125" style="5" customWidth="1"/>
    <col min="15373" max="15378" width="10" style="5" customWidth="1"/>
    <col min="15379" max="15379" width="12" style="5" customWidth="1"/>
    <col min="15380" max="15380" width="8.85546875" style="5" customWidth="1"/>
    <col min="15381" max="15381" width="9.85546875" style="5" customWidth="1"/>
    <col min="15382" max="15617" width="11.5703125" style="5"/>
    <col min="15618" max="15618" width="14.42578125" style="5" customWidth="1"/>
    <col min="15619" max="15619" width="15" style="5" customWidth="1"/>
    <col min="15620" max="15620" width="12.140625" style="5" bestFit="1" customWidth="1"/>
    <col min="15621" max="15622" width="11.5703125" style="5"/>
    <col min="15623" max="15623" width="14.28515625" style="5" customWidth="1"/>
    <col min="15624" max="15624" width="10.140625" style="5" customWidth="1"/>
    <col min="15625" max="15626" width="13" style="5" customWidth="1"/>
    <col min="15627" max="15628" width="11.42578125" style="5" customWidth="1"/>
    <col min="15629" max="15634" width="10" style="5" customWidth="1"/>
    <col min="15635" max="15635" width="12" style="5" customWidth="1"/>
    <col min="15636" max="15636" width="8.85546875" style="5" customWidth="1"/>
    <col min="15637" max="15637" width="9.85546875" style="5" customWidth="1"/>
    <col min="15638" max="15873" width="11.5703125" style="5"/>
    <col min="15874" max="15874" width="14.42578125" style="5" customWidth="1"/>
    <col min="15875" max="15875" width="15" style="5" customWidth="1"/>
    <col min="15876" max="15876" width="12.140625" style="5" bestFit="1" customWidth="1"/>
    <col min="15877" max="15878" width="11.5703125" style="5"/>
    <col min="15879" max="15879" width="14.28515625" style="5" customWidth="1"/>
    <col min="15880" max="15880" width="10.140625" style="5" customWidth="1"/>
    <col min="15881" max="15882" width="13" style="5" customWidth="1"/>
    <col min="15883" max="15884" width="11.42578125" style="5" customWidth="1"/>
    <col min="15885" max="15890" width="10" style="5" customWidth="1"/>
    <col min="15891" max="15891" width="12" style="5" customWidth="1"/>
    <col min="15892" max="15892" width="8.85546875" style="5" customWidth="1"/>
    <col min="15893" max="15893" width="9.85546875" style="5" customWidth="1"/>
    <col min="15894" max="16129" width="11.5703125" style="5"/>
    <col min="16130" max="16130" width="14.42578125" style="5" customWidth="1"/>
    <col min="16131" max="16131" width="15" style="5" customWidth="1"/>
    <col min="16132" max="16132" width="12.140625" style="5" bestFit="1" customWidth="1"/>
    <col min="16133" max="16134" width="11.5703125" style="5"/>
    <col min="16135" max="16135" width="14.28515625" style="5" customWidth="1"/>
    <col min="16136" max="16136" width="10.140625" style="5" customWidth="1"/>
    <col min="16137" max="16138" width="13" style="5" customWidth="1"/>
    <col min="16139" max="16140" width="11.42578125" style="5" customWidth="1"/>
    <col min="16141" max="16146" width="10" style="5" customWidth="1"/>
    <col min="16147" max="16147" width="12" style="5" customWidth="1"/>
    <col min="16148" max="16148" width="8.85546875" style="5" customWidth="1"/>
    <col min="16149" max="16149" width="9.85546875" style="5" customWidth="1"/>
    <col min="16150" max="16384" width="11.5703125" style="5"/>
  </cols>
  <sheetData>
    <row r="1" spans="1:256" s="4" customFormat="1" ht="16.350000000000001" customHeight="1" x14ac:dyDescent="0.25">
      <c r="B1" s="47" t="s">
        <v>10</v>
      </c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</row>
    <row r="2" spans="1:256" s="4" customFormat="1" ht="20.25" customHeight="1" x14ac:dyDescent="0.25">
      <c r="A2" s="47" t="s">
        <v>13</v>
      </c>
      <c r="B2" s="47" t="s">
        <v>11</v>
      </c>
      <c r="C2" s="47" t="s">
        <v>12</v>
      </c>
      <c r="D2" s="47"/>
      <c r="E2" s="47"/>
      <c r="F2" s="47"/>
      <c r="G2" s="47" t="s">
        <v>13</v>
      </c>
      <c r="H2" s="47" t="s">
        <v>14</v>
      </c>
      <c r="I2" s="47" t="s">
        <v>15</v>
      </c>
      <c r="J2" s="47"/>
      <c r="K2" s="47"/>
      <c r="L2" s="47"/>
      <c r="M2" s="48" t="s">
        <v>16</v>
      </c>
      <c r="N2" s="48" t="s">
        <v>17</v>
      </c>
      <c r="O2" s="47" t="s">
        <v>18</v>
      </c>
      <c r="P2" s="47"/>
      <c r="Q2" s="47" t="s">
        <v>19</v>
      </c>
      <c r="R2" s="47"/>
      <c r="S2" s="48" t="s">
        <v>20</v>
      </c>
      <c r="T2" s="48" t="s">
        <v>21</v>
      </c>
      <c r="U2" s="48" t="s">
        <v>22</v>
      </c>
      <c r="V2" s="48" t="s">
        <v>23</v>
      </c>
    </row>
    <row r="3" spans="1:256" s="4" customFormat="1" ht="24.95" customHeight="1" x14ac:dyDescent="0.25">
      <c r="A3" s="47"/>
      <c r="B3" s="47"/>
      <c r="C3" s="6" t="s">
        <v>24</v>
      </c>
      <c r="D3" s="6" t="s">
        <v>25</v>
      </c>
      <c r="E3" s="6" t="s">
        <v>26</v>
      </c>
      <c r="F3" s="6" t="s">
        <v>27</v>
      </c>
      <c r="G3" s="47"/>
      <c r="H3" s="47"/>
      <c r="I3" s="6" t="s">
        <v>24</v>
      </c>
      <c r="J3" s="6" t="s">
        <v>25</v>
      </c>
      <c r="K3" s="6" t="s">
        <v>2</v>
      </c>
      <c r="L3" s="6" t="s">
        <v>28</v>
      </c>
      <c r="M3" s="49"/>
      <c r="N3" s="49"/>
      <c r="O3" s="6" t="s">
        <v>29</v>
      </c>
      <c r="P3" s="6" t="s">
        <v>30</v>
      </c>
      <c r="Q3" s="6" t="s">
        <v>29</v>
      </c>
      <c r="R3" s="6" t="s">
        <v>30</v>
      </c>
      <c r="S3" s="49"/>
      <c r="T3" s="49"/>
      <c r="U3" s="49"/>
      <c r="V3" s="49"/>
    </row>
    <row r="4" spans="1:256" s="4" customFormat="1" ht="20.25" customHeight="1" x14ac:dyDescent="0.25">
      <c r="A4" s="2">
        <f>G4</f>
        <v>91255.985000000001</v>
      </c>
      <c r="B4" s="3">
        <f>282255-1.6748</f>
        <v>282253.32520000002</v>
      </c>
      <c r="C4" s="3">
        <v>3369307.2940145</v>
      </c>
      <c r="D4" s="3">
        <v>659129.29519680003</v>
      </c>
      <c r="E4" s="3">
        <v>270.48734680000001</v>
      </c>
      <c r="F4" s="3">
        <f t="shared" ref="F4:F258" si="0">E4-0.688</f>
        <v>269.79934680000002</v>
      </c>
      <c r="G4" s="3">
        <v>91255.985000000001</v>
      </c>
      <c r="H4" s="3">
        <v>-10.564107999999999</v>
      </c>
      <c r="I4" s="3">
        <v>3369298.6584947002</v>
      </c>
      <c r="J4" s="3">
        <v>659123.21011870005</v>
      </c>
      <c r="K4" s="3">
        <v>270.5402861</v>
      </c>
      <c r="L4" s="3">
        <v>271.28228610000002</v>
      </c>
      <c r="M4" s="3">
        <f t="shared" ref="M4:M67" si="1">+K4-E4</f>
        <v>5.2939299999991363E-2</v>
      </c>
      <c r="N4" s="3">
        <f t="shared" ref="N4:N67" si="2">+L4-F4</f>
        <v>1.4829392999999982</v>
      </c>
      <c r="O4" s="3">
        <v>-9.3995999999999995</v>
      </c>
      <c r="P4" s="3">
        <v>267.6138085</v>
      </c>
      <c r="Q4" s="3">
        <v>5.1577999999999999</v>
      </c>
      <c r="R4" s="3">
        <v>269.73472290000001</v>
      </c>
      <c r="S4" s="3">
        <v>268.33060330000001</v>
      </c>
      <c r="T4" s="3">
        <f>K4-S4</f>
        <v>2.209682799999996</v>
      </c>
      <c r="U4" s="3">
        <f t="shared" ref="U4:U258" si="3">L4-P4</f>
        <v>3.668477600000017</v>
      </c>
      <c r="V4" s="3">
        <f t="shared" ref="V4:V258" si="4">L4-R4</f>
        <v>1.5475632000000132</v>
      </c>
      <c r="W4" s="2">
        <f>VLOOKUP(B4,[1]CivilReport!$A$2:$E$342,5,FALSE)-H4</f>
        <v>-8.9200000000033697E-4</v>
      </c>
    </row>
    <row r="5" spans="1:256" s="4" customFormat="1" ht="14.45" customHeight="1" x14ac:dyDescent="0.25">
      <c r="A5" s="2">
        <f t="shared" ref="A5:A68" si="5">G5</f>
        <v>91262.659</v>
      </c>
      <c r="B5" s="3">
        <v>282260</v>
      </c>
      <c r="C5" s="3">
        <v>3369311.1387699</v>
      </c>
      <c r="D5" s="3">
        <v>659123.83905569999</v>
      </c>
      <c r="E5" s="3">
        <v>270.47779170000001</v>
      </c>
      <c r="F5" s="3">
        <f t="shared" si="0"/>
        <v>269.78979170000002</v>
      </c>
      <c r="G5" s="7">
        <v>91262.659</v>
      </c>
      <c r="H5" s="7">
        <v>-10.5629165</v>
      </c>
      <c r="I5" s="3">
        <v>3369302.5042599998</v>
      </c>
      <c r="J5" s="3">
        <v>659117.75461289997</v>
      </c>
      <c r="K5" s="3">
        <v>270.54169209999998</v>
      </c>
      <c r="L5" s="3">
        <v>271.2836921</v>
      </c>
      <c r="M5" s="3">
        <f t="shared" si="1"/>
        <v>6.3900399999965884E-2</v>
      </c>
      <c r="N5" s="3">
        <f t="shared" si="2"/>
        <v>1.4939003999999727</v>
      </c>
      <c r="O5" s="3">
        <v>-9.2271763</v>
      </c>
      <c r="P5" s="3">
        <v>267.70143730000001</v>
      </c>
      <c r="Q5" s="3">
        <v>5.2443634000000001</v>
      </c>
      <c r="R5" s="3">
        <v>269.69284379999999</v>
      </c>
      <c r="S5" s="3">
        <v>268.70097199999998</v>
      </c>
      <c r="T5" s="3">
        <f t="shared" ref="T5:T68" si="6">K5-S5</f>
        <v>1.8407200999999986</v>
      </c>
      <c r="U5" s="3">
        <f t="shared" si="3"/>
        <v>3.582254799999987</v>
      </c>
      <c r="V5" s="3">
        <f t="shared" si="4"/>
        <v>1.5908483000000047</v>
      </c>
      <c r="W5" s="2">
        <f>VLOOKUP(B5,[1]CivilReport!$A$2:$E$342,5,FALSE)-H5</f>
        <v>-8.350000000056923E-5</v>
      </c>
      <c r="IU5" s="5"/>
      <c r="IV5" s="5"/>
    </row>
    <row r="6" spans="1:256" s="4" customFormat="1" ht="14.45" customHeight="1" x14ac:dyDescent="0.25">
      <c r="A6" s="2">
        <f t="shared" si="5"/>
        <v>91282.663</v>
      </c>
      <c r="B6" s="3">
        <v>282280</v>
      </c>
      <c r="C6" s="3">
        <v>3369322.6647206</v>
      </c>
      <c r="D6" s="3">
        <v>659107.49425670004</v>
      </c>
      <c r="E6" s="3">
        <v>270.44567189999998</v>
      </c>
      <c r="F6" s="3">
        <f t="shared" si="0"/>
        <v>269.75767189999999</v>
      </c>
      <c r="G6" s="7">
        <v>91282.663</v>
      </c>
      <c r="H6" s="7">
        <v>-10.5661571</v>
      </c>
      <c r="I6" s="3">
        <v>3369314.0298589999</v>
      </c>
      <c r="J6" s="3">
        <v>659101.40468859999</v>
      </c>
      <c r="K6" s="3">
        <v>270.545906</v>
      </c>
      <c r="L6" s="3">
        <v>271.28790600000002</v>
      </c>
      <c r="M6" s="3">
        <f t="shared" si="1"/>
        <v>0.10023410000002286</v>
      </c>
      <c r="N6" s="3">
        <f t="shared" si="2"/>
        <v>1.5302341000000297</v>
      </c>
      <c r="O6" s="3">
        <v>-9.5682419999999997</v>
      </c>
      <c r="P6" s="3">
        <v>267.53511830000002</v>
      </c>
      <c r="Q6" s="3">
        <v>5.2355210999999997</v>
      </c>
      <c r="R6" s="3">
        <v>269.7014787</v>
      </c>
      <c r="S6" s="3">
        <v>268.81864890000003</v>
      </c>
      <c r="T6" s="3">
        <f t="shared" si="6"/>
        <v>1.7272570999999743</v>
      </c>
      <c r="U6" s="3">
        <f t="shared" si="3"/>
        <v>3.7527876999999989</v>
      </c>
      <c r="V6" s="3">
        <f t="shared" si="4"/>
        <v>1.5864273000000253</v>
      </c>
      <c r="W6" s="2">
        <f>VLOOKUP(B6,[1]CivilReport!$A$2:$E$342,5,FALSE)-H6</f>
        <v>1.5709999999913293E-4</v>
      </c>
      <c r="IU6" s="5"/>
      <c r="IV6" s="5"/>
    </row>
    <row r="7" spans="1:256" s="4" customFormat="1" ht="14.45" customHeight="1" x14ac:dyDescent="0.25">
      <c r="A7" s="2">
        <f t="shared" si="5"/>
        <v>91302.661999999997</v>
      </c>
      <c r="B7" s="3">
        <v>282300</v>
      </c>
      <c r="C7" s="3">
        <v>3369334.1911046999</v>
      </c>
      <c r="D7" s="3">
        <v>659091.14976319997</v>
      </c>
      <c r="E7" s="3">
        <v>270.41562010000001</v>
      </c>
      <c r="F7" s="3">
        <f t="shared" si="0"/>
        <v>269.72762010000002</v>
      </c>
      <c r="G7" s="7">
        <v>91302.661999999997</v>
      </c>
      <c r="H7" s="7">
        <v>-10.5699276</v>
      </c>
      <c r="I7" s="3">
        <v>3369325.5524668</v>
      </c>
      <c r="J7" s="3">
        <v>659085.05900739995</v>
      </c>
      <c r="K7" s="3">
        <v>270.55018819999998</v>
      </c>
      <c r="L7" s="3">
        <v>271.2921882</v>
      </c>
      <c r="M7" s="3">
        <f t="shared" si="1"/>
        <v>0.13456809999996722</v>
      </c>
      <c r="N7" s="3">
        <f t="shared" si="2"/>
        <v>1.564568099999974</v>
      </c>
      <c r="O7" s="3">
        <v>-10.2422474</v>
      </c>
      <c r="P7" s="3">
        <v>267.20299940000001</v>
      </c>
      <c r="Q7" s="3">
        <v>5.2007459999999996</v>
      </c>
      <c r="R7" s="3">
        <v>269.72375010000002</v>
      </c>
      <c r="S7" s="3">
        <v>268.61623229999998</v>
      </c>
      <c r="T7" s="3">
        <f t="shared" si="6"/>
        <v>1.9339559000000008</v>
      </c>
      <c r="U7" s="3">
        <f t="shared" si="3"/>
        <v>4.0891887999999881</v>
      </c>
      <c r="V7" s="3">
        <f t="shared" si="4"/>
        <v>1.5684380999999803</v>
      </c>
      <c r="W7" s="2">
        <f>VLOOKUP(B7,[1]CivilReport!$A$2:$E$342,5,FALSE)-H7</f>
        <v>-7.2400000000527598E-5</v>
      </c>
      <c r="IU7" s="5"/>
      <c r="IV7" s="5"/>
    </row>
    <row r="8" spans="1:256" s="4" customFormat="1" ht="14.45" customHeight="1" x14ac:dyDescent="0.25">
      <c r="A8" s="2">
        <f t="shared" si="5"/>
        <v>91322.661999999997</v>
      </c>
      <c r="B8" s="3">
        <v>282320</v>
      </c>
      <c r="C8" s="3">
        <v>3369345.7157923998</v>
      </c>
      <c r="D8" s="3">
        <v>659074.80407339998</v>
      </c>
      <c r="E8" s="3">
        <v>270.41023869999998</v>
      </c>
      <c r="F8" s="3">
        <f t="shared" si="0"/>
        <v>269.72223869999999</v>
      </c>
      <c r="G8" s="7">
        <v>91322.661999999997</v>
      </c>
      <c r="H8" s="7">
        <v>-10.5716226</v>
      </c>
      <c r="I8" s="3">
        <v>3369337.0757692</v>
      </c>
      <c r="J8" s="3">
        <v>659068.71234089998</v>
      </c>
      <c r="K8" s="3">
        <v>270.56264429999999</v>
      </c>
      <c r="L8" s="3">
        <v>271.30464430000001</v>
      </c>
      <c r="M8" s="3">
        <f t="shared" si="1"/>
        <v>0.15240560000000869</v>
      </c>
      <c r="N8" s="3">
        <f t="shared" si="2"/>
        <v>1.5824056000000155</v>
      </c>
      <c r="O8" s="3">
        <v>-11.065498</v>
      </c>
      <c r="P8" s="3">
        <v>266.80322860000001</v>
      </c>
      <c r="Q8" s="3">
        <v>5.4278813000000001</v>
      </c>
      <c r="R8" s="3">
        <v>269.62203699999998</v>
      </c>
      <c r="S8" s="3">
        <v>267.97098699999998</v>
      </c>
      <c r="T8" s="3">
        <f t="shared" si="6"/>
        <v>2.5916573000000085</v>
      </c>
      <c r="U8" s="3">
        <f t="shared" si="3"/>
        <v>4.5014156999999955</v>
      </c>
      <c r="V8" s="3">
        <f t="shared" si="4"/>
        <v>1.6826073000000292</v>
      </c>
      <c r="W8" s="2">
        <f>VLOOKUP(B8,[1]CivilReport!$A$2:$E$342,5,FALSE)-H8</f>
        <v>6.2259999999980664E-4</v>
      </c>
      <c r="IU8" s="5"/>
      <c r="IV8" s="5"/>
    </row>
    <row r="9" spans="1:256" s="4" customFormat="1" ht="14.45" customHeight="1" x14ac:dyDescent="0.25">
      <c r="A9" s="2">
        <f t="shared" si="5"/>
        <v>91342.675000000003</v>
      </c>
      <c r="B9" s="3">
        <v>282340</v>
      </c>
      <c r="C9" s="3">
        <v>3369357.2598465001</v>
      </c>
      <c r="D9" s="3">
        <v>659058.47205610003</v>
      </c>
      <c r="E9" s="3">
        <v>270.4105892</v>
      </c>
      <c r="F9" s="3">
        <f t="shared" si="0"/>
        <v>269.72258920000002</v>
      </c>
      <c r="G9" s="7">
        <v>91342.675000000003</v>
      </c>
      <c r="H9" s="7">
        <v>-10.5970333</v>
      </c>
      <c r="I9" s="3">
        <v>3369348.6066362001</v>
      </c>
      <c r="J9" s="3">
        <v>659052.35494350002</v>
      </c>
      <c r="K9" s="3">
        <v>270.58071869999998</v>
      </c>
      <c r="L9" s="3">
        <v>271.3227187</v>
      </c>
      <c r="M9" s="3">
        <f t="shared" si="1"/>
        <v>0.17012949999997318</v>
      </c>
      <c r="N9" s="3">
        <f t="shared" si="2"/>
        <v>1.60012949999998</v>
      </c>
      <c r="O9" s="3">
        <v>-10.801966699999999</v>
      </c>
      <c r="P9" s="3">
        <v>266.95306870000002</v>
      </c>
      <c r="Q9" s="3">
        <v>5.4815566999999996</v>
      </c>
      <c r="R9" s="3">
        <v>269.61327369999998</v>
      </c>
      <c r="S9" s="3">
        <v>268.61799610000003</v>
      </c>
      <c r="T9" s="3">
        <f t="shared" si="6"/>
        <v>1.9627225999999496</v>
      </c>
      <c r="U9" s="3">
        <f t="shared" si="3"/>
        <v>4.3696499999999787</v>
      </c>
      <c r="V9" s="3">
        <f t="shared" si="4"/>
        <v>1.7094450000000165</v>
      </c>
      <c r="W9" s="2">
        <f>VLOOKUP(B9,[1]CivilReport!$A$2:$E$342,5,FALSE)-H9</f>
        <v>3.3300000000124896E-5</v>
      </c>
      <c r="IU9" s="5"/>
      <c r="IV9" s="5"/>
    </row>
    <row r="10" spans="1:256" s="4" customFormat="1" ht="14.45" customHeight="1" x14ac:dyDescent="0.25">
      <c r="A10" s="2">
        <f t="shared" si="5"/>
        <v>91362.633000000002</v>
      </c>
      <c r="B10" s="3">
        <v>282360</v>
      </c>
      <c r="C10" s="3">
        <v>3369368.7832570998</v>
      </c>
      <c r="D10" s="3">
        <v>659042.12550840003</v>
      </c>
      <c r="E10" s="3">
        <v>270.4049296</v>
      </c>
      <c r="F10" s="3">
        <f t="shared" si="0"/>
        <v>269.71692960000001</v>
      </c>
      <c r="G10" s="7">
        <v>91362.633000000002</v>
      </c>
      <c r="H10" s="7">
        <v>-10.597217300000001</v>
      </c>
      <c r="I10" s="3">
        <v>3369360.1058079</v>
      </c>
      <c r="J10" s="3">
        <v>659036.04250830004</v>
      </c>
      <c r="K10" s="3">
        <v>270.59874339999999</v>
      </c>
      <c r="L10" s="3">
        <v>271.34074340000001</v>
      </c>
      <c r="M10" s="3">
        <f t="shared" si="1"/>
        <v>0.19381379999998671</v>
      </c>
      <c r="N10" s="3">
        <f t="shared" si="2"/>
        <v>1.6238137999999935</v>
      </c>
      <c r="O10" s="3">
        <v>-11.3946518</v>
      </c>
      <c r="P10" s="3">
        <v>266.67475089999999</v>
      </c>
      <c r="Q10" s="3">
        <v>5.6419946999999997</v>
      </c>
      <c r="R10" s="3">
        <v>269.55107939999999</v>
      </c>
      <c r="S10" s="3">
        <v>267.78253330000001</v>
      </c>
      <c r="T10" s="3">
        <f t="shared" si="6"/>
        <v>2.816210099999978</v>
      </c>
      <c r="U10" s="3">
        <f t="shared" si="3"/>
        <v>4.6659925000000158</v>
      </c>
      <c r="V10" s="3">
        <f t="shared" si="4"/>
        <v>1.7896640000000161</v>
      </c>
      <c r="W10" s="2">
        <f>VLOOKUP(B10,[1]CivilReport!$A$2:$E$342,5,FALSE)-H10</f>
        <v>-7.8270000000024709E-4</v>
      </c>
      <c r="IU10" s="5"/>
      <c r="IV10" s="5"/>
    </row>
    <row r="11" spans="1:256" s="4" customFormat="1" ht="14.45" customHeight="1" x14ac:dyDescent="0.25">
      <c r="A11" s="2">
        <f t="shared" si="5"/>
        <v>91382.633000000002</v>
      </c>
      <c r="B11" s="3">
        <v>282380</v>
      </c>
      <c r="C11" s="3">
        <v>3369380.2636297001</v>
      </c>
      <c r="D11" s="3">
        <v>659025.74866359995</v>
      </c>
      <c r="E11" s="3">
        <v>270.38673180000001</v>
      </c>
      <c r="F11" s="3">
        <f t="shared" si="0"/>
        <v>269.69873180000002</v>
      </c>
      <c r="G11" s="7">
        <v>91382.633000000002</v>
      </c>
      <c r="H11" s="7">
        <v>-10.544741500000001</v>
      </c>
      <c r="I11" s="3">
        <v>3369371.6291499999</v>
      </c>
      <c r="J11" s="3">
        <v>659019.69578549999</v>
      </c>
      <c r="K11" s="3">
        <v>270.616806</v>
      </c>
      <c r="L11" s="3">
        <v>271.35880600000002</v>
      </c>
      <c r="M11" s="3">
        <f t="shared" si="1"/>
        <v>0.23007419999999001</v>
      </c>
      <c r="N11" s="3">
        <f t="shared" si="2"/>
        <v>1.6600741999999968</v>
      </c>
      <c r="O11" s="3">
        <v>-11.7058936</v>
      </c>
      <c r="P11" s="3">
        <v>266.53719260000003</v>
      </c>
      <c r="Q11" s="3">
        <v>5.5997238999999999</v>
      </c>
      <c r="R11" s="3">
        <v>269.59027739999999</v>
      </c>
      <c r="S11" s="3">
        <v>267.198375</v>
      </c>
      <c r="T11" s="3">
        <f t="shared" si="6"/>
        <v>3.4184309999999982</v>
      </c>
      <c r="U11" s="3">
        <f t="shared" si="3"/>
        <v>4.8216133999999897</v>
      </c>
      <c r="V11" s="3">
        <f t="shared" si="4"/>
        <v>1.7685286000000247</v>
      </c>
      <c r="W11" s="2">
        <f>VLOOKUP(B11,[1]CivilReport!$A$2:$E$342,5,FALSE)-H11</f>
        <v>-3.2584999999993869E-3</v>
      </c>
      <c r="IU11" s="5"/>
      <c r="IV11" s="5"/>
    </row>
    <row r="12" spans="1:256" s="4" customFormat="1" ht="14.45" customHeight="1" x14ac:dyDescent="0.25">
      <c r="A12" s="2">
        <f t="shared" si="5"/>
        <v>91402.644</v>
      </c>
      <c r="B12" s="3">
        <v>282400</v>
      </c>
      <c r="C12" s="3">
        <v>3369391.7551548001</v>
      </c>
      <c r="D12" s="3">
        <v>659009.37964519998</v>
      </c>
      <c r="E12" s="3">
        <v>270.384882</v>
      </c>
      <c r="F12" s="3">
        <f t="shared" si="0"/>
        <v>269.69688200000002</v>
      </c>
      <c r="G12" s="7">
        <v>91402.644</v>
      </c>
      <c r="H12" s="7">
        <v>-10.505868100000001</v>
      </c>
      <c r="I12" s="3">
        <v>3369383.1585077001</v>
      </c>
      <c r="J12" s="3">
        <v>659003.34052920004</v>
      </c>
      <c r="K12" s="3">
        <v>270.63487799999996</v>
      </c>
      <c r="L12" s="3">
        <v>271.37687799999998</v>
      </c>
      <c r="M12" s="3">
        <f t="shared" si="1"/>
        <v>0.24999599999995326</v>
      </c>
      <c r="N12" s="3">
        <f t="shared" si="2"/>
        <v>1.6799959999999601</v>
      </c>
      <c r="O12" s="3">
        <v>-11.752896099999999</v>
      </c>
      <c r="P12" s="3">
        <v>266.53176330000002</v>
      </c>
      <c r="Q12" s="3">
        <v>5.6959659</v>
      </c>
      <c r="R12" s="3">
        <v>269.56022840000003</v>
      </c>
      <c r="S12" s="3">
        <v>267.87886209999999</v>
      </c>
      <c r="T12" s="3">
        <f t="shared" si="6"/>
        <v>2.7560158999999658</v>
      </c>
      <c r="U12" s="3">
        <f t="shared" si="3"/>
        <v>4.8451146999999537</v>
      </c>
      <c r="V12" s="3">
        <f t="shared" si="4"/>
        <v>1.8166495999999484</v>
      </c>
      <c r="W12" s="2">
        <f>VLOOKUP(B12,[1]CivilReport!$A$2:$E$342,5,FALSE)-H12</f>
        <v>-1.3189999999951851E-4</v>
      </c>
      <c r="IU12" s="5"/>
      <c r="IV12" s="5"/>
    </row>
    <row r="13" spans="1:256" s="4" customFormat="1" ht="14.45" customHeight="1" x14ac:dyDescent="0.25">
      <c r="A13" s="2">
        <f t="shared" si="5"/>
        <v>91422.675000000003</v>
      </c>
      <c r="B13" s="3">
        <v>282420</v>
      </c>
      <c r="C13" s="3">
        <v>3369403.2564361999</v>
      </c>
      <c r="D13" s="3">
        <v>658993.01748679997</v>
      </c>
      <c r="E13" s="3">
        <v>270.38683040000001</v>
      </c>
      <c r="F13" s="3">
        <f t="shared" si="0"/>
        <v>269.69883040000002</v>
      </c>
      <c r="G13" s="7">
        <v>91422.675000000003</v>
      </c>
      <c r="H13" s="7">
        <v>-10.4789385</v>
      </c>
      <c r="I13" s="3">
        <v>3369394.6994650001</v>
      </c>
      <c r="J13" s="3">
        <v>658986.96881780005</v>
      </c>
      <c r="K13" s="3">
        <v>270.65296819999998</v>
      </c>
      <c r="L13" s="3">
        <v>271.39496819999999</v>
      </c>
      <c r="M13" s="3">
        <f t="shared" si="1"/>
        <v>0.26613779999996723</v>
      </c>
      <c r="N13" s="3">
        <f t="shared" si="2"/>
        <v>1.696137799999974</v>
      </c>
      <c r="O13" s="3">
        <v>-11.219836300000001</v>
      </c>
      <c r="P13" s="3">
        <v>266.81638340000001</v>
      </c>
      <c r="Q13" s="3">
        <v>5.5375119000000002</v>
      </c>
      <c r="R13" s="3">
        <v>269.65754559999999</v>
      </c>
      <c r="S13" s="3">
        <v>267.99194640000002</v>
      </c>
      <c r="T13" s="3">
        <f t="shared" si="6"/>
        <v>2.6610217999999577</v>
      </c>
      <c r="U13" s="3">
        <f t="shared" si="3"/>
        <v>4.5785847999999874</v>
      </c>
      <c r="V13" s="3">
        <f t="shared" si="4"/>
        <v>1.7374226000000021</v>
      </c>
      <c r="W13" s="2">
        <f>VLOOKUP(B13,[1]CivilReport!$A$2:$E$342,5,FALSE)-H13</f>
        <v>-6.1499999999270472E-5</v>
      </c>
      <c r="IU13" s="5"/>
      <c r="IV13" s="5"/>
    </row>
    <row r="14" spans="1:256" s="4" customFormat="1" ht="14.45" customHeight="1" x14ac:dyDescent="0.25">
      <c r="A14" s="2">
        <f t="shared" si="5"/>
        <v>91442.675000000003</v>
      </c>
      <c r="B14" s="3">
        <v>282440</v>
      </c>
      <c r="C14" s="3">
        <v>3369414.8008670001</v>
      </c>
      <c r="D14" s="3">
        <v>658976.68573499995</v>
      </c>
      <c r="E14" s="3">
        <v>270.3541113</v>
      </c>
      <c r="F14" s="3">
        <f t="shared" si="0"/>
        <v>269.66611130000001</v>
      </c>
      <c r="G14" s="7">
        <v>91442.675000000003</v>
      </c>
      <c r="H14" s="7">
        <v>-10.5048008</v>
      </c>
      <c r="I14" s="3">
        <v>3369406.2227770998</v>
      </c>
      <c r="J14" s="3">
        <v>658970.62213769997</v>
      </c>
      <c r="K14" s="3">
        <v>270.67103079999998</v>
      </c>
      <c r="L14" s="3">
        <v>271.4130308</v>
      </c>
      <c r="M14" s="3">
        <f t="shared" si="1"/>
        <v>0.31691949999998315</v>
      </c>
      <c r="N14" s="3">
        <f t="shared" si="2"/>
        <v>1.74691949999999</v>
      </c>
      <c r="O14" s="3">
        <v>-11.1491463</v>
      </c>
      <c r="P14" s="3">
        <v>266.86979100000002</v>
      </c>
      <c r="Q14" s="3">
        <v>5.4948462999999999</v>
      </c>
      <c r="R14" s="3">
        <v>269.69694099999998</v>
      </c>
      <c r="S14" s="3">
        <v>268.22452559999999</v>
      </c>
      <c r="T14" s="3">
        <f t="shared" si="6"/>
        <v>2.4465051999999901</v>
      </c>
      <c r="U14" s="3">
        <f t="shared" si="3"/>
        <v>4.5432397999999807</v>
      </c>
      <c r="V14" s="3">
        <f t="shared" si="4"/>
        <v>1.7160898000000202</v>
      </c>
      <c r="W14" s="2">
        <f>VLOOKUP(B14,[1]CivilReport!$A$2:$E$342,5,FALSE)-H14</f>
        <v>-1.9920000000084315E-4</v>
      </c>
      <c r="IU14" s="5"/>
      <c r="IV14" s="5"/>
    </row>
    <row r="15" spans="1:256" s="4" customFormat="1" ht="14.45" customHeight="1" x14ac:dyDescent="0.25">
      <c r="A15" s="2">
        <f t="shared" si="5"/>
        <v>91462.672000000006</v>
      </c>
      <c r="B15" s="3">
        <v>282460</v>
      </c>
      <c r="C15" s="3">
        <v>3369426.3431568998</v>
      </c>
      <c r="D15" s="3">
        <v>658960.35247020004</v>
      </c>
      <c r="E15" s="3">
        <v>270.33010610000002</v>
      </c>
      <c r="F15" s="3">
        <f t="shared" si="0"/>
        <v>269.64210610000003</v>
      </c>
      <c r="G15" s="7">
        <v>91462.672000000006</v>
      </c>
      <c r="H15" s="7">
        <v>-10.528038499999999</v>
      </c>
      <c r="I15" s="3">
        <v>3369417.7446102998</v>
      </c>
      <c r="J15" s="3">
        <v>658954.27755540004</v>
      </c>
      <c r="K15" s="3">
        <v>270.68909099999996</v>
      </c>
      <c r="L15" s="3">
        <v>271.43109099999998</v>
      </c>
      <c r="M15" s="3">
        <f t="shared" si="1"/>
        <v>0.35898489999993899</v>
      </c>
      <c r="N15" s="3">
        <f t="shared" si="2"/>
        <v>1.7889848999999458</v>
      </c>
      <c r="O15" s="3">
        <v>-11.0713062</v>
      </c>
      <c r="P15" s="3">
        <v>266.92677129999998</v>
      </c>
      <c r="Q15" s="3">
        <v>5.6026388000000003</v>
      </c>
      <c r="R15" s="3">
        <v>269.66110500000002</v>
      </c>
      <c r="S15" s="3">
        <v>268.41493680000002</v>
      </c>
      <c r="T15" s="3">
        <f t="shared" si="6"/>
        <v>2.2741541999999413</v>
      </c>
      <c r="U15" s="3">
        <f t="shared" si="3"/>
        <v>4.5043196999999964</v>
      </c>
      <c r="V15" s="3">
        <f t="shared" si="4"/>
        <v>1.7699859999999603</v>
      </c>
      <c r="W15" s="2">
        <f>VLOOKUP(B15,[1]CivilReport!$A$2:$E$342,5,FALSE)-H15</f>
        <v>3.8499999998720114E-5</v>
      </c>
      <c r="IU15" s="5"/>
      <c r="IV15" s="5"/>
    </row>
    <row r="16" spans="1:256" s="4" customFormat="1" ht="14.45" customHeight="1" x14ac:dyDescent="0.25">
      <c r="A16" s="2">
        <f t="shared" si="5"/>
        <v>91482.672000000006</v>
      </c>
      <c r="B16" s="3">
        <v>282480</v>
      </c>
      <c r="C16" s="3">
        <v>3369437.8836063999</v>
      </c>
      <c r="D16" s="3">
        <v>658944.01790480001</v>
      </c>
      <c r="E16" s="3">
        <v>270.31359200000003</v>
      </c>
      <c r="F16" s="3">
        <f t="shared" si="0"/>
        <v>269.62559200000004</v>
      </c>
      <c r="G16" s="7">
        <v>91482.672000000006</v>
      </c>
      <c r="H16" s="7">
        <v>-10.5490256</v>
      </c>
      <c r="I16" s="3">
        <v>3369429.2679189998</v>
      </c>
      <c r="J16" s="3">
        <v>658937.93088</v>
      </c>
      <c r="K16" s="3">
        <v>270.70715359999997</v>
      </c>
      <c r="L16" s="3">
        <v>271.44915359999999</v>
      </c>
      <c r="M16" s="3">
        <f t="shared" si="1"/>
        <v>0.39356159999994134</v>
      </c>
      <c r="N16" s="3">
        <f t="shared" si="2"/>
        <v>1.8235615999999482</v>
      </c>
      <c r="O16" s="3">
        <v>-10.187241500000001</v>
      </c>
      <c r="P16" s="3">
        <v>267.38686610000002</v>
      </c>
      <c r="Q16" s="3">
        <v>5.8980290999999996</v>
      </c>
      <c r="R16" s="3">
        <v>269.53147230000002</v>
      </c>
      <c r="S16" s="3">
        <v>268.6201092</v>
      </c>
      <c r="T16" s="3">
        <f t="shared" si="6"/>
        <v>2.0870443999999679</v>
      </c>
      <c r="U16" s="3">
        <f t="shared" si="3"/>
        <v>4.0622874999999681</v>
      </c>
      <c r="V16" s="3">
        <f t="shared" si="4"/>
        <v>1.9176812999999697</v>
      </c>
      <c r="W16" s="2">
        <f>VLOOKUP(B16,[1]CivilReport!$A$2:$E$342,5,FALSE)-H16</f>
        <v>-9.7440000000048599E-4</v>
      </c>
      <c r="IU16" s="5"/>
      <c r="IV16" s="5"/>
    </row>
    <row r="17" spans="1:23" s="4" customFormat="1" ht="14.45" customHeight="1" x14ac:dyDescent="0.25">
      <c r="A17" s="2">
        <f t="shared" si="5"/>
        <v>91502.668000000005</v>
      </c>
      <c r="B17" s="3">
        <v>282500</v>
      </c>
      <c r="C17" s="3">
        <v>3369449.4191784002</v>
      </c>
      <c r="D17" s="3">
        <v>658927.67989499995</v>
      </c>
      <c r="E17" s="3">
        <v>270.31864409999997</v>
      </c>
      <c r="F17" s="3">
        <f t="shared" si="0"/>
        <v>269.63064409999998</v>
      </c>
      <c r="G17" s="7">
        <v>91502.668000000005</v>
      </c>
      <c r="H17" s="7">
        <v>-10.564038</v>
      </c>
      <c r="I17" s="3">
        <v>3369440.7887098002</v>
      </c>
      <c r="J17" s="3">
        <v>658921.58777630003</v>
      </c>
      <c r="K17" s="3">
        <v>270.72521219999999</v>
      </c>
      <c r="L17" s="3">
        <v>271.46721220000001</v>
      </c>
      <c r="M17" s="3">
        <f t="shared" si="1"/>
        <v>0.40656810000001542</v>
      </c>
      <c r="N17" s="3">
        <f t="shared" si="2"/>
        <v>1.8365681000000222</v>
      </c>
      <c r="O17" s="3">
        <v>-10.3923878</v>
      </c>
      <c r="P17" s="3">
        <v>267.30235160000001</v>
      </c>
      <c r="Q17" s="3">
        <v>5.9348061000000003</v>
      </c>
      <c r="R17" s="3">
        <v>269.53114249999999</v>
      </c>
      <c r="S17" s="3">
        <v>268.37984189999997</v>
      </c>
      <c r="T17" s="3">
        <f t="shared" si="6"/>
        <v>2.3453703000000132</v>
      </c>
      <c r="U17" s="3">
        <f t="shared" si="3"/>
        <v>4.1648605999999972</v>
      </c>
      <c r="V17" s="3">
        <f t="shared" si="4"/>
        <v>1.9360697000000187</v>
      </c>
      <c r="W17" s="2">
        <f>VLOOKUP(B17,[1]CivilReport!$A$2:$E$342,5,FALSE)-H17</f>
        <v>3.7999999999982492E-5</v>
      </c>
    </row>
    <row r="18" spans="1:23" s="4" customFormat="1" ht="14.45" customHeight="1" x14ac:dyDescent="0.25">
      <c r="A18" s="2">
        <f t="shared" si="5"/>
        <v>91522.659</v>
      </c>
      <c r="B18" s="3">
        <v>282520</v>
      </c>
      <c r="C18" s="3">
        <v>3369460.9489091998</v>
      </c>
      <c r="D18" s="3">
        <v>658911.33776380005</v>
      </c>
      <c r="E18" s="3">
        <v>270.32633529999998</v>
      </c>
      <c r="F18" s="3">
        <f t="shared" si="0"/>
        <v>269.63833529999999</v>
      </c>
      <c r="G18" s="7">
        <v>91522.659</v>
      </c>
      <c r="H18" s="7">
        <v>-10.5719032</v>
      </c>
      <c r="I18" s="3">
        <v>3369452.3070848002</v>
      </c>
      <c r="J18" s="3">
        <v>658905.24809969997</v>
      </c>
      <c r="K18" s="3">
        <v>270.743267</v>
      </c>
      <c r="L18" s="3">
        <v>271.48526700000002</v>
      </c>
      <c r="M18" s="3">
        <f t="shared" si="1"/>
        <v>0.41693170000002056</v>
      </c>
      <c r="N18" s="3">
        <f t="shared" si="2"/>
        <v>1.8469317000000274</v>
      </c>
      <c r="O18" s="3">
        <v>-9.4314104000000007</v>
      </c>
      <c r="P18" s="3">
        <v>267.80089509999999</v>
      </c>
      <c r="Q18" s="3">
        <v>5.8794830000000005</v>
      </c>
      <c r="R18" s="3">
        <v>269.57685880000002</v>
      </c>
      <c r="S18" s="3">
        <v>268.19148680000001</v>
      </c>
      <c r="T18" s="3">
        <f t="shared" si="6"/>
        <v>2.5517801999999961</v>
      </c>
      <c r="U18" s="3">
        <f t="shared" si="3"/>
        <v>3.6843719000000306</v>
      </c>
      <c r="V18" s="3">
        <f t="shared" si="4"/>
        <v>1.9084081999999967</v>
      </c>
      <c r="W18" s="2">
        <f>VLOOKUP(B18,[1]CivilReport!$A$2:$E$342,5,FALSE)-H18</f>
        <v>-9.6799999999674924E-5</v>
      </c>
    </row>
    <row r="19" spans="1:23" s="4" customFormat="1" ht="14.45" customHeight="1" x14ac:dyDescent="0.25">
      <c r="A19" s="2">
        <f t="shared" si="5"/>
        <v>91542.659</v>
      </c>
      <c r="B19" s="3">
        <v>282540</v>
      </c>
      <c r="C19" s="3">
        <v>3369472.4693780998</v>
      </c>
      <c r="D19" s="3">
        <v>658894.98910030001</v>
      </c>
      <c r="E19" s="3">
        <v>270.32077950000001</v>
      </c>
      <c r="F19" s="3">
        <f t="shared" si="0"/>
        <v>269.63277950000003</v>
      </c>
      <c r="G19" s="7">
        <v>91542.659</v>
      </c>
      <c r="H19" s="7">
        <v>-10.568436699999999</v>
      </c>
      <c r="I19" s="3">
        <v>3369463.8303872999</v>
      </c>
      <c r="J19" s="3">
        <v>658888.90143309999</v>
      </c>
      <c r="K19" s="3">
        <v>270.76132949999999</v>
      </c>
      <c r="L19" s="3">
        <v>271.50332950000001</v>
      </c>
      <c r="M19" s="3">
        <f t="shared" si="1"/>
        <v>0.44054999999997335</v>
      </c>
      <c r="N19" s="3">
        <f t="shared" si="2"/>
        <v>1.8705499999999802</v>
      </c>
      <c r="O19" s="3">
        <v>-8.9108321999999998</v>
      </c>
      <c r="P19" s="3">
        <v>268.0792467</v>
      </c>
      <c r="Q19" s="3">
        <v>5.9598063999999997</v>
      </c>
      <c r="R19" s="3">
        <v>269.55475969999998</v>
      </c>
      <c r="S19" s="3">
        <v>267.99853810000002</v>
      </c>
      <c r="T19" s="3">
        <f t="shared" si="6"/>
        <v>2.7627913999999691</v>
      </c>
      <c r="U19" s="3">
        <f t="shared" si="3"/>
        <v>3.4240828000000079</v>
      </c>
      <c r="V19" s="3">
        <f t="shared" si="4"/>
        <v>1.9485698000000298</v>
      </c>
      <c r="W19" s="2">
        <f>VLOOKUP(B19,[1]CivilReport!$A$2:$E$342,5,FALSE)-H19</f>
        <v>-5.6330000000137659E-4</v>
      </c>
    </row>
    <row r="20" spans="1:23" s="4" customFormat="1" ht="14.45" customHeight="1" x14ac:dyDescent="0.25">
      <c r="A20" s="2">
        <f t="shared" si="5"/>
        <v>91562.67</v>
      </c>
      <c r="B20" s="3">
        <v>282560</v>
      </c>
      <c r="C20" s="3">
        <v>3369484.0014102999</v>
      </c>
      <c r="D20" s="3">
        <v>658878.64859430003</v>
      </c>
      <c r="E20" s="3">
        <v>270.3212939</v>
      </c>
      <c r="F20" s="3">
        <f t="shared" si="0"/>
        <v>269.63329390000001</v>
      </c>
      <c r="G20" s="7">
        <v>91562.67</v>
      </c>
      <c r="H20" s="7">
        <v>-10.579125100000001</v>
      </c>
      <c r="I20" s="3">
        <v>3369475.3600307</v>
      </c>
      <c r="J20" s="3">
        <v>658872.54577139998</v>
      </c>
      <c r="K20" s="3">
        <v>270.779402</v>
      </c>
      <c r="L20" s="3">
        <v>271.52140200000002</v>
      </c>
      <c r="M20" s="3">
        <f t="shared" si="1"/>
        <v>0.45810810000000401</v>
      </c>
      <c r="N20" s="3">
        <f t="shared" si="2"/>
        <v>1.8881081000000108</v>
      </c>
      <c r="O20" s="3">
        <v>-10.052322500000001</v>
      </c>
      <c r="P20" s="3">
        <v>267.5265741</v>
      </c>
      <c r="Q20" s="3">
        <v>5.9802057</v>
      </c>
      <c r="R20" s="3">
        <v>269.56263250000001</v>
      </c>
      <c r="S20" s="3">
        <v>267.06471449999998</v>
      </c>
      <c r="T20" s="3">
        <f t="shared" si="6"/>
        <v>3.714687500000025</v>
      </c>
      <c r="U20" s="3">
        <f t="shared" si="3"/>
        <v>3.9948279000000184</v>
      </c>
      <c r="V20" s="3">
        <f t="shared" si="4"/>
        <v>1.9587695000000167</v>
      </c>
      <c r="W20" s="2">
        <f>VLOOKUP(B20,[1]CivilReport!$A$2:$E$342,5,FALSE)-H20</f>
        <v>1.2509999999998911E-4</v>
      </c>
    </row>
    <row r="21" spans="1:23" s="4" customFormat="1" ht="14.45" customHeight="1" x14ac:dyDescent="0.25">
      <c r="A21" s="2">
        <f t="shared" si="5"/>
        <v>91582.67</v>
      </c>
      <c r="B21" s="3">
        <v>282580</v>
      </c>
      <c r="C21" s="3">
        <v>3369495.5388916</v>
      </c>
      <c r="D21" s="3">
        <v>658862.31193229998</v>
      </c>
      <c r="E21" s="3">
        <v>270.32466870000002</v>
      </c>
      <c r="F21" s="3">
        <f t="shared" si="0"/>
        <v>269.63666870000003</v>
      </c>
      <c r="G21" s="7">
        <v>91582.67</v>
      </c>
      <c r="H21" s="7">
        <v>-10.5964782</v>
      </c>
      <c r="I21" s="3">
        <v>3369486.8833375</v>
      </c>
      <c r="J21" s="3">
        <v>658856.19909879996</v>
      </c>
      <c r="K21" s="3">
        <v>270.79746449999999</v>
      </c>
      <c r="L21" s="3">
        <v>271.53946450000001</v>
      </c>
      <c r="M21" s="3">
        <f t="shared" si="1"/>
        <v>0.47279579999997168</v>
      </c>
      <c r="N21" s="3">
        <f t="shared" si="2"/>
        <v>1.9027957999999785</v>
      </c>
      <c r="O21" s="3">
        <v>-10.3012175</v>
      </c>
      <c r="P21" s="3">
        <v>267.42018910000002</v>
      </c>
      <c r="Q21" s="3">
        <v>5.9691185999999998</v>
      </c>
      <c r="R21" s="3">
        <v>269.5862386</v>
      </c>
      <c r="S21" s="3">
        <v>267.403167</v>
      </c>
      <c r="T21" s="3">
        <f t="shared" si="6"/>
        <v>3.3942974999999933</v>
      </c>
      <c r="U21" s="3">
        <f t="shared" si="3"/>
        <v>4.1192753999999923</v>
      </c>
      <c r="V21" s="3">
        <f t="shared" si="4"/>
        <v>1.9532259000000067</v>
      </c>
      <c r="W21" s="2">
        <f>VLOOKUP(B21,[1]CivilReport!$A$2:$E$342,5,FALSE)-H21</f>
        <v>-5.2179999999957261E-4</v>
      </c>
    </row>
    <row r="22" spans="1:23" s="4" customFormat="1" ht="14.45" customHeight="1" x14ac:dyDescent="0.25">
      <c r="A22" s="2">
        <f t="shared" si="5"/>
        <v>91602.585999999996</v>
      </c>
      <c r="B22" s="3">
        <v>282600</v>
      </c>
      <c r="C22" s="3">
        <v>3369506.9582533999</v>
      </c>
      <c r="D22" s="3">
        <v>658845.89255610004</v>
      </c>
      <c r="E22" s="3">
        <v>270.25610219999999</v>
      </c>
      <c r="F22" s="3">
        <f t="shared" si="0"/>
        <v>269.5681022</v>
      </c>
      <c r="G22" s="7">
        <v>91602.585999999996</v>
      </c>
      <c r="H22" s="7">
        <v>-10.4698932</v>
      </c>
      <c r="I22" s="3">
        <v>3369498.3580843001</v>
      </c>
      <c r="J22" s="3">
        <v>658839.92131210002</v>
      </c>
      <c r="K22" s="3">
        <v>270.81545089999997</v>
      </c>
      <c r="L22" s="3">
        <v>271.55745089999999</v>
      </c>
      <c r="M22" s="3">
        <f t="shared" si="1"/>
        <v>0.55934869999998682</v>
      </c>
      <c r="N22" s="3">
        <f t="shared" si="2"/>
        <v>1.9893486999999936</v>
      </c>
      <c r="O22" s="3">
        <v>-9.9643675999999992</v>
      </c>
      <c r="P22" s="3">
        <v>267.60660050000001</v>
      </c>
      <c r="Q22" s="3">
        <v>6.0126201000000004</v>
      </c>
      <c r="R22" s="3">
        <v>269.58247419999998</v>
      </c>
      <c r="S22" s="3">
        <v>267.97313209999999</v>
      </c>
      <c r="T22" s="3">
        <f t="shared" si="6"/>
        <v>2.8423187999999868</v>
      </c>
      <c r="U22" s="3">
        <f t="shared" si="3"/>
        <v>3.9508503999999789</v>
      </c>
      <c r="V22" s="3">
        <f t="shared" si="4"/>
        <v>1.9749767000000134</v>
      </c>
      <c r="W22" s="2">
        <f>VLOOKUP(B22,[1]CivilReport!$A$2:$E$342,5,FALSE)-H22</f>
        <v>-1.068000000010727E-4</v>
      </c>
    </row>
    <row r="23" spans="1:23" s="4" customFormat="1" ht="14.45" customHeight="1" x14ac:dyDescent="0.25">
      <c r="A23" s="2">
        <f t="shared" si="5"/>
        <v>91622.686000000002</v>
      </c>
      <c r="B23" s="3">
        <v>282620</v>
      </c>
      <c r="C23" s="3">
        <v>3369518.3675358002</v>
      </c>
      <c r="D23" s="3">
        <v>658829.46612510004</v>
      </c>
      <c r="E23" s="3">
        <v>270.18154659999999</v>
      </c>
      <c r="F23" s="3">
        <f t="shared" si="0"/>
        <v>269.4935466</v>
      </c>
      <c r="G23" s="7">
        <v>91622.686000000002</v>
      </c>
      <c r="H23" s="7">
        <v>-10.330508500000001</v>
      </c>
      <c r="I23" s="3">
        <v>3369509.9387000999</v>
      </c>
      <c r="J23" s="3">
        <v>658823.49334219994</v>
      </c>
      <c r="K23" s="3">
        <v>270.83360329999999</v>
      </c>
      <c r="L23" s="3">
        <v>271.57560330000001</v>
      </c>
      <c r="M23" s="3">
        <f t="shared" si="1"/>
        <v>0.65205670000000282</v>
      </c>
      <c r="N23" s="3">
        <f t="shared" si="2"/>
        <v>2.0820567000000096</v>
      </c>
      <c r="O23" s="3">
        <v>-10.3284942</v>
      </c>
      <c r="P23" s="3">
        <v>267.44268959999999</v>
      </c>
      <c r="Q23" s="3">
        <v>6.0287246000000003</v>
      </c>
      <c r="R23" s="3">
        <v>269.59257439999999</v>
      </c>
      <c r="S23" s="3">
        <v>268.08325129999997</v>
      </c>
      <c r="T23" s="3">
        <f t="shared" si="6"/>
        <v>2.7503520000000208</v>
      </c>
      <c r="U23" s="3">
        <f t="shared" si="3"/>
        <v>4.1329137000000173</v>
      </c>
      <c r="V23" s="3">
        <f t="shared" si="4"/>
        <v>1.9830289000000221</v>
      </c>
      <c r="W23" s="2">
        <f>VLOOKUP(B23,[1]CivilReport!$A$2:$E$342,5,FALSE)-H23</f>
        <v>-4.9149999999897886E-4</v>
      </c>
    </row>
    <row r="24" spans="1:23" s="4" customFormat="1" ht="14.45" customHeight="1" x14ac:dyDescent="0.25">
      <c r="A24" s="2">
        <f t="shared" si="5"/>
        <v>91642.686000000002</v>
      </c>
      <c r="B24" s="3">
        <v>282640</v>
      </c>
      <c r="C24" s="3">
        <v>3369529.9309219001</v>
      </c>
      <c r="D24" s="3">
        <v>658813.14778869995</v>
      </c>
      <c r="E24" s="3">
        <v>270.20916460000001</v>
      </c>
      <c r="F24" s="3">
        <f t="shared" si="0"/>
        <v>269.52116460000002</v>
      </c>
      <c r="G24" s="7">
        <v>91642.686000000002</v>
      </c>
      <c r="H24" s="7">
        <v>-10.3795932</v>
      </c>
      <c r="I24" s="3">
        <v>3369521.4620372001</v>
      </c>
      <c r="J24" s="3">
        <v>658807.14662649995</v>
      </c>
      <c r="K24" s="3">
        <v>270.8516659</v>
      </c>
      <c r="L24" s="3">
        <v>271.59366590000002</v>
      </c>
      <c r="M24" s="3">
        <f t="shared" si="1"/>
        <v>0.64250129999999217</v>
      </c>
      <c r="N24" s="3">
        <f t="shared" si="2"/>
        <v>2.072501299999999</v>
      </c>
      <c r="O24" s="3">
        <v>-10.705468</v>
      </c>
      <c r="P24" s="3">
        <v>267.27226519999999</v>
      </c>
      <c r="Q24" s="3">
        <v>5.9003607000000002</v>
      </c>
      <c r="R24" s="3">
        <v>269.67481889999999</v>
      </c>
      <c r="S24" s="3">
        <v>267.9379318</v>
      </c>
      <c r="T24" s="3">
        <f t="shared" si="6"/>
        <v>2.9137340999999992</v>
      </c>
      <c r="U24" s="3">
        <f t="shared" si="3"/>
        <v>4.3214007000000265</v>
      </c>
      <c r="V24" s="3">
        <f t="shared" si="4"/>
        <v>1.9188470000000279</v>
      </c>
      <c r="W24" s="2">
        <f>VLOOKUP(B24,[1]CivilReport!$A$2:$E$342,5,FALSE)-H24</f>
        <v>-3.0406799999999734E-2</v>
      </c>
    </row>
    <row r="25" spans="1:23" s="4" customFormat="1" ht="14.45" customHeight="1" x14ac:dyDescent="0.25">
      <c r="A25" s="2">
        <f t="shared" si="5"/>
        <v>91662.663</v>
      </c>
      <c r="B25" s="3">
        <v>282660</v>
      </c>
      <c r="C25" s="3">
        <v>3369541.4869162999</v>
      </c>
      <c r="D25" s="3">
        <v>658796.8242265</v>
      </c>
      <c r="E25" s="3">
        <v>270.23632479999998</v>
      </c>
      <c r="F25" s="3">
        <f t="shared" si="0"/>
        <v>269.54832479999999</v>
      </c>
      <c r="G25" s="7">
        <v>91662.663</v>
      </c>
      <c r="H25" s="7">
        <v>-10.419594500000001</v>
      </c>
      <c r="I25" s="3">
        <v>3369532.9723907001</v>
      </c>
      <c r="J25" s="3">
        <v>658790.81832910003</v>
      </c>
      <c r="K25" s="3">
        <v>270.86970809999997</v>
      </c>
      <c r="L25" s="3">
        <v>271.61170809999999</v>
      </c>
      <c r="M25" s="3">
        <f t="shared" si="1"/>
        <v>0.63338329999999132</v>
      </c>
      <c r="N25" s="3">
        <f t="shared" si="2"/>
        <v>2.0633832999999981</v>
      </c>
      <c r="O25" s="3">
        <v>-10.596713599999999</v>
      </c>
      <c r="P25" s="3">
        <v>267.34468470000002</v>
      </c>
      <c r="Q25" s="3">
        <v>5.8588405999999997</v>
      </c>
      <c r="R25" s="3">
        <v>269.71362119999998</v>
      </c>
      <c r="S25" s="3">
        <v>267.6488344</v>
      </c>
      <c r="T25" s="3">
        <f t="shared" si="6"/>
        <v>3.2208736999999701</v>
      </c>
      <c r="U25" s="3">
        <f t="shared" si="3"/>
        <v>4.2670233999999709</v>
      </c>
      <c r="V25" s="3">
        <f t="shared" si="4"/>
        <v>1.8980869000000098</v>
      </c>
      <c r="W25" s="2">
        <f>VLOOKUP(B25,[1]CivilReport!$A$2:$E$342,5,FALSE)-H25</f>
        <v>-2.4055000000000604E-3</v>
      </c>
    </row>
    <row r="26" spans="1:23" s="4" customFormat="1" ht="14.45" customHeight="1" x14ac:dyDescent="0.25">
      <c r="A26" s="2">
        <f t="shared" si="5"/>
        <v>91682.663</v>
      </c>
      <c r="B26" s="3">
        <v>282680</v>
      </c>
      <c r="C26" s="3">
        <v>3369553.0149991</v>
      </c>
      <c r="D26" s="3">
        <v>658780.48093099997</v>
      </c>
      <c r="E26" s="3">
        <v>270.2617563</v>
      </c>
      <c r="F26" s="3">
        <f t="shared" si="0"/>
        <v>269.57375630000001</v>
      </c>
      <c r="G26" s="7">
        <v>91682.663</v>
      </c>
      <c r="H26" s="7">
        <v>-10.425443899999999</v>
      </c>
      <c r="I26" s="3">
        <v>3369544.4956935002</v>
      </c>
      <c r="J26" s="3">
        <v>658774.47166200005</v>
      </c>
      <c r="K26" s="3">
        <v>270.88777069999998</v>
      </c>
      <c r="L26" s="3">
        <v>271.62977069999999</v>
      </c>
      <c r="M26" s="3">
        <f t="shared" si="1"/>
        <v>0.6260143999999741</v>
      </c>
      <c r="N26" s="3">
        <f t="shared" si="2"/>
        <v>2.0560143999999809</v>
      </c>
      <c r="O26" s="3">
        <v>-10.3132497</v>
      </c>
      <c r="P26" s="3">
        <v>267.50447919999999</v>
      </c>
      <c r="Q26" s="3">
        <v>5.9986208999999997</v>
      </c>
      <c r="R26" s="3">
        <v>269.66179349999999</v>
      </c>
      <c r="S26" s="3">
        <v>267.37648089999999</v>
      </c>
      <c r="T26" s="3">
        <f t="shared" si="6"/>
        <v>3.5112897999999859</v>
      </c>
      <c r="U26" s="3">
        <f t="shared" si="3"/>
        <v>4.125291500000003</v>
      </c>
      <c r="V26" s="3">
        <f t="shared" si="4"/>
        <v>1.9679772000000071</v>
      </c>
      <c r="W26" s="2">
        <f>VLOOKUP(B26,[1]CivilReport!$A$2:$E$342,5,FALSE)-H26</f>
        <v>4.4389999999872032E-4</v>
      </c>
    </row>
    <row r="27" spans="1:23" s="4" customFormat="1" ht="14.45" customHeight="1" x14ac:dyDescent="0.25">
      <c r="A27" s="2">
        <f t="shared" si="5"/>
        <v>91702.67</v>
      </c>
      <c r="B27" s="3">
        <v>282700</v>
      </c>
      <c r="C27" s="3">
        <v>3369564.5488096001</v>
      </c>
      <c r="D27" s="3">
        <v>658764.14167859999</v>
      </c>
      <c r="E27" s="3">
        <v>270.28799429999998</v>
      </c>
      <c r="F27" s="3">
        <f t="shared" si="0"/>
        <v>269.59999429999999</v>
      </c>
      <c r="G27" s="7">
        <v>91702.67</v>
      </c>
      <c r="H27" s="7">
        <v>-10.4383087</v>
      </c>
      <c r="I27" s="3">
        <v>3369556.0230605998</v>
      </c>
      <c r="J27" s="3">
        <v>658758.11922949995</v>
      </c>
      <c r="K27" s="3">
        <v>270.90583959999998</v>
      </c>
      <c r="L27" s="3">
        <v>271.6478396</v>
      </c>
      <c r="M27" s="3">
        <f t="shared" si="1"/>
        <v>0.61784529999999904</v>
      </c>
      <c r="N27" s="3">
        <f t="shared" si="2"/>
        <v>2.0478453000000059</v>
      </c>
      <c r="O27" s="3">
        <v>-9.9063554000000007</v>
      </c>
      <c r="P27" s="3">
        <v>267.7259952</v>
      </c>
      <c r="Q27" s="3">
        <v>5.7919026000000002</v>
      </c>
      <c r="R27" s="3">
        <v>269.78322159999999</v>
      </c>
      <c r="S27" s="3">
        <v>267.5219275</v>
      </c>
      <c r="T27" s="3">
        <f t="shared" si="6"/>
        <v>3.383912099999975</v>
      </c>
      <c r="U27" s="3">
        <f t="shared" si="3"/>
        <v>3.9218443999999977</v>
      </c>
      <c r="V27" s="3">
        <f t="shared" si="4"/>
        <v>1.8646180000000072</v>
      </c>
      <c r="W27" s="2">
        <f>VLOOKUP(B27,[1]CivilReport!$A$2:$E$342,5,FALSE)-H27</f>
        <v>3.0869999999971753E-4</v>
      </c>
    </row>
    <row r="28" spans="1:23" s="4" customFormat="1" ht="14.45" customHeight="1" x14ac:dyDescent="0.25">
      <c r="A28" s="2">
        <f t="shared" si="5"/>
        <v>91722.67</v>
      </c>
      <c r="B28" s="3">
        <v>282720</v>
      </c>
      <c r="C28" s="3">
        <v>3369576.0879377001</v>
      </c>
      <c r="D28" s="3">
        <v>658747.80617979995</v>
      </c>
      <c r="E28" s="3">
        <v>270.31498090000002</v>
      </c>
      <c r="F28" s="3">
        <f t="shared" si="0"/>
        <v>269.62698090000004</v>
      </c>
      <c r="G28" s="7">
        <v>91722.67</v>
      </c>
      <c r="H28" s="7">
        <v>-10.457678100000001</v>
      </c>
      <c r="I28" s="3">
        <v>3369567.5463684001</v>
      </c>
      <c r="J28" s="3">
        <v>658741.77255540004</v>
      </c>
      <c r="K28" s="3">
        <v>270.92390209999996</v>
      </c>
      <c r="L28" s="3">
        <v>271.66590209999998</v>
      </c>
      <c r="M28" s="3">
        <f t="shared" si="1"/>
        <v>0.60892119999994065</v>
      </c>
      <c r="N28" s="3">
        <f t="shared" si="2"/>
        <v>2.0389211999999475</v>
      </c>
      <c r="O28" s="3">
        <v>-9.6723467000000003</v>
      </c>
      <c r="P28" s="3">
        <v>267.86106210000003</v>
      </c>
      <c r="Q28" s="3">
        <v>5.7550030999999997</v>
      </c>
      <c r="R28" s="3">
        <v>269.81973390000002</v>
      </c>
      <c r="S28" s="3">
        <v>268.17443980000002</v>
      </c>
      <c r="T28" s="3">
        <f t="shared" si="6"/>
        <v>2.7494622999999478</v>
      </c>
      <c r="U28" s="3">
        <f t="shared" si="3"/>
        <v>3.804839999999956</v>
      </c>
      <c r="V28" s="3">
        <f t="shared" si="4"/>
        <v>1.8461681999999655</v>
      </c>
      <c r="W28" s="2">
        <f>VLOOKUP(B28,[1]CivilReport!$A$2:$E$342,5,FALSE)-H28</f>
        <v>-3.2189999999943097E-4</v>
      </c>
    </row>
    <row r="29" spans="1:23" s="4" customFormat="1" ht="14.45" customHeight="1" x14ac:dyDescent="0.25">
      <c r="A29" s="2">
        <f t="shared" si="5"/>
        <v>91742.654999999999</v>
      </c>
      <c r="B29" s="3">
        <v>282740</v>
      </c>
      <c r="C29" s="3">
        <v>3369587.6107898001</v>
      </c>
      <c r="D29" s="3">
        <v>658731.45920110005</v>
      </c>
      <c r="E29" s="3">
        <v>270.33626149999998</v>
      </c>
      <c r="F29" s="3">
        <f t="shared" si="0"/>
        <v>269.64826149999999</v>
      </c>
      <c r="G29" s="7">
        <v>91742.654999999999</v>
      </c>
      <c r="H29" s="7">
        <v>-10.457126300000001</v>
      </c>
      <c r="I29" s="3">
        <v>3369579.0611617998</v>
      </c>
      <c r="J29" s="3">
        <v>658725.43795950001</v>
      </c>
      <c r="K29" s="3">
        <v>270.94195129999997</v>
      </c>
      <c r="L29" s="3">
        <v>271.68395129999999</v>
      </c>
      <c r="M29" s="3">
        <f t="shared" si="1"/>
        <v>0.60568979999999328</v>
      </c>
      <c r="N29" s="3">
        <f t="shared" si="2"/>
        <v>2.0356898000000001</v>
      </c>
      <c r="O29" s="3">
        <v>-9.5798865000000006</v>
      </c>
      <c r="P29" s="3">
        <v>267.92534139999998</v>
      </c>
      <c r="Q29" s="3">
        <v>5.8810688999999998</v>
      </c>
      <c r="R29" s="3">
        <v>269.77475020000003</v>
      </c>
      <c r="S29" s="3">
        <v>267.5618609</v>
      </c>
      <c r="T29" s="3">
        <f t="shared" si="6"/>
        <v>3.3800903999999719</v>
      </c>
      <c r="U29" s="3">
        <f t="shared" si="3"/>
        <v>3.7586099000000104</v>
      </c>
      <c r="V29" s="3">
        <f t="shared" si="4"/>
        <v>1.9092010999999616</v>
      </c>
      <c r="W29" s="2">
        <f>VLOOKUP(B29,[1]CivilReport!$A$2:$E$342,5,FALSE)-H29</f>
        <v>1.2629999999980157E-4</v>
      </c>
    </row>
    <row r="30" spans="1:23" s="4" customFormat="1" ht="14.45" customHeight="1" x14ac:dyDescent="0.25">
      <c r="A30" s="2">
        <f t="shared" si="5"/>
        <v>91762.654999999999</v>
      </c>
      <c r="B30" s="3">
        <v>282760</v>
      </c>
      <c r="C30" s="3">
        <v>3369599.1268439</v>
      </c>
      <c r="D30" s="3">
        <v>658715.10742749996</v>
      </c>
      <c r="E30" s="3">
        <v>270.35515880000003</v>
      </c>
      <c r="F30" s="3">
        <f t="shared" si="0"/>
        <v>269.66715880000004</v>
      </c>
      <c r="G30" s="7">
        <v>91762.654999999999</v>
      </c>
      <c r="H30" s="7">
        <v>-10.448259500000001</v>
      </c>
      <c r="I30" s="3">
        <v>3369590.5844653002</v>
      </c>
      <c r="J30" s="3">
        <v>658709.09129140002</v>
      </c>
      <c r="K30" s="3">
        <v>270.96001379999996</v>
      </c>
      <c r="L30" s="3">
        <v>271.70201379999997</v>
      </c>
      <c r="M30" s="3">
        <f t="shared" si="1"/>
        <v>0.60485499999992953</v>
      </c>
      <c r="N30" s="3">
        <f t="shared" si="2"/>
        <v>2.0348549999999364</v>
      </c>
      <c r="O30" s="3">
        <v>-9.8441085000000008</v>
      </c>
      <c r="P30" s="3">
        <v>267.81129290000001</v>
      </c>
      <c r="Q30" s="3">
        <v>6.0750804</v>
      </c>
      <c r="R30" s="3">
        <v>269.695807</v>
      </c>
      <c r="S30" s="3">
        <v>267.87449429999998</v>
      </c>
      <c r="T30" s="3">
        <f t="shared" si="6"/>
        <v>3.0855194999999753</v>
      </c>
      <c r="U30" s="3">
        <f t="shared" si="3"/>
        <v>3.8907208999999625</v>
      </c>
      <c r="V30" s="3">
        <f t="shared" si="4"/>
        <v>2.0062067999999726</v>
      </c>
      <c r="W30" s="2">
        <f>VLOOKUP(B30,[1]CivilReport!$A$2:$E$342,5,FALSE)-H30</f>
        <v>-7.4049999999914462E-4</v>
      </c>
    </row>
    <row r="31" spans="1:23" s="4" customFormat="1" ht="14.45" customHeight="1" x14ac:dyDescent="0.25">
      <c r="A31" s="2">
        <f t="shared" si="5"/>
        <v>91782.668000000005</v>
      </c>
      <c r="B31" s="3">
        <v>282780</v>
      </c>
      <c r="C31" s="3">
        <v>3369610.6615542001</v>
      </c>
      <c r="D31" s="3">
        <v>658698.76880960003</v>
      </c>
      <c r="E31" s="3">
        <v>270.3641245</v>
      </c>
      <c r="F31" s="3">
        <f t="shared" si="0"/>
        <v>269.67612450000001</v>
      </c>
      <c r="G31" s="7">
        <v>91782.668000000005</v>
      </c>
      <c r="H31" s="7">
        <v>-10.462222799999999</v>
      </c>
      <c r="I31" s="3">
        <v>3369602.1149622998</v>
      </c>
      <c r="J31" s="3">
        <v>658692.73441879998</v>
      </c>
      <c r="K31" s="3">
        <v>270.9780877</v>
      </c>
      <c r="L31" s="3">
        <v>271.72008770000002</v>
      </c>
      <c r="M31" s="3">
        <f t="shared" si="1"/>
        <v>0.6139632000000006</v>
      </c>
      <c r="N31" s="3">
        <f t="shared" si="2"/>
        <v>2.0439632000000074</v>
      </c>
      <c r="O31" s="3">
        <v>-9.5478590000000008</v>
      </c>
      <c r="P31" s="3">
        <v>267.97749149999999</v>
      </c>
      <c r="Q31" s="3">
        <v>6.0518976000000002</v>
      </c>
      <c r="R31" s="3">
        <v>269.72547220000001</v>
      </c>
      <c r="S31" s="3">
        <v>267.87236150000001</v>
      </c>
      <c r="T31" s="3">
        <f t="shared" si="6"/>
        <v>3.1057261999999923</v>
      </c>
      <c r="U31" s="3">
        <f t="shared" si="3"/>
        <v>3.7425962000000368</v>
      </c>
      <c r="V31" s="3">
        <f t="shared" si="4"/>
        <v>1.994615500000009</v>
      </c>
      <c r="W31" s="2">
        <f>VLOOKUP(B31,[1]CivilReport!$A$2:$E$342,5,FALSE)-H31</f>
        <v>2.2279999999952338E-4</v>
      </c>
    </row>
    <row r="32" spans="1:23" s="4" customFormat="1" ht="14.45" customHeight="1" x14ac:dyDescent="0.25">
      <c r="A32" s="2">
        <f t="shared" si="5"/>
        <v>91802.66</v>
      </c>
      <c r="B32" s="3">
        <v>282800</v>
      </c>
      <c r="C32" s="3">
        <v>3369622.1933876001</v>
      </c>
      <c r="D32" s="3">
        <v>658682.42816180002</v>
      </c>
      <c r="E32" s="3">
        <v>270.38041779999998</v>
      </c>
      <c r="F32" s="3">
        <f t="shared" si="0"/>
        <v>269.69241779999999</v>
      </c>
      <c r="G32" s="7">
        <v>91802.66</v>
      </c>
      <c r="H32" s="7">
        <v>-10.4726602</v>
      </c>
      <c r="I32" s="3">
        <v>3369613.6337883999</v>
      </c>
      <c r="J32" s="3">
        <v>658676.39410240005</v>
      </c>
      <c r="K32" s="3">
        <v>270.99614320000001</v>
      </c>
      <c r="L32" s="3">
        <v>271.73814320000002</v>
      </c>
      <c r="M32" s="3">
        <f t="shared" si="1"/>
        <v>0.61572540000003073</v>
      </c>
      <c r="N32" s="3">
        <f t="shared" si="2"/>
        <v>2.0457254000000376</v>
      </c>
      <c r="O32" s="3">
        <v>-10.2086977</v>
      </c>
      <c r="P32" s="3">
        <v>267.66512760000001</v>
      </c>
      <c r="Q32" s="3">
        <v>6.0073669000000001</v>
      </c>
      <c r="R32" s="3">
        <v>269.7657931</v>
      </c>
      <c r="S32" s="3">
        <v>267.93726129999999</v>
      </c>
      <c r="T32" s="3">
        <f t="shared" si="6"/>
        <v>3.0588819000000171</v>
      </c>
      <c r="U32" s="3">
        <f t="shared" si="3"/>
        <v>4.0730156000000193</v>
      </c>
      <c r="V32" s="3">
        <f t="shared" si="4"/>
        <v>1.9723501000000283</v>
      </c>
      <c r="W32" s="2">
        <f>VLOOKUP(B32,[1]CivilReport!$A$2:$E$342,5,FALSE)-H32</f>
        <v>6.6020000000044377E-4</v>
      </c>
    </row>
    <row r="33" spans="1:23" s="4" customFormat="1" ht="14.45" customHeight="1" x14ac:dyDescent="0.25">
      <c r="A33" s="2">
        <f t="shared" si="5"/>
        <v>91822.66</v>
      </c>
      <c r="B33" s="3">
        <v>282820</v>
      </c>
      <c r="C33" s="3">
        <v>3369633.7168387999</v>
      </c>
      <c r="D33" s="3">
        <v>658666.08160030004</v>
      </c>
      <c r="E33" s="3">
        <v>270.41413749999998</v>
      </c>
      <c r="F33" s="3">
        <f t="shared" si="0"/>
        <v>269.72613749999999</v>
      </c>
      <c r="G33" s="7">
        <v>91822.66</v>
      </c>
      <c r="H33" s="7">
        <v>-10.4728423</v>
      </c>
      <c r="I33" s="3">
        <v>3369625.1570907999</v>
      </c>
      <c r="J33" s="3">
        <v>658660.04743589996</v>
      </c>
      <c r="K33" s="3">
        <v>271.01420569999999</v>
      </c>
      <c r="L33" s="3">
        <v>271.75620570000001</v>
      </c>
      <c r="M33" s="3">
        <f t="shared" si="1"/>
        <v>0.60006820000000971</v>
      </c>
      <c r="N33" s="3">
        <f t="shared" si="2"/>
        <v>2.0300682000000165</v>
      </c>
      <c r="O33" s="3">
        <v>-10.766553699999999</v>
      </c>
      <c r="P33" s="3">
        <v>267.40426220000001</v>
      </c>
      <c r="Q33" s="3">
        <v>6.0938980000000003</v>
      </c>
      <c r="R33" s="3">
        <v>269.74059</v>
      </c>
      <c r="S33" s="3">
        <v>267.87921249999999</v>
      </c>
      <c r="T33" s="3">
        <f t="shared" si="6"/>
        <v>3.1349931999999967</v>
      </c>
      <c r="U33" s="3">
        <f t="shared" si="3"/>
        <v>4.3519435000000044</v>
      </c>
      <c r="V33" s="3">
        <f t="shared" si="4"/>
        <v>2.0156157000000121</v>
      </c>
      <c r="W33" s="2">
        <f>VLOOKUP(B33,[1]CivilReport!$A$2:$E$342,5,FALSE)-H33</f>
        <v>-1.5770000000081552E-4</v>
      </c>
    </row>
    <row r="34" spans="1:23" s="4" customFormat="1" ht="14.45" customHeight="1" x14ac:dyDescent="0.25">
      <c r="A34" s="2">
        <f t="shared" si="5"/>
        <v>91842.664000000004</v>
      </c>
      <c r="B34" s="3">
        <v>282840</v>
      </c>
      <c r="C34" s="3">
        <v>3369645.2436549999</v>
      </c>
      <c r="D34" s="3">
        <v>658649.73741179996</v>
      </c>
      <c r="E34" s="3">
        <v>270.43301389999999</v>
      </c>
      <c r="F34" s="3">
        <f t="shared" si="0"/>
        <v>269.7450139</v>
      </c>
      <c r="G34" s="7">
        <v>91842.664000000004</v>
      </c>
      <c r="H34" s="7">
        <v>-10.4771427</v>
      </c>
      <c r="I34" s="3">
        <v>3369636.6826149998</v>
      </c>
      <c r="J34" s="3">
        <v>658643.69761759997</v>
      </c>
      <c r="K34" s="3">
        <v>271.03227169999997</v>
      </c>
      <c r="L34" s="3">
        <v>271.77427169999999</v>
      </c>
      <c r="M34" s="3">
        <f t="shared" si="1"/>
        <v>0.5992577999999753</v>
      </c>
      <c r="N34" s="3">
        <f t="shared" si="2"/>
        <v>2.0292577999999821</v>
      </c>
      <c r="O34" s="3">
        <v>-10.524994299999999</v>
      </c>
      <c r="P34" s="3">
        <v>267.5431079</v>
      </c>
      <c r="Q34" s="3">
        <v>5.9043130999999995</v>
      </c>
      <c r="R34" s="3">
        <v>269.85344850000001</v>
      </c>
      <c r="S34" s="3">
        <v>268.26079019999997</v>
      </c>
      <c r="T34" s="3">
        <f t="shared" si="6"/>
        <v>2.771481499999993</v>
      </c>
      <c r="U34" s="3">
        <f t="shared" si="3"/>
        <v>4.2311637999999903</v>
      </c>
      <c r="V34" s="3">
        <f t="shared" si="4"/>
        <v>1.9208231999999725</v>
      </c>
      <c r="W34" s="2">
        <f>VLOOKUP(B34,[1]CivilReport!$A$2:$E$342,5,FALSE)-H34</f>
        <v>1.4269999999960703E-4</v>
      </c>
    </row>
    <row r="35" spans="1:23" s="4" customFormat="1" ht="14.45" customHeight="1" x14ac:dyDescent="0.25">
      <c r="A35" s="2">
        <f t="shared" si="5"/>
        <v>91862.664000000004</v>
      </c>
      <c r="B35" s="3">
        <v>282860</v>
      </c>
      <c r="C35" s="3">
        <v>3369656.7731232001</v>
      </c>
      <c r="D35" s="3">
        <v>658633.39509370003</v>
      </c>
      <c r="E35" s="3">
        <v>270.4401914</v>
      </c>
      <c r="F35" s="3">
        <f t="shared" si="0"/>
        <v>269.75219140000002</v>
      </c>
      <c r="G35" s="7">
        <v>91862.664000000004</v>
      </c>
      <c r="H35" s="7">
        <v>-10.484687600000001</v>
      </c>
      <c r="I35" s="3">
        <v>3369648.2059181998</v>
      </c>
      <c r="J35" s="3">
        <v>658627.35095009999</v>
      </c>
      <c r="K35" s="3">
        <v>271.04972849999996</v>
      </c>
      <c r="L35" s="3">
        <v>271.79172849999998</v>
      </c>
      <c r="M35" s="3">
        <f t="shared" si="1"/>
        <v>0.60953709999995453</v>
      </c>
      <c r="N35" s="3">
        <f t="shared" si="2"/>
        <v>2.0395370999999614</v>
      </c>
      <c r="O35" s="3">
        <v>-11.0453992</v>
      </c>
      <c r="P35" s="3">
        <v>267.29947079999999</v>
      </c>
      <c r="Q35" s="3">
        <v>5.9676562999999998</v>
      </c>
      <c r="R35" s="3">
        <v>269.83834230000002</v>
      </c>
      <c r="S35" s="3">
        <v>268.42242599999997</v>
      </c>
      <c r="T35" s="3">
        <f t="shared" si="6"/>
        <v>2.6273024999999848</v>
      </c>
      <c r="U35" s="3">
        <f t="shared" si="3"/>
        <v>4.4922576999999819</v>
      </c>
      <c r="V35" s="3">
        <f t="shared" si="4"/>
        <v>1.9533861999999544</v>
      </c>
      <c r="W35" s="2">
        <f>VLOOKUP(B35,[1]CivilReport!$A$2:$E$342,5,FALSE)-H35</f>
        <v>-3.1239999999854717E-4</v>
      </c>
    </row>
    <row r="36" spans="1:23" s="4" customFormat="1" ht="14.45" customHeight="1" x14ac:dyDescent="0.25">
      <c r="A36" s="2">
        <f t="shared" si="5"/>
        <v>91882.657000000007</v>
      </c>
      <c r="B36" s="3">
        <v>282880</v>
      </c>
      <c r="C36" s="3">
        <v>3369668.2944728001</v>
      </c>
      <c r="D36" s="3">
        <v>658617.04705199995</v>
      </c>
      <c r="E36" s="3">
        <v>270.438446</v>
      </c>
      <c r="F36" s="3">
        <f t="shared" si="0"/>
        <v>269.75044600000001</v>
      </c>
      <c r="G36" s="7">
        <v>91882.657000000007</v>
      </c>
      <c r="H36" s="7">
        <v>-10.4822989</v>
      </c>
      <c r="I36" s="3">
        <v>3369659.7252094001</v>
      </c>
      <c r="J36" s="3">
        <v>658611.00997380004</v>
      </c>
      <c r="K36" s="3">
        <v>271.0546875</v>
      </c>
      <c r="L36" s="3">
        <v>271.79668750000002</v>
      </c>
      <c r="M36" s="3">
        <f t="shared" si="1"/>
        <v>0.616241500000001</v>
      </c>
      <c r="N36" s="3">
        <f t="shared" si="2"/>
        <v>2.0462415000000078</v>
      </c>
      <c r="O36" s="3">
        <v>-11.1212392</v>
      </c>
      <c r="P36" s="3">
        <v>267.26740119999999</v>
      </c>
      <c r="Q36" s="3">
        <v>6.0943361999999999</v>
      </c>
      <c r="R36" s="3">
        <v>269.78085270000003</v>
      </c>
      <c r="S36" s="3">
        <v>268.00646089999998</v>
      </c>
      <c r="T36" s="3">
        <f t="shared" si="6"/>
        <v>3.0482266000000209</v>
      </c>
      <c r="U36" s="3">
        <f t="shared" si="3"/>
        <v>4.5292863000000239</v>
      </c>
      <c r="V36" s="3">
        <f t="shared" si="4"/>
        <v>2.0158347999999933</v>
      </c>
      <c r="W36" s="2">
        <f>VLOOKUP(B36,[1]CivilReport!$A$2:$E$342,5,FALSE)-H36</f>
        <v>2.9890000000065697E-4</v>
      </c>
    </row>
    <row r="37" spans="1:23" s="4" customFormat="1" ht="14.45" customHeight="1" x14ac:dyDescent="0.25">
      <c r="A37" s="2">
        <f t="shared" si="5"/>
        <v>91902.66</v>
      </c>
      <c r="B37" s="3">
        <v>282900</v>
      </c>
      <c r="C37" s="3">
        <v>3369679.8133581998</v>
      </c>
      <c r="D37" s="3">
        <v>658600.69727280003</v>
      </c>
      <c r="E37" s="3">
        <v>270.43369389999998</v>
      </c>
      <c r="F37" s="3">
        <f t="shared" si="0"/>
        <v>269.74569389999999</v>
      </c>
      <c r="G37" s="7">
        <v>91902.66</v>
      </c>
      <c r="H37" s="7">
        <v>-10.4782834</v>
      </c>
      <c r="I37" s="3">
        <v>3369671.2489474001</v>
      </c>
      <c r="J37" s="3">
        <v>658594.66027909995</v>
      </c>
      <c r="K37" s="3">
        <v>271.0546875</v>
      </c>
      <c r="L37" s="3">
        <v>271.79668750000002</v>
      </c>
      <c r="M37" s="3">
        <f t="shared" si="1"/>
        <v>0.6209936000000198</v>
      </c>
      <c r="N37" s="3">
        <f t="shared" si="2"/>
        <v>2.0509936000000266</v>
      </c>
      <c r="O37" s="3">
        <v>-11.1515656</v>
      </c>
      <c r="P37" s="3">
        <v>267.25260830000002</v>
      </c>
      <c r="Q37" s="3">
        <v>6.1162584000000004</v>
      </c>
      <c r="R37" s="3">
        <v>269.769521</v>
      </c>
      <c r="S37" s="3">
        <v>267.62627859999998</v>
      </c>
      <c r="T37" s="3">
        <f t="shared" si="6"/>
        <v>3.4284089000000222</v>
      </c>
      <c r="U37" s="3">
        <f t="shared" si="3"/>
        <v>4.5440791999999988</v>
      </c>
      <c r="V37" s="3">
        <f t="shared" si="4"/>
        <v>2.0271665000000212</v>
      </c>
      <c r="W37" s="2">
        <f>VLOOKUP(B37,[1]CivilReport!$A$2:$E$342,5,FALSE)-H37</f>
        <v>2.8340000000071086E-4</v>
      </c>
    </row>
    <row r="38" spans="1:23" s="4" customFormat="1" ht="14.45" customHeight="1" x14ac:dyDescent="0.25">
      <c r="A38" s="2">
        <f t="shared" si="5"/>
        <v>91922.66</v>
      </c>
      <c r="B38" s="3">
        <v>282920</v>
      </c>
      <c r="C38" s="3">
        <v>3369691.3361825999</v>
      </c>
      <c r="D38" s="3">
        <v>658584.35026940005</v>
      </c>
      <c r="E38" s="3">
        <v>270.42892890000002</v>
      </c>
      <c r="F38" s="3">
        <f t="shared" si="0"/>
        <v>269.74092890000003</v>
      </c>
      <c r="G38" s="7">
        <v>91922.66</v>
      </c>
      <c r="H38" s="7">
        <v>-10.503249</v>
      </c>
      <c r="I38" s="3">
        <v>3369682.751311</v>
      </c>
      <c r="J38" s="3">
        <v>658578.29897050001</v>
      </c>
      <c r="K38" s="3">
        <v>271.0546875</v>
      </c>
      <c r="L38" s="3">
        <v>271.79668750000002</v>
      </c>
      <c r="M38" s="3">
        <f t="shared" si="1"/>
        <v>0.62575859999998329</v>
      </c>
      <c r="N38" s="3">
        <f t="shared" si="2"/>
        <v>2.0557585999999901</v>
      </c>
      <c r="O38" s="3">
        <v>-11.1157781</v>
      </c>
      <c r="P38" s="3">
        <v>267.27104209999999</v>
      </c>
      <c r="Q38" s="3">
        <v>5.9532401999999998</v>
      </c>
      <c r="R38" s="3">
        <v>269.8504878</v>
      </c>
      <c r="S38" s="3">
        <v>268.1343827</v>
      </c>
      <c r="T38" s="3">
        <f t="shared" si="6"/>
        <v>2.9203047999999967</v>
      </c>
      <c r="U38" s="3">
        <f t="shared" si="3"/>
        <v>4.5256454000000303</v>
      </c>
      <c r="V38" s="3">
        <f t="shared" si="4"/>
        <v>1.9461997000000224</v>
      </c>
      <c r="W38" s="2">
        <f>VLOOKUP(B38,[1]CivilReport!$A$2:$E$342,5,FALSE)-H38</f>
        <v>2.4900000000016576E-4</v>
      </c>
    </row>
    <row r="39" spans="1:23" s="4" customFormat="1" ht="14.45" customHeight="1" x14ac:dyDescent="0.25">
      <c r="A39" s="2">
        <f t="shared" si="5"/>
        <v>91942.668999999994</v>
      </c>
      <c r="B39" s="3">
        <v>282940</v>
      </c>
      <c r="C39" s="3">
        <v>3369702.8640625998</v>
      </c>
      <c r="D39" s="3">
        <v>658568.00683279999</v>
      </c>
      <c r="E39" s="3">
        <v>270.427952</v>
      </c>
      <c r="F39" s="3">
        <f t="shared" si="0"/>
        <v>269.73995200000002</v>
      </c>
      <c r="G39" s="7">
        <v>91942.668999999994</v>
      </c>
      <c r="H39" s="7">
        <v>-10.596783500000001</v>
      </c>
      <c r="I39" s="3">
        <v>3369694.207684</v>
      </c>
      <c r="J39" s="3">
        <v>658561.89463760005</v>
      </c>
      <c r="K39" s="3">
        <v>271.0546875</v>
      </c>
      <c r="L39" s="3">
        <v>271.79668750000002</v>
      </c>
      <c r="M39" s="3">
        <f t="shared" si="1"/>
        <v>0.62673549999999523</v>
      </c>
      <c r="N39" s="3">
        <f t="shared" si="2"/>
        <v>2.056735500000002</v>
      </c>
      <c r="O39" s="3">
        <v>-10.650219</v>
      </c>
      <c r="P39" s="3">
        <v>267.50477030000002</v>
      </c>
      <c r="Q39" s="3">
        <v>5.8523544999999997</v>
      </c>
      <c r="R39" s="3">
        <v>269.89997849999997</v>
      </c>
      <c r="S39" s="3">
        <v>268.08091839999997</v>
      </c>
      <c r="T39" s="3">
        <f t="shared" si="6"/>
        <v>2.9737691000000268</v>
      </c>
      <c r="U39" s="3">
        <f t="shared" si="3"/>
        <v>4.2919172000000003</v>
      </c>
      <c r="V39" s="3">
        <f t="shared" si="4"/>
        <v>1.8967090000000439</v>
      </c>
      <c r="W39" s="2">
        <f>VLOOKUP(B39,[1]CivilReport!$A$2:$E$342,5,FALSE)-H39</f>
        <v>-2.164999999987316E-4</v>
      </c>
    </row>
    <row r="40" spans="1:23" s="4" customFormat="1" ht="14.45" customHeight="1" x14ac:dyDescent="0.25">
      <c r="A40" s="2">
        <f t="shared" si="5"/>
        <v>91962.668999999994</v>
      </c>
      <c r="B40" s="3">
        <v>282960</v>
      </c>
      <c r="C40" s="3">
        <v>3369714.4000066998</v>
      </c>
      <c r="D40" s="3">
        <v>658551.66908529995</v>
      </c>
      <c r="E40" s="3">
        <v>270.43301769999999</v>
      </c>
      <c r="F40" s="3">
        <f t="shared" si="0"/>
        <v>269.74501770000001</v>
      </c>
      <c r="G40" s="7">
        <v>91962.668999999994</v>
      </c>
      <c r="H40" s="7">
        <v>-10.779537400000001</v>
      </c>
      <c r="I40" s="3">
        <v>3369705.5943781999</v>
      </c>
      <c r="J40" s="3">
        <v>658545.45142239996</v>
      </c>
      <c r="K40" s="3">
        <v>271.0546875</v>
      </c>
      <c r="L40" s="3">
        <v>271.79668750000002</v>
      </c>
      <c r="M40" s="3">
        <f t="shared" si="1"/>
        <v>0.62166980000000649</v>
      </c>
      <c r="N40" s="3">
        <f t="shared" si="2"/>
        <v>2.0516698000000133</v>
      </c>
      <c r="O40" s="3">
        <v>-10.765621400000001</v>
      </c>
      <c r="P40" s="3">
        <v>267.44661450000001</v>
      </c>
      <c r="Q40" s="3">
        <v>6.1141389999999998</v>
      </c>
      <c r="R40" s="3">
        <v>269.76954310000002</v>
      </c>
      <c r="S40" s="3">
        <v>267.75341170000002</v>
      </c>
      <c r="T40" s="3">
        <f t="shared" si="6"/>
        <v>3.3012757999999849</v>
      </c>
      <c r="U40" s="3">
        <f t="shared" si="3"/>
        <v>4.350073000000009</v>
      </c>
      <c r="V40" s="3">
        <f t="shared" si="4"/>
        <v>2.0271443999999974</v>
      </c>
      <c r="W40" s="2">
        <f>VLOOKUP(B40,[1]CivilReport!$A$2:$E$342,5,FALSE)-H40</f>
        <v>-4.6259999999875845E-4</v>
      </c>
    </row>
    <row r="41" spans="1:23" s="4" customFormat="1" ht="14.45" customHeight="1" x14ac:dyDescent="0.25">
      <c r="A41" s="2">
        <f t="shared" si="5"/>
        <v>91982.665999999997</v>
      </c>
      <c r="B41" s="3">
        <v>282980</v>
      </c>
      <c r="C41" s="3">
        <v>3369725.9311890998</v>
      </c>
      <c r="D41" s="3">
        <v>658535.32797730004</v>
      </c>
      <c r="E41" s="3">
        <v>270.46000099999998</v>
      </c>
      <c r="F41" s="3">
        <f t="shared" si="0"/>
        <v>269.77200099999999</v>
      </c>
      <c r="G41" s="7">
        <v>91982.665999999997</v>
      </c>
      <c r="H41" s="7">
        <v>-11.022061300000001</v>
      </c>
      <c r="I41" s="3">
        <v>3369716.9243990001</v>
      </c>
      <c r="J41" s="3">
        <v>658528.97474460001</v>
      </c>
      <c r="K41" s="3">
        <v>271.0546875</v>
      </c>
      <c r="L41" s="3">
        <v>271.79668750000002</v>
      </c>
      <c r="M41" s="3">
        <f t="shared" si="1"/>
        <v>0.59468650000002299</v>
      </c>
      <c r="N41" s="3">
        <f t="shared" si="2"/>
        <v>2.0246865000000298</v>
      </c>
      <c r="O41" s="3">
        <v>-11.040595400000001</v>
      </c>
      <c r="P41" s="3">
        <v>267.30819739999998</v>
      </c>
      <c r="Q41" s="3">
        <v>6.8731393000000001</v>
      </c>
      <c r="R41" s="3">
        <v>269.3909764</v>
      </c>
      <c r="S41" s="3">
        <v>267.3179968</v>
      </c>
      <c r="T41" s="3">
        <f t="shared" si="6"/>
        <v>3.7366906999999969</v>
      </c>
      <c r="U41" s="3">
        <f t="shared" si="3"/>
        <v>4.4884901000000355</v>
      </c>
      <c r="V41" s="3">
        <f t="shared" si="4"/>
        <v>2.4057111000000191</v>
      </c>
      <c r="W41" s="2">
        <f>VLOOKUP(B41,[1]CivilReport!$A$2:$E$342,5,FALSE)-H41</f>
        <v>6.1300000000485966E-5</v>
      </c>
    </row>
    <row r="42" spans="1:23" s="4" customFormat="1" ht="14.45" customHeight="1" x14ac:dyDescent="0.25">
      <c r="A42" s="2">
        <f t="shared" si="5"/>
        <v>92002.667000000001</v>
      </c>
      <c r="B42" s="3">
        <v>283000</v>
      </c>
      <c r="C42" s="3">
        <v>3369737.4593100999</v>
      </c>
      <c r="D42" s="3">
        <v>658518.98470879998</v>
      </c>
      <c r="E42" s="3">
        <v>270.50107580000002</v>
      </c>
      <c r="F42" s="3">
        <f t="shared" si="0"/>
        <v>269.81307580000004</v>
      </c>
      <c r="G42" s="7">
        <v>92002.667000000001</v>
      </c>
      <c r="H42" s="7">
        <v>-11.289016500000001</v>
      </c>
      <c r="I42" s="3">
        <v>3369728.2343386002</v>
      </c>
      <c r="J42" s="3">
        <v>658512.47765140003</v>
      </c>
      <c r="K42" s="3">
        <v>271.0546875</v>
      </c>
      <c r="L42" s="3">
        <v>271.79668750000002</v>
      </c>
      <c r="M42" s="3">
        <f t="shared" si="1"/>
        <v>0.55361169999997628</v>
      </c>
      <c r="N42" s="3">
        <f t="shared" si="2"/>
        <v>1.9836116999999831</v>
      </c>
      <c r="O42" s="3">
        <v>-10.663415199999999</v>
      </c>
      <c r="P42" s="3">
        <v>267.49631319999997</v>
      </c>
      <c r="Q42" s="3">
        <v>7.5629780000000002</v>
      </c>
      <c r="R42" s="3">
        <v>269.04653180000003</v>
      </c>
      <c r="S42" s="3">
        <v>267.71944960000002</v>
      </c>
      <c r="T42" s="3">
        <f t="shared" si="6"/>
        <v>3.3352378999999814</v>
      </c>
      <c r="U42" s="3">
        <f t="shared" si="3"/>
        <v>4.3003743000000441</v>
      </c>
      <c r="V42" s="3">
        <f t="shared" si="4"/>
        <v>2.7501556999999934</v>
      </c>
      <c r="W42" s="2">
        <f>VLOOKUP(B42,[1]CivilReport!$A$2:$E$342,5,FALSE)-H42</f>
        <v>1.6500000000974069E-5</v>
      </c>
    </row>
    <row r="43" spans="1:23" s="4" customFormat="1" ht="14.45" customHeight="1" x14ac:dyDescent="0.25">
      <c r="A43" s="2">
        <f t="shared" si="5"/>
        <v>92022.673999999999</v>
      </c>
      <c r="B43" s="3">
        <v>283020</v>
      </c>
      <c r="C43" s="3">
        <v>3369748.9933405002</v>
      </c>
      <c r="D43" s="3">
        <v>658502.64561030001</v>
      </c>
      <c r="E43" s="3">
        <v>270.47902790000001</v>
      </c>
      <c r="F43" s="3">
        <f t="shared" si="0"/>
        <v>269.79102790000002</v>
      </c>
      <c r="G43" s="7">
        <v>92022.673999999999</v>
      </c>
      <c r="H43" s="7">
        <v>-11.565537300000001</v>
      </c>
      <c r="I43" s="3">
        <v>3369739.5450026998</v>
      </c>
      <c r="J43" s="3">
        <v>658495.97548539995</v>
      </c>
      <c r="K43" s="3">
        <v>271.0546875</v>
      </c>
      <c r="L43" s="3">
        <v>271.79668750000002</v>
      </c>
      <c r="M43" s="3">
        <f t="shared" si="1"/>
        <v>0.5756595999999945</v>
      </c>
      <c r="N43" s="3">
        <f t="shared" si="2"/>
        <v>2.0056596000000013</v>
      </c>
      <c r="O43" s="3">
        <v>-11.289502499999999</v>
      </c>
      <c r="P43" s="3">
        <v>267.18326960000002</v>
      </c>
      <c r="Q43" s="3">
        <v>6.1460305999999996</v>
      </c>
      <c r="R43" s="3">
        <v>269.75500549999998</v>
      </c>
      <c r="S43" s="3">
        <v>267.49745619999999</v>
      </c>
      <c r="T43" s="3">
        <f t="shared" si="6"/>
        <v>3.5572313000000122</v>
      </c>
      <c r="U43" s="3">
        <f t="shared" si="3"/>
        <v>4.6134179000000017</v>
      </c>
      <c r="V43" s="3">
        <f t="shared" si="4"/>
        <v>2.0416820000000371</v>
      </c>
      <c r="W43" s="2">
        <f>VLOOKUP(B43,[1]CivilReport!$A$2:$E$342,5,FALSE)-H43</f>
        <v>-4.6269999999992706E-4</v>
      </c>
    </row>
    <row r="44" spans="1:23" s="4" customFormat="1" ht="14.45" customHeight="1" x14ac:dyDescent="0.25">
      <c r="A44" s="2">
        <f t="shared" si="5"/>
        <v>92042.671000000002</v>
      </c>
      <c r="B44" s="3">
        <v>283040</v>
      </c>
      <c r="C44" s="3">
        <v>3369760.5265245</v>
      </c>
      <c r="D44" s="3">
        <v>658486.30591460003</v>
      </c>
      <c r="E44" s="3">
        <v>270.45931689999998</v>
      </c>
      <c r="F44" s="3">
        <f t="shared" si="0"/>
        <v>269.77131689999999</v>
      </c>
      <c r="G44" s="7">
        <v>92042.671000000002</v>
      </c>
      <c r="H44" s="7">
        <v>-11.840903000000001</v>
      </c>
      <c r="I44" s="3">
        <v>3369750.8507381999</v>
      </c>
      <c r="J44" s="3">
        <v>658479.48051040003</v>
      </c>
      <c r="K44" s="3">
        <v>271.0546875</v>
      </c>
      <c r="L44" s="3">
        <v>271.79668750000002</v>
      </c>
      <c r="M44" s="3">
        <f t="shared" si="1"/>
        <v>0.59537060000002384</v>
      </c>
      <c r="N44" s="3">
        <f t="shared" si="2"/>
        <v>2.0253706000000307</v>
      </c>
      <c r="O44" s="3">
        <v>-10.595567300000001</v>
      </c>
      <c r="P44" s="3">
        <v>267.53023719999999</v>
      </c>
      <c r="Q44" s="3">
        <v>6.2153049999999999</v>
      </c>
      <c r="R44" s="3">
        <v>269.72036830000002</v>
      </c>
      <c r="S44" s="3">
        <v>267.07920250000001</v>
      </c>
      <c r="T44" s="3">
        <f t="shared" si="6"/>
        <v>3.9754849999999919</v>
      </c>
      <c r="U44" s="3">
        <f t="shared" si="3"/>
        <v>4.2664503000000309</v>
      </c>
      <c r="V44" s="3">
        <f t="shared" si="4"/>
        <v>2.0763192000000004</v>
      </c>
      <c r="W44" s="2">
        <f>VLOOKUP(B44,[1]CivilReport!$A$2:$E$342,5,FALSE)-H44</f>
        <v>-9.699999999845943E-5</v>
      </c>
    </row>
    <row r="45" spans="1:23" s="4" customFormat="1" ht="14.45" customHeight="1" x14ac:dyDescent="0.25">
      <c r="A45" s="2">
        <f t="shared" si="5"/>
        <v>92062.672999999995</v>
      </c>
      <c r="B45" s="3">
        <v>283060</v>
      </c>
      <c r="C45" s="3">
        <v>3369772.0550441998</v>
      </c>
      <c r="D45" s="3">
        <v>658469.96292720002</v>
      </c>
      <c r="E45" s="3">
        <v>270.4653606</v>
      </c>
      <c r="F45" s="3">
        <f t="shared" si="0"/>
        <v>269.77736060000001</v>
      </c>
      <c r="G45" s="7">
        <v>92062.672999999995</v>
      </c>
      <c r="H45" s="7">
        <v>-12.110617599999999</v>
      </c>
      <c r="I45" s="3">
        <v>3369762.1588607002</v>
      </c>
      <c r="J45" s="3">
        <v>658462.98205260001</v>
      </c>
      <c r="K45" s="3">
        <v>271.0546875</v>
      </c>
      <c r="L45" s="3">
        <v>271.79668750000002</v>
      </c>
      <c r="M45" s="3">
        <f t="shared" si="1"/>
        <v>0.58932690000000321</v>
      </c>
      <c r="N45" s="3">
        <f t="shared" si="2"/>
        <v>2.01932690000001</v>
      </c>
      <c r="O45" s="3">
        <v>-11.5642286</v>
      </c>
      <c r="P45" s="3">
        <v>267.0459065</v>
      </c>
      <c r="Q45" s="3">
        <v>6.1917472</v>
      </c>
      <c r="R45" s="3">
        <v>269.73214730000001</v>
      </c>
      <c r="S45" s="3">
        <v>267.62551580000002</v>
      </c>
      <c r="T45" s="3">
        <f t="shared" si="6"/>
        <v>3.4291716999999835</v>
      </c>
      <c r="U45" s="3">
        <f t="shared" si="3"/>
        <v>4.7507810000000177</v>
      </c>
      <c r="V45" s="3">
        <f t="shared" si="4"/>
        <v>2.0645402000000104</v>
      </c>
      <c r="W45" s="2">
        <f>VLOOKUP(B45,[1]CivilReport!$A$2:$E$342,5,FALSE)-H45</f>
        <v>6.1759999999999593E-4</v>
      </c>
    </row>
    <row r="46" spans="1:23" s="4" customFormat="1" ht="14.45" customHeight="1" x14ac:dyDescent="0.25">
      <c r="A46" s="2">
        <f t="shared" si="5"/>
        <v>92082.663</v>
      </c>
      <c r="B46" s="3">
        <v>283080</v>
      </c>
      <c r="C46" s="3">
        <v>3369783.5748724998</v>
      </c>
      <c r="D46" s="3">
        <v>658453.61381520005</v>
      </c>
      <c r="E46" s="3">
        <v>270.47067600000003</v>
      </c>
      <c r="F46" s="3">
        <f t="shared" si="0"/>
        <v>269.78267600000004</v>
      </c>
      <c r="G46" s="7">
        <v>92082.663</v>
      </c>
      <c r="H46" s="7">
        <v>-12.3695471</v>
      </c>
      <c r="I46" s="3">
        <v>3369773.4603563999</v>
      </c>
      <c r="J46" s="3">
        <v>658446.49326330004</v>
      </c>
      <c r="K46" s="3">
        <v>271.0546875</v>
      </c>
      <c r="L46" s="3">
        <v>271.79668750000002</v>
      </c>
      <c r="M46" s="3">
        <f t="shared" si="1"/>
        <v>0.58401149999997415</v>
      </c>
      <c r="N46" s="3">
        <f t="shared" si="2"/>
        <v>2.014011499999981</v>
      </c>
      <c r="O46" s="3">
        <v>-11.081004999999999</v>
      </c>
      <c r="P46" s="3">
        <v>267.28751829999999</v>
      </c>
      <c r="Q46" s="3">
        <v>5.6716354999999998</v>
      </c>
      <c r="R46" s="3">
        <v>269.99220309999998</v>
      </c>
      <c r="S46" s="3">
        <v>268.48165510000001</v>
      </c>
      <c r="T46" s="3">
        <f t="shared" si="6"/>
        <v>2.5730323999999882</v>
      </c>
      <c r="U46" s="3">
        <f t="shared" si="3"/>
        <v>4.5091692000000307</v>
      </c>
      <c r="V46" s="3">
        <f t="shared" si="4"/>
        <v>1.8044844000000353</v>
      </c>
      <c r="W46" s="2">
        <f>VLOOKUP(B46,[1]CivilReport!$A$2:$E$342,5,FALSE)-H46</f>
        <v>-4.5289999999909014E-4</v>
      </c>
    </row>
    <row r="47" spans="1:23" s="4" customFormat="1" ht="14.45" customHeight="1" x14ac:dyDescent="0.25">
      <c r="A47" s="2">
        <f t="shared" si="5"/>
        <v>92102.664999999994</v>
      </c>
      <c r="B47" s="3">
        <v>283100</v>
      </c>
      <c r="C47" s="3">
        <v>3369795.0879082</v>
      </c>
      <c r="D47" s="3">
        <v>658437.25991619995</v>
      </c>
      <c r="E47" s="3">
        <v>270.4754221</v>
      </c>
      <c r="F47" s="3">
        <f t="shared" si="0"/>
        <v>269.78742210000001</v>
      </c>
      <c r="G47" s="7">
        <v>92102.664999999994</v>
      </c>
      <c r="H47" s="7">
        <v>-12.620316000000001</v>
      </c>
      <c r="I47" s="3">
        <v>3369784.7683395999</v>
      </c>
      <c r="J47" s="3">
        <v>658429.99500879995</v>
      </c>
      <c r="K47" s="3">
        <v>271.0546875</v>
      </c>
      <c r="L47" s="3">
        <v>271.79668750000002</v>
      </c>
      <c r="M47" s="3">
        <f t="shared" si="1"/>
        <v>0.57926539999999704</v>
      </c>
      <c r="N47" s="3">
        <f t="shared" si="2"/>
        <v>2.0092654000000039</v>
      </c>
      <c r="O47" s="3">
        <v>-8.3699265</v>
      </c>
      <c r="P47" s="3">
        <v>268.64305760000002</v>
      </c>
      <c r="Q47" s="3">
        <v>5.7065482000000003</v>
      </c>
      <c r="R47" s="3">
        <v>269.97474679999999</v>
      </c>
      <c r="S47" s="3">
        <v>268.72616740000001</v>
      </c>
      <c r="T47" s="3">
        <f t="shared" si="6"/>
        <v>2.3285200999999915</v>
      </c>
      <c r="U47" s="3">
        <f t="shared" si="3"/>
        <v>3.1536298999999985</v>
      </c>
      <c r="V47" s="3">
        <f t="shared" si="4"/>
        <v>1.8219407000000274</v>
      </c>
      <c r="W47" s="2">
        <f>VLOOKUP(B47,[1]CivilReport!$A$2:$E$342,5,FALSE)-H47</f>
        <v>-6.8399999999968486E-4</v>
      </c>
    </row>
    <row r="48" spans="1:23" s="4" customFormat="1" ht="14.45" customHeight="1" x14ac:dyDescent="0.25">
      <c r="A48" s="2">
        <f t="shared" si="5"/>
        <v>92122.672999999995</v>
      </c>
      <c r="B48" s="3">
        <v>283120</v>
      </c>
      <c r="C48" s="3">
        <v>3369806.6078094002</v>
      </c>
      <c r="D48" s="3">
        <v>658420.91085300001</v>
      </c>
      <c r="E48" s="3">
        <v>270.50182589999997</v>
      </c>
      <c r="F48" s="3">
        <f t="shared" si="0"/>
        <v>269.81382589999998</v>
      </c>
      <c r="G48" s="7">
        <v>92122.672999999995</v>
      </c>
      <c r="H48" s="7">
        <v>-12.879561199999999</v>
      </c>
      <c r="I48" s="3">
        <v>3369796.0798029001</v>
      </c>
      <c r="J48" s="3">
        <v>658413.49167679995</v>
      </c>
      <c r="K48" s="3">
        <v>271.0546875</v>
      </c>
      <c r="L48" s="3">
        <v>271.79668750000002</v>
      </c>
      <c r="M48" s="3">
        <f t="shared" si="1"/>
        <v>0.55286160000002837</v>
      </c>
      <c r="N48" s="3">
        <f t="shared" si="2"/>
        <v>1.9828616000000352</v>
      </c>
      <c r="O48" s="3">
        <v>-7.3429450000000003</v>
      </c>
      <c r="P48" s="3">
        <v>269.1565483</v>
      </c>
      <c r="Q48" s="3">
        <v>5.6468401999999998</v>
      </c>
      <c r="R48" s="3">
        <v>270.00460070000003</v>
      </c>
      <c r="S48" s="3">
        <v>269.73747100000003</v>
      </c>
      <c r="T48" s="3">
        <f t="shared" si="6"/>
        <v>1.3172164999999723</v>
      </c>
      <c r="U48" s="3">
        <f t="shared" si="3"/>
        <v>2.6401392000000214</v>
      </c>
      <c r="V48" s="3">
        <f t="shared" si="4"/>
        <v>1.7920867999999928</v>
      </c>
      <c r="W48" s="2">
        <f>VLOOKUP(B48,[1]CivilReport!$A$2:$E$342,5,FALSE)-H48</f>
        <v>5.6119999999992842E-4</v>
      </c>
    </row>
    <row r="49" spans="1:23" s="4" customFormat="1" ht="14.45" customHeight="1" x14ac:dyDescent="0.25">
      <c r="A49" s="2">
        <f t="shared" si="5"/>
        <v>92142.676000000007</v>
      </c>
      <c r="B49" s="3">
        <v>283140</v>
      </c>
      <c r="C49" s="3">
        <v>3369818.1288235001</v>
      </c>
      <c r="D49" s="3">
        <v>658404.56257389998</v>
      </c>
      <c r="E49" s="3">
        <v>270.53004570000002</v>
      </c>
      <c r="F49" s="3">
        <f t="shared" si="0"/>
        <v>269.84204570000003</v>
      </c>
      <c r="G49" s="7">
        <v>92142.676000000007</v>
      </c>
      <c r="H49" s="7">
        <v>-13.140102000000001</v>
      </c>
      <c r="I49" s="3">
        <v>3369807.3888629</v>
      </c>
      <c r="J49" s="3">
        <v>658396.99187200004</v>
      </c>
      <c r="K49" s="3">
        <v>271.0546875</v>
      </c>
      <c r="L49" s="3">
        <v>271.79668750000002</v>
      </c>
      <c r="M49" s="3">
        <f t="shared" si="1"/>
        <v>0.5246417999999835</v>
      </c>
      <c r="N49" s="3">
        <f t="shared" si="2"/>
        <v>1.9546417999999903</v>
      </c>
      <c r="O49" s="3">
        <v>-7.9213221999999996</v>
      </c>
      <c r="P49" s="3">
        <v>268.86697400000003</v>
      </c>
      <c r="Q49" s="3">
        <v>5.6472740999999997</v>
      </c>
      <c r="R49" s="3">
        <v>270.00476930000002</v>
      </c>
      <c r="S49" s="3">
        <v>269.5497431</v>
      </c>
      <c r="T49" s="3">
        <f t="shared" si="6"/>
        <v>1.5049443999999994</v>
      </c>
      <c r="U49" s="3">
        <f t="shared" si="3"/>
        <v>2.9297134999999912</v>
      </c>
      <c r="V49" s="3">
        <f t="shared" si="4"/>
        <v>1.7919181999999978</v>
      </c>
      <c r="W49" s="2">
        <f>VLOOKUP(B49,[1]CivilReport!$A$2:$E$342,5,FALSE)-H49</f>
        <v>1.020000000000465E-4</v>
      </c>
    </row>
    <row r="50" spans="1:23" s="4" customFormat="1" ht="14.45" customHeight="1" x14ac:dyDescent="0.25">
      <c r="A50" s="2">
        <f t="shared" si="5"/>
        <v>92162.678</v>
      </c>
      <c r="B50" s="3">
        <v>283160</v>
      </c>
      <c r="C50" s="3">
        <v>3369829.6518059</v>
      </c>
      <c r="D50" s="3">
        <v>658388.21568190004</v>
      </c>
      <c r="E50" s="3">
        <v>270.54382870000001</v>
      </c>
      <c r="F50" s="3">
        <f t="shared" si="0"/>
        <v>269.85582870000002</v>
      </c>
      <c r="G50" s="7">
        <v>92162.678</v>
      </c>
      <c r="H50" s="7">
        <v>-13.393678400000001</v>
      </c>
      <c r="I50" s="3">
        <v>3369818.7045551999</v>
      </c>
      <c r="J50" s="3">
        <v>658380.49892589997</v>
      </c>
      <c r="K50" s="3">
        <v>271.0546875</v>
      </c>
      <c r="L50" s="3">
        <v>271.79668750000002</v>
      </c>
      <c r="M50" s="3">
        <f t="shared" si="1"/>
        <v>0.51085879999999406</v>
      </c>
      <c r="N50" s="3">
        <f t="shared" si="2"/>
        <v>1.9408588000000009</v>
      </c>
      <c r="O50" s="3">
        <v>-7.0771572999999997</v>
      </c>
      <c r="P50" s="3">
        <v>269.28839620000002</v>
      </c>
      <c r="Q50" s="3">
        <v>6.0643127000000003</v>
      </c>
      <c r="R50" s="3">
        <v>269.79690920000002</v>
      </c>
      <c r="S50" s="3">
        <v>269.56828999999999</v>
      </c>
      <c r="T50" s="3">
        <f t="shared" si="6"/>
        <v>1.4863975000000096</v>
      </c>
      <c r="U50" s="3">
        <f t="shared" si="3"/>
        <v>2.5082912999999962</v>
      </c>
      <c r="V50" s="3">
        <f t="shared" si="4"/>
        <v>1.9997783000000027</v>
      </c>
      <c r="W50" s="2">
        <f>VLOOKUP(B50,[1]CivilReport!$A$2:$E$342,5,FALSE)-H50</f>
        <v>6.7839999999996792E-4</v>
      </c>
    </row>
    <row r="51" spans="1:23" s="4" customFormat="1" ht="14.45" customHeight="1" x14ac:dyDescent="0.25">
      <c r="A51" s="2">
        <f t="shared" si="5"/>
        <v>92182.665999999997</v>
      </c>
      <c r="B51" s="3">
        <v>283180</v>
      </c>
      <c r="C51" s="3">
        <v>3369841.1665916</v>
      </c>
      <c r="D51" s="3">
        <v>658371.86301760003</v>
      </c>
      <c r="E51" s="3">
        <v>270.55033500000002</v>
      </c>
      <c r="F51" s="3">
        <f t="shared" si="0"/>
        <v>269.86233500000003</v>
      </c>
      <c r="G51" s="7">
        <v>92182.665999999997</v>
      </c>
      <c r="H51" s="7">
        <v>-13.6016393</v>
      </c>
      <c r="I51" s="3">
        <v>3369830.0422562002</v>
      </c>
      <c r="J51" s="3">
        <v>658364.0365399</v>
      </c>
      <c r="K51" s="3">
        <v>271.0546875</v>
      </c>
      <c r="L51" s="3">
        <v>271.79668750000002</v>
      </c>
      <c r="M51" s="3">
        <f t="shared" si="1"/>
        <v>0.50435249999998177</v>
      </c>
      <c r="N51" s="3">
        <f t="shared" si="2"/>
        <v>1.9343524999999886</v>
      </c>
      <c r="O51" s="3">
        <v>-8.7839100000000006</v>
      </c>
      <c r="P51" s="3">
        <v>268.436035</v>
      </c>
      <c r="Q51" s="3">
        <v>7.1205575000000003</v>
      </c>
      <c r="R51" s="3">
        <v>269.26777290000001</v>
      </c>
      <c r="S51" s="3">
        <v>267.65480889999998</v>
      </c>
      <c r="T51" s="3">
        <f t="shared" si="6"/>
        <v>3.3998786000000223</v>
      </c>
      <c r="U51" s="3">
        <f t="shared" si="3"/>
        <v>3.3606525000000147</v>
      </c>
      <c r="V51" s="3">
        <f t="shared" si="4"/>
        <v>2.5289146000000073</v>
      </c>
      <c r="W51" s="2">
        <f>VLOOKUP(B51,[1]CivilReport!$A$2:$E$342,5,FALSE)-H51</f>
        <v>-3.6069999999988056E-4</v>
      </c>
    </row>
    <row r="52" spans="1:23" s="4" customFormat="1" ht="14.45" customHeight="1" x14ac:dyDescent="0.25">
      <c r="A52" s="2">
        <f t="shared" si="5"/>
        <v>92202.667000000001</v>
      </c>
      <c r="B52" s="3">
        <v>283200</v>
      </c>
      <c r="C52" s="3">
        <v>3369852.6747305999</v>
      </c>
      <c r="D52" s="3">
        <v>658355.5056726</v>
      </c>
      <c r="E52" s="3">
        <v>270.5509404</v>
      </c>
      <c r="F52" s="3">
        <f t="shared" si="0"/>
        <v>269.86294040000001</v>
      </c>
      <c r="G52" s="7">
        <v>92202.667000000001</v>
      </c>
      <c r="H52" s="7">
        <v>-13.761604999999999</v>
      </c>
      <c r="I52" s="3">
        <v>3369841.4195643999</v>
      </c>
      <c r="J52" s="3">
        <v>658347.58714940003</v>
      </c>
      <c r="K52" s="3">
        <v>271.0546875</v>
      </c>
      <c r="L52" s="3">
        <v>271.79668750000002</v>
      </c>
      <c r="M52" s="3">
        <f t="shared" si="1"/>
        <v>0.50374709999999823</v>
      </c>
      <c r="N52" s="3">
        <f t="shared" si="2"/>
        <v>1.933747100000005</v>
      </c>
      <c r="O52" s="3">
        <v>-9.4116298</v>
      </c>
      <c r="P52" s="3">
        <v>268.12205510000001</v>
      </c>
      <c r="Q52" s="3">
        <v>7.2439014000000004</v>
      </c>
      <c r="R52" s="3">
        <v>269.20622070000002</v>
      </c>
      <c r="S52" s="3">
        <v>267.98922590000001</v>
      </c>
      <c r="T52" s="3">
        <f t="shared" si="6"/>
        <v>3.0654615999999919</v>
      </c>
      <c r="U52" s="3">
        <f t="shared" si="3"/>
        <v>3.6746324000000072</v>
      </c>
      <c r="V52" s="3">
        <f t="shared" si="4"/>
        <v>2.5904668000000015</v>
      </c>
      <c r="W52" s="2">
        <f>VLOOKUP(B52,[1]CivilReport!$A$2:$E$342,5,FALSE)-H52</f>
        <v>6.0500000000018872E-4</v>
      </c>
    </row>
    <row r="53" spans="1:23" s="4" customFormat="1" ht="14.45" customHeight="1" x14ac:dyDescent="0.25">
      <c r="A53" s="2">
        <f t="shared" si="5"/>
        <v>92222.678</v>
      </c>
      <c r="B53" s="3">
        <v>283220</v>
      </c>
      <c r="C53" s="3">
        <v>3369864.1943358998</v>
      </c>
      <c r="D53" s="3">
        <v>658339.15640119999</v>
      </c>
      <c r="E53" s="3">
        <v>270.54282230000001</v>
      </c>
      <c r="F53" s="3">
        <f t="shared" si="0"/>
        <v>269.85482230000002</v>
      </c>
      <c r="G53" s="7">
        <v>92222.678</v>
      </c>
      <c r="H53" s="7">
        <v>-13.895649499999999</v>
      </c>
      <c r="I53" s="3">
        <v>3369852.8357481002</v>
      </c>
      <c r="J53" s="3">
        <v>658331.15193010005</v>
      </c>
      <c r="K53" s="3">
        <v>271.0546875</v>
      </c>
      <c r="L53" s="3">
        <v>271.79668750000002</v>
      </c>
      <c r="M53" s="3">
        <f t="shared" si="1"/>
        <v>0.51186519999998836</v>
      </c>
      <c r="N53" s="3">
        <f t="shared" si="2"/>
        <v>1.9418651999999952</v>
      </c>
      <c r="O53" s="3">
        <v>-9.4435000999999996</v>
      </c>
      <c r="P53" s="3">
        <v>268.10596390000001</v>
      </c>
      <c r="Q53" s="3">
        <v>7.5173757999999999</v>
      </c>
      <c r="R53" s="3">
        <v>269.06963930000001</v>
      </c>
      <c r="S53" s="3">
        <v>268.28034689999998</v>
      </c>
      <c r="T53" s="3">
        <f t="shared" si="6"/>
        <v>2.7743406000000164</v>
      </c>
      <c r="U53" s="3">
        <f t="shared" si="3"/>
        <v>3.6907236000000125</v>
      </c>
      <c r="V53" s="3">
        <f t="shared" si="4"/>
        <v>2.7270482000000129</v>
      </c>
      <c r="W53" s="2">
        <f>VLOOKUP(B53,[1]CivilReport!$A$2:$E$342,5,FALSE)-H53</f>
        <v>6.494999999997475E-4</v>
      </c>
    </row>
    <row r="54" spans="1:23" s="4" customFormat="1" ht="14.45" customHeight="1" x14ac:dyDescent="0.25">
      <c r="A54" s="2">
        <f t="shared" si="5"/>
        <v>92242.664000000004</v>
      </c>
      <c r="B54" s="3">
        <v>283240</v>
      </c>
      <c r="C54" s="3">
        <v>3369875.7109826999</v>
      </c>
      <c r="D54" s="3">
        <v>658322.80504759995</v>
      </c>
      <c r="E54" s="3">
        <v>270.55070060000003</v>
      </c>
      <c r="F54" s="3">
        <f t="shared" si="0"/>
        <v>269.86270060000004</v>
      </c>
      <c r="G54" s="7">
        <v>92242.664000000004</v>
      </c>
      <c r="H54" s="7">
        <v>-13.9859484</v>
      </c>
      <c r="I54" s="3">
        <v>3369864.2703291001</v>
      </c>
      <c r="J54" s="3">
        <v>658314.76028549997</v>
      </c>
      <c r="K54" s="3">
        <v>271.0546875</v>
      </c>
      <c r="L54" s="3">
        <v>271.79668750000002</v>
      </c>
      <c r="M54" s="3">
        <f t="shared" si="1"/>
        <v>0.50398689999997259</v>
      </c>
      <c r="N54" s="3">
        <f t="shared" si="2"/>
        <v>1.9339868999999794</v>
      </c>
      <c r="O54" s="3">
        <v>-8.9680015999999991</v>
      </c>
      <c r="P54" s="3">
        <v>268.34355840000001</v>
      </c>
      <c r="Q54" s="3">
        <v>7.5324749000000004</v>
      </c>
      <c r="R54" s="3">
        <v>269.06224420000001</v>
      </c>
      <c r="S54" s="3">
        <v>268.6422733</v>
      </c>
      <c r="T54" s="3">
        <f t="shared" si="6"/>
        <v>2.4124142000000006</v>
      </c>
      <c r="U54" s="3">
        <f t="shared" si="3"/>
        <v>3.4531291000000124</v>
      </c>
      <c r="V54" s="3">
        <f t="shared" si="4"/>
        <v>2.7344433000000095</v>
      </c>
      <c r="W54" s="2">
        <f>VLOOKUP(B54,[1]CivilReport!$A$2:$E$342,5,FALSE)-H54</f>
        <v>-5.1600000000817658E-5</v>
      </c>
    </row>
    <row r="55" spans="1:23" s="4" customFormat="1" ht="14.45" customHeight="1" x14ac:dyDescent="0.25">
      <c r="A55" s="2">
        <f t="shared" si="5"/>
        <v>92262.664000000004</v>
      </c>
      <c r="B55" s="3">
        <v>283260</v>
      </c>
      <c r="C55" s="3">
        <v>3369887.2150464002</v>
      </c>
      <c r="D55" s="3">
        <v>658306.44483609998</v>
      </c>
      <c r="E55" s="3">
        <v>270.60949440000002</v>
      </c>
      <c r="F55" s="3">
        <f t="shared" si="0"/>
        <v>269.92149440000003</v>
      </c>
      <c r="G55" s="7">
        <v>92262.664000000004</v>
      </c>
      <c r="H55" s="7">
        <v>-14.020933599999999</v>
      </c>
      <c r="I55" s="3">
        <v>3369875.7457745001</v>
      </c>
      <c r="J55" s="3">
        <v>658298.37995039998</v>
      </c>
      <c r="K55" s="3">
        <v>271.0546875</v>
      </c>
      <c r="L55" s="3">
        <v>271.79668750000002</v>
      </c>
      <c r="M55" s="3">
        <f t="shared" si="1"/>
        <v>0.44519309999998313</v>
      </c>
      <c r="N55" s="3">
        <f t="shared" si="2"/>
        <v>1.87519309999999</v>
      </c>
      <c r="O55" s="3">
        <v>-7.4593407000000003</v>
      </c>
      <c r="P55" s="3">
        <v>269.0977335</v>
      </c>
      <c r="Q55" s="3">
        <v>6.7287270000000001</v>
      </c>
      <c r="R55" s="3">
        <v>269.46427340000002</v>
      </c>
      <c r="S55" s="3">
        <v>268.73551579999997</v>
      </c>
      <c r="T55" s="3">
        <f t="shared" si="6"/>
        <v>2.3191717000000267</v>
      </c>
      <c r="U55" s="3">
        <f t="shared" si="3"/>
        <v>2.6989540000000147</v>
      </c>
      <c r="V55" s="3">
        <f t="shared" si="4"/>
        <v>2.3324140999999941</v>
      </c>
      <c r="W55" s="2">
        <f>VLOOKUP(B55,[1]CivilReport!$A$2:$E$342,5,FALSE)-H55</f>
        <v>-6.6400000001465287E-5</v>
      </c>
    </row>
    <row r="56" spans="1:23" s="4" customFormat="1" ht="14.45" customHeight="1" x14ac:dyDescent="0.25">
      <c r="A56" s="2">
        <f t="shared" si="5"/>
        <v>92282.66</v>
      </c>
      <c r="B56" s="3">
        <v>283280</v>
      </c>
      <c r="C56" s="3">
        <v>3369898.7164826002</v>
      </c>
      <c r="D56" s="3">
        <v>658290.08277760004</v>
      </c>
      <c r="E56" s="3">
        <v>270.6610465</v>
      </c>
      <c r="F56" s="3">
        <f t="shared" si="0"/>
        <v>269.97304650000001</v>
      </c>
      <c r="G56" s="7">
        <v>92282.66</v>
      </c>
      <c r="H56" s="7">
        <v>-14.013744600000001</v>
      </c>
      <c r="I56" s="3">
        <v>3369887.2508359998</v>
      </c>
      <c r="J56" s="3">
        <v>658282.02523539995</v>
      </c>
      <c r="K56" s="3">
        <v>271.0546875</v>
      </c>
      <c r="L56" s="3">
        <v>271.79668750000002</v>
      </c>
      <c r="M56" s="3">
        <f t="shared" si="1"/>
        <v>0.39364100000000235</v>
      </c>
      <c r="N56" s="3">
        <f t="shared" si="2"/>
        <v>1.8236410000000092</v>
      </c>
      <c r="O56" s="3">
        <v>-4.6880572000000003</v>
      </c>
      <c r="P56" s="3">
        <v>271.86817960000002</v>
      </c>
      <c r="Q56" s="3">
        <v>4.3836491999999998</v>
      </c>
      <c r="R56" s="3">
        <v>271.56290200000001</v>
      </c>
      <c r="S56" s="3">
        <v>271.94443389999998</v>
      </c>
      <c r="T56" s="3">
        <f t="shared" si="6"/>
        <v>-0.88974639999997862</v>
      </c>
      <c r="U56" s="3">
        <f t="shared" si="3"/>
        <v>-7.1492100000000391E-2</v>
      </c>
      <c r="V56" s="3">
        <f t="shared" si="4"/>
        <v>0.23378550000001042</v>
      </c>
      <c r="W56" s="2">
        <f>VLOOKUP(B56,[1]CivilReport!$A$2:$E$342,5,FALSE)-H56</f>
        <v>-2.5539999999857343E-4</v>
      </c>
    </row>
    <row r="57" spans="1:23" s="4" customFormat="1" ht="14.45" customHeight="1" x14ac:dyDescent="0.25">
      <c r="A57" s="2">
        <f t="shared" si="5"/>
        <v>92302.66</v>
      </c>
      <c r="B57" s="3">
        <v>283300</v>
      </c>
      <c r="C57" s="3">
        <v>3369910.2159066</v>
      </c>
      <c r="D57" s="3">
        <v>658273.71930460003</v>
      </c>
      <c r="E57" s="3">
        <v>270.70705270000002</v>
      </c>
      <c r="F57" s="3">
        <f t="shared" si="0"/>
        <v>270.01905270000003</v>
      </c>
      <c r="G57" s="7">
        <v>92302.66</v>
      </c>
      <c r="H57" s="7">
        <v>-13.9852066</v>
      </c>
      <c r="I57" s="3">
        <v>3369898.7735791001</v>
      </c>
      <c r="J57" s="3">
        <v>658265.67821359995</v>
      </c>
      <c r="K57" s="3">
        <v>271.0546875</v>
      </c>
      <c r="L57" s="3">
        <v>271.79668750000002</v>
      </c>
      <c r="M57" s="3">
        <f t="shared" si="1"/>
        <v>0.34763479999998026</v>
      </c>
      <c r="N57" s="3">
        <f t="shared" si="2"/>
        <v>1.7776347999999871</v>
      </c>
      <c r="O57" s="3">
        <v>-5.6187247999999999</v>
      </c>
      <c r="P57" s="3">
        <v>272.7984123</v>
      </c>
      <c r="Q57" s="3">
        <v>4.3481515999999996</v>
      </c>
      <c r="R57" s="3">
        <v>271.52783909999999</v>
      </c>
      <c r="S57" s="3">
        <v>272.31502760000001</v>
      </c>
      <c r="T57" s="3">
        <f t="shared" si="6"/>
        <v>-1.2603401000000076</v>
      </c>
      <c r="U57" s="3">
        <f t="shared" si="3"/>
        <v>-1.0017247999999768</v>
      </c>
      <c r="V57" s="3">
        <f t="shared" si="4"/>
        <v>0.26884840000002441</v>
      </c>
      <c r="W57" s="2">
        <f>VLOOKUP(B57,[1]CivilReport!$A$2:$E$342,5,FALSE)-H57</f>
        <v>2.0660000000027878E-4</v>
      </c>
    </row>
    <row r="58" spans="1:23" s="4" customFormat="1" ht="14.45" customHeight="1" x14ac:dyDescent="0.25">
      <c r="A58" s="2">
        <f t="shared" si="5"/>
        <v>92322.664999999994</v>
      </c>
      <c r="B58" s="3">
        <v>283320</v>
      </c>
      <c r="C58" s="3">
        <v>3369921.7210626001</v>
      </c>
      <c r="D58" s="3">
        <v>658257.35986139998</v>
      </c>
      <c r="E58" s="3">
        <v>270.75050920000001</v>
      </c>
      <c r="F58" s="3">
        <f t="shared" si="0"/>
        <v>270.06250920000002</v>
      </c>
      <c r="G58" s="7">
        <v>92322.664999999994</v>
      </c>
      <c r="H58" s="7">
        <v>-13.963006699999999</v>
      </c>
      <c r="I58" s="3">
        <v>3369910.2999044</v>
      </c>
      <c r="J58" s="3">
        <v>658249.32725900004</v>
      </c>
      <c r="K58" s="3">
        <v>271.0546875</v>
      </c>
      <c r="L58" s="3">
        <v>271.79668750000002</v>
      </c>
      <c r="M58" s="3">
        <f t="shared" si="1"/>
        <v>0.30417829999998958</v>
      </c>
      <c r="N58" s="3">
        <f t="shared" si="2"/>
        <v>1.7341782999999964</v>
      </c>
      <c r="O58" s="3">
        <v>-6.7989154999999997</v>
      </c>
      <c r="P58" s="3">
        <v>272.92337939999999</v>
      </c>
      <c r="Q58" s="3">
        <v>5.0558547999999996</v>
      </c>
      <c r="R58" s="3">
        <v>271.28918520000002</v>
      </c>
      <c r="S58" s="3">
        <v>273.71705450000002</v>
      </c>
      <c r="T58" s="3">
        <f t="shared" si="6"/>
        <v>-2.6623670000000175</v>
      </c>
      <c r="U58" s="3">
        <f t="shared" si="3"/>
        <v>-1.1266918999999689</v>
      </c>
      <c r="V58" s="3">
        <f t="shared" si="4"/>
        <v>0.50750229999999874</v>
      </c>
      <c r="W58" s="2">
        <f>VLOOKUP(B58,[1]CivilReport!$A$2:$E$342,5,FALSE)-H58</f>
        <v>6.7000000001371518E-6</v>
      </c>
    </row>
    <row r="59" spans="1:23" s="4" customFormat="1" ht="14.45" customHeight="1" x14ac:dyDescent="0.25">
      <c r="A59" s="2">
        <f t="shared" si="5"/>
        <v>92342.684999999998</v>
      </c>
      <c r="B59" s="3">
        <v>283340</v>
      </c>
      <c r="C59" s="3">
        <v>3369933.2339050001</v>
      </c>
      <c r="D59" s="3">
        <v>658241.00583170005</v>
      </c>
      <c r="E59" s="3">
        <v>270.7877009</v>
      </c>
      <c r="F59" s="3">
        <f t="shared" si="0"/>
        <v>270.09970090000002</v>
      </c>
      <c r="G59" s="7">
        <v>92342.684999999998</v>
      </c>
      <c r="H59" s="7">
        <v>-13.9502074</v>
      </c>
      <c r="I59" s="3">
        <v>3369921.8344626999</v>
      </c>
      <c r="J59" s="3">
        <v>658232.96462520002</v>
      </c>
      <c r="K59" s="3">
        <v>271.0546875</v>
      </c>
      <c r="L59" s="3">
        <v>271.79668750000002</v>
      </c>
      <c r="M59" s="3">
        <f t="shared" si="1"/>
        <v>0.26698659999999563</v>
      </c>
      <c r="N59" s="3">
        <f t="shared" si="2"/>
        <v>1.6969866000000025</v>
      </c>
      <c r="O59" s="3">
        <v>-10.7286714</v>
      </c>
      <c r="P59" s="3">
        <v>267.5643614</v>
      </c>
      <c r="Q59" s="3">
        <v>10.12682</v>
      </c>
      <c r="R59" s="3">
        <v>267.86528709999999</v>
      </c>
      <c r="S59" s="3">
        <v>265.87752519999998</v>
      </c>
      <c r="T59" s="3">
        <f t="shared" si="6"/>
        <v>5.1771623000000204</v>
      </c>
      <c r="U59" s="3">
        <f t="shared" si="3"/>
        <v>4.232326100000023</v>
      </c>
      <c r="V59" s="3">
        <f t="shared" si="4"/>
        <v>3.9314004000000295</v>
      </c>
      <c r="W59" s="2">
        <f>VLOOKUP(B59,[1]CivilReport!$A$2:$E$342,5,FALSE)-H59</f>
        <v>-7.9260000000047626E-4</v>
      </c>
    </row>
    <row r="60" spans="1:23" s="4" customFormat="1" ht="14.45" customHeight="1" x14ac:dyDescent="0.25">
      <c r="A60" s="2">
        <f t="shared" si="5"/>
        <v>92362.684999999998</v>
      </c>
      <c r="B60" s="3">
        <v>283360</v>
      </c>
      <c r="C60" s="3">
        <v>3369944.7623450002</v>
      </c>
      <c r="D60" s="3">
        <v>658224.66278819996</v>
      </c>
      <c r="E60" s="3">
        <v>270.81186930000001</v>
      </c>
      <c r="F60" s="3">
        <f t="shared" si="0"/>
        <v>270.12386930000002</v>
      </c>
      <c r="G60" s="7">
        <v>92362.684999999998</v>
      </c>
      <c r="H60" s="7">
        <v>-13.956493999999999</v>
      </c>
      <c r="I60" s="3">
        <v>3369933.3577656001</v>
      </c>
      <c r="J60" s="3">
        <v>658216.61795800005</v>
      </c>
      <c r="K60" s="3">
        <v>271.0546875</v>
      </c>
      <c r="L60" s="3">
        <v>271.79668750000002</v>
      </c>
      <c r="M60" s="3">
        <f t="shared" si="1"/>
        <v>0.24281819999998788</v>
      </c>
      <c r="N60" s="3">
        <f t="shared" si="2"/>
        <v>1.6728181999999947</v>
      </c>
      <c r="O60" s="3">
        <v>-22.6562588</v>
      </c>
      <c r="P60" s="3">
        <v>262.24989140000002</v>
      </c>
      <c r="Q60" s="3">
        <v>21.592244000000001</v>
      </c>
      <c r="R60" s="3">
        <v>262.78189889999999</v>
      </c>
      <c r="S60" s="3">
        <v>262.05512800000002</v>
      </c>
      <c r="T60" s="3">
        <f t="shared" si="6"/>
        <v>8.9995594999999753</v>
      </c>
      <c r="U60" s="3">
        <f t="shared" si="3"/>
        <v>9.5467960999999946</v>
      </c>
      <c r="V60" s="3">
        <f t="shared" si="4"/>
        <v>9.0147886000000312</v>
      </c>
      <c r="W60" s="2">
        <f>VLOOKUP(B60,[1]CivilReport!$A$2:$E$342,5,FALSE)-H60</f>
        <v>4.939999999997724E-4</v>
      </c>
    </row>
    <row r="61" spans="1:23" s="4" customFormat="1" ht="14.45" customHeight="1" x14ac:dyDescent="0.25">
      <c r="A61" s="2">
        <f t="shared" si="5"/>
        <v>92382.668000000005</v>
      </c>
      <c r="B61" s="3">
        <v>283380</v>
      </c>
      <c r="C61" s="3">
        <v>3369956.2811173</v>
      </c>
      <c r="D61" s="3">
        <v>658208.31293360004</v>
      </c>
      <c r="E61" s="3">
        <v>270.82228730000003</v>
      </c>
      <c r="F61" s="3">
        <f t="shared" si="0"/>
        <v>270.13428730000004</v>
      </c>
      <c r="G61" s="7">
        <v>92382.668000000005</v>
      </c>
      <c r="H61" s="7">
        <v>-13.9509591</v>
      </c>
      <c r="I61" s="3">
        <v>3369944.8715217998</v>
      </c>
      <c r="J61" s="3">
        <v>658200.28483350005</v>
      </c>
      <c r="K61" s="3">
        <v>271.0546875</v>
      </c>
      <c r="L61" s="3">
        <v>271.79668750000002</v>
      </c>
      <c r="M61" s="3">
        <f t="shared" si="1"/>
        <v>0.2324001999999723</v>
      </c>
      <c r="N61" s="3">
        <f t="shared" si="2"/>
        <v>1.6624001999999791</v>
      </c>
      <c r="O61" s="3">
        <v>-28.7319493</v>
      </c>
      <c r="P61" s="3">
        <v>259.21204619999997</v>
      </c>
      <c r="Q61" s="3">
        <v>27.494531500000001</v>
      </c>
      <c r="R61" s="3">
        <v>259.83075509999998</v>
      </c>
      <c r="S61" s="3">
        <v>259.5532528</v>
      </c>
      <c r="T61" s="3">
        <f t="shared" si="6"/>
        <v>11.501434700000004</v>
      </c>
      <c r="U61" s="3">
        <f t="shared" si="3"/>
        <v>12.584641300000044</v>
      </c>
      <c r="V61" s="3">
        <f t="shared" si="4"/>
        <v>11.965932400000042</v>
      </c>
      <c r="W61" s="2">
        <f>VLOOKUP(B61,[1]CivilReport!$A$2:$E$342,5,FALSE)-H61</f>
        <v>-4.0900000000121395E-5</v>
      </c>
    </row>
    <row r="62" spans="1:23" s="4" customFormat="1" ht="14.45" customHeight="1" x14ac:dyDescent="0.25">
      <c r="A62" s="2">
        <f t="shared" si="5"/>
        <v>92402.668000000005</v>
      </c>
      <c r="B62" s="3">
        <v>283400</v>
      </c>
      <c r="C62" s="3">
        <v>3369967.790147</v>
      </c>
      <c r="D62" s="3">
        <v>658191.95621530002</v>
      </c>
      <c r="E62" s="3">
        <v>270.81884860000002</v>
      </c>
      <c r="F62" s="3">
        <f t="shared" si="0"/>
        <v>270.13084860000004</v>
      </c>
      <c r="G62" s="7">
        <v>92402.668000000005</v>
      </c>
      <c r="H62" s="7">
        <v>-13.9335021</v>
      </c>
      <c r="I62" s="3">
        <v>3369956.3948285999</v>
      </c>
      <c r="J62" s="3">
        <v>658183.93816080003</v>
      </c>
      <c r="K62" s="3">
        <v>271.0546875</v>
      </c>
      <c r="L62" s="3">
        <v>271.79668750000002</v>
      </c>
      <c r="M62" s="3">
        <f t="shared" si="1"/>
        <v>0.23583889999997609</v>
      </c>
      <c r="N62" s="3">
        <f t="shared" si="2"/>
        <v>1.6658388999999829</v>
      </c>
      <c r="O62" s="3">
        <v>-22.025614000000001</v>
      </c>
      <c r="P62" s="3">
        <v>262.4651586</v>
      </c>
      <c r="Q62" s="3">
        <v>22.715281399999999</v>
      </c>
      <c r="R62" s="3">
        <v>262.12032490000001</v>
      </c>
      <c r="S62" s="3">
        <v>262.9692048</v>
      </c>
      <c r="T62" s="3">
        <f t="shared" si="6"/>
        <v>8.0854827</v>
      </c>
      <c r="U62" s="3">
        <f t="shared" si="3"/>
        <v>9.3315289000000234</v>
      </c>
      <c r="V62" s="3">
        <f t="shared" si="4"/>
        <v>9.6763626000000045</v>
      </c>
      <c r="W62" s="2">
        <f>VLOOKUP(B62,[1]CivilReport!$A$2:$E$342,5,FALSE)-H62</f>
        <v>5.0210000000028288E-4</v>
      </c>
    </row>
    <row r="63" spans="1:23" s="4" customFormat="1" ht="14.45" customHeight="1" x14ac:dyDescent="0.25">
      <c r="A63" s="2">
        <f t="shared" si="5"/>
        <v>92422.664000000004</v>
      </c>
      <c r="B63" s="3">
        <v>283420</v>
      </c>
      <c r="C63" s="3">
        <v>3369979.3072426999</v>
      </c>
      <c r="D63" s="3">
        <v>658175.60517969995</v>
      </c>
      <c r="E63" s="3">
        <v>270.76687950000002</v>
      </c>
      <c r="F63" s="3">
        <f t="shared" si="0"/>
        <v>270.07887950000003</v>
      </c>
      <c r="G63" s="7">
        <v>92422.664000000004</v>
      </c>
      <c r="H63" s="7">
        <v>-13.9259161</v>
      </c>
      <c r="I63" s="3">
        <v>3369967.9156912002</v>
      </c>
      <c r="J63" s="3">
        <v>658167.59495539998</v>
      </c>
      <c r="K63" s="3">
        <v>271.0546875</v>
      </c>
      <c r="L63" s="3">
        <v>271.79668750000002</v>
      </c>
      <c r="M63" s="3">
        <f t="shared" si="1"/>
        <v>0.28780799999998408</v>
      </c>
      <c r="N63" s="3">
        <f t="shared" si="2"/>
        <v>1.7178079999999909</v>
      </c>
      <c r="O63" s="3">
        <v>-11.3291676</v>
      </c>
      <c r="P63" s="3">
        <v>267.16343699999999</v>
      </c>
      <c r="Q63" s="3">
        <v>7.3541436999999998</v>
      </c>
      <c r="R63" s="3">
        <v>269.15094900000003</v>
      </c>
      <c r="S63" s="3">
        <v>268.45547759999999</v>
      </c>
      <c r="T63" s="3">
        <f t="shared" si="6"/>
        <v>2.5992099000000053</v>
      </c>
      <c r="U63" s="3">
        <f t="shared" si="3"/>
        <v>4.633250500000031</v>
      </c>
      <c r="V63" s="3">
        <f t="shared" si="4"/>
        <v>2.6457384999999931</v>
      </c>
      <c r="W63" s="2">
        <f>VLOOKUP(B63,[1]CivilReport!$A$2:$E$342,5,FALSE)-H63</f>
        <v>-8.3899999999914598E-5</v>
      </c>
    </row>
    <row r="64" spans="1:23" s="4" customFormat="1" ht="14.45" customHeight="1" x14ac:dyDescent="0.25">
      <c r="A64" s="2">
        <f t="shared" si="5"/>
        <v>92442.664000000004</v>
      </c>
      <c r="B64" s="3">
        <v>283440</v>
      </c>
      <c r="C64" s="3">
        <v>3369990.8112963</v>
      </c>
      <c r="D64" s="3">
        <v>658159.24496110005</v>
      </c>
      <c r="E64" s="3">
        <v>270.68637639999997</v>
      </c>
      <c r="F64" s="3">
        <f t="shared" si="0"/>
        <v>269.99837639999998</v>
      </c>
      <c r="G64" s="7">
        <v>92442.664000000004</v>
      </c>
      <c r="H64" s="7">
        <v>-13.9023752</v>
      </c>
      <c r="I64" s="3">
        <v>3369979.4390015998</v>
      </c>
      <c r="J64" s="3">
        <v>658151.24827770004</v>
      </c>
      <c r="K64" s="3">
        <v>271.0546875</v>
      </c>
      <c r="L64" s="3">
        <v>271.79668750000002</v>
      </c>
      <c r="M64" s="3">
        <f t="shared" si="1"/>
        <v>0.36831110000002809</v>
      </c>
      <c r="N64" s="3">
        <f t="shared" si="2"/>
        <v>1.7983111000000349</v>
      </c>
      <c r="O64" s="3">
        <v>-5.1984389000000002</v>
      </c>
      <c r="P64" s="3">
        <v>270.22880140000001</v>
      </c>
      <c r="Q64" s="3">
        <v>6.5900002000000004</v>
      </c>
      <c r="R64" s="3">
        <v>269.53302079999997</v>
      </c>
      <c r="S64" s="3">
        <v>270.21543889999998</v>
      </c>
      <c r="T64" s="3">
        <f t="shared" si="6"/>
        <v>0.839248600000019</v>
      </c>
      <c r="U64" s="3">
        <f t="shared" si="3"/>
        <v>1.5678861000000097</v>
      </c>
      <c r="V64" s="3">
        <f t="shared" si="4"/>
        <v>2.2636667000000443</v>
      </c>
      <c r="W64" s="2">
        <f>VLOOKUP(B64,[1]CivilReport!$A$2:$E$342,5,FALSE)-H64</f>
        <v>3.7520000000057507E-4</v>
      </c>
    </row>
    <row r="65" spans="1:23" s="4" customFormat="1" ht="14.45" customHeight="1" x14ac:dyDescent="0.25">
      <c r="A65" s="2">
        <f t="shared" si="5"/>
        <v>92462.675000000003</v>
      </c>
      <c r="B65" s="3">
        <v>283460</v>
      </c>
      <c r="C65" s="3">
        <v>3370002.3257136</v>
      </c>
      <c r="D65" s="3">
        <v>658142.89203630004</v>
      </c>
      <c r="E65" s="3">
        <v>270.60555520000003</v>
      </c>
      <c r="F65" s="3">
        <f t="shared" si="0"/>
        <v>269.91755520000004</v>
      </c>
      <c r="G65" s="7">
        <v>92462.675000000003</v>
      </c>
      <c r="H65" s="7">
        <v>-13.891498500000001</v>
      </c>
      <c r="I65" s="3">
        <v>3369990.9687764999</v>
      </c>
      <c r="J65" s="3">
        <v>658134.8924294</v>
      </c>
      <c r="K65" s="3">
        <v>271.0546875</v>
      </c>
      <c r="L65" s="3">
        <v>271.79668750000002</v>
      </c>
      <c r="M65" s="3">
        <f t="shared" si="1"/>
        <v>0.44913229999997384</v>
      </c>
      <c r="N65" s="3">
        <f t="shared" si="2"/>
        <v>1.8791322999999807</v>
      </c>
      <c r="O65" s="3">
        <v>-5.6433992000000002</v>
      </c>
      <c r="P65" s="3">
        <v>270.0063212</v>
      </c>
      <c r="Q65" s="3">
        <v>5.5798719999999999</v>
      </c>
      <c r="R65" s="3">
        <v>270.0380849</v>
      </c>
      <c r="S65" s="3">
        <v>270.39719120000001</v>
      </c>
      <c r="T65" s="3">
        <f t="shared" si="6"/>
        <v>0.65749629999999115</v>
      </c>
      <c r="U65" s="3">
        <f t="shared" si="3"/>
        <v>1.7903663000000165</v>
      </c>
      <c r="V65" s="3">
        <f t="shared" si="4"/>
        <v>1.7586026000000174</v>
      </c>
      <c r="W65" s="2">
        <f>VLOOKUP(B65,[1]CivilReport!$A$2:$E$342,5,FALSE)-H65</f>
        <v>4.9850000000084549E-4</v>
      </c>
    </row>
    <row r="66" spans="1:23" s="4" customFormat="1" ht="14.45" customHeight="1" x14ac:dyDescent="0.25">
      <c r="A66" s="2">
        <f t="shared" si="5"/>
        <v>92482.675000000003</v>
      </c>
      <c r="B66" s="3">
        <v>283480</v>
      </c>
      <c r="C66" s="3">
        <v>3370013.8429836002</v>
      </c>
      <c r="D66" s="3">
        <v>658126.54111909994</v>
      </c>
      <c r="E66" s="3">
        <v>270.52464650000002</v>
      </c>
      <c r="F66" s="3">
        <f t="shared" si="0"/>
        <v>269.83664650000003</v>
      </c>
      <c r="G66" s="7">
        <v>92482.675000000003</v>
      </c>
      <c r="H66" s="7">
        <v>-13.884118900000001</v>
      </c>
      <c r="I66" s="3">
        <v>3370002.4920796999</v>
      </c>
      <c r="J66" s="3">
        <v>658118.54576190002</v>
      </c>
      <c r="K66" s="3">
        <v>271.0546875</v>
      </c>
      <c r="L66" s="3">
        <v>271.79668750000002</v>
      </c>
      <c r="M66" s="3">
        <f t="shared" si="1"/>
        <v>0.53004099999998289</v>
      </c>
      <c r="N66" s="3">
        <f t="shared" si="2"/>
        <v>1.9600409999999897</v>
      </c>
      <c r="O66" s="3">
        <v>-6.7927612000000002</v>
      </c>
      <c r="P66" s="3">
        <v>269.4316402</v>
      </c>
      <c r="Q66" s="3">
        <v>5.8669592999999995</v>
      </c>
      <c r="R66" s="3">
        <v>269.89454119999999</v>
      </c>
      <c r="S66" s="3">
        <v>269.86095169999999</v>
      </c>
      <c r="T66" s="3">
        <f t="shared" si="6"/>
        <v>1.1937358000000131</v>
      </c>
      <c r="U66" s="3">
        <f t="shared" si="3"/>
        <v>2.3650473000000147</v>
      </c>
      <c r="V66" s="3">
        <f t="shared" si="4"/>
        <v>1.9021463000000267</v>
      </c>
      <c r="W66" s="2">
        <f>VLOOKUP(B66,[1]CivilReport!$A$2:$E$342,5,FALSE)-H66</f>
        <v>1.1890000000036594E-4</v>
      </c>
    </row>
    <row r="67" spans="1:23" s="4" customFormat="1" ht="14.45" customHeight="1" x14ac:dyDescent="0.25">
      <c r="A67" s="2">
        <f t="shared" si="5"/>
        <v>92502.676000000007</v>
      </c>
      <c r="B67" s="3">
        <v>283500</v>
      </c>
      <c r="C67" s="3">
        <v>3370025.3602534998</v>
      </c>
      <c r="D67" s="3">
        <v>658110.19020199997</v>
      </c>
      <c r="E67" s="3">
        <v>270.44373769999999</v>
      </c>
      <c r="F67" s="3">
        <f t="shared" si="0"/>
        <v>269.7557377</v>
      </c>
      <c r="G67" s="7">
        <v>92502.676000000007</v>
      </c>
      <c r="H67" s="7">
        <v>-13.876739300000001</v>
      </c>
      <c r="I67" s="3">
        <v>3370014.0153827998</v>
      </c>
      <c r="J67" s="3">
        <v>658102.19909430004</v>
      </c>
      <c r="K67" s="3">
        <v>271.0546875</v>
      </c>
      <c r="L67" s="3">
        <v>271.79668750000002</v>
      </c>
      <c r="M67" s="3">
        <f t="shared" si="1"/>
        <v>0.61094980000001442</v>
      </c>
      <c r="N67" s="3">
        <f t="shared" si="2"/>
        <v>2.0409498000000212</v>
      </c>
      <c r="O67" s="3">
        <v>-8.5901685000000008</v>
      </c>
      <c r="P67" s="3">
        <v>268.53293660000003</v>
      </c>
      <c r="Q67" s="3">
        <v>7.7546764000000001</v>
      </c>
      <c r="R67" s="3">
        <v>268.95068259999999</v>
      </c>
      <c r="S67" s="3">
        <v>268.52879030000003</v>
      </c>
      <c r="T67" s="3">
        <f t="shared" si="6"/>
        <v>2.5258971999999744</v>
      </c>
      <c r="U67" s="3">
        <f t="shared" si="3"/>
        <v>3.2637508999999909</v>
      </c>
      <c r="V67" s="3">
        <f t="shared" si="4"/>
        <v>2.8460049000000254</v>
      </c>
      <c r="W67" s="2">
        <f>VLOOKUP(B67,[1]CivilReport!$A$2:$E$342,5,FALSE)-H67</f>
        <v>-2.6070000000011362E-4</v>
      </c>
    </row>
    <row r="68" spans="1:23" s="4" customFormat="1" ht="14.45" customHeight="1" x14ac:dyDescent="0.25">
      <c r="A68" s="2">
        <f t="shared" si="5"/>
        <v>92522.676000000007</v>
      </c>
      <c r="B68" s="3">
        <v>283520</v>
      </c>
      <c r="C68" s="3">
        <v>3370036.8771913</v>
      </c>
      <c r="D68" s="3">
        <v>658093.83905079996</v>
      </c>
      <c r="E68" s="3">
        <v>270.42753620000002</v>
      </c>
      <c r="F68" s="3">
        <f t="shared" si="0"/>
        <v>269.73953620000003</v>
      </c>
      <c r="G68" s="7">
        <v>92522.676000000007</v>
      </c>
      <c r="H68" s="7">
        <v>-13.8689535</v>
      </c>
      <c r="I68" s="3">
        <v>3370025.538499</v>
      </c>
      <c r="J68" s="3">
        <v>658085.85269199999</v>
      </c>
      <c r="K68" s="3">
        <v>271.0546875</v>
      </c>
      <c r="L68" s="3">
        <v>271.79668750000002</v>
      </c>
      <c r="M68" s="3">
        <f t="shared" ref="M68:M131" si="7">+K68-E68</f>
        <v>0.62715129999997998</v>
      </c>
      <c r="N68" s="3">
        <f t="shared" ref="N68:N131" si="8">+L68-F68</f>
        <v>2.0571512999999868</v>
      </c>
      <c r="O68" s="3">
        <v>-9.3029527999999999</v>
      </c>
      <c r="P68" s="3">
        <v>268.17654440000001</v>
      </c>
      <c r="Q68" s="3">
        <v>7.2748149</v>
      </c>
      <c r="R68" s="3">
        <v>269.19061340000002</v>
      </c>
      <c r="S68" s="3">
        <v>268.18807600000002</v>
      </c>
      <c r="T68" s="3">
        <f t="shared" si="6"/>
        <v>2.8666114999999763</v>
      </c>
      <c r="U68" s="3">
        <f t="shared" si="3"/>
        <v>3.6201431000000071</v>
      </c>
      <c r="V68" s="3">
        <f t="shared" si="4"/>
        <v>2.6060741000000007</v>
      </c>
      <c r="W68" s="2">
        <f>VLOOKUP(B68,[1]CivilReport!$A$2:$E$342,5,FALSE)-H68</f>
        <v>-4.6499999999838337E-5</v>
      </c>
    </row>
    <row r="69" spans="1:23" s="4" customFormat="1" ht="14.45" customHeight="1" x14ac:dyDescent="0.25">
      <c r="A69" s="2">
        <f t="shared" ref="A69:A132" si="9">G69</f>
        <v>92542.676000000007</v>
      </c>
      <c r="B69" s="3">
        <v>283540</v>
      </c>
      <c r="C69" s="3">
        <v>3370048.3940789001</v>
      </c>
      <c r="D69" s="3">
        <v>658077.48786430003</v>
      </c>
      <c r="E69" s="3">
        <v>270.421132</v>
      </c>
      <c r="F69" s="3">
        <f t="shared" si="0"/>
        <v>269.73313200000001</v>
      </c>
      <c r="G69" s="7">
        <v>92542.676000000007</v>
      </c>
      <c r="H69" s="7">
        <v>-13.858214500000001</v>
      </c>
      <c r="I69" s="3">
        <v>3370037.0641398998</v>
      </c>
      <c r="J69" s="3">
        <v>658069.50772690005</v>
      </c>
      <c r="K69" s="3">
        <v>271.0546875</v>
      </c>
      <c r="L69" s="3">
        <v>271.79668750000002</v>
      </c>
      <c r="M69" s="3">
        <f t="shared" si="7"/>
        <v>0.63355549999999994</v>
      </c>
      <c r="N69" s="3">
        <f t="shared" si="8"/>
        <v>2.0635555000000068</v>
      </c>
      <c r="O69" s="3">
        <v>-9.6721003000000003</v>
      </c>
      <c r="P69" s="3">
        <v>267.99179070000002</v>
      </c>
      <c r="Q69" s="3">
        <v>7.3253750999999996</v>
      </c>
      <c r="R69" s="3">
        <v>269.1655131</v>
      </c>
      <c r="S69" s="3">
        <v>267.84695110000001</v>
      </c>
      <c r="T69" s="3">
        <f t="shared" ref="T69:T132" si="10">K69-S69</f>
        <v>3.2077363999999875</v>
      </c>
      <c r="U69" s="3">
        <f t="shared" si="3"/>
        <v>3.8048967999999945</v>
      </c>
      <c r="V69" s="3">
        <f t="shared" si="4"/>
        <v>2.6311744000000203</v>
      </c>
      <c r="W69" s="2">
        <f>VLOOKUP(B69,[1]CivilReport!$A$2:$E$342,5,FALSE)-H69</f>
        <v>-7.8549999999921738E-4</v>
      </c>
    </row>
    <row r="70" spans="1:23" s="4" customFormat="1" ht="14.45" customHeight="1" x14ac:dyDescent="0.25">
      <c r="A70" s="2">
        <f t="shared" si="9"/>
        <v>92562.69</v>
      </c>
      <c r="B70" s="3">
        <v>283560</v>
      </c>
      <c r="C70" s="3">
        <v>3370059.9253882999</v>
      </c>
      <c r="D70" s="3">
        <v>658061.1468471</v>
      </c>
      <c r="E70" s="3">
        <v>270.40307280000002</v>
      </c>
      <c r="F70" s="3">
        <f t="shared" si="0"/>
        <v>269.71507280000003</v>
      </c>
      <c r="G70" s="7">
        <v>92562.69</v>
      </c>
      <c r="H70" s="7">
        <v>-13.838229500000001</v>
      </c>
      <c r="I70" s="3">
        <v>3370048.6202564002</v>
      </c>
      <c r="J70" s="3">
        <v>658053.16620870004</v>
      </c>
      <c r="K70" s="3">
        <v>271.0546875</v>
      </c>
      <c r="L70" s="3">
        <v>271.79668750000002</v>
      </c>
      <c r="M70" s="3">
        <f t="shared" si="7"/>
        <v>0.65161469999998189</v>
      </c>
      <c r="N70" s="3">
        <f t="shared" si="8"/>
        <v>2.0816146999999887</v>
      </c>
      <c r="O70" s="3">
        <v>-10.167786</v>
      </c>
      <c r="P70" s="3">
        <v>267.7437286</v>
      </c>
      <c r="Q70" s="3">
        <v>6.9427852999999997</v>
      </c>
      <c r="R70" s="3">
        <v>269.3570264</v>
      </c>
      <c r="S70" s="3">
        <v>268.11782210000001</v>
      </c>
      <c r="T70" s="3">
        <f t="shared" si="10"/>
        <v>2.9368653999999879</v>
      </c>
      <c r="U70" s="3">
        <f t="shared" si="3"/>
        <v>4.0529589000000215</v>
      </c>
      <c r="V70" s="3">
        <f t="shared" si="4"/>
        <v>2.4396611000000235</v>
      </c>
      <c r="W70" s="2">
        <f>VLOOKUP(B70,[1]CivilReport!$A$2:$E$342,5,FALSE)-H70</f>
        <v>2.2950000000143689E-4</v>
      </c>
    </row>
    <row r="71" spans="1:23" s="4" customFormat="1" ht="14.45" customHeight="1" x14ac:dyDescent="0.25">
      <c r="A71" s="2">
        <f t="shared" si="9"/>
        <v>92582.69</v>
      </c>
      <c r="B71" s="3">
        <v>283580</v>
      </c>
      <c r="C71" s="3">
        <v>3370071.4595888001</v>
      </c>
      <c r="D71" s="3">
        <v>658044.80786870001</v>
      </c>
      <c r="E71" s="3">
        <v>270.38267710000002</v>
      </c>
      <c r="F71" s="3">
        <f t="shared" si="0"/>
        <v>269.69467710000004</v>
      </c>
      <c r="G71" s="7">
        <v>92582.69</v>
      </c>
      <c r="H71" s="7">
        <v>-13.7645158</v>
      </c>
      <c r="I71" s="3">
        <v>3370060.2146824999</v>
      </c>
      <c r="J71" s="3">
        <v>658036.86973429995</v>
      </c>
      <c r="K71" s="3">
        <v>271.0546875</v>
      </c>
      <c r="L71" s="3">
        <v>271.79668750000002</v>
      </c>
      <c r="M71" s="3">
        <f t="shared" si="7"/>
        <v>0.67201039999997647</v>
      </c>
      <c r="N71" s="3">
        <f t="shared" si="8"/>
        <v>2.1020103999999833</v>
      </c>
      <c r="O71" s="3">
        <v>-10.5231926</v>
      </c>
      <c r="P71" s="3">
        <v>267.56591780000002</v>
      </c>
      <c r="Q71" s="3">
        <v>6.0991951999999996</v>
      </c>
      <c r="R71" s="3">
        <v>269.77892859999997</v>
      </c>
      <c r="S71" s="3">
        <v>268.5542537</v>
      </c>
      <c r="T71" s="3">
        <f t="shared" si="10"/>
        <v>2.5004337999999962</v>
      </c>
      <c r="U71" s="3">
        <f t="shared" si="3"/>
        <v>4.2307696999999962</v>
      </c>
      <c r="V71" s="3">
        <f t="shared" si="4"/>
        <v>2.0177589000000467</v>
      </c>
      <c r="W71" s="2">
        <f>VLOOKUP(B71,[1]CivilReport!$A$2:$E$342,5,FALSE)-H71</f>
        <v>5.1580000000051029E-4</v>
      </c>
    </row>
    <row r="72" spans="1:23" s="4" customFormat="1" ht="14.45" customHeight="1" x14ac:dyDescent="0.25">
      <c r="A72" s="2">
        <f t="shared" si="9"/>
        <v>92602.683000000005</v>
      </c>
      <c r="B72" s="3">
        <v>283600</v>
      </c>
      <c r="C72" s="3">
        <v>3370082.9888459002</v>
      </c>
      <c r="D72" s="3">
        <v>658028.46540260001</v>
      </c>
      <c r="E72" s="3">
        <v>270.36725510000002</v>
      </c>
      <c r="F72" s="3">
        <f t="shared" si="0"/>
        <v>269.67925510000003</v>
      </c>
      <c r="G72" s="7">
        <v>92602.683000000005</v>
      </c>
      <c r="H72" s="7">
        <v>-13.620770199999999</v>
      </c>
      <c r="I72" s="3">
        <v>3370071.8568075001</v>
      </c>
      <c r="J72" s="3">
        <v>658020.61663830001</v>
      </c>
      <c r="K72" s="3">
        <v>271.0546875</v>
      </c>
      <c r="L72" s="3">
        <v>271.79668750000002</v>
      </c>
      <c r="M72" s="3">
        <f t="shared" si="7"/>
        <v>0.68743239999997741</v>
      </c>
      <c r="N72" s="3">
        <f t="shared" si="8"/>
        <v>2.1174323999999842</v>
      </c>
      <c r="O72" s="3">
        <v>-8.2746150000000007</v>
      </c>
      <c r="P72" s="3">
        <v>268.69041110000001</v>
      </c>
      <c r="Q72" s="3">
        <v>6.6256753000000002</v>
      </c>
      <c r="R72" s="3">
        <v>269.51548500000001</v>
      </c>
      <c r="S72" s="3">
        <v>268.65653300000002</v>
      </c>
      <c r="T72" s="3">
        <f t="shared" si="10"/>
        <v>2.3981544999999755</v>
      </c>
      <c r="U72" s="3">
        <f t="shared" si="3"/>
        <v>3.1062764000000129</v>
      </c>
      <c r="V72" s="3">
        <f t="shared" si="4"/>
        <v>2.2812025000000062</v>
      </c>
      <c r="W72" s="2">
        <f>VLOOKUP(B72,[1]CivilReport!$A$2:$E$342,5,FALSE)-H72</f>
        <v>-2.2980000000139E-4</v>
      </c>
    </row>
    <row r="73" spans="1:23" s="4" customFormat="1" ht="14.45" customHeight="1" x14ac:dyDescent="0.25">
      <c r="A73" s="2">
        <f t="shared" si="9"/>
        <v>92622.683999999994</v>
      </c>
      <c r="B73" s="3">
        <v>283620</v>
      </c>
      <c r="C73" s="3">
        <v>3370094.5136397998</v>
      </c>
      <c r="D73" s="3">
        <v>658012.11978770001</v>
      </c>
      <c r="E73" s="3">
        <v>270.35632340000001</v>
      </c>
      <c r="F73" s="3">
        <f t="shared" si="0"/>
        <v>269.66832340000002</v>
      </c>
      <c r="G73" s="7">
        <v>92622.683999999994</v>
      </c>
      <c r="H73" s="7">
        <v>-13.430707699999999</v>
      </c>
      <c r="I73" s="3">
        <v>3370083.5369862001</v>
      </c>
      <c r="J73" s="3">
        <v>658004.3804735</v>
      </c>
      <c r="K73" s="3">
        <v>271.0546875</v>
      </c>
      <c r="L73" s="3">
        <v>271.79668750000002</v>
      </c>
      <c r="M73" s="3">
        <f t="shared" si="7"/>
        <v>0.69836409999999205</v>
      </c>
      <c r="N73" s="3">
        <f t="shared" si="8"/>
        <v>2.1283640999999989</v>
      </c>
      <c r="O73" s="3">
        <v>-9.0699356000000009</v>
      </c>
      <c r="P73" s="3">
        <v>268.29300360000002</v>
      </c>
      <c r="Q73" s="3">
        <v>6.9118355999999999</v>
      </c>
      <c r="R73" s="3">
        <v>269.3721524</v>
      </c>
      <c r="S73" s="3">
        <v>268.44178540000001</v>
      </c>
      <c r="T73" s="3">
        <f t="shared" si="10"/>
        <v>2.6129020999999852</v>
      </c>
      <c r="U73" s="3">
        <f t="shared" si="3"/>
        <v>3.5036838999999986</v>
      </c>
      <c r="V73" s="3">
        <f t="shared" si="4"/>
        <v>2.4245351000000142</v>
      </c>
      <c r="W73" s="2">
        <f>VLOOKUP(B73,[1]CivilReport!$A$2:$E$342,5,FALSE)-H73</f>
        <v>-2.9229999999991207E-4</v>
      </c>
    </row>
    <row r="74" spans="1:23" s="4" customFormat="1" ht="14.45" customHeight="1" x14ac:dyDescent="0.25">
      <c r="A74" s="2">
        <f t="shared" si="9"/>
        <v>92642.671000000002</v>
      </c>
      <c r="B74" s="3">
        <v>283640</v>
      </c>
      <c r="C74" s="3">
        <v>3370106.0374698001</v>
      </c>
      <c r="D74" s="3">
        <v>657995.77349399996</v>
      </c>
      <c r="E74" s="3">
        <v>270.34553119999998</v>
      </c>
      <c r="F74" s="3">
        <f t="shared" si="0"/>
        <v>269.65753119999999</v>
      </c>
      <c r="G74" s="7">
        <v>92642.671000000002</v>
      </c>
      <c r="H74" s="7">
        <v>-13.229503599999999</v>
      </c>
      <c r="I74" s="3">
        <v>3370095.2171824002</v>
      </c>
      <c r="J74" s="3">
        <v>657988.1615858</v>
      </c>
      <c r="K74" s="3">
        <v>271.05156009999996</v>
      </c>
      <c r="L74" s="3">
        <v>271.79356009999998</v>
      </c>
      <c r="M74" s="3">
        <f t="shared" si="7"/>
        <v>0.70602889999997842</v>
      </c>
      <c r="N74" s="3">
        <f t="shared" si="8"/>
        <v>2.1360288999999852</v>
      </c>
      <c r="O74" s="3">
        <v>-8.9392192000000001</v>
      </c>
      <c r="P74" s="3">
        <v>268.35310559999999</v>
      </c>
      <c r="Q74" s="3">
        <v>6.8733611999999997</v>
      </c>
      <c r="R74" s="3">
        <v>269.38603460000002</v>
      </c>
      <c r="S74" s="3">
        <v>268.5847263</v>
      </c>
      <c r="T74" s="3">
        <f t="shared" si="10"/>
        <v>2.4668337999999608</v>
      </c>
      <c r="U74" s="3">
        <f t="shared" si="3"/>
        <v>3.4404544999999871</v>
      </c>
      <c r="V74" s="3">
        <f t="shared" si="4"/>
        <v>2.4075254999999629</v>
      </c>
      <c r="W74" s="2">
        <f>VLOOKUP(B74,[1]CivilReport!$A$2:$E$342,5,FALSE)-H74</f>
        <v>-4.9640000000117368E-4</v>
      </c>
    </row>
    <row r="75" spans="1:23" s="4" customFormat="1" ht="14.45" customHeight="1" x14ac:dyDescent="0.25">
      <c r="A75" s="2">
        <f t="shared" si="9"/>
        <v>92662.672000000006</v>
      </c>
      <c r="B75" s="3">
        <v>283660</v>
      </c>
      <c r="C75" s="3">
        <v>3370117.5449434998</v>
      </c>
      <c r="D75" s="3">
        <v>657979.41568089998</v>
      </c>
      <c r="E75" s="3">
        <v>270.33710680000002</v>
      </c>
      <c r="F75" s="3">
        <f t="shared" si="0"/>
        <v>269.64910680000003</v>
      </c>
      <c r="G75" s="7">
        <v>92662.672000000006</v>
      </c>
      <c r="H75" s="7">
        <v>-13.0080796</v>
      </c>
      <c r="I75" s="3">
        <v>3370106.9057566999</v>
      </c>
      <c r="J75" s="3">
        <v>657971.93117420003</v>
      </c>
      <c r="K75" s="3">
        <v>271.01174099999997</v>
      </c>
      <c r="L75" s="3">
        <v>271.75374099999999</v>
      </c>
      <c r="M75" s="3">
        <f t="shared" si="7"/>
        <v>0.67463419999995722</v>
      </c>
      <c r="N75" s="3">
        <f t="shared" si="8"/>
        <v>2.104634199999964</v>
      </c>
      <c r="O75" s="3">
        <v>-9.4504856000000004</v>
      </c>
      <c r="P75" s="3">
        <v>268.05983149999997</v>
      </c>
      <c r="Q75" s="3">
        <v>6.5499070000000001</v>
      </c>
      <c r="R75" s="3">
        <v>269.51012079999998</v>
      </c>
      <c r="S75" s="3">
        <v>268.89628040000002</v>
      </c>
      <c r="T75" s="3">
        <f t="shared" si="10"/>
        <v>2.115460599999949</v>
      </c>
      <c r="U75" s="3">
        <f t="shared" si="3"/>
        <v>3.6939095000000179</v>
      </c>
      <c r="V75" s="3">
        <f t="shared" si="4"/>
        <v>2.2436202000000094</v>
      </c>
      <c r="W75" s="2">
        <f>VLOOKUP(B75,[1]CivilReport!$A$2:$E$342,5,FALSE)-H75</f>
        <v>7.9600000001178728E-5</v>
      </c>
    </row>
    <row r="76" spans="1:23" s="4" customFormat="1" ht="14.45" customHeight="1" x14ac:dyDescent="0.25">
      <c r="A76" s="2">
        <f t="shared" si="9"/>
        <v>92682.659</v>
      </c>
      <c r="B76" s="3">
        <v>283680</v>
      </c>
      <c r="C76" s="3">
        <v>3370129.0474765999</v>
      </c>
      <c r="D76" s="3">
        <v>657963.05439619999</v>
      </c>
      <c r="E76" s="3">
        <v>270.3294181</v>
      </c>
      <c r="F76" s="3">
        <f t="shared" si="0"/>
        <v>269.64141810000001</v>
      </c>
      <c r="G76" s="7">
        <v>92682.659</v>
      </c>
      <c r="H76" s="7">
        <v>-12.780780399999999</v>
      </c>
      <c r="I76" s="3">
        <v>3370118.5861315001</v>
      </c>
      <c r="J76" s="3">
        <v>657955.71214820002</v>
      </c>
      <c r="K76" s="3">
        <v>270.96139049999999</v>
      </c>
      <c r="L76" s="3">
        <v>271.70339050000001</v>
      </c>
      <c r="M76" s="3">
        <f t="shared" si="7"/>
        <v>0.6319723999999951</v>
      </c>
      <c r="N76" s="3">
        <f t="shared" si="8"/>
        <v>2.0619724000000019</v>
      </c>
      <c r="O76" s="3">
        <v>-10.0562776</v>
      </c>
      <c r="P76" s="3">
        <v>267.70658500000002</v>
      </c>
      <c r="Q76" s="3">
        <v>6.6912383999999996</v>
      </c>
      <c r="R76" s="3">
        <v>269.3891046</v>
      </c>
      <c r="S76" s="3">
        <v>268.07839159999997</v>
      </c>
      <c r="T76" s="3">
        <f t="shared" si="10"/>
        <v>2.8829989000000182</v>
      </c>
      <c r="U76" s="3">
        <f t="shared" si="3"/>
        <v>3.9968054999999936</v>
      </c>
      <c r="V76" s="3">
        <f t="shared" si="4"/>
        <v>2.3142859000000158</v>
      </c>
      <c r="W76" s="2">
        <f>VLOOKUP(B76,[1]CivilReport!$A$2:$E$342,5,FALSE)-H76</f>
        <v>-2.2196000000000993E-3</v>
      </c>
    </row>
    <row r="77" spans="1:23" s="4" customFormat="1" ht="14.45" customHeight="1" x14ac:dyDescent="0.25">
      <c r="A77" s="2">
        <f t="shared" si="9"/>
        <v>92702.660999999993</v>
      </c>
      <c r="B77" s="3">
        <v>283700</v>
      </c>
      <c r="C77" s="3">
        <v>3370140.5369910002</v>
      </c>
      <c r="D77" s="3">
        <v>657946.68396369996</v>
      </c>
      <c r="E77" s="3">
        <v>270.32366769999999</v>
      </c>
      <c r="F77" s="3">
        <f t="shared" si="0"/>
        <v>269.6356677</v>
      </c>
      <c r="G77" s="7">
        <v>92702.660999999993</v>
      </c>
      <c r="H77" s="7">
        <v>-12.5374038</v>
      </c>
      <c r="I77" s="3">
        <v>3370130.2748548002</v>
      </c>
      <c r="J77" s="3">
        <v>657939.48152969999</v>
      </c>
      <c r="K77" s="3">
        <v>270.91100399999999</v>
      </c>
      <c r="L77" s="3">
        <v>271.65300400000001</v>
      </c>
      <c r="M77" s="3">
        <f t="shared" si="7"/>
        <v>0.58733630000000403</v>
      </c>
      <c r="N77" s="3">
        <f t="shared" si="8"/>
        <v>2.0173363000000109</v>
      </c>
      <c r="O77" s="3">
        <v>-10.7250505</v>
      </c>
      <c r="P77" s="3">
        <v>267.32181209999999</v>
      </c>
      <c r="Q77" s="3">
        <v>6.6608508999999998</v>
      </c>
      <c r="R77" s="3">
        <v>269.35391179999999</v>
      </c>
      <c r="S77" s="3">
        <v>267.14194739999999</v>
      </c>
      <c r="T77" s="3">
        <f t="shared" si="10"/>
        <v>3.769056599999999</v>
      </c>
      <c r="U77" s="3">
        <f t="shared" si="3"/>
        <v>4.3311919000000216</v>
      </c>
      <c r="V77" s="3">
        <f t="shared" si="4"/>
        <v>2.2990922000000182</v>
      </c>
      <c r="W77" s="2">
        <f>VLOOKUP(B77,[1]CivilReport!$A$2:$E$342,5,FALSE)-H77</f>
        <v>-4.5961999999999392E-3</v>
      </c>
    </row>
    <row r="78" spans="1:23" s="4" customFormat="1" ht="14.45" customHeight="1" x14ac:dyDescent="0.25">
      <c r="A78" s="2">
        <f t="shared" si="9"/>
        <v>92722.691999999995</v>
      </c>
      <c r="B78" s="3">
        <v>283720</v>
      </c>
      <c r="C78" s="3">
        <v>3370152.0339517002</v>
      </c>
      <c r="D78" s="3">
        <v>657930.31877090002</v>
      </c>
      <c r="E78" s="3">
        <v>270.31455440000002</v>
      </c>
      <c r="F78" s="3">
        <f t="shared" si="0"/>
        <v>269.62655440000003</v>
      </c>
      <c r="G78" s="7">
        <v>92722.691999999995</v>
      </c>
      <c r="H78" s="7">
        <v>-12.3028064</v>
      </c>
      <c r="I78" s="3">
        <v>3370141.9809582001</v>
      </c>
      <c r="J78" s="3">
        <v>657923.22677770001</v>
      </c>
      <c r="K78" s="3">
        <v>270.86054250000001</v>
      </c>
      <c r="L78" s="3">
        <v>271.60254250000003</v>
      </c>
      <c r="M78" s="3">
        <f t="shared" si="7"/>
        <v>0.54598809999998821</v>
      </c>
      <c r="N78" s="3">
        <f t="shared" si="8"/>
        <v>1.975988099999995</v>
      </c>
      <c r="O78" s="3">
        <v>-10.157355000000001</v>
      </c>
      <c r="P78" s="3">
        <v>267.55519839999999</v>
      </c>
      <c r="Q78" s="3">
        <v>6.4092881999999998</v>
      </c>
      <c r="R78" s="3">
        <v>269.42923180000003</v>
      </c>
      <c r="S78" s="3">
        <v>267.19247639999998</v>
      </c>
      <c r="T78" s="3">
        <f t="shared" si="10"/>
        <v>3.6680661000000327</v>
      </c>
      <c r="U78" s="3">
        <f t="shared" si="3"/>
        <v>4.0473441000000321</v>
      </c>
      <c r="V78" s="3">
        <f t="shared" si="4"/>
        <v>2.1733107000000018</v>
      </c>
      <c r="W78" s="2">
        <f>VLOOKUP(B78,[1]CivilReport!$A$2:$E$342,5,FALSE)-H78</f>
        <v>-1.936000000011262E-4</v>
      </c>
    </row>
    <row r="79" spans="1:23" s="4" customFormat="1" ht="14.45" customHeight="1" x14ac:dyDescent="0.25">
      <c r="A79" s="2">
        <f t="shared" si="9"/>
        <v>92742.692999999999</v>
      </c>
      <c r="B79" s="3">
        <v>283740</v>
      </c>
      <c r="C79" s="3">
        <v>3370163.5630174</v>
      </c>
      <c r="D79" s="3">
        <v>657913.97616880003</v>
      </c>
      <c r="E79" s="3">
        <v>270.29094179999998</v>
      </c>
      <c r="F79" s="3">
        <f t="shared" si="0"/>
        <v>269.6029418</v>
      </c>
      <c r="G79" s="7">
        <v>92742.692999999999</v>
      </c>
      <c r="H79" s="7">
        <v>-12.1077972</v>
      </c>
      <c r="I79" s="3">
        <v>3370153.6693718</v>
      </c>
      <c r="J79" s="3">
        <v>657906.99658929999</v>
      </c>
      <c r="K79" s="3">
        <v>270.81015739999998</v>
      </c>
      <c r="L79" s="3">
        <v>271.5521574</v>
      </c>
      <c r="M79" s="3">
        <f t="shared" si="7"/>
        <v>0.51921559999999545</v>
      </c>
      <c r="N79" s="3">
        <f t="shared" si="8"/>
        <v>1.9492156000000023</v>
      </c>
      <c r="O79" s="3">
        <v>-10.0027939</v>
      </c>
      <c r="P79" s="3">
        <v>267.5820938</v>
      </c>
      <c r="Q79" s="3">
        <v>6.5149546999999997</v>
      </c>
      <c r="R79" s="3">
        <v>269.3260133</v>
      </c>
      <c r="S79" s="3">
        <v>267.0313246</v>
      </c>
      <c r="T79" s="3">
        <f t="shared" si="10"/>
        <v>3.7788327999999751</v>
      </c>
      <c r="U79" s="3">
        <f t="shared" si="3"/>
        <v>3.9700636000000031</v>
      </c>
      <c r="V79" s="3">
        <f t="shared" si="4"/>
        <v>2.2261440999999991</v>
      </c>
      <c r="W79" s="2">
        <f>VLOOKUP(B79,[1]CivilReport!$A$2:$E$342,5,FALSE)-H79</f>
        <v>-2.0280000000028053E-4</v>
      </c>
    </row>
    <row r="80" spans="1:23" s="4" customFormat="1" ht="14.45" customHeight="1" x14ac:dyDescent="0.25">
      <c r="A80" s="2">
        <f t="shared" si="9"/>
        <v>92762.694000000003</v>
      </c>
      <c r="B80" s="3">
        <v>283760</v>
      </c>
      <c r="C80" s="3">
        <v>3370175.0920831002</v>
      </c>
      <c r="D80" s="3">
        <v>657897.63356670004</v>
      </c>
      <c r="E80" s="3">
        <v>270.26732909999998</v>
      </c>
      <c r="F80" s="3">
        <f t="shared" si="0"/>
        <v>269.5793291</v>
      </c>
      <c r="G80" s="7">
        <v>92762.694000000003</v>
      </c>
      <c r="H80" s="7">
        <v>-11.912787999999999</v>
      </c>
      <c r="I80" s="3">
        <v>3370165.3577854</v>
      </c>
      <c r="J80" s="3">
        <v>657890.76640079997</v>
      </c>
      <c r="K80" s="3">
        <v>270.75977219999999</v>
      </c>
      <c r="L80" s="3">
        <v>271.5017722</v>
      </c>
      <c r="M80" s="3">
        <f t="shared" si="7"/>
        <v>0.49244310000000269</v>
      </c>
      <c r="N80" s="3">
        <f t="shared" si="8"/>
        <v>1.9224431000000095</v>
      </c>
      <c r="O80" s="3">
        <v>-10.0558022</v>
      </c>
      <c r="P80" s="3">
        <v>267.50520440000003</v>
      </c>
      <c r="Q80" s="3">
        <v>6.6325987</v>
      </c>
      <c r="R80" s="3">
        <v>269.21680620000001</v>
      </c>
      <c r="S80" s="3">
        <v>267.15947840000001</v>
      </c>
      <c r="T80" s="3">
        <f t="shared" si="10"/>
        <v>3.6002937999999745</v>
      </c>
      <c r="U80" s="3">
        <f t="shared" si="3"/>
        <v>3.9965677999999798</v>
      </c>
      <c r="V80" s="3">
        <f t="shared" si="4"/>
        <v>2.2849659999999972</v>
      </c>
      <c r="W80" s="2">
        <f>VLOOKUP(B80,[1]CivilReport!$A$2:$E$342,5,FALSE)-H80</f>
        <v>-2.1200000000121122E-4</v>
      </c>
    </row>
    <row r="81" spans="1:23" s="4" customFormat="1" ht="14.45" customHeight="1" x14ac:dyDescent="0.25">
      <c r="A81" s="2">
        <f t="shared" si="9"/>
        <v>92782.663</v>
      </c>
      <c r="B81" s="3">
        <v>283780</v>
      </c>
      <c r="C81" s="3">
        <v>3370186.5903492002</v>
      </c>
      <c r="D81" s="3">
        <v>657881.26930040005</v>
      </c>
      <c r="E81" s="3">
        <v>270.23995280000003</v>
      </c>
      <c r="F81" s="3">
        <f t="shared" si="0"/>
        <v>269.55195280000004</v>
      </c>
      <c r="G81" s="7">
        <v>92782.663</v>
      </c>
      <c r="H81" s="7">
        <v>-11.682254499999999</v>
      </c>
      <c r="I81" s="3">
        <v>3370177.0258809999</v>
      </c>
      <c r="J81" s="3">
        <v>657874.56139329995</v>
      </c>
      <c r="K81" s="3">
        <v>270.70946839999999</v>
      </c>
      <c r="L81" s="3">
        <v>271.45146840000001</v>
      </c>
      <c r="M81" s="3">
        <f t="shared" si="7"/>
        <v>0.46951559999996562</v>
      </c>
      <c r="N81" s="3">
        <f t="shared" si="8"/>
        <v>1.8995155999999724</v>
      </c>
      <c r="O81" s="3">
        <v>-9.6143172999999997</v>
      </c>
      <c r="P81" s="3">
        <v>267.67598279999999</v>
      </c>
      <c r="Q81" s="3">
        <v>6.6672241000000003</v>
      </c>
      <c r="R81" s="3">
        <v>269.14884929999999</v>
      </c>
      <c r="S81" s="3">
        <v>267.42539849999997</v>
      </c>
      <c r="T81" s="3">
        <f t="shared" si="10"/>
        <v>3.28406990000002</v>
      </c>
      <c r="U81" s="3">
        <f t="shared" si="3"/>
        <v>3.7754856000000245</v>
      </c>
      <c r="V81" s="3">
        <f t="shared" si="4"/>
        <v>2.3026191000000154</v>
      </c>
      <c r="W81" s="2">
        <f>VLOOKUP(B81,[1]CivilReport!$A$2:$E$342,5,FALSE)-H81</f>
        <v>2.5449999999871409E-4</v>
      </c>
    </row>
    <row r="82" spans="1:23" s="4" customFormat="1" ht="14.45" customHeight="1" x14ac:dyDescent="0.25">
      <c r="A82" s="2">
        <f t="shared" si="9"/>
        <v>92802.664000000004</v>
      </c>
      <c r="B82" s="3">
        <v>283800</v>
      </c>
      <c r="C82" s="3">
        <v>3370198.0741778999</v>
      </c>
      <c r="D82" s="3">
        <v>657864.89487890003</v>
      </c>
      <c r="E82" s="3">
        <v>270.21081220000002</v>
      </c>
      <c r="F82" s="3">
        <f t="shared" si="0"/>
        <v>269.52281220000003</v>
      </c>
      <c r="G82" s="7">
        <v>92802.664000000004</v>
      </c>
      <c r="H82" s="7">
        <v>-11.457958700000001</v>
      </c>
      <c r="I82" s="3">
        <v>3370188.6933056</v>
      </c>
      <c r="J82" s="3">
        <v>657858.3158171</v>
      </c>
      <c r="K82" s="3">
        <v>270.6590827</v>
      </c>
      <c r="L82" s="3">
        <v>271.40108270000002</v>
      </c>
      <c r="M82" s="3">
        <f t="shared" si="7"/>
        <v>0.44827049999997826</v>
      </c>
      <c r="N82" s="3">
        <f t="shared" si="8"/>
        <v>1.8782704999999851</v>
      </c>
      <c r="O82" s="3">
        <v>-9.8923074999999994</v>
      </c>
      <c r="P82" s="3">
        <v>267.48691500000001</v>
      </c>
      <c r="Q82" s="3">
        <v>6.1630975000000001</v>
      </c>
      <c r="R82" s="3">
        <v>269.35021330000001</v>
      </c>
      <c r="S82" s="3">
        <v>268.1827983</v>
      </c>
      <c r="T82" s="3">
        <f t="shared" si="10"/>
        <v>2.4762843999999973</v>
      </c>
      <c r="U82" s="3">
        <f t="shared" si="3"/>
        <v>3.9141677000000072</v>
      </c>
      <c r="V82" s="3">
        <f t="shared" si="4"/>
        <v>2.0508694000000105</v>
      </c>
      <c r="W82" s="2">
        <f>VLOOKUP(B82,[1]CivilReport!$A$2:$E$342,5,FALSE)-H82</f>
        <v>-4.1299999999466763E-5</v>
      </c>
    </row>
    <row r="83" spans="1:23" s="4" customFormat="1" ht="14.45" customHeight="1" x14ac:dyDescent="0.25">
      <c r="A83" s="2">
        <f t="shared" si="9"/>
        <v>92822.702000000005</v>
      </c>
      <c r="B83" s="3">
        <v>283820</v>
      </c>
      <c r="C83" s="3">
        <v>3370209.5696822</v>
      </c>
      <c r="D83" s="3">
        <v>657848.52867449995</v>
      </c>
      <c r="E83" s="3">
        <v>270.18217859999999</v>
      </c>
      <c r="F83" s="3">
        <f t="shared" si="0"/>
        <v>269.4941786</v>
      </c>
      <c r="G83" s="7">
        <v>92822.702000000005</v>
      </c>
      <c r="H83" s="7">
        <v>-11.287398100000001</v>
      </c>
      <c r="I83" s="3">
        <v>3370200.3498056</v>
      </c>
      <c r="J83" s="3">
        <v>657842.01720510004</v>
      </c>
      <c r="K83" s="3">
        <v>270.60860429999997</v>
      </c>
      <c r="L83" s="3">
        <v>271.35060429999999</v>
      </c>
      <c r="M83" s="3">
        <f t="shared" si="7"/>
        <v>0.42642569999998159</v>
      </c>
      <c r="N83" s="3">
        <f t="shared" si="8"/>
        <v>1.8564256999999884</v>
      </c>
      <c r="O83" s="3">
        <v>-8.8970081000000008</v>
      </c>
      <c r="P83" s="3">
        <v>267.93427509999998</v>
      </c>
      <c r="Q83" s="3">
        <v>5.7321299000000003</v>
      </c>
      <c r="R83" s="3">
        <v>269.51503120000001</v>
      </c>
      <c r="S83" s="3">
        <v>268.92758709999998</v>
      </c>
      <c r="T83" s="3">
        <f t="shared" si="10"/>
        <v>1.6810171999999852</v>
      </c>
      <c r="U83" s="3">
        <f t="shared" si="3"/>
        <v>3.4163292000000069</v>
      </c>
      <c r="V83" s="3">
        <f t="shared" si="4"/>
        <v>1.8355730999999764</v>
      </c>
      <c r="W83" s="2">
        <f>VLOOKUP(B83,[1]CivilReport!$A$2:$E$342,5,FALSE)-H83</f>
        <v>3.9809999999995682E-4</v>
      </c>
    </row>
    <row r="84" spans="1:23" s="4" customFormat="1" ht="14.45" customHeight="1" x14ac:dyDescent="0.25">
      <c r="A84" s="2">
        <f t="shared" si="9"/>
        <v>92842.702000000005</v>
      </c>
      <c r="B84" s="3">
        <v>283840</v>
      </c>
      <c r="C84" s="3">
        <v>3370221.1072733998</v>
      </c>
      <c r="D84" s="3">
        <v>657832.19209010003</v>
      </c>
      <c r="E84" s="3">
        <v>270.15537260000002</v>
      </c>
      <c r="F84" s="3">
        <f t="shared" si="0"/>
        <v>269.46737260000003</v>
      </c>
      <c r="G84" s="7">
        <v>92842.702000000005</v>
      </c>
      <c r="H84" s="7">
        <v>-11.208626799999999</v>
      </c>
      <c r="I84" s="3">
        <v>3370211.9517395999</v>
      </c>
      <c r="J84" s="3">
        <v>657825.72606240003</v>
      </c>
      <c r="K84" s="3">
        <v>270.55822119999999</v>
      </c>
      <c r="L84" s="3">
        <v>271.30022120000001</v>
      </c>
      <c r="M84" s="3">
        <f t="shared" si="7"/>
        <v>0.40284859999997025</v>
      </c>
      <c r="N84" s="3">
        <f t="shared" si="8"/>
        <v>1.8328485999999771</v>
      </c>
      <c r="O84" s="3">
        <v>-6.5967414</v>
      </c>
      <c r="P84" s="3">
        <v>269.03420510000001</v>
      </c>
      <c r="Q84" s="3">
        <v>5.8573062</v>
      </c>
      <c r="R84" s="3">
        <v>269.40187900000001</v>
      </c>
      <c r="S84" s="3">
        <v>269.25370609999999</v>
      </c>
      <c r="T84" s="3">
        <f t="shared" si="10"/>
        <v>1.3045151000000033</v>
      </c>
      <c r="U84" s="3">
        <f t="shared" si="3"/>
        <v>2.2660161000000016</v>
      </c>
      <c r="V84" s="3">
        <f t="shared" si="4"/>
        <v>1.8983422000000019</v>
      </c>
      <c r="W84" s="2">
        <f>VLOOKUP(B84,[1]CivilReport!$A$2:$E$342,5,FALSE)-H84</f>
        <v>6.2679999999915026E-4</v>
      </c>
    </row>
    <row r="85" spans="1:23" s="4" customFormat="1" ht="14.45" customHeight="1" x14ac:dyDescent="0.25">
      <c r="A85" s="2">
        <f t="shared" si="9"/>
        <v>92862.680999999997</v>
      </c>
      <c r="B85" s="3">
        <v>283860</v>
      </c>
      <c r="C85" s="3">
        <v>3370232.6442569001</v>
      </c>
      <c r="D85" s="3">
        <v>657815.85507739999</v>
      </c>
      <c r="E85" s="3">
        <v>270.12921669999997</v>
      </c>
      <c r="F85" s="3">
        <f t="shared" si="0"/>
        <v>269.44121669999998</v>
      </c>
      <c r="G85" s="7">
        <v>92862.680999999997</v>
      </c>
      <c r="H85" s="7">
        <v>-11.169152199999999</v>
      </c>
      <c r="I85" s="3">
        <v>3370223.5088179</v>
      </c>
      <c r="J85" s="3">
        <v>657809.42905879999</v>
      </c>
      <c r="K85" s="3">
        <v>270.50789140000001</v>
      </c>
      <c r="L85" s="3">
        <v>271.24989140000002</v>
      </c>
      <c r="M85" s="3">
        <f t="shared" si="7"/>
        <v>0.37867470000003323</v>
      </c>
      <c r="N85" s="3">
        <f t="shared" si="8"/>
        <v>1.80867470000004</v>
      </c>
      <c r="O85" s="3">
        <v>-6.4593274000000003</v>
      </c>
      <c r="P85" s="3">
        <v>269.05272109999999</v>
      </c>
      <c r="Q85" s="3">
        <v>5.9564724</v>
      </c>
      <c r="R85" s="3">
        <v>269.30182730000001</v>
      </c>
      <c r="S85" s="3">
        <v>269.17824339999999</v>
      </c>
      <c r="T85" s="3">
        <f t="shared" si="10"/>
        <v>1.3296480000000201</v>
      </c>
      <c r="U85" s="3">
        <f t="shared" si="3"/>
        <v>2.1971703000000389</v>
      </c>
      <c r="V85" s="3">
        <f t="shared" si="4"/>
        <v>1.9480641000000105</v>
      </c>
      <c r="W85" s="2">
        <f>VLOOKUP(B85,[1]CivilReport!$A$2:$E$342,5,FALSE)-H85</f>
        <v>1.5219999999871447E-4</v>
      </c>
    </row>
    <row r="86" spans="1:23" s="4" customFormat="1" ht="14.45" customHeight="1" x14ac:dyDescent="0.25">
      <c r="A86" s="2">
        <f t="shared" si="9"/>
        <v>92882.680999999997</v>
      </c>
      <c r="B86" s="3">
        <v>283880</v>
      </c>
      <c r="C86" s="3">
        <v>3370244.1509827999</v>
      </c>
      <c r="D86" s="3">
        <v>657799.49673829996</v>
      </c>
      <c r="E86" s="3">
        <v>270.13542080000002</v>
      </c>
      <c r="F86" s="3">
        <f t="shared" si="0"/>
        <v>269.44742080000003</v>
      </c>
      <c r="G86" s="7">
        <v>92882.680999999997</v>
      </c>
      <c r="H86" s="7">
        <v>-11.132569200000001</v>
      </c>
      <c r="I86" s="3">
        <v>3370235.0455240002</v>
      </c>
      <c r="J86" s="3">
        <v>657793.09168429999</v>
      </c>
      <c r="K86" s="3">
        <v>270.45750829999997</v>
      </c>
      <c r="L86" s="3">
        <v>271.19950829999999</v>
      </c>
      <c r="M86" s="3">
        <f t="shared" si="7"/>
        <v>0.32208749999995234</v>
      </c>
      <c r="N86" s="3">
        <f t="shared" si="8"/>
        <v>1.7520874999999592</v>
      </c>
      <c r="O86" s="3">
        <v>-5.9636477000000001</v>
      </c>
      <c r="P86" s="3">
        <v>269.24961910000002</v>
      </c>
      <c r="Q86" s="3">
        <v>5.8017303</v>
      </c>
      <c r="R86" s="3">
        <v>269.32937459999999</v>
      </c>
      <c r="S86" s="3">
        <v>269.30049659999997</v>
      </c>
      <c r="T86" s="3">
        <f t="shared" si="10"/>
        <v>1.1570116999999982</v>
      </c>
      <c r="U86" s="3">
        <f t="shared" si="3"/>
        <v>1.9498891999999728</v>
      </c>
      <c r="V86" s="3">
        <f t="shared" si="4"/>
        <v>1.8701336999999967</v>
      </c>
      <c r="W86" s="2">
        <f>VLOOKUP(B86,[1]CivilReport!$A$2:$E$342,5,FALSE)-H86</f>
        <v>5.6920000000104665E-4</v>
      </c>
    </row>
    <row r="87" spans="1:23" s="4" customFormat="1" ht="14.45" customHeight="1" x14ac:dyDescent="0.25">
      <c r="A87" s="2">
        <f t="shared" si="9"/>
        <v>92902.680999999997</v>
      </c>
      <c r="B87" s="3">
        <v>283900</v>
      </c>
      <c r="C87" s="3">
        <v>3370255.6577087999</v>
      </c>
      <c r="D87" s="3">
        <v>657783.13839920005</v>
      </c>
      <c r="E87" s="3">
        <v>270.14162479999999</v>
      </c>
      <c r="F87" s="3">
        <f t="shared" si="0"/>
        <v>269.4536248</v>
      </c>
      <c r="G87" s="7">
        <v>92902.680999999997</v>
      </c>
      <c r="H87" s="7">
        <v>-11.126932399999999</v>
      </c>
      <c r="I87" s="3">
        <v>3370246.5568021</v>
      </c>
      <c r="J87" s="3">
        <v>657776.73667110002</v>
      </c>
      <c r="K87" s="3">
        <v>270.40712579999996</v>
      </c>
      <c r="L87" s="3">
        <v>271.14912579999998</v>
      </c>
      <c r="M87" s="3">
        <f t="shared" si="7"/>
        <v>0.26550099999997201</v>
      </c>
      <c r="N87" s="3">
        <f t="shared" si="8"/>
        <v>1.6955009999999788</v>
      </c>
      <c r="O87" s="3">
        <v>-5.8759535999999999</v>
      </c>
      <c r="P87" s="3">
        <v>269.24248230000001</v>
      </c>
      <c r="Q87" s="3">
        <v>5.5781045999999996</v>
      </c>
      <c r="R87" s="3">
        <v>269.39140689999999</v>
      </c>
      <c r="S87" s="3">
        <v>269.28764890000002</v>
      </c>
      <c r="T87" s="3">
        <f t="shared" si="10"/>
        <v>1.1194768999999383</v>
      </c>
      <c r="U87" s="3">
        <f t="shared" si="3"/>
        <v>1.9066434999999728</v>
      </c>
      <c r="V87" s="3">
        <f t="shared" si="4"/>
        <v>1.7577188999999862</v>
      </c>
      <c r="W87" s="2">
        <f>VLOOKUP(B87,[1]CivilReport!$A$2:$E$342,5,FALSE)-H87</f>
        <v>-6.7600000001277749E-5</v>
      </c>
    </row>
    <row r="88" spans="1:23" s="4" customFormat="1" ht="14.45" customHeight="1" x14ac:dyDescent="0.25">
      <c r="A88" s="2">
        <f t="shared" si="9"/>
        <v>92922.683999999994</v>
      </c>
      <c r="B88" s="3">
        <v>283920</v>
      </c>
      <c r="C88" s="3">
        <v>3370267.1683240002</v>
      </c>
      <c r="D88" s="3">
        <v>657766.78279680002</v>
      </c>
      <c r="E88" s="3">
        <v>270.11707419999999</v>
      </c>
      <c r="F88" s="3">
        <f t="shared" si="0"/>
        <v>269.4290742</v>
      </c>
      <c r="G88" s="7">
        <v>92922.683999999994</v>
      </c>
      <c r="H88" s="7">
        <v>-11.1307759</v>
      </c>
      <c r="I88" s="3">
        <v>3370258.0662305001</v>
      </c>
      <c r="J88" s="3">
        <v>657760.37607640005</v>
      </c>
      <c r="K88" s="3">
        <v>270.35673449999996</v>
      </c>
      <c r="L88" s="3">
        <v>271.09873449999998</v>
      </c>
      <c r="M88" s="3">
        <f t="shared" si="7"/>
        <v>0.23966029999996863</v>
      </c>
      <c r="N88" s="3">
        <f t="shared" si="8"/>
        <v>1.6696602999999755</v>
      </c>
      <c r="O88" s="3">
        <v>-5.7195602000000001</v>
      </c>
      <c r="P88" s="3">
        <v>269.27028769999998</v>
      </c>
      <c r="Q88" s="3">
        <v>5.3863557000000002</v>
      </c>
      <c r="R88" s="3">
        <v>269.43689000000001</v>
      </c>
      <c r="S88" s="3">
        <v>269.36764649999998</v>
      </c>
      <c r="T88" s="3">
        <f t="shared" si="10"/>
        <v>0.98908799999998109</v>
      </c>
      <c r="U88" s="3">
        <f t="shared" si="3"/>
        <v>1.8284467999999947</v>
      </c>
      <c r="V88" s="3">
        <f t="shared" si="4"/>
        <v>1.6618444999999724</v>
      </c>
      <c r="W88" s="2">
        <f>VLOOKUP(B88,[1]CivilReport!$A$2:$E$342,5,FALSE)-H88</f>
        <v>-2.2410000000050445E-4</v>
      </c>
    </row>
    <row r="89" spans="1:23" s="4" customFormat="1" ht="14.45" customHeight="1" x14ac:dyDescent="0.25">
      <c r="A89" s="2">
        <f t="shared" si="9"/>
        <v>92942.683999999994</v>
      </c>
      <c r="B89" s="3">
        <v>283940</v>
      </c>
      <c r="C89" s="3">
        <v>3370278.6800468001</v>
      </c>
      <c r="D89" s="3">
        <v>657750.42797369999</v>
      </c>
      <c r="E89" s="3">
        <v>270.0837654</v>
      </c>
      <c r="F89" s="3">
        <f t="shared" si="0"/>
        <v>269.39576540000002</v>
      </c>
      <c r="G89" s="7">
        <v>92942.683999999994</v>
      </c>
      <c r="H89" s="7">
        <v>-11.1359733</v>
      </c>
      <c r="I89" s="3">
        <v>3370269.5737032001</v>
      </c>
      <c r="J89" s="3">
        <v>657744.01826180005</v>
      </c>
      <c r="K89" s="3">
        <v>270.30635169999999</v>
      </c>
      <c r="L89" s="3">
        <v>271.04835170000001</v>
      </c>
      <c r="M89" s="3">
        <f t="shared" si="7"/>
        <v>0.22258629999998902</v>
      </c>
      <c r="N89" s="3">
        <f t="shared" si="8"/>
        <v>1.6525862999999958</v>
      </c>
      <c r="O89" s="3">
        <v>-5.9136942000000001</v>
      </c>
      <c r="P89" s="3">
        <v>269.12283789999998</v>
      </c>
      <c r="Q89" s="3">
        <v>5.3435858999999999</v>
      </c>
      <c r="R89" s="3">
        <v>269.40789210000003</v>
      </c>
      <c r="S89" s="3">
        <v>269.25339869999999</v>
      </c>
      <c r="T89" s="3">
        <f t="shared" si="10"/>
        <v>1.0529530000000022</v>
      </c>
      <c r="U89" s="3">
        <f t="shared" si="3"/>
        <v>1.9255138000000329</v>
      </c>
      <c r="V89" s="3">
        <f t="shared" si="4"/>
        <v>1.6404595999999856</v>
      </c>
      <c r="W89" s="2">
        <f>VLOOKUP(B89,[1]CivilReport!$A$2:$E$342,5,FALSE)-H89</f>
        <v>-2.6699999999379997E-5</v>
      </c>
    </row>
    <row r="90" spans="1:23" s="4" customFormat="1" ht="14.45" customHeight="1" x14ac:dyDescent="0.25">
      <c r="A90" s="2">
        <f t="shared" si="9"/>
        <v>92962.672000000006</v>
      </c>
      <c r="B90" s="3">
        <v>283960</v>
      </c>
      <c r="C90" s="3">
        <v>3370290.1882512998</v>
      </c>
      <c r="D90" s="3">
        <v>657734.07067699998</v>
      </c>
      <c r="E90" s="3">
        <v>270.06323309999999</v>
      </c>
      <c r="F90" s="3">
        <f t="shared" si="0"/>
        <v>269.3752331</v>
      </c>
      <c r="G90" s="7">
        <v>92962.672000000006</v>
      </c>
      <c r="H90" s="7">
        <v>-11.136873400000001</v>
      </c>
      <c r="I90" s="3">
        <v>3370281.0741601</v>
      </c>
      <c r="J90" s="3">
        <v>657727.67041989998</v>
      </c>
      <c r="K90" s="3">
        <v>270.2559996</v>
      </c>
      <c r="L90" s="3">
        <v>270.99799960000001</v>
      </c>
      <c r="M90" s="3">
        <f t="shared" si="7"/>
        <v>0.19276650000000473</v>
      </c>
      <c r="N90" s="3">
        <f t="shared" si="8"/>
        <v>1.6227665000000115</v>
      </c>
      <c r="O90" s="3">
        <v>-6.1523979999999998</v>
      </c>
      <c r="P90" s="3">
        <v>268.95313399999998</v>
      </c>
      <c r="Q90" s="3">
        <v>5.0887856999999999</v>
      </c>
      <c r="R90" s="3">
        <v>269.48494010000002</v>
      </c>
      <c r="S90" s="3">
        <v>269.26056240000003</v>
      </c>
      <c r="T90" s="3">
        <f t="shared" si="10"/>
        <v>0.99543719999996938</v>
      </c>
      <c r="U90" s="3">
        <f t="shared" si="3"/>
        <v>2.0448656000000369</v>
      </c>
      <c r="V90" s="3">
        <f t="shared" si="4"/>
        <v>1.5130594999999971</v>
      </c>
      <c r="W90" s="2">
        <f>VLOOKUP(B90,[1]CivilReport!$A$2:$E$342,5,FALSE)-H90</f>
        <v>-1.2659999999975469E-4</v>
      </c>
    </row>
    <row r="91" spans="1:23" s="4" customFormat="1" ht="14.45" customHeight="1" x14ac:dyDescent="0.25">
      <c r="A91" s="2">
        <f t="shared" si="9"/>
        <v>92982.672000000006</v>
      </c>
      <c r="B91" s="3">
        <v>283980</v>
      </c>
      <c r="C91" s="3">
        <v>3370301.6820645998</v>
      </c>
      <c r="D91" s="3">
        <v>657717.7032626</v>
      </c>
      <c r="E91" s="3">
        <v>270.09496230000002</v>
      </c>
      <c r="F91" s="3">
        <f t="shared" si="0"/>
        <v>269.40696230000003</v>
      </c>
      <c r="G91" s="7">
        <v>92982.672000000006</v>
      </c>
      <c r="H91" s="7">
        <v>-11.120177999999999</v>
      </c>
      <c r="I91" s="3">
        <v>3370292.5816364</v>
      </c>
      <c r="J91" s="3">
        <v>657711.31260009995</v>
      </c>
      <c r="K91" s="3">
        <v>270.2056169</v>
      </c>
      <c r="L91" s="3">
        <v>270.94761690000001</v>
      </c>
      <c r="M91" s="3">
        <f t="shared" si="7"/>
        <v>0.11065459999997529</v>
      </c>
      <c r="N91" s="3">
        <f t="shared" si="8"/>
        <v>1.5406545999999821</v>
      </c>
      <c r="O91" s="3">
        <v>-5.8995901000000002</v>
      </c>
      <c r="P91" s="3">
        <v>269.02915510000003</v>
      </c>
      <c r="Q91" s="3">
        <v>5.4238600000000003</v>
      </c>
      <c r="R91" s="3">
        <v>269.26702019999999</v>
      </c>
      <c r="S91" s="3">
        <v>269.20436849999999</v>
      </c>
      <c r="T91" s="3">
        <f t="shared" si="10"/>
        <v>1.0012484000000086</v>
      </c>
      <c r="U91" s="3">
        <f t="shared" si="3"/>
        <v>1.9184617999999887</v>
      </c>
      <c r="V91" s="3">
        <f t="shared" si="4"/>
        <v>1.6805967000000237</v>
      </c>
      <c r="W91" s="2">
        <f>VLOOKUP(B91,[1]CivilReport!$A$2:$E$342,5,FALSE)-H91</f>
        <v>1.7800000000001148E-4</v>
      </c>
    </row>
    <row r="92" spans="1:23" s="4" customFormat="1" ht="14.45" customHeight="1" x14ac:dyDescent="0.25">
      <c r="A92" s="2">
        <f t="shared" si="9"/>
        <v>93002.673999999999</v>
      </c>
      <c r="B92" s="3">
        <v>284000</v>
      </c>
      <c r="C92" s="3">
        <v>3370313.1758778002</v>
      </c>
      <c r="D92" s="3">
        <v>657701.33584810002</v>
      </c>
      <c r="E92" s="3">
        <v>270.12669149999999</v>
      </c>
      <c r="F92" s="3">
        <f t="shared" si="0"/>
        <v>269.4386915</v>
      </c>
      <c r="G92" s="7">
        <v>93002.673999999999</v>
      </c>
      <c r="H92" s="7">
        <v>-11.1034826</v>
      </c>
      <c r="I92" s="3">
        <v>3370304.0891128001</v>
      </c>
      <c r="J92" s="3">
        <v>657694.95478030003</v>
      </c>
      <c r="K92" s="3">
        <v>270.15523409999997</v>
      </c>
      <c r="L92" s="3">
        <v>270.89723409999999</v>
      </c>
      <c r="M92" s="3">
        <f t="shared" si="7"/>
        <v>2.8542599999980212E-2</v>
      </c>
      <c r="N92" s="3">
        <f t="shared" si="8"/>
        <v>1.458542599999987</v>
      </c>
      <c r="O92" s="3">
        <v>-5.0866021000000003</v>
      </c>
      <c r="P92" s="3">
        <v>269.38526639999998</v>
      </c>
      <c r="Q92" s="3">
        <v>5.0442283999999997</v>
      </c>
      <c r="R92" s="3">
        <v>269.40645319999999</v>
      </c>
      <c r="S92" s="3">
        <v>269.3674393</v>
      </c>
      <c r="T92" s="3">
        <f t="shared" si="10"/>
        <v>0.78779479999997193</v>
      </c>
      <c r="U92" s="3">
        <f t="shared" si="3"/>
        <v>1.5119677000000138</v>
      </c>
      <c r="V92" s="3">
        <f t="shared" si="4"/>
        <v>1.4907809000000043</v>
      </c>
      <c r="W92" s="2">
        <f>VLOOKUP(B92,[1]CivilReport!$A$2:$E$342,5,FALSE)-H92</f>
        <v>-1.5174000000008903E-3</v>
      </c>
    </row>
    <row r="93" spans="1:23" s="4" customFormat="1" ht="14.45" customHeight="1" x14ac:dyDescent="0.25">
      <c r="A93" s="2">
        <f t="shared" si="9"/>
        <v>93022.706999999995</v>
      </c>
      <c r="B93" s="3">
        <v>284020</v>
      </c>
      <c r="C93" s="3">
        <v>3370324.7187763001</v>
      </c>
      <c r="D93" s="3">
        <v>657685.00301810005</v>
      </c>
      <c r="E93" s="3">
        <v>270.17790409999998</v>
      </c>
      <c r="F93" s="3">
        <f t="shared" si="0"/>
        <v>269.48990409999999</v>
      </c>
      <c r="G93" s="7">
        <v>93022.706999999995</v>
      </c>
      <c r="H93" s="7">
        <v>-11.1468582</v>
      </c>
      <c r="I93" s="3">
        <v>3370315.6166460002</v>
      </c>
      <c r="J93" s="3">
        <v>657678.56844960002</v>
      </c>
      <c r="K93" s="3">
        <v>270.10476349999999</v>
      </c>
      <c r="L93" s="3">
        <v>270.84676350000001</v>
      </c>
      <c r="M93" s="3">
        <f t="shared" si="7"/>
        <v>-7.3140599999987899E-2</v>
      </c>
      <c r="N93" s="3">
        <f t="shared" si="8"/>
        <v>1.3568594000000189</v>
      </c>
      <c r="O93" s="3">
        <v>-4.7751380000000001</v>
      </c>
      <c r="P93" s="3">
        <v>269.4905278</v>
      </c>
      <c r="Q93" s="3">
        <v>4.1683965000000001</v>
      </c>
      <c r="R93" s="3">
        <v>269.79389859999998</v>
      </c>
      <c r="S93" s="3">
        <v>269.86507990000001</v>
      </c>
      <c r="T93" s="3">
        <f t="shared" si="10"/>
        <v>0.23968359999997801</v>
      </c>
      <c r="U93" s="3">
        <f t="shared" si="3"/>
        <v>1.3562357000000134</v>
      </c>
      <c r="V93" s="3">
        <f t="shared" si="4"/>
        <v>1.0528649000000314</v>
      </c>
      <c r="W93" s="2">
        <f>VLOOKUP(B93,[1]CivilReport!$A$2:$E$342,5,FALSE)-H93</f>
        <v>8.5819999999969809E-4</v>
      </c>
    </row>
    <row r="94" spans="1:23" s="4" customFormat="1" ht="14.45" customHeight="1" x14ac:dyDescent="0.25">
      <c r="A94" s="2">
        <f t="shared" si="9"/>
        <v>93042.671000000002</v>
      </c>
      <c r="B94" s="3">
        <v>284040</v>
      </c>
      <c r="C94" s="3">
        <v>3370336.2162826001</v>
      </c>
      <c r="D94" s="3">
        <v>657668.63820869999</v>
      </c>
      <c r="E94" s="3">
        <v>270.13479799999999</v>
      </c>
      <c r="F94" s="3">
        <f t="shared" si="0"/>
        <v>269.446798</v>
      </c>
      <c r="G94" s="7">
        <v>93042.671000000002</v>
      </c>
      <c r="H94" s="7">
        <v>-11.1346574</v>
      </c>
      <c r="I94" s="3">
        <v>3370327.1034626998</v>
      </c>
      <c r="J94" s="3">
        <v>657662.23999739997</v>
      </c>
      <c r="K94" s="3">
        <v>270.0544711</v>
      </c>
      <c r="L94" s="3">
        <v>270.79647110000002</v>
      </c>
      <c r="M94" s="3">
        <f t="shared" si="7"/>
        <v>-8.0326899999988655E-2</v>
      </c>
      <c r="N94" s="3">
        <f t="shared" si="8"/>
        <v>1.3496731000000182</v>
      </c>
      <c r="O94" s="3">
        <v>-8.9081215999999994</v>
      </c>
      <c r="P94" s="3">
        <v>267.37374369999998</v>
      </c>
      <c r="Q94" s="3">
        <v>6.0423876999999999</v>
      </c>
      <c r="R94" s="3">
        <v>268.8066106</v>
      </c>
      <c r="S94" s="3">
        <v>267.8270923</v>
      </c>
      <c r="T94" s="3">
        <f t="shared" si="10"/>
        <v>2.2273787999999968</v>
      </c>
      <c r="U94" s="3">
        <f t="shared" si="3"/>
        <v>3.4227274000000421</v>
      </c>
      <c r="V94" s="3">
        <f t="shared" si="4"/>
        <v>1.9898605000000202</v>
      </c>
      <c r="W94" s="2">
        <f>VLOOKUP(B94,[1]CivilReport!$A$2:$E$342,5,FALSE)-H94</f>
        <v>-3.4259999999974866E-4</v>
      </c>
    </row>
    <row r="95" spans="1:23" s="4" customFormat="1" ht="14.45" customHeight="1" x14ac:dyDescent="0.25">
      <c r="A95" s="2">
        <f t="shared" si="9"/>
        <v>93062.671000000002</v>
      </c>
      <c r="B95" s="3">
        <v>284060</v>
      </c>
      <c r="C95" s="3">
        <v>3370347.7087086001</v>
      </c>
      <c r="D95" s="3">
        <v>657652.26982010005</v>
      </c>
      <c r="E95" s="3">
        <v>270.08152689999997</v>
      </c>
      <c r="F95" s="3">
        <f t="shared" si="0"/>
        <v>269.39352689999998</v>
      </c>
      <c r="G95" s="7">
        <v>93062.671000000002</v>
      </c>
      <c r="H95" s="7">
        <v>-11.1162668</v>
      </c>
      <c r="I95" s="3">
        <v>3370338.6109397998</v>
      </c>
      <c r="J95" s="3">
        <v>657645.88217640005</v>
      </c>
      <c r="K95" s="3">
        <v>270.00408829999998</v>
      </c>
      <c r="L95" s="3">
        <v>270.7460883</v>
      </c>
      <c r="M95" s="3">
        <f t="shared" si="7"/>
        <v>-7.7438599999993585E-2</v>
      </c>
      <c r="N95" s="3">
        <f t="shared" si="8"/>
        <v>1.3525614000000132</v>
      </c>
      <c r="O95" s="3">
        <v>-8.3399646999999995</v>
      </c>
      <c r="P95" s="3">
        <v>267.60743930000001</v>
      </c>
      <c r="Q95" s="3">
        <v>5.4624917999999996</v>
      </c>
      <c r="R95" s="3">
        <v>269.04617580000001</v>
      </c>
      <c r="S95" s="3">
        <v>267.8252334</v>
      </c>
      <c r="T95" s="3">
        <f t="shared" si="10"/>
        <v>2.1788548999999762</v>
      </c>
      <c r="U95" s="3">
        <f t="shared" si="3"/>
        <v>3.1386489999999867</v>
      </c>
      <c r="V95" s="3">
        <f t="shared" si="4"/>
        <v>1.6999124999999822</v>
      </c>
      <c r="W95" s="2">
        <f>VLOOKUP(B95,[1]CivilReport!$A$2:$E$342,5,FALSE)-H95</f>
        <v>2.6680000000034454E-4</v>
      </c>
    </row>
    <row r="96" spans="1:23" s="4" customFormat="1" ht="14.45" customHeight="1" x14ac:dyDescent="0.25">
      <c r="A96" s="2">
        <f t="shared" si="9"/>
        <v>93082.683999999994</v>
      </c>
      <c r="B96" s="3">
        <v>284080</v>
      </c>
      <c r="C96" s="3">
        <v>3370359.2117198999</v>
      </c>
      <c r="D96" s="3">
        <v>657635.90887269995</v>
      </c>
      <c r="E96" s="3">
        <v>270.04111330000001</v>
      </c>
      <c r="F96" s="3">
        <f t="shared" si="0"/>
        <v>269.35311330000002</v>
      </c>
      <c r="G96" s="7">
        <v>93082.683999999994</v>
      </c>
      <c r="H96" s="7">
        <v>-11.110811</v>
      </c>
      <c r="I96" s="3">
        <v>3370350.1258200002</v>
      </c>
      <c r="J96" s="3">
        <v>657629.51383199997</v>
      </c>
      <c r="K96" s="3">
        <v>269.9536731</v>
      </c>
      <c r="L96" s="3">
        <v>270.69567310000002</v>
      </c>
      <c r="M96" s="3">
        <f t="shared" si="7"/>
        <v>-8.7440200000003188E-2</v>
      </c>
      <c r="N96" s="3">
        <f t="shared" si="8"/>
        <v>1.3425598000000036</v>
      </c>
      <c r="O96" s="3">
        <v>-8.2927225999999994</v>
      </c>
      <c r="P96" s="3">
        <v>267.58064519999999</v>
      </c>
      <c r="Q96" s="3">
        <v>5.4364058999999996</v>
      </c>
      <c r="R96" s="3">
        <v>269.0088035</v>
      </c>
      <c r="S96" s="3">
        <v>267.85381699999999</v>
      </c>
      <c r="T96" s="3">
        <f t="shared" si="10"/>
        <v>2.0998561000000109</v>
      </c>
      <c r="U96" s="3">
        <f t="shared" si="3"/>
        <v>3.1150279000000296</v>
      </c>
      <c r="V96" s="3">
        <f t="shared" si="4"/>
        <v>1.6868696000000227</v>
      </c>
      <c r="W96" s="2">
        <f>VLOOKUP(B96,[1]CivilReport!$A$2:$E$342,5,FALSE)-H96</f>
        <v>-1.8900000000066086E-4</v>
      </c>
    </row>
    <row r="97" spans="1:23" s="4" customFormat="1" ht="14.45" customHeight="1" x14ac:dyDescent="0.25">
      <c r="A97" s="2">
        <f t="shared" si="9"/>
        <v>93102.683999999994</v>
      </c>
      <c r="B97" s="3">
        <v>284100</v>
      </c>
      <c r="C97" s="3">
        <v>3370370.7231040001</v>
      </c>
      <c r="D97" s="3">
        <v>657619.55381119996</v>
      </c>
      <c r="E97" s="3">
        <v>270.0108697</v>
      </c>
      <c r="F97" s="3">
        <f t="shared" si="0"/>
        <v>269.32286970000001</v>
      </c>
      <c r="G97" s="7">
        <v>93102.683999999994</v>
      </c>
      <c r="H97" s="7">
        <v>-11.1155943</v>
      </c>
      <c r="I97" s="3">
        <v>3370361.6332926</v>
      </c>
      <c r="J97" s="3">
        <v>657613.15601749998</v>
      </c>
      <c r="K97" s="3">
        <v>269.9032904</v>
      </c>
      <c r="L97" s="3">
        <v>270.64529040000002</v>
      </c>
      <c r="M97" s="3">
        <f t="shared" si="7"/>
        <v>-0.1075792999999976</v>
      </c>
      <c r="N97" s="3">
        <f t="shared" si="8"/>
        <v>1.3224207000000092</v>
      </c>
      <c r="O97" s="3">
        <v>-8.6329691999999998</v>
      </c>
      <c r="P97" s="3">
        <v>267.36013910000003</v>
      </c>
      <c r="Q97" s="3">
        <v>5.4007072000000003</v>
      </c>
      <c r="R97" s="3">
        <v>268.97627010000002</v>
      </c>
      <c r="S97" s="3">
        <v>267.83525589999999</v>
      </c>
      <c r="T97" s="3">
        <f t="shared" si="10"/>
        <v>2.0680345000000102</v>
      </c>
      <c r="U97" s="3">
        <f t="shared" si="3"/>
        <v>3.2851512999999954</v>
      </c>
      <c r="V97" s="3">
        <f t="shared" si="4"/>
        <v>1.6690202999999997</v>
      </c>
      <c r="W97" s="2">
        <f>VLOOKUP(B97,[1]CivilReport!$A$2:$E$342,5,FALSE)-H97</f>
        <v>-4.0569999999995332E-4</v>
      </c>
    </row>
    <row r="98" spans="1:23" s="4" customFormat="1" ht="14.45" customHeight="1" x14ac:dyDescent="0.25">
      <c r="A98" s="2">
        <f t="shared" si="9"/>
        <v>93122.687999999995</v>
      </c>
      <c r="B98" s="3">
        <v>284120</v>
      </c>
      <c r="C98" s="3">
        <v>3370382.2367305998</v>
      </c>
      <c r="D98" s="3">
        <v>657603.20032880001</v>
      </c>
      <c r="E98" s="3">
        <v>269.97939930000001</v>
      </c>
      <c r="F98" s="3">
        <f t="shared" si="0"/>
        <v>269.29139930000002</v>
      </c>
      <c r="G98" s="7">
        <v>93122.687999999995</v>
      </c>
      <c r="H98" s="7">
        <v>-11.1231221</v>
      </c>
      <c r="I98" s="3">
        <v>3370373.1433235002</v>
      </c>
      <c r="J98" s="3">
        <v>657596.7945663</v>
      </c>
      <c r="K98" s="3">
        <v>269.85289639999996</v>
      </c>
      <c r="L98" s="3">
        <v>270.59489639999998</v>
      </c>
      <c r="M98" s="3">
        <f t="shared" si="7"/>
        <v>-0.12650290000004816</v>
      </c>
      <c r="N98" s="3">
        <f t="shared" si="8"/>
        <v>1.3034970999999587</v>
      </c>
      <c r="O98" s="3">
        <v>-8.6774146999999999</v>
      </c>
      <c r="P98" s="3">
        <v>267.2875224</v>
      </c>
      <c r="Q98" s="3">
        <v>5.2928680000000004</v>
      </c>
      <c r="R98" s="3">
        <v>268.97979570000001</v>
      </c>
      <c r="S98" s="3">
        <v>267.85904909999999</v>
      </c>
      <c r="T98" s="3">
        <f t="shared" si="10"/>
        <v>1.9938472999999703</v>
      </c>
      <c r="U98" s="3">
        <f t="shared" si="3"/>
        <v>3.3073739999999816</v>
      </c>
      <c r="V98" s="3">
        <f t="shared" si="4"/>
        <v>1.6151006999999709</v>
      </c>
      <c r="W98" s="2">
        <f>VLOOKUP(B98,[1]CivilReport!$A$2:$E$342,5,FALSE)-H98</f>
        <v>1.2210000000045795E-4</v>
      </c>
    </row>
    <row r="99" spans="1:23" s="4" customFormat="1" ht="14.45" customHeight="1" x14ac:dyDescent="0.25">
      <c r="A99" s="2">
        <f t="shared" si="9"/>
        <v>93142.687999999995</v>
      </c>
      <c r="B99" s="3">
        <v>284140</v>
      </c>
      <c r="C99" s="3">
        <v>3370393.7546525002</v>
      </c>
      <c r="D99" s="3">
        <v>657586.84987080004</v>
      </c>
      <c r="E99" s="3">
        <v>269.94557889999999</v>
      </c>
      <c r="F99" s="3">
        <f t="shared" si="0"/>
        <v>269.2575789</v>
      </c>
      <c r="G99" s="7">
        <v>93142.687999999995</v>
      </c>
      <c r="H99" s="7">
        <v>-11.135901199999999</v>
      </c>
      <c r="I99" s="3">
        <v>3370384.6507982002</v>
      </c>
      <c r="J99" s="3">
        <v>657580.43674879998</v>
      </c>
      <c r="K99" s="3">
        <v>269.8025136</v>
      </c>
      <c r="L99" s="3">
        <v>270.54451360000002</v>
      </c>
      <c r="M99" s="3">
        <f t="shared" si="7"/>
        <v>-0.14306529999998929</v>
      </c>
      <c r="N99" s="3">
        <f t="shared" si="8"/>
        <v>1.2869347000000175</v>
      </c>
      <c r="O99" s="3">
        <v>-8.6740502999999993</v>
      </c>
      <c r="P99" s="3">
        <v>267.23882179999998</v>
      </c>
      <c r="Q99" s="3">
        <v>4.9926070999999999</v>
      </c>
      <c r="R99" s="3">
        <v>269.07954339999998</v>
      </c>
      <c r="S99" s="3">
        <v>267.9539704</v>
      </c>
      <c r="T99" s="3">
        <f t="shared" si="10"/>
        <v>1.8485431999999946</v>
      </c>
      <c r="U99" s="3">
        <f t="shared" si="3"/>
        <v>3.3056918000000337</v>
      </c>
      <c r="V99" s="3">
        <f t="shared" si="4"/>
        <v>1.4649702000000389</v>
      </c>
      <c r="W99" s="2">
        <f>VLOOKUP(B99,[1]CivilReport!$A$2:$E$342,5,FALSE)-H99</f>
        <v>-9.879999999995448E-5</v>
      </c>
    </row>
    <row r="100" spans="1:23" s="4" customFormat="1" ht="14.45" customHeight="1" x14ac:dyDescent="0.25">
      <c r="A100" s="2">
        <f t="shared" si="9"/>
        <v>93162.683999999994</v>
      </c>
      <c r="B100" s="3">
        <v>284160</v>
      </c>
      <c r="C100" s="3">
        <v>3370405.2721255999</v>
      </c>
      <c r="D100" s="3">
        <v>657570.49909689999</v>
      </c>
      <c r="E100" s="3">
        <v>269.9123591</v>
      </c>
      <c r="F100" s="3">
        <f t="shared" si="0"/>
        <v>269.22435910000002</v>
      </c>
      <c r="G100" s="7">
        <v>93162.683999999994</v>
      </c>
      <c r="H100" s="7">
        <v>-11.148129600000001</v>
      </c>
      <c r="I100" s="3">
        <v>3370396.1556174001</v>
      </c>
      <c r="J100" s="3">
        <v>657564.08270609996</v>
      </c>
      <c r="K100" s="3">
        <v>269.75214249999999</v>
      </c>
      <c r="L100" s="3">
        <v>270.49414250000001</v>
      </c>
      <c r="M100" s="3">
        <f t="shared" si="7"/>
        <v>-0.16021660000001248</v>
      </c>
      <c r="N100" s="3">
        <f t="shared" si="8"/>
        <v>1.2697833999999943</v>
      </c>
      <c r="O100" s="3">
        <v>-7.8807115000000003</v>
      </c>
      <c r="P100" s="3">
        <v>267.58512009999998</v>
      </c>
      <c r="Q100" s="3">
        <v>4.7135452000000004</v>
      </c>
      <c r="R100" s="3">
        <v>269.16870319999998</v>
      </c>
      <c r="S100" s="3">
        <v>268.09354960000002</v>
      </c>
      <c r="T100" s="3">
        <f t="shared" si="10"/>
        <v>1.6585928999999737</v>
      </c>
      <c r="U100" s="3">
        <f t="shared" si="3"/>
        <v>2.9090224000000262</v>
      </c>
      <c r="V100" s="3">
        <f t="shared" si="4"/>
        <v>1.3254393000000277</v>
      </c>
      <c r="W100" s="2">
        <f>VLOOKUP(B100,[1]CivilReport!$A$2:$E$342,5,FALSE)-H100</f>
        <v>1.296000000010622E-4</v>
      </c>
    </row>
    <row r="101" spans="1:23" s="4" customFormat="1" ht="14.45" customHeight="1" x14ac:dyDescent="0.25">
      <c r="A101" s="2">
        <f t="shared" si="9"/>
        <v>93182.683999999994</v>
      </c>
      <c r="B101" s="3">
        <v>284180</v>
      </c>
      <c r="C101" s="3">
        <v>3370416.7832777998</v>
      </c>
      <c r="D101" s="3">
        <v>657554.14387220005</v>
      </c>
      <c r="E101" s="3">
        <v>269.88760000000002</v>
      </c>
      <c r="F101" s="3">
        <f t="shared" si="0"/>
        <v>269.19960000000003</v>
      </c>
      <c r="G101" s="7">
        <v>93182.683999999994</v>
      </c>
      <c r="H101" s="7">
        <v>-11.1526291</v>
      </c>
      <c r="I101" s="3">
        <v>3370407.6630898998</v>
      </c>
      <c r="J101" s="3">
        <v>657547.72489159997</v>
      </c>
      <c r="K101" s="3">
        <v>269.70177619999998</v>
      </c>
      <c r="L101" s="3">
        <v>270.4437762</v>
      </c>
      <c r="M101" s="3">
        <f t="shared" si="7"/>
        <v>-0.18582380000003695</v>
      </c>
      <c r="N101" s="3">
        <f t="shared" si="8"/>
        <v>1.2441761999999699</v>
      </c>
      <c r="O101" s="3">
        <v>-6.2523039000000002</v>
      </c>
      <c r="P101" s="3">
        <v>268.34959409999999</v>
      </c>
      <c r="Q101" s="3">
        <v>4.5936425999999999</v>
      </c>
      <c r="R101" s="3">
        <v>269.1789248</v>
      </c>
      <c r="S101" s="3">
        <v>268.37694809999999</v>
      </c>
      <c r="T101" s="3">
        <f t="shared" si="10"/>
        <v>1.3248280999999906</v>
      </c>
      <c r="U101" s="3">
        <f t="shared" si="3"/>
        <v>2.0941821000000118</v>
      </c>
      <c r="V101" s="3">
        <f t="shared" si="4"/>
        <v>1.2648513999999977</v>
      </c>
      <c r="W101" s="2">
        <f>VLOOKUP(B101,[1]CivilReport!$A$2:$E$342,5,FALSE)-H101</f>
        <v>-3.7090000000006285E-4</v>
      </c>
    </row>
    <row r="102" spans="1:23" s="4" customFormat="1" ht="14.45" customHeight="1" x14ac:dyDescent="0.25">
      <c r="A102" s="2">
        <f t="shared" si="9"/>
        <v>93202.695000000007</v>
      </c>
      <c r="B102" s="3">
        <v>284200</v>
      </c>
      <c r="C102" s="3">
        <v>3370428.2971748002</v>
      </c>
      <c r="D102" s="3">
        <v>657537.79058140004</v>
      </c>
      <c r="E102" s="3">
        <v>269.86041870000003</v>
      </c>
      <c r="F102" s="3">
        <f t="shared" si="0"/>
        <v>269.17241870000004</v>
      </c>
      <c r="G102" s="7">
        <v>93202.695000000007</v>
      </c>
      <c r="H102" s="7">
        <v>-11.1604946</v>
      </c>
      <c r="I102" s="3">
        <v>3370419.1769797001</v>
      </c>
      <c r="J102" s="3">
        <v>657531.35795510001</v>
      </c>
      <c r="K102" s="3">
        <v>269.68558459999997</v>
      </c>
      <c r="L102" s="3">
        <v>270.42758459999999</v>
      </c>
      <c r="M102" s="3">
        <f t="shared" si="7"/>
        <v>-0.17483410000005506</v>
      </c>
      <c r="N102" s="3">
        <f t="shared" si="8"/>
        <v>1.2551658999999518</v>
      </c>
      <c r="O102" s="3">
        <v>-5.6960569000000003</v>
      </c>
      <c r="P102" s="3">
        <v>268.61088949999998</v>
      </c>
      <c r="Q102" s="3">
        <v>4.5769107</v>
      </c>
      <c r="R102" s="3">
        <v>269.17046260000001</v>
      </c>
      <c r="S102" s="3">
        <v>268.68644189999998</v>
      </c>
      <c r="T102" s="3">
        <f t="shared" si="10"/>
        <v>0.99914269999999306</v>
      </c>
      <c r="U102" s="3">
        <f t="shared" si="3"/>
        <v>1.816695100000004</v>
      </c>
      <c r="V102" s="3">
        <f t="shared" si="4"/>
        <v>1.2571219999999812</v>
      </c>
      <c r="W102" s="2">
        <f>VLOOKUP(B102,[1]CivilReport!$A$2:$E$342,5,FALSE)-H102</f>
        <v>4.9459999999967863E-4</v>
      </c>
    </row>
    <row r="103" spans="1:23" s="4" customFormat="1" ht="14.45" customHeight="1" x14ac:dyDescent="0.25">
      <c r="A103" s="2">
        <f t="shared" si="9"/>
        <v>93222.695000000007</v>
      </c>
      <c r="B103" s="3">
        <v>284220</v>
      </c>
      <c r="C103" s="3">
        <v>3370439.824668</v>
      </c>
      <c r="D103" s="3">
        <v>657521.44687009999</v>
      </c>
      <c r="E103" s="3">
        <v>269.82123960000001</v>
      </c>
      <c r="F103" s="3">
        <f t="shared" si="0"/>
        <v>269.13323960000002</v>
      </c>
      <c r="G103" s="7">
        <v>93222.695000000007</v>
      </c>
      <c r="H103" s="7">
        <v>-11.184983900000001</v>
      </c>
      <c r="I103" s="3">
        <v>3370430.6844605999</v>
      </c>
      <c r="J103" s="3">
        <v>657515.00012880005</v>
      </c>
      <c r="K103" s="3">
        <v>269.70065969999996</v>
      </c>
      <c r="L103" s="3">
        <v>270.44265969999998</v>
      </c>
      <c r="M103" s="3">
        <f t="shared" si="7"/>
        <v>-0.12057990000005248</v>
      </c>
      <c r="N103" s="3">
        <f t="shared" si="8"/>
        <v>1.3094200999999543</v>
      </c>
      <c r="O103" s="3">
        <v>-5.9278029999999999</v>
      </c>
      <c r="P103" s="3">
        <v>268.51009160000001</v>
      </c>
      <c r="Q103" s="3">
        <v>4.5965176999999997</v>
      </c>
      <c r="R103" s="3">
        <v>269.17573420000002</v>
      </c>
      <c r="S103" s="3">
        <v>268.67844409999998</v>
      </c>
      <c r="T103" s="3">
        <f t="shared" si="10"/>
        <v>1.0222155999999814</v>
      </c>
      <c r="U103" s="3">
        <f t="shared" si="3"/>
        <v>1.932568099999969</v>
      </c>
      <c r="V103" s="3">
        <f t="shared" si="4"/>
        <v>1.2669254999999566</v>
      </c>
      <c r="W103" s="2">
        <f>VLOOKUP(B103,[1]CivilReport!$A$2:$E$342,5,FALSE)-H103</f>
        <v>-1.6099999999852344E-5</v>
      </c>
    </row>
    <row r="104" spans="1:23" s="4" customFormat="1" ht="14.45" customHeight="1" x14ac:dyDescent="0.25">
      <c r="A104" s="2">
        <f t="shared" si="9"/>
        <v>93242.679000000004</v>
      </c>
      <c r="B104" s="3">
        <v>284240</v>
      </c>
      <c r="C104" s="3">
        <v>3370451.3444135999</v>
      </c>
      <c r="D104" s="3">
        <v>657505.09770249994</v>
      </c>
      <c r="E104" s="3">
        <v>269.78382210000001</v>
      </c>
      <c r="F104" s="3">
        <f t="shared" si="0"/>
        <v>269.09582210000002</v>
      </c>
      <c r="G104" s="7">
        <v>93242.679000000004</v>
      </c>
      <c r="H104" s="7">
        <v>-11.199989</v>
      </c>
      <c r="I104" s="3">
        <v>3370442.1826927001</v>
      </c>
      <c r="J104" s="3">
        <v>657498.65544949996</v>
      </c>
      <c r="K104" s="3">
        <v>269.71572279999998</v>
      </c>
      <c r="L104" s="3">
        <v>270.4577228</v>
      </c>
      <c r="M104" s="3">
        <f t="shared" si="7"/>
        <v>-6.8099300000028506E-2</v>
      </c>
      <c r="N104" s="3">
        <f t="shared" si="8"/>
        <v>1.3619006999999783</v>
      </c>
      <c r="O104" s="3">
        <v>-6.3951792000000003</v>
      </c>
      <c r="P104" s="3">
        <v>268.29146650000001</v>
      </c>
      <c r="Q104" s="3">
        <v>4.6473323999999998</v>
      </c>
      <c r="R104" s="3">
        <v>269.16538989999998</v>
      </c>
      <c r="S104" s="3">
        <v>268.04031049999998</v>
      </c>
      <c r="T104" s="3">
        <f t="shared" si="10"/>
        <v>1.675412300000005</v>
      </c>
      <c r="U104" s="3">
        <f t="shared" si="3"/>
        <v>2.1662562999999864</v>
      </c>
      <c r="V104" s="3">
        <f t="shared" si="4"/>
        <v>1.2923329000000194</v>
      </c>
      <c r="W104" s="2">
        <f>VLOOKUP(B104,[1]CivilReport!$A$2:$E$342,5,FALSE)-H104</f>
        <v>-1.0999999998873022E-5</v>
      </c>
    </row>
    <row r="105" spans="1:23" s="4" customFormat="1" ht="14.45" customHeight="1" x14ac:dyDescent="0.25">
      <c r="A105" s="2">
        <f t="shared" si="9"/>
        <v>93262.679000000004</v>
      </c>
      <c r="B105" s="3">
        <v>284260</v>
      </c>
      <c r="C105" s="3">
        <v>3370462.8484481</v>
      </c>
      <c r="D105" s="3">
        <v>657488.73747060006</v>
      </c>
      <c r="E105" s="3">
        <v>269.74997669999999</v>
      </c>
      <c r="F105" s="3">
        <f t="shared" si="0"/>
        <v>269.0619767</v>
      </c>
      <c r="G105" s="7">
        <v>93262.679000000004</v>
      </c>
      <c r="H105" s="7">
        <v>-11.195786099999999</v>
      </c>
      <c r="I105" s="3">
        <v>3370453.6901652999</v>
      </c>
      <c r="J105" s="3">
        <v>657482.29763509997</v>
      </c>
      <c r="K105" s="3">
        <v>269.73079789999997</v>
      </c>
      <c r="L105" s="3">
        <v>270.47279789999999</v>
      </c>
      <c r="M105" s="3">
        <f t="shared" si="7"/>
        <v>-1.9178800000020146E-2</v>
      </c>
      <c r="N105" s="3">
        <f t="shared" si="8"/>
        <v>1.4108211999999867</v>
      </c>
      <c r="O105" s="3">
        <v>-6.6880844000000002</v>
      </c>
      <c r="P105" s="3">
        <v>268.16008900000003</v>
      </c>
      <c r="Q105" s="3">
        <v>4.6493107</v>
      </c>
      <c r="R105" s="3">
        <v>269.1794759</v>
      </c>
      <c r="S105" s="3">
        <v>268.27351069999997</v>
      </c>
      <c r="T105" s="3">
        <f t="shared" si="10"/>
        <v>1.4572871999999961</v>
      </c>
      <c r="U105" s="3">
        <f t="shared" si="3"/>
        <v>2.3127088999999614</v>
      </c>
      <c r="V105" s="3">
        <f t="shared" si="4"/>
        <v>1.2933219999999892</v>
      </c>
      <c r="W105" s="2">
        <f>VLOOKUP(B105,[1]CivilReport!$A$2:$E$342,5,FALSE)-H105</f>
        <v>-2.1390000000032217E-4</v>
      </c>
    </row>
    <row r="106" spans="1:23" s="4" customFormat="1" ht="14.45" customHeight="1" x14ac:dyDescent="0.25">
      <c r="A106" s="2">
        <f t="shared" si="9"/>
        <v>93282.688999999998</v>
      </c>
      <c r="B106" s="3">
        <v>284280</v>
      </c>
      <c r="C106" s="3">
        <v>3370474.3584383</v>
      </c>
      <c r="D106" s="3">
        <v>657472.38143039995</v>
      </c>
      <c r="E106" s="3">
        <v>269.71298510000003</v>
      </c>
      <c r="F106" s="3">
        <f t="shared" si="0"/>
        <v>269.02498510000004</v>
      </c>
      <c r="G106" s="7">
        <v>93282.688999999998</v>
      </c>
      <c r="H106" s="7">
        <v>-11.1988685</v>
      </c>
      <c r="I106" s="3">
        <v>3370465.2033764999</v>
      </c>
      <c r="J106" s="3">
        <v>657465.93166310003</v>
      </c>
      <c r="K106" s="3">
        <v>269.7458805</v>
      </c>
      <c r="L106" s="3">
        <v>270.48788050000002</v>
      </c>
      <c r="M106" s="3">
        <f t="shared" si="7"/>
        <v>3.2895399999972597E-2</v>
      </c>
      <c r="N106" s="3">
        <f t="shared" si="8"/>
        <v>1.4628953999999794</v>
      </c>
      <c r="O106" s="3">
        <v>-7.4375396</v>
      </c>
      <c r="P106" s="3">
        <v>267.80044409999999</v>
      </c>
      <c r="Q106" s="3">
        <v>4.7271486999999999</v>
      </c>
      <c r="R106" s="3">
        <v>269.15563950000001</v>
      </c>
      <c r="S106" s="3">
        <v>268.026611</v>
      </c>
      <c r="T106" s="3">
        <f t="shared" si="10"/>
        <v>1.7192694999999958</v>
      </c>
      <c r="U106" s="3">
        <f t="shared" si="3"/>
        <v>2.6874364000000242</v>
      </c>
      <c r="V106" s="3">
        <f t="shared" si="4"/>
        <v>1.3322410000000104</v>
      </c>
      <c r="W106" s="2">
        <f>VLOOKUP(B106,[1]CivilReport!$A$2:$E$342,5,FALSE)-H106</f>
        <v>-1.3150000000017315E-4</v>
      </c>
    </row>
    <row r="107" spans="1:23" s="4" customFormat="1" ht="14.45" customHeight="1" x14ac:dyDescent="0.25">
      <c r="A107" s="2">
        <f t="shared" si="9"/>
        <v>93302.688999999998</v>
      </c>
      <c r="B107" s="3">
        <v>284300</v>
      </c>
      <c r="C107" s="3">
        <v>3370485.8770436002</v>
      </c>
      <c r="D107" s="3">
        <v>657456.03145390004</v>
      </c>
      <c r="E107" s="3">
        <v>269.67144239999999</v>
      </c>
      <c r="F107" s="3">
        <f t="shared" si="0"/>
        <v>268.9834424</v>
      </c>
      <c r="G107" s="7">
        <v>93302.688999999998</v>
      </c>
      <c r="H107" s="7">
        <v>-11.212483600000001</v>
      </c>
      <c r="I107" s="3">
        <v>3370476.7108514002</v>
      </c>
      <c r="J107" s="3">
        <v>657449.57384530001</v>
      </c>
      <c r="K107" s="3">
        <v>269.76095569999995</v>
      </c>
      <c r="L107" s="3">
        <v>270.50295569999997</v>
      </c>
      <c r="M107" s="3">
        <f t="shared" si="7"/>
        <v>8.9513299999964602E-2</v>
      </c>
      <c r="N107" s="3">
        <f t="shared" si="8"/>
        <v>1.5195132999999714</v>
      </c>
      <c r="O107" s="3">
        <v>-7.8707729000000004</v>
      </c>
      <c r="P107" s="3">
        <v>267.59890259999997</v>
      </c>
      <c r="Q107" s="3">
        <v>4.8987426999999997</v>
      </c>
      <c r="R107" s="3">
        <v>269.08491770000001</v>
      </c>
      <c r="S107" s="3">
        <v>267.9710111</v>
      </c>
      <c r="T107" s="3">
        <f t="shared" si="10"/>
        <v>1.7899445999999557</v>
      </c>
      <c r="U107" s="3">
        <f t="shared" si="3"/>
        <v>2.9040530999999987</v>
      </c>
      <c r="V107" s="3">
        <f t="shared" si="4"/>
        <v>1.4180379999999673</v>
      </c>
      <c r="W107" s="2">
        <f>VLOOKUP(B107,[1]CivilReport!$A$2:$E$342,5,FALSE)-H107</f>
        <v>4.8360000000080561E-4</v>
      </c>
    </row>
    <row r="108" spans="1:23" s="4" customFormat="1" ht="14.45" customHeight="1" x14ac:dyDescent="0.25">
      <c r="A108" s="2">
        <f t="shared" si="9"/>
        <v>93322.68</v>
      </c>
      <c r="B108" s="3">
        <v>284320</v>
      </c>
      <c r="C108" s="3">
        <v>3370497.3897772999</v>
      </c>
      <c r="D108" s="3">
        <v>657439.67734439997</v>
      </c>
      <c r="E108" s="3">
        <v>269.6366519</v>
      </c>
      <c r="F108" s="3">
        <f t="shared" si="0"/>
        <v>268.94865190000002</v>
      </c>
      <c r="G108" s="7">
        <v>93322.68</v>
      </c>
      <c r="H108" s="7">
        <v>-11.218915900000001</v>
      </c>
      <c r="I108" s="3">
        <v>3370488.2130057001</v>
      </c>
      <c r="J108" s="3">
        <v>657433.22359069996</v>
      </c>
      <c r="K108" s="3">
        <v>269.77602379999996</v>
      </c>
      <c r="L108" s="3">
        <v>270.51802379999998</v>
      </c>
      <c r="M108" s="3">
        <f t="shared" si="7"/>
        <v>0.1393718999999578</v>
      </c>
      <c r="N108" s="3">
        <f t="shared" si="8"/>
        <v>1.5693718999999646</v>
      </c>
      <c r="O108" s="3">
        <v>-7.3933720999999997</v>
      </c>
      <c r="P108" s="3">
        <v>267.85267110000001</v>
      </c>
      <c r="Q108" s="3">
        <v>5.0653534999999996</v>
      </c>
      <c r="R108" s="3">
        <v>269.01668039999998</v>
      </c>
      <c r="S108" s="3">
        <v>267.91830110000001</v>
      </c>
      <c r="T108" s="3">
        <f t="shared" si="10"/>
        <v>1.8577226999999539</v>
      </c>
      <c r="U108" s="3">
        <f t="shared" si="3"/>
        <v>2.6653526999999713</v>
      </c>
      <c r="V108" s="3">
        <f t="shared" si="4"/>
        <v>1.5013433999999961</v>
      </c>
      <c r="W108" s="2">
        <f>VLOOKUP(B108,[1]CivilReport!$A$2:$E$342,5,FALSE)-H108</f>
        <v>-8.4099999998699104E-5</v>
      </c>
    </row>
    <row r="109" spans="1:23" s="4" customFormat="1" ht="14.45" customHeight="1" x14ac:dyDescent="0.25">
      <c r="A109" s="2">
        <f t="shared" si="9"/>
        <v>93342.68</v>
      </c>
      <c r="B109" s="3">
        <v>284340</v>
      </c>
      <c r="C109" s="3">
        <v>3370508.8949063001</v>
      </c>
      <c r="D109" s="3">
        <v>657423.3178821</v>
      </c>
      <c r="E109" s="3">
        <v>269.61060659999998</v>
      </c>
      <c r="F109" s="3">
        <f t="shared" si="0"/>
        <v>268.92260659999999</v>
      </c>
      <c r="G109" s="7">
        <v>93342.68</v>
      </c>
      <c r="H109" s="7">
        <v>-11.216051</v>
      </c>
      <c r="I109" s="3">
        <v>3370499.7204780998</v>
      </c>
      <c r="J109" s="3">
        <v>657416.86577649997</v>
      </c>
      <c r="K109" s="3">
        <v>269.79109899999997</v>
      </c>
      <c r="L109" s="3">
        <v>270.53309899999999</v>
      </c>
      <c r="M109" s="3">
        <f t="shared" si="7"/>
        <v>0.18049239999999145</v>
      </c>
      <c r="N109" s="3">
        <f t="shared" si="8"/>
        <v>1.6104923999999983</v>
      </c>
      <c r="O109" s="3">
        <v>-7.2715557999999998</v>
      </c>
      <c r="P109" s="3">
        <v>267.92865440000003</v>
      </c>
      <c r="Q109" s="3">
        <v>5.0954268000000003</v>
      </c>
      <c r="R109" s="3">
        <v>269.0167189</v>
      </c>
      <c r="S109" s="3">
        <v>268.0364558</v>
      </c>
      <c r="T109" s="3">
        <f t="shared" si="10"/>
        <v>1.7546431999999754</v>
      </c>
      <c r="U109" s="3">
        <f t="shared" si="3"/>
        <v>2.6044445999999652</v>
      </c>
      <c r="V109" s="3">
        <f t="shared" si="4"/>
        <v>1.5163800999999921</v>
      </c>
      <c r="W109" s="2">
        <f>VLOOKUP(B109,[1]CivilReport!$A$2:$E$342,5,FALSE)-H109</f>
        <v>5.1000000000911427E-5</v>
      </c>
    </row>
    <row r="110" spans="1:23" s="4" customFormat="1" ht="14.45" customHeight="1" x14ac:dyDescent="0.25">
      <c r="A110" s="2">
        <f t="shared" si="9"/>
        <v>93362.695999999996</v>
      </c>
      <c r="B110" s="3">
        <v>284360</v>
      </c>
      <c r="C110" s="3">
        <v>3370520.4096408999</v>
      </c>
      <c r="D110" s="3">
        <v>657406.96518569998</v>
      </c>
      <c r="E110" s="3">
        <v>269.61152570000002</v>
      </c>
      <c r="F110" s="3">
        <f t="shared" si="0"/>
        <v>268.92352570000003</v>
      </c>
      <c r="G110" s="7">
        <v>93362.695999999996</v>
      </c>
      <c r="H110" s="7">
        <v>-11.224945099999999</v>
      </c>
      <c r="I110" s="3">
        <v>3370511.2374121998</v>
      </c>
      <c r="J110" s="3">
        <v>657400.49451250001</v>
      </c>
      <c r="K110" s="3">
        <v>269.80618649999997</v>
      </c>
      <c r="L110" s="3">
        <v>270.54818649999999</v>
      </c>
      <c r="M110" s="3">
        <f t="shared" si="7"/>
        <v>0.19466079999995145</v>
      </c>
      <c r="N110" s="3">
        <f t="shared" si="8"/>
        <v>1.6246607999999583</v>
      </c>
      <c r="O110" s="3">
        <v>-8.6521723999999995</v>
      </c>
      <c r="P110" s="3">
        <v>267.25343359999999</v>
      </c>
      <c r="Q110" s="3">
        <v>5.1524023999999997</v>
      </c>
      <c r="R110" s="3">
        <v>269.0033186</v>
      </c>
      <c r="S110" s="3">
        <v>268.46175169999998</v>
      </c>
      <c r="T110" s="3">
        <f t="shared" si="10"/>
        <v>1.3444347999999877</v>
      </c>
      <c r="U110" s="3">
        <f t="shared" si="3"/>
        <v>3.2947528999999918</v>
      </c>
      <c r="V110" s="3">
        <f t="shared" si="4"/>
        <v>1.5448678999999856</v>
      </c>
      <c r="W110" s="2">
        <f>VLOOKUP(B110,[1]CivilReport!$A$2:$E$342,5,FALSE)-H110</f>
        <v>-5.490000000030193E-5</v>
      </c>
    </row>
    <row r="111" spans="1:23" s="4" customFormat="1" ht="14.45" customHeight="1" x14ac:dyDescent="0.25">
      <c r="A111" s="2">
        <f t="shared" si="9"/>
        <v>93382.695999999996</v>
      </c>
      <c r="B111" s="3">
        <v>284380</v>
      </c>
      <c r="C111" s="3">
        <v>3370531.9387365002</v>
      </c>
      <c r="D111" s="3">
        <v>657390.62260470004</v>
      </c>
      <c r="E111" s="3">
        <v>269.65275819999999</v>
      </c>
      <c r="F111" s="3">
        <f t="shared" si="0"/>
        <v>268.96475820000001</v>
      </c>
      <c r="G111" s="7">
        <v>93382.695999999996</v>
      </c>
      <c r="H111" s="7">
        <v>-11.2513953</v>
      </c>
      <c r="I111" s="3">
        <v>3370522.7448944999</v>
      </c>
      <c r="J111" s="3">
        <v>657384.13668410003</v>
      </c>
      <c r="K111" s="3">
        <v>269.82126159999996</v>
      </c>
      <c r="L111" s="3">
        <v>270.56326159999998</v>
      </c>
      <c r="M111" s="3">
        <f t="shared" si="7"/>
        <v>0.16850339999996322</v>
      </c>
      <c r="N111" s="3">
        <f t="shared" si="8"/>
        <v>1.59850339999997</v>
      </c>
      <c r="O111" s="3">
        <v>-7.9912447000000002</v>
      </c>
      <c r="P111" s="3">
        <v>267.59897260000002</v>
      </c>
      <c r="Q111" s="3">
        <v>5.2977780000000001</v>
      </c>
      <c r="R111" s="3">
        <v>268.94570599999997</v>
      </c>
      <c r="S111" s="3">
        <v>268.61377160000001</v>
      </c>
      <c r="T111" s="3">
        <f t="shared" si="10"/>
        <v>1.2074899999999502</v>
      </c>
      <c r="U111" s="3">
        <f t="shared" si="3"/>
        <v>2.9642889999999511</v>
      </c>
      <c r="V111" s="3">
        <f t="shared" si="4"/>
        <v>1.6175556000000029</v>
      </c>
      <c r="W111" s="2">
        <f>VLOOKUP(B111,[1]CivilReport!$A$2:$E$342,5,FALSE)-H111</f>
        <v>3.9530000000098653E-4</v>
      </c>
    </row>
    <row r="112" spans="1:23" s="4" customFormat="1" ht="14.45" customHeight="1" x14ac:dyDescent="0.25">
      <c r="A112" s="2">
        <f t="shared" si="9"/>
        <v>93402.673999999999</v>
      </c>
      <c r="B112" s="3">
        <v>284400</v>
      </c>
      <c r="C112" s="3">
        <v>3370543.4477483998</v>
      </c>
      <c r="D112" s="3">
        <v>657374.2658846</v>
      </c>
      <c r="E112" s="3">
        <v>269.6652694</v>
      </c>
      <c r="F112" s="3">
        <f t="shared" si="0"/>
        <v>268.97726940000001</v>
      </c>
      <c r="G112" s="7">
        <v>93402.673999999999</v>
      </c>
      <c r="H112" s="7">
        <v>-11.253276400000001</v>
      </c>
      <c r="I112" s="3">
        <v>3370534.2397535001</v>
      </c>
      <c r="J112" s="3">
        <v>657367.79679980001</v>
      </c>
      <c r="K112" s="3">
        <v>269.83632019999999</v>
      </c>
      <c r="L112" s="3">
        <v>270.57832020000001</v>
      </c>
      <c r="M112" s="3">
        <f t="shared" si="7"/>
        <v>0.17105079999998907</v>
      </c>
      <c r="N112" s="3">
        <f t="shared" si="8"/>
        <v>1.6010507999999959</v>
      </c>
      <c r="O112" s="3">
        <v>-6.596298</v>
      </c>
      <c r="P112" s="3">
        <v>268.31150459999998</v>
      </c>
      <c r="Q112" s="3">
        <v>5.2755858</v>
      </c>
      <c r="R112" s="3">
        <v>268.97186069999998</v>
      </c>
      <c r="S112" s="3">
        <v>268.17327870000003</v>
      </c>
      <c r="T112" s="3">
        <f t="shared" si="10"/>
        <v>1.663041499999963</v>
      </c>
      <c r="U112" s="3">
        <f t="shared" si="3"/>
        <v>2.2668156000000295</v>
      </c>
      <c r="V112" s="3">
        <f t="shared" si="4"/>
        <v>1.6064595000000281</v>
      </c>
      <c r="W112" s="2">
        <f>VLOOKUP(B112,[1]CivilReport!$A$2:$E$342,5,FALSE)-H112</f>
        <v>2.7640000000062059E-4</v>
      </c>
    </row>
    <row r="113" spans="1:23" s="4" customFormat="1" ht="14.45" customHeight="1" x14ac:dyDescent="0.25">
      <c r="A113" s="2">
        <f t="shared" si="9"/>
        <v>93422.673999999999</v>
      </c>
      <c r="B113" s="3">
        <v>284420</v>
      </c>
      <c r="C113" s="3">
        <v>3370554.9449951998</v>
      </c>
      <c r="D113" s="3">
        <v>657357.90088189999</v>
      </c>
      <c r="E113" s="3">
        <v>269.66095560000002</v>
      </c>
      <c r="F113" s="3">
        <f t="shared" si="0"/>
        <v>268.97295560000003</v>
      </c>
      <c r="G113" s="7">
        <v>93422.673999999999</v>
      </c>
      <c r="H113" s="7">
        <v>-11.2407769</v>
      </c>
      <c r="I113" s="3">
        <v>3370545.7472279998</v>
      </c>
      <c r="J113" s="3">
        <v>657351.4389825</v>
      </c>
      <c r="K113" s="3">
        <v>269.8513954</v>
      </c>
      <c r="L113" s="3">
        <v>270.59339540000002</v>
      </c>
      <c r="M113" s="3">
        <f t="shared" si="7"/>
        <v>0.19043979999997873</v>
      </c>
      <c r="N113" s="3">
        <f t="shared" si="8"/>
        <v>1.6204397999999856</v>
      </c>
      <c r="O113" s="3">
        <v>-5.7063186000000004</v>
      </c>
      <c r="P113" s="3">
        <v>268.79778900000002</v>
      </c>
      <c r="Q113" s="3">
        <v>5.0666745999999998</v>
      </c>
      <c r="R113" s="3">
        <v>269.09139140000002</v>
      </c>
      <c r="S113" s="3">
        <v>269.10794379999999</v>
      </c>
      <c r="T113" s="3">
        <f t="shared" si="10"/>
        <v>0.74345160000001442</v>
      </c>
      <c r="U113" s="3">
        <f t="shared" si="3"/>
        <v>1.7956063999999969</v>
      </c>
      <c r="V113" s="3">
        <f t="shared" si="4"/>
        <v>1.5020039999999995</v>
      </c>
      <c r="W113" s="2">
        <f>VLOOKUP(B113,[1]CivilReport!$A$2:$E$342,5,FALSE)-H113</f>
        <v>-2.2309999999947649E-4</v>
      </c>
    </row>
    <row r="114" spans="1:23" s="4" customFormat="1" ht="14.45" customHeight="1" x14ac:dyDescent="0.25">
      <c r="A114" s="2">
        <f t="shared" si="9"/>
        <v>93442.673999999999</v>
      </c>
      <c r="B114" s="3">
        <v>284440</v>
      </c>
      <c r="C114" s="3">
        <v>3370566.4422420999</v>
      </c>
      <c r="D114" s="3">
        <v>657341.53587909997</v>
      </c>
      <c r="E114" s="3">
        <v>269.65664170000002</v>
      </c>
      <c r="F114" s="3">
        <f t="shared" si="0"/>
        <v>268.96864170000003</v>
      </c>
      <c r="G114" s="7">
        <v>93442.673999999999</v>
      </c>
      <c r="H114" s="7">
        <v>-11.2282774</v>
      </c>
      <c r="I114" s="3">
        <v>3370557.2547025001</v>
      </c>
      <c r="J114" s="3">
        <v>657335.08116529998</v>
      </c>
      <c r="K114" s="3">
        <v>269.86647049999999</v>
      </c>
      <c r="L114" s="3">
        <v>270.60847050000001</v>
      </c>
      <c r="M114" s="3">
        <f t="shared" si="7"/>
        <v>0.2098287999999684</v>
      </c>
      <c r="N114" s="3">
        <f t="shared" si="8"/>
        <v>1.6398287999999752</v>
      </c>
      <c r="O114" s="3">
        <v>-3.9597021999999997</v>
      </c>
      <c r="P114" s="3">
        <v>269.829881</v>
      </c>
      <c r="Q114" s="3">
        <v>4.8968289</v>
      </c>
      <c r="R114" s="3">
        <v>269.19138939999999</v>
      </c>
      <c r="S114" s="3">
        <v>270.28708619999998</v>
      </c>
      <c r="T114" s="3">
        <f t="shared" si="10"/>
        <v>-0.42061569999998483</v>
      </c>
      <c r="U114" s="3">
        <f t="shared" si="3"/>
        <v>0.77858950000000959</v>
      </c>
      <c r="V114" s="3">
        <f t="shared" si="4"/>
        <v>1.4170811000000185</v>
      </c>
      <c r="W114" s="2">
        <f>VLOOKUP(B114,[1]CivilReport!$A$2:$E$342,5,FALSE)-H114</f>
        <v>2.7739999999987219E-4</v>
      </c>
    </row>
    <row r="115" spans="1:23" s="4" customFormat="1" ht="14.45" customHeight="1" x14ac:dyDescent="0.25">
      <c r="A115" s="2">
        <f t="shared" si="9"/>
        <v>93462.68</v>
      </c>
      <c r="B115" s="3">
        <v>284460</v>
      </c>
      <c r="C115" s="3">
        <v>3370577.9460840002</v>
      </c>
      <c r="D115" s="3">
        <v>657325.17551199999</v>
      </c>
      <c r="E115" s="3">
        <v>269.61934330000003</v>
      </c>
      <c r="F115" s="3">
        <f t="shared" si="0"/>
        <v>268.93134330000004</v>
      </c>
      <c r="G115" s="7">
        <v>93462.68</v>
      </c>
      <c r="H115" s="7">
        <v>-11.2238372</v>
      </c>
      <c r="I115" s="3">
        <v>3370568.7652234999</v>
      </c>
      <c r="J115" s="3">
        <v>657318.71901740006</v>
      </c>
      <c r="K115" s="3">
        <v>269.88154959999997</v>
      </c>
      <c r="L115" s="3">
        <v>270.62354959999999</v>
      </c>
      <c r="M115" s="3">
        <f t="shared" si="7"/>
        <v>0.26220629999994571</v>
      </c>
      <c r="N115" s="3">
        <f t="shared" si="8"/>
        <v>1.6922062999999525</v>
      </c>
      <c r="O115" s="3">
        <v>-4.6070402999999995</v>
      </c>
      <c r="P115" s="3">
        <v>269.3513628</v>
      </c>
      <c r="Q115" s="3">
        <v>4.3449783999999996</v>
      </c>
      <c r="R115" s="3">
        <v>269.48239380000001</v>
      </c>
      <c r="S115" s="3">
        <v>270.04120769999997</v>
      </c>
      <c r="T115" s="3">
        <f t="shared" si="10"/>
        <v>-0.15965810000000147</v>
      </c>
      <c r="U115" s="3">
        <f t="shared" si="3"/>
        <v>1.2721867999999859</v>
      </c>
      <c r="V115" s="3">
        <f t="shared" si="4"/>
        <v>1.1411557999999786</v>
      </c>
      <c r="W115" s="2">
        <f>VLOOKUP(B115,[1]CivilReport!$A$2:$E$342,5,FALSE)-H115</f>
        <v>-1.6280000000001849E-4</v>
      </c>
    </row>
    <row r="116" spans="1:23" s="4" customFormat="1" ht="14.45" customHeight="1" x14ac:dyDescent="0.25">
      <c r="A116" s="2">
        <f t="shared" si="9"/>
        <v>93482.68</v>
      </c>
      <c r="B116" s="3">
        <v>284480</v>
      </c>
      <c r="C116" s="3">
        <v>3370589.4510523002</v>
      </c>
      <c r="D116" s="3">
        <v>657308.81593679998</v>
      </c>
      <c r="E116" s="3">
        <v>269.57641100000001</v>
      </c>
      <c r="F116" s="3">
        <f t="shared" si="0"/>
        <v>268.88841100000002</v>
      </c>
      <c r="G116" s="7">
        <v>93482.68</v>
      </c>
      <c r="H116" s="7">
        <v>-11.2207759</v>
      </c>
      <c r="I116" s="3">
        <v>3370580.2726958999</v>
      </c>
      <c r="J116" s="3">
        <v>657302.36120319995</v>
      </c>
      <c r="K116" s="3">
        <v>269.89662479999998</v>
      </c>
      <c r="L116" s="3">
        <v>270.6386248</v>
      </c>
      <c r="M116" s="3">
        <f t="shared" si="7"/>
        <v>0.32021379999997635</v>
      </c>
      <c r="N116" s="3">
        <f t="shared" si="8"/>
        <v>1.7502137999999832</v>
      </c>
      <c r="O116" s="3">
        <v>-6.2564042999999998</v>
      </c>
      <c r="P116" s="3">
        <v>268.5417559</v>
      </c>
      <c r="Q116" s="3">
        <v>5.1185492000000004</v>
      </c>
      <c r="R116" s="3">
        <v>269.11068349999999</v>
      </c>
      <c r="S116" s="3">
        <v>269.36193150000003</v>
      </c>
      <c r="T116" s="3">
        <f t="shared" si="10"/>
        <v>0.53469329999995807</v>
      </c>
      <c r="U116" s="3">
        <f t="shared" si="3"/>
        <v>2.096868900000004</v>
      </c>
      <c r="V116" s="3">
        <f t="shared" si="4"/>
        <v>1.5279413000000091</v>
      </c>
      <c r="W116" s="2">
        <f>VLOOKUP(B116,[1]CivilReport!$A$2:$E$342,5,FALSE)-H116</f>
        <v>-2.2410000000050445E-4</v>
      </c>
    </row>
    <row r="117" spans="1:23" s="4" customFormat="1" ht="14.45" customHeight="1" x14ac:dyDescent="0.25">
      <c r="A117" s="2">
        <f t="shared" si="9"/>
        <v>93502.676000000007</v>
      </c>
      <c r="B117" s="3">
        <v>284500</v>
      </c>
      <c r="C117" s="3">
        <v>3370600.9528852999</v>
      </c>
      <c r="D117" s="3">
        <v>657292.45415719994</v>
      </c>
      <c r="E117" s="3">
        <v>269.53993930000001</v>
      </c>
      <c r="F117" s="3">
        <f t="shared" si="0"/>
        <v>268.85193930000003</v>
      </c>
      <c r="G117" s="7">
        <v>93502.676000000007</v>
      </c>
      <c r="H117" s="7">
        <v>-11.213882999999999</v>
      </c>
      <c r="I117" s="3">
        <v>3370591.7782391999</v>
      </c>
      <c r="J117" s="3">
        <v>657286.0061311</v>
      </c>
      <c r="K117" s="3">
        <v>269.91169739999998</v>
      </c>
      <c r="L117" s="3">
        <v>270.6536974</v>
      </c>
      <c r="M117" s="3">
        <f t="shared" si="7"/>
        <v>0.37175809999996545</v>
      </c>
      <c r="N117" s="3">
        <f t="shared" si="8"/>
        <v>1.8017580999999723</v>
      </c>
      <c r="O117" s="3">
        <v>-7.0397243999999999</v>
      </c>
      <c r="P117" s="3">
        <v>268.16516849999999</v>
      </c>
      <c r="Q117" s="3">
        <v>5.5169239000000001</v>
      </c>
      <c r="R117" s="3">
        <v>268.92656879999998</v>
      </c>
      <c r="S117" s="3">
        <v>268.69321389999999</v>
      </c>
      <c r="T117" s="3">
        <f t="shared" si="10"/>
        <v>1.2184834999999907</v>
      </c>
      <c r="U117" s="3">
        <f t="shared" si="3"/>
        <v>2.4885289000000057</v>
      </c>
      <c r="V117" s="3">
        <f t="shared" si="4"/>
        <v>1.7271286000000146</v>
      </c>
      <c r="W117" s="2">
        <f>VLOOKUP(B117,[1]CivilReport!$A$2:$E$342,5,FALSE)-H117</f>
        <v>-1.1700000000125499E-4</v>
      </c>
    </row>
    <row r="118" spans="1:23" s="4" customFormat="1" ht="14.45" customHeight="1" x14ac:dyDescent="0.25">
      <c r="A118" s="2">
        <f t="shared" si="9"/>
        <v>93522.675000000003</v>
      </c>
      <c r="B118" s="3">
        <v>284520</v>
      </c>
      <c r="C118" s="3">
        <v>3370612.4529626998</v>
      </c>
      <c r="D118" s="3">
        <v>657276.09114339994</v>
      </c>
      <c r="E118" s="3">
        <v>269.50708529999997</v>
      </c>
      <c r="F118" s="3">
        <f t="shared" si="0"/>
        <v>268.81908529999998</v>
      </c>
      <c r="G118" s="7">
        <v>93522.675000000003</v>
      </c>
      <c r="H118" s="7">
        <v>-11.204843</v>
      </c>
      <c r="I118" s="3">
        <v>3370603.2857126002</v>
      </c>
      <c r="J118" s="3">
        <v>657269.6483154</v>
      </c>
      <c r="K118" s="3">
        <v>269.92677249999997</v>
      </c>
      <c r="L118" s="3">
        <v>270.66877249999999</v>
      </c>
      <c r="M118" s="3">
        <f t="shared" si="7"/>
        <v>0.41968719999999848</v>
      </c>
      <c r="N118" s="3">
        <f t="shared" si="8"/>
        <v>1.8496872000000053</v>
      </c>
      <c r="O118" s="3">
        <v>-7.1967043999999998</v>
      </c>
      <c r="P118" s="3">
        <v>268.10175370000002</v>
      </c>
      <c r="Q118" s="3">
        <v>5.6013466999999997</v>
      </c>
      <c r="R118" s="3">
        <v>268.89943249999999</v>
      </c>
      <c r="S118" s="3">
        <v>268.15886410000002</v>
      </c>
      <c r="T118" s="3">
        <f t="shared" si="10"/>
        <v>1.7679083999999534</v>
      </c>
      <c r="U118" s="3">
        <f t="shared" si="3"/>
        <v>2.5670187999999712</v>
      </c>
      <c r="V118" s="3">
        <f t="shared" si="4"/>
        <v>1.7693399999999997</v>
      </c>
      <c r="W118" s="2">
        <f>VLOOKUP(B118,[1]CivilReport!$A$2:$E$342,5,FALSE)-H118</f>
        <v>-1.5699999999974068E-4</v>
      </c>
    </row>
    <row r="119" spans="1:23" s="4" customFormat="1" ht="14.45" customHeight="1" x14ac:dyDescent="0.25">
      <c r="A119" s="2">
        <f t="shared" si="9"/>
        <v>93542.691000000006</v>
      </c>
      <c r="B119" s="3">
        <v>284540</v>
      </c>
      <c r="C119" s="3">
        <v>3370623.9663829999</v>
      </c>
      <c r="D119" s="3">
        <v>657259.73752139998</v>
      </c>
      <c r="E119" s="3">
        <v>269.49045660000002</v>
      </c>
      <c r="F119" s="3">
        <f t="shared" si="0"/>
        <v>268.80245660000003</v>
      </c>
      <c r="G119" s="7">
        <v>93542.691000000006</v>
      </c>
      <c r="H119" s="7">
        <v>-11.212123999999999</v>
      </c>
      <c r="I119" s="3">
        <v>3370614.8023923999</v>
      </c>
      <c r="J119" s="3">
        <v>657253.277413</v>
      </c>
      <c r="K119" s="3">
        <v>269.94185970000001</v>
      </c>
      <c r="L119" s="3">
        <v>270.68385970000003</v>
      </c>
      <c r="M119" s="3">
        <f t="shared" si="7"/>
        <v>0.45140309999999317</v>
      </c>
      <c r="N119" s="3">
        <f t="shared" si="8"/>
        <v>1.8814031</v>
      </c>
      <c r="O119" s="3">
        <v>-7.8485535999999998</v>
      </c>
      <c r="P119" s="3">
        <v>267.79091620000003</v>
      </c>
      <c r="Q119" s="3">
        <v>5.6241257999999998</v>
      </c>
      <c r="R119" s="3">
        <v>268.90313020000002</v>
      </c>
      <c r="S119" s="3">
        <v>267.59840059999999</v>
      </c>
      <c r="T119" s="3">
        <f t="shared" si="10"/>
        <v>2.3434591000000182</v>
      </c>
      <c r="U119" s="3">
        <f t="shared" si="3"/>
        <v>2.8929435000000012</v>
      </c>
      <c r="V119" s="3">
        <f t="shared" si="4"/>
        <v>1.7807295000000067</v>
      </c>
      <c r="W119" s="2">
        <f>VLOOKUP(B119,[1]CivilReport!$A$2:$E$342,5,FALSE)-H119</f>
        <v>1.239999999995689E-4</v>
      </c>
    </row>
    <row r="120" spans="1:23" s="4" customFormat="1" ht="14.45" customHeight="1" x14ac:dyDescent="0.25">
      <c r="A120" s="2">
        <f t="shared" si="9"/>
        <v>93562.691000000006</v>
      </c>
      <c r="B120" s="3">
        <v>284560</v>
      </c>
      <c r="C120" s="3">
        <v>3370635.4898168999</v>
      </c>
      <c r="D120" s="3">
        <v>657243.39094770001</v>
      </c>
      <c r="E120" s="3">
        <v>269.48600440000001</v>
      </c>
      <c r="F120" s="3">
        <f t="shared" si="0"/>
        <v>268.79800440000002</v>
      </c>
      <c r="G120" s="7">
        <v>93562.691000000006</v>
      </c>
      <c r="H120" s="7">
        <v>-11.2316463</v>
      </c>
      <c r="I120" s="3">
        <v>3370626.3098702002</v>
      </c>
      <c r="J120" s="3">
        <v>657236.91959099995</v>
      </c>
      <c r="K120" s="3">
        <v>269.9569348</v>
      </c>
      <c r="L120" s="3">
        <v>270.69893480000002</v>
      </c>
      <c r="M120" s="3">
        <f t="shared" si="7"/>
        <v>0.47093039999998609</v>
      </c>
      <c r="N120" s="3">
        <f t="shared" si="8"/>
        <v>1.9009303999999929</v>
      </c>
      <c r="O120" s="3">
        <v>-8.0299437999999999</v>
      </c>
      <c r="P120" s="3">
        <v>267.71529629999998</v>
      </c>
      <c r="Q120" s="3">
        <v>5.6731540999999996</v>
      </c>
      <c r="R120" s="3">
        <v>268.89369110000001</v>
      </c>
      <c r="S120" s="3">
        <v>268.00582320000001</v>
      </c>
      <c r="T120" s="3">
        <f t="shared" si="10"/>
        <v>1.9511115999999902</v>
      </c>
      <c r="U120" s="3">
        <f t="shared" si="3"/>
        <v>2.9836385000000405</v>
      </c>
      <c r="V120" s="3">
        <f t="shared" si="4"/>
        <v>1.8052437000000054</v>
      </c>
      <c r="W120" s="2">
        <f>VLOOKUP(B120,[1]CivilReport!$A$2:$E$342,5,FALSE)-H120</f>
        <v>-3.5369999999979029E-4</v>
      </c>
    </row>
    <row r="121" spans="1:23" s="4" customFormat="1" ht="14.45" customHeight="1" x14ac:dyDescent="0.25">
      <c r="A121" s="2">
        <f t="shared" si="9"/>
        <v>93582.672999999995</v>
      </c>
      <c r="B121" s="3">
        <v>284580</v>
      </c>
      <c r="C121" s="3">
        <v>3370646.9930832</v>
      </c>
      <c r="D121" s="3">
        <v>657227.03018110001</v>
      </c>
      <c r="E121" s="3">
        <v>269.4646118</v>
      </c>
      <c r="F121" s="3">
        <f t="shared" si="0"/>
        <v>268.77661180000001</v>
      </c>
      <c r="G121" s="7">
        <v>93582.672999999995</v>
      </c>
      <c r="H121" s="7">
        <v>-11.2265043</v>
      </c>
      <c r="I121" s="3">
        <v>3370637.8070514998</v>
      </c>
      <c r="J121" s="3">
        <v>657220.57640549995</v>
      </c>
      <c r="K121" s="3">
        <v>269.97199649999999</v>
      </c>
      <c r="L121" s="3">
        <v>270.71399650000001</v>
      </c>
      <c r="M121" s="3">
        <f t="shared" si="7"/>
        <v>0.5073846999999887</v>
      </c>
      <c r="N121" s="3">
        <f t="shared" si="8"/>
        <v>1.9373846999999955</v>
      </c>
      <c r="O121" s="3">
        <v>-8.1117401999999998</v>
      </c>
      <c r="P121" s="3">
        <v>267.68945969999999</v>
      </c>
      <c r="Q121" s="3">
        <v>5.7046653999999997</v>
      </c>
      <c r="R121" s="3">
        <v>268.8929971</v>
      </c>
      <c r="S121" s="3">
        <v>268.1403406</v>
      </c>
      <c r="T121" s="3">
        <f t="shared" si="10"/>
        <v>1.831655899999987</v>
      </c>
      <c r="U121" s="3">
        <f t="shared" si="3"/>
        <v>3.0245368000000212</v>
      </c>
      <c r="V121" s="3">
        <f t="shared" si="4"/>
        <v>1.8209994000000052</v>
      </c>
      <c r="W121" s="2">
        <f>VLOOKUP(B121,[1]CivilReport!$A$2:$E$342,5,FALSE)-H121</f>
        <v>-4.9570000000009884E-4</v>
      </c>
    </row>
    <row r="122" spans="1:23" s="4" customFormat="1" ht="14.45" customHeight="1" x14ac:dyDescent="0.25">
      <c r="A122" s="2">
        <f t="shared" si="9"/>
        <v>93602.672999999995</v>
      </c>
      <c r="B122" s="3">
        <v>284600</v>
      </c>
      <c r="C122" s="3">
        <v>3370658.4904745002</v>
      </c>
      <c r="D122" s="3">
        <v>657210.66527969996</v>
      </c>
      <c r="E122" s="3">
        <v>269.43828430000002</v>
      </c>
      <c r="F122" s="3">
        <f t="shared" si="0"/>
        <v>268.75028430000003</v>
      </c>
      <c r="G122" s="7">
        <v>93602.672999999995</v>
      </c>
      <c r="H122" s="7">
        <v>-11.2141813</v>
      </c>
      <c r="I122" s="3">
        <v>3370649.3145260001</v>
      </c>
      <c r="J122" s="3">
        <v>657204.21858830005</v>
      </c>
      <c r="K122" s="3">
        <v>269.98707159999998</v>
      </c>
      <c r="L122" s="3">
        <v>270.7290716</v>
      </c>
      <c r="M122" s="3">
        <f t="shared" si="7"/>
        <v>0.54878729999995812</v>
      </c>
      <c r="N122" s="3">
        <f t="shared" si="8"/>
        <v>1.9787872999999649</v>
      </c>
      <c r="O122" s="3">
        <v>-8.5084444999999995</v>
      </c>
      <c r="P122" s="3">
        <v>267.50618270000001</v>
      </c>
      <c r="Q122" s="3">
        <v>5.8066496999999995</v>
      </c>
      <c r="R122" s="3">
        <v>268.85708010000002</v>
      </c>
      <c r="S122" s="3">
        <v>267.72244139999998</v>
      </c>
      <c r="T122" s="3">
        <f t="shared" si="10"/>
        <v>2.2646301999999991</v>
      </c>
      <c r="U122" s="3">
        <f t="shared" si="3"/>
        <v>3.2228888999999867</v>
      </c>
      <c r="V122" s="3">
        <f t="shared" si="4"/>
        <v>1.8719914999999787</v>
      </c>
      <c r="W122" s="2">
        <f>VLOOKUP(B122,[1]CivilReport!$A$2:$E$342,5,FALSE)-H122</f>
        <v>1.8129999999949575E-4</v>
      </c>
    </row>
    <row r="123" spans="1:23" s="4" customFormat="1" ht="14.45" customHeight="1" x14ac:dyDescent="0.25">
      <c r="A123" s="2">
        <f t="shared" si="9"/>
        <v>93622.676999999996</v>
      </c>
      <c r="B123" s="3">
        <v>284620</v>
      </c>
      <c r="C123" s="3">
        <v>3370669.9928008001</v>
      </c>
      <c r="D123" s="3">
        <v>657194.3038468</v>
      </c>
      <c r="E123" s="3">
        <v>269.413771</v>
      </c>
      <c r="F123" s="3">
        <f t="shared" si="0"/>
        <v>268.72577100000001</v>
      </c>
      <c r="G123" s="7">
        <v>93622.676999999996</v>
      </c>
      <c r="H123" s="7">
        <v>-11.2078886</v>
      </c>
      <c r="I123" s="3">
        <v>3370660.8241296001</v>
      </c>
      <c r="J123" s="3">
        <v>657187.85774460004</v>
      </c>
      <c r="K123" s="3">
        <v>270.0021496</v>
      </c>
      <c r="L123" s="3">
        <v>270.74414960000001</v>
      </c>
      <c r="M123" s="3">
        <f t="shared" si="7"/>
        <v>0.58837859999999864</v>
      </c>
      <c r="N123" s="3">
        <f t="shared" si="8"/>
        <v>2.0183786000000055</v>
      </c>
      <c r="O123" s="3">
        <v>-8.7481977000000004</v>
      </c>
      <c r="P123" s="3">
        <v>267.40138409999997</v>
      </c>
      <c r="Q123" s="3">
        <v>5.8723649</v>
      </c>
      <c r="R123" s="3">
        <v>268.83930040000001</v>
      </c>
      <c r="S123" s="3">
        <v>267.72792429999998</v>
      </c>
      <c r="T123" s="3">
        <f t="shared" si="10"/>
        <v>2.2742253000000119</v>
      </c>
      <c r="U123" s="3">
        <f t="shared" si="3"/>
        <v>3.3427655000000414</v>
      </c>
      <c r="V123" s="3">
        <f t="shared" si="4"/>
        <v>1.904849200000001</v>
      </c>
      <c r="W123" s="2">
        <f>VLOOKUP(B123,[1]CivilReport!$A$2:$E$342,5,FALSE)-H123</f>
        <v>-1.1139999999976169E-4</v>
      </c>
    </row>
    <row r="124" spans="1:23" s="4" customFormat="1" ht="14.45" customHeight="1" x14ac:dyDescent="0.25">
      <c r="A124" s="2">
        <f t="shared" si="9"/>
        <v>93642.676999999996</v>
      </c>
      <c r="B124" s="3">
        <v>284640</v>
      </c>
      <c r="C124" s="3">
        <v>3370681.4955958999</v>
      </c>
      <c r="D124" s="3">
        <v>657177.9427435</v>
      </c>
      <c r="E124" s="3">
        <v>269.38943010000003</v>
      </c>
      <c r="F124" s="3">
        <f t="shared" si="0"/>
        <v>268.70143010000004</v>
      </c>
      <c r="G124" s="7">
        <v>93642.676999999996</v>
      </c>
      <c r="H124" s="7">
        <v>-11.202170600000001</v>
      </c>
      <c r="I124" s="3">
        <v>3370672.3316024002</v>
      </c>
      <c r="J124" s="3">
        <v>657171.49992970005</v>
      </c>
      <c r="K124" s="3">
        <v>270.01722469999999</v>
      </c>
      <c r="L124" s="3">
        <v>270.7592247</v>
      </c>
      <c r="M124" s="3">
        <f t="shared" si="7"/>
        <v>0.62779459999995879</v>
      </c>
      <c r="N124" s="3">
        <f t="shared" si="8"/>
        <v>2.0577945999999656</v>
      </c>
      <c r="O124" s="3">
        <v>-9.2374969999999994</v>
      </c>
      <c r="P124" s="3">
        <v>267.17180949999999</v>
      </c>
      <c r="Q124" s="3">
        <v>5.9515640999999997</v>
      </c>
      <c r="R124" s="3">
        <v>268.81477599999999</v>
      </c>
      <c r="S124" s="3">
        <v>267.40653650000002</v>
      </c>
      <c r="T124" s="3">
        <f t="shared" si="10"/>
        <v>2.61068819999997</v>
      </c>
      <c r="U124" s="3">
        <f t="shared" si="3"/>
        <v>3.5874152000000095</v>
      </c>
      <c r="V124" s="3">
        <f t="shared" si="4"/>
        <v>1.9444487000000095</v>
      </c>
      <c r="W124" s="2">
        <f>VLOOKUP(B124,[1]CivilReport!$A$2:$E$342,5,FALSE)-H124</f>
        <v>1.7060000000057585E-4</v>
      </c>
    </row>
    <row r="125" spans="1:23" s="4" customFormat="1" ht="14.45" customHeight="1" x14ac:dyDescent="0.25">
      <c r="A125" s="2">
        <f t="shared" si="9"/>
        <v>93662.675000000003</v>
      </c>
      <c r="B125" s="3">
        <v>284660</v>
      </c>
      <c r="C125" s="3">
        <v>3370692.9960709</v>
      </c>
      <c r="D125" s="3">
        <v>657161.58000920003</v>
      </c>
      <c r="E125" s="3">
        <v>269.37565710000001</v>
      </c>
      <c r="F125" s="3">
        <f t="shared" si="0"/>
        <v>268.68765710000002</v>
      </c>
      <c r="G125" s="7">
        <v>93662.675000000003</v>
      </c>
      <c r="H125" s="7">
        <v>-11.193617400000001</v>
      </c>
      <c r="I125" s="3">
        <v>3370683.8378995</v>
      </c>
      <c r="J125" s="3">
        <v>657155.14378619997</v>
      </c>
      <c r="K125" s="3">
        <v>270.03229829999998</v>
      </c>
      <c r="L125" s="3">
        <v>270.7742983</v>
      </c>
      <c r="M125" s="3">
        <f t="shared" si="7"/>
        <v>0.65664119999996728</v>
      </c>
      <c r="N125" s="3">
        <f t="shared" si="8"/>
        <v>2.0866411999999741</v>
      </c>
      <c r="O125" s="3">
        <v>-9.3735832000000006</v>
      </c>
      <c r="P125" s="3">
        <v>267.11883999999998</v>
      </c>
      <c r="Q125" s="3">
        <v>6.0070661000000003</v>
      </c>
      <c r="R125" s="3">
        <v>268.80209860000002</v>
      </c>
      <c r="S125" s="3">
        <v>267.17716560000002</v>
      </c>
      <c r="T125" s="3">
        <f t="shared" si="10"/>
        <v>2.855132699999956</v>
      </c>
      <c r="U125" s="3">
        <f t="shared" si="3"/>
        <v>3.6554583000000207</v>
      </c>
      <c r="V125" s="3">
        <f t="shared" si="4"/>
        <v>1.972199699999976</v>
      </c>
      <c r="W125" s="2">
        <f>VLOOKUP(B125,[1]CivilReport!$A$2:$E$342,5,FALSE)-H125</f>
        <v>-3.8260000000001071E-4</v>
      </c>
    </row>
    <row r="126" spans="1:23" s="4" customFormat="1" ht="14.45" customHeight="1" x14ac:dyDescent="0.25">
      <c r="A126" s="2">
        <f t="shared" si="9"/>
        <v>93682.675000000003</v>
      </c>
      <c r="B126" s="3">
        <v>284680</v>
      </c>
      <c r="C126" s="3">
        <v>3370704.4958796999</v>
      </c>
      <c r="D126" s="3">
        <v>657145.21680659999</v>
      </c>
      <c r="E126" s="3">
        <v>269.36491869999998</v>
      </c>
      <c r="F126" s="3">
        <f t="shared" si="0"/>
        <v>268.67691869999999</v>
      </c>
      <c r="G126" s="7">
        <v>93682.675000000003</v>
      </c>
      <c r="H126" s="7">
        <v>-11.184249100000001</v>
      </c>
      <c r="I126" s="3">
        <v>3370695.345373</v>
      </c>
      <c r="J126" s="3">
        <v>657138.78597029997</v>
      </c>
      <c r="K126" s="3">
        <v>270.04737339999997</v>
      </c>
      <c r="L126" s="3">
        <v>270.78937339999999</v>
      </c>
      <c r="M126" s="3">
        <f t="shared" si="7"/>
        <v>0.68245469999999386</v>
      </c>
      <c r="N126" s="3">
        <f t="shared" si="8"/>
        <v>2.1124547000000007</v>
      </c>
      <c r="O126" s="3">
        <v>-9.3425537999999992</v>
      </c>
      <c r="P126" s="3">
        <v>267.14942989999997</v>
      </c>
      <c r="Q126" s="3">
        <v>6.0581047000000003</v>
      </c>
      <c r="R126" s="3">
        <v>268.79165440000003</v>
      </c>
      <c r="S126" s="3">
        <v>267.66060570000002</v>
      </c>
      <c r="T126" s="3">
        <f t="shared" si="10"/>
        <v>2.3867676999999503</v>
      </c>
      <c r="U126" s="3">
        <f t="shared" si="3"/>
        <v>3.6399435000000153</v>
      </c>
      <c r="V126" s="3">
        <f t="shared" si="4"/>
        <v>1.9977189999999609</v>
      </c>
      <c r="W126" s="2">
        <f>VLOOKUP(B126,[1]CivilReport!$A$2:$E$342,5,FALSE)-H126</f>
        <v>-7.5089999999988777E-4</v>
      </c>
    </row>
    <row r="127" spans="1:23" s="4" customFormat="1" ht="14.45" customHeight="1" x14ac:dyDescent="0.25">
      <c r="A127" s="2">
        <f t="shared" si="9"/>
        <v>93702.676999999996</v>
      </c>
      <c r="B127" s="3">
        <v>284700</v>
      </c>
      <c r="C127" s="3">
        <v>3370715.9979131999</v>
      </c>
      <c r="D127" s="3">
        <v>657128.85516789998</v>
      </c>
      <c r="E127" s="3">
        <v>269.3691584</v>
      </c>
      <c r="F127" s="3">
        <f t="shared" si="0"/>
        <v>268.68115840000002</v>
      </c>
      <c r="G127" s="7">
        <v>93702.676999999996</v>
      </c>
      <c r="H127" s="7">
        <v>-11.177599300000001</v>
      </c>
      <c r="I127" s="3">
        <v>3370706.8542129002</v>
      </c>
      <c r="J127" s="3">
        <v>657122.42621219996</v>
      </c>
      <c r="K127" s="3">
        <v>270.06245029999997</v>
      </c>
      <c r="L127" s="3">
        <v>270.80445029999998</v>
      </c>
      <c r="M127" s="3">
        <f t="shared" si="7"/>
        <v>0.69329189999996288</v>
      </c>
      <c r="N127" s="3">
        <f t="shared" si="8"/>
        <v>2.1232918999999697</v>
      </c>
      <c r="O127" s="3">
        <v>-9.5223080000000007</v>
      </c>
      <c r="P127" s="3">
        <v>267.0746297</v>
      </c>
      <c r="Q127" s="3">
        <v>6.0969593</v>
      </c>
      <c r="R127" s="3">
        <v>268.78730400000001</v>
      </c>
      <c r="S127" s="3">
        <v>267.77544690000002</v>
      </c>
      <c r="T127" s="3">
        <f t="shared" si="10"/>
        <v>2.2870033999999464</v>
      </c>
      <c r="U127" s="3">
        <f t="shared" si="3"/>
        <v>3.7298205999999823</v>
      </c>
      <c r="V127" s="3">
        <f t="shared" si="4"/>
        <v>2.017146299999979</v>
      </c>
      <c r="W127" s="2">
        <f>VLOOKUP(B127,[1]CivilReport!$A$2:$E$342,5,FALSE)-H127</f>
        <v>-4.0070000000014261E-4</v>
      </c>
    </row>
    <row r="128" spans="1:23" s="4" customFormat="1" ht="14.45" customHeight="1" x14ac:dyDescent="0.25">
      <c r="A128" s="2">
        <f t="shared" si="9"/>
        <v>93722.676999999996</v>
      </c>
      <c r="B128" s="3">
        <v>284720</v>
      </c>
      <c r="C128" s="3">
        <v>3370727.5011986</v>
      </c>
      <c r="D128" s="3">
        <v>657112.49440920004</v>
      </c>
      <c r="E128" s="3">
        <v>269.38182699999999</v>
      </c>
      <c r="F128" s="3">
        <f t="shared" si="0"/>
        <v>268.693827</v>
      </c>
      <c r="G128" s="7">
        <v>93722.676999999996</v>
      </c>
      <c r="H128" s="7">
        <v>-11.1724806</v>
      </c>
      <c r="I128" s="3">
        <v>3370718.3616856001</v>
      </c>
      <c r="J128" s="3">
        <v>657106.06839749997</v>
      </c>
      <c r="K128" s="3">
        <v>270.07752549999998</v>
      </c>
      <c r="L128" s="3">
        <v>270.8195255</v>
      </c>
      <c r="M128" s="3">
        <f t="shared" si="7"/>
        <v>0.69569849999999178</v>
      </c>
      <c r="N128" s="3">
        <f t="shared" si="8"/>
        <v>2.1256984999999986</v>
      </c>
      <c r="O128" s="3">
        <v>-9.5870437000000006</v>
      </c>
      <c r="P128" s="3">
        <v>267.05733700000002</v>
      </c>
      <c r="Q128" s="3">
        <v>6.1263037999999996</v>
      </c>
      <c r="R128" s="3">
        <v>268.78770689999999</v>
      </c>
      <c r="S128" s="3">
        <v>267.49678690000002</v>
      </c>
      <c r="T128" s="3">
        <f t="shared" si="10"/>
        <v>2.580738599999961</v>
      </c>
      <c r="U128" s="3">
        <f t="shared" si="3"/>
        <v>3.7621884999999793</v>
      </c>
      <c r="V128" s="3">
        <f t="shared" si="4"/>
        <v>2.0318186000000082</v>
      </c>
      <c r="W128" s="2">
        <f>VLOOKUP(B128,[1]CivilReport!$A$2:$E$342,5,FALSE)-H128</f>
        <v>4.805999999994981E-4</v>
      </c>
    </row>
    <row r="129" spans="1:23" s="4" customFormat="1" ht="14.45" customHeight="1" x14ac:dyDescent="0.25">
      <c r="A129" s="2">
        <f t="shared" si="9"/>
        <v>93742.67</v>
      </c>
      <c r="B129" s="3">
        <v>284740</v>
      </c>
      <c r="C129" s="3">
        <v>3370738.9975568</v>
      </c>
      <c r="D129" s="3">
        <v>657096.12878330005</v>
      </c>
      <c r="E129" s="3">
        <v>269.36858660000001</v>
      </c>
      <c r="F129" s="3">
        <f t="shared" si="0"/>
        <v>268.68058660000003</v>
      </c>
      <c r="G129" s="7">
        <v>93742.67</v>
      </c>
      <c r="H129" s="7">
        <v>-11.1588999</v>
      </c>
      <c r="I129" s="3">
        <v>3370729.8651037998</v>
      </c>
      <c r="J129" s="3">
        <v>657089.71634619997</v>
      </c>
      <c r="K129" s="3">
        <v>270.09259529999997</v>
      </c>
      <c r="L129" s="3">
        <v>270.83459529999999</v>
      </c>
      <c r="M129" s="3">
        <f t="shared" si="7"/>
        <v>0.72400869999995621</v>
      </c>
      <c r="N129" s="3">
        <f t="shared" si="8"/>
        <v>2.154008699999963</v>
      </c>
      <c r="O129" s="3">
        <v>-9.8398217999999993</v>
      </c>
      <c r="P129" s="3">
        <v>266.94601770000003</v>
      </c>
      <c r="Q129" s="3">
        <v>6.1039240000000001</v>
      </c>
      <c r="R129" s="3">
        <v>268.81396660000001</v>
      </c>
      <c r="S129" s="3">
        <v>267.55279209999998</v>
      </c>
      <c r="T129" s="3">
        <f t="shared" si="10"/>
        <v>2.5398031999999944</v>
      </c>
      <c r="U129" s="3">
        <f t="shared" si="3"/>
        <v>3.8885775999999623</v>
      </c>
      <c r="V129" s="3">
        <f t="shared" si="4"/>
        <v>2.0206286999999747</v>
      </c>
      <c r="W129" s="2">
        <f>VLOOKUP(B129,[1]CivilReport!$A$2:$E$342,5,FALSE)-H129</f>
        <v>-1.0010000000093555E-4</v>
      </c>
    </row>
    <row r="130" spans="1:23" s="4" customFormat="1" ht="14.45" customHeight="1" x14ac:dyDescent="0.25">
      <c r="A130" s="2">
        <f t="shared" si="9"/>
        <v>93762.67</v>
      </c>
      <c r="B130" s="3">
        <v>284760</v>
      </c>
      <c r="C130" s="3">
        <v>3370750.4905123999</v>
      </c>
      <c r="D130" s="3">
        <v>657079.76076660003</v>
      </c>
      <c r="E130" s="3">
        <v>269.34261980000002</v>
      </c>
      <c r="F130" s="3">
        <f t="shared" si="0"/>
        <v>268.65461980000003</v>
      </c>
      <c r="G130" s="7">
        <v>93762.67</v>
      </c>
      <c r="H130" s="7">
        <v>-11.141156499999999</v>
      </c>
      <c r="I130" s="3">
        <v>3370741.3725806</v>
      </c>
      <c r="J130" s="3">
        <v>657073.35852580005</v>
      </c>
      <c r="K130" s="3">
        <v>270.10767039999996</v>
      </c>
      <c r="L130" s="3">
        <v>270.84967039999998</v>
      </c>
      <c r="M130" s="3">
        <f t="shared" si="7"/>
        <v>0.76505059999993819</v>
      </c>
      <c r="N130" s="3">
        <f t="shared" si="8"/>
        <v>2.195050599999945</v>
      </c>
      <c r="O130" s="3">
        <v>-10.089750199999999</v>
      </c>
      <c r="P130" s="3">
        <v>266.83612870000002</v>
      </c>
      <c r="Q130" s="3">
        <v>6.0364120999999997</v>
      </c>
      <c r="R130" s="3">
        <v>268.86279769999999</v>
      </c>
      <c r="S130" s="3">
        <v>267.58509600000002</v>
      </c>
      <c r="T130" s="3">
        <f t="shared" si="10"/>
        <v>2.5225743999999395</v>
      </c>
      <c r="U130" s="3">
        <f t="shared" si="3"/>
        <v>4.013541699999962</v>
      </c>
      <c r="V130" s="3">
        <f t="shared" si="4"/>
        <v>1.9868726999999922</v>
      </c>
      <c r="W130" s="2">
        <f>VLOOKUP(B130,[1]CivilReport!$A$2:$E$342,5,FALSE)-H130</f>
        <v>1.564999999992267E-4</v>
      </c>
    </row>
    <row r="131" spans="1:23" s="4" customFormat="1" ht="14.45" customHeight="1" x14ac:dyDescent="0.25">
      <c r="A131" s="2">
        <f t="shared" si="9"/>
        <v>93782.687999999995</v>
      </c>
      <c r="B131" s="3">
        <v>284780</v>
      </c>
      <c r="C131" s="3">
        <v>3370761.9890581002</v>
      </c>
      <c r="D131" s="3">
        <v>657063.39668180002</v>
      </c>
      <c r="E131" s="3">
        <v>269.3194474</v>
      </c>
      <c r="F131" s="3">
        <f t="shared" si="0"/>
        <v>268.63144740000001</v>
      </c>
      <c r="G131" s="7">
        <v>93782.687999999995</v>
      </c>
      <c r="H131" s="7">
        <v>-11.1302463</v>
      </c>
      <c r="I131" s="3">
        <v>3370752.8905457999</v>
      </c>
      <c r="J131" s="3">
        <v>657056.98579609999</v>
      </c>
      <c r="K131" s="3">
        <v>270.12275929999998</v>
      </c>
      <c r="L131" s="3">
        <v>270.8647593</v>
      </c>
      <c r="M131" s="3">
        <f t="shared" si="7"/>
        <v>0.80331189999998287</v>
      </c>
      <c r="N131" s="3">
        <f t="shared" si="8"/>
        <v>2.2333118999999897</v>
      </c>
      <c r="O131" s="3">
        <v>-10.0235863</v>
      </c>
      <c r="P131" s="3">
        <v>266.8842995</v>
      </c>
      <c r="Q131" s="3">
        <v>6.0261196999999997</v>
      </c>
      <c r="R131" s="3">
        <v>268.88303280000002</v>
      </c>
      <c r="S131" s="3">
        <v>267.8219368</v>
      </c>
      <c r="T131" s="3">
        <f t="shared" si="10"/>
        <v>2.3008224999999811</v>
      </c>
      <c r="U131" s="3">
        <f t="shared" si="3"/>
        <v>3.9804598000000055</v>
      </c>
      <c r="V131" s="3">
        <f t="shared" si="4"/>
        <v>1.9817264999999793</v>
      </c>
      <c r="W131" s="2">
        <f>VLOOKUP(B131,[1]CivilReport!$A$2:$E$342,5,FALSE)-H131</f>
        <v>2.4629999999881136E-4</v>
      </c>
    </row>
    <row r="132" spans="1:23" s="4" customFormat="1" ht="14.45" customHeight="1" x14ac:dyDescent="0.25">
      <c r="A132" s="2">
        <f t="shared" si="9"/>
        <v>93802.688999999998</v>
      </c>
      <c r="B132" s="3">
        <v>284800</v>
      </c>
      <c r="C132" s="3">
        <v>3370773.5088134999</v>
      </c>
      <c r="D132" s="3">
        <v>657047.04751559999</v>
      </c>
      <c r="E132" s="3">
        <v>269.30687790000002</v>
      </c>
      <c r="F132" s="3">
        <f t="shared" si="0"/>
        <v>268.61887790000003</v>
      </c>
      <c r="G132" s="7">
        <v>93802.688999999998</v>
      </c>
      <c r="H132" s="7">
        <v>-11.1452683</v>
      </c>
      <c r="I132" s="3">
        <v>3370764.3980212999</v>
      </c>
      <c r="J132" s="3">
        <v>657040.62797739997</v>
      </c>
      <c r="K132" s="3">
        <v>270.13783439999997</v>
      </c>
      <c r="L132" s="3">
        <v>270.87983439999999</v>
      </c>
      <c r="M132" s="3">
        <f t="shared" ref="M132:M195" si="11">+K132-E132</f>
        <v>0.83095649999995658</v>
      </c>
      <c r="N132" s="3">
        <f t="shared" ref="N132:N195" si="12">+L132-F132</f>
        <v>2.2609564999999634</v>
      </c>
      <c r="O132" s="3">
        <v>-9.2043046000000004</v>
      </c>
      <c r="P132" s="3">
        <v>267.30901549999999</v>
      </c>
      <c r="Q132" s="3">
        <v>6.2348735</v>
      </c>
      <c r="R132" s="3">
        <v>268.79373099999998</v>
      </c>
      <c r="S132" s="3">
        <v>267.95997820000002</v>
      </c>
      <c r="T132" s="3">
        <f t="shared" si="10"/>
        <v>2.1778561999999511</v>
      </c>
      <c r="U132" s="3">
        <f t="shared" si="3"/>
        <v>3.5708189000000061</v>
      </c>
      <c r="V132" s="3">
        <f t="shared" si="4"/>
        <v>2.0861034000000132</v>
      </c>
      <c r="W132" s="2">
        <f>VLOOKUP(B132,[1]CivilReport!$A$2:$E$342,5,FALSE)-H132</f>
        <v>2.6830000000011012E-4</v>
      </c>
    </row>
    <row r="133" spans="1:23" s="4" customFormat="1" ht="14.45" customHeight="1" x14ac:dyDescent="0.25">
      <c r="A133" s="2">
        <f t="shared" ref="A133:A196" si="13">G133</f>
        <v>93822.653000000006</v>
      </c>
      <c r="B133" s="3">
        <v>284820</v>
      </c>
      <c r="C133" s="3">
        <v>3370785.0088840001</v>
      </c>
      <c r="D133" s="3">
        <v>657030.68452669994</v>
      </c>
      <c r="E133" s="3">
        <v>269.32803369999999</v>
      </c>
      <c r="F133" s="3">
        <f t="shared" si="0"/>
        <v>268.6400337</v>
      </c>
      <c r="G133" s="7">
        <v>93822.653000000006</v>
      </c>
      <c r="H133" s="7">
        <v>-11.136267800000001</v>
      </c>
      <c r="I133" s="3">
        <v>3370775.8848283999</v>
      </c>
      <c r="J133" s="3">
        <v>657024.29953870003</v>
      </c>
      <c r="K133" s="3">
        <v>270.15288249999998</v>
      </c>
      <c r="L133" s="3">
        <v>270.89488249999999</v>
      </c>
      <c r="M133" s="3">
        <f t="shared" si="11"/>
        <v>0.82484879999998384</v>
      </c>
      <c r="N133" s="3">
        <f t="shared" si="12"/>
        <v>2.2548487999999907</v>
      </c>
      <c r="O133" s="3">
        <v>-9.6958049000000006</v>
      </c>
      <c r="P133" s="3">
        <v>267.07831340000001</v>
      </c>
      <c r="Q133" s="3">
        <v>6.3804869000000002</v>
      </c>
      <c r="R133" s="3">
        <v>268.73597239999998</v>
      </c>
      <c r="S133" s="3">
        <v>268.22449410000002</v>
      </c>
      <c r="T133" s="3">
        <f t="shared" ref="T133:T196" si="14">K133-S133</f>
        <v>1.9283883999999603</v>
      </c>
      <c r="U133" s="3">
        <f t="shared" si="3"/>
        <v>3.8165690999999811</v>
      </c>
      <c r="V133" s="3">
        <f t="shared" si="4"/>
        <v>2.1589101000000142</v>
      </c>
      <c r="W133" s="2">
        <f>VLOOKUP(B133,[1]CivilReport!$A$2:$E$342,5,FALSE)-H133</f>
        <v>2.678000000013725E-4</v>
      </c>
    </row>
    <row r="134" spans="1:23" s="4" customFormat="1" ht="14.45" customHeight="1" x14ac:dyDescent="0.25">
      <c r="A134" s="2">
        <f t="shared" si="13"/>
        <v>93842.653000000006</v>
      </c>
      <c r="B134" s="3">
        <v>284840</v>
      </c>
      <c r="C134" s="3">
        <v>3370796.4758998998</v>
      </c>
      <c r="D134" s="3">
        <v>657014.2983268</v>
      </c>
      <c r="E134" s="3">
        <v>269.40582039999998</v>
      </c>
      <c r="F134" s="3">
        <f t="shared" si="0"/>
        <v>268.71782039999999</v>
      </c>
      <c r="G134" s="7">
        <v>93842.653000000006</v>
      </c>
      <c r="H134" s="7">
        <v>-11.086846299999999</v>
      </c>
      <c r="I134" s="3">
        <v>3370787.3923359001</v>
      </c>
      <c r="J134" s="3">
        <v>657007.94167470001</v>
      </c>
      <c r="K134" s="3">
        <v>270.16795769999999</v>
      </c>
      <c r="L134" s="3">
        <v>270.90995770000001</v>
      </c>
      <c r="M134" s="3">
        <f t="shared" si="11"/>
        <v>0.76213730000000623</v>
      </c>
      <c r="N134" s="3">
        <f t="shared" si="12"/>
        <v>2.1921373000000131</v>
      </c>
      <c r="O134" s="3">
        <v>-8.8235010999999997</v>
      </c>
      <c r="P134" s="3">
        <v>267.5295405</v>
      </c>
      <c r="Q134" s="3">
        <v>6.333774</v>
      </c>
      <c r="R134" s="3">
        <v>268.774404</v>
      </c>
      <c r="S134" s="3">
        <v>268.15177410000001</v>
      </c>
      <c r="T134" s="3">
        <f t="shared" si="14"/>
        <v>2.0161835999999766</v>
      </c>
      <c r="U134" s="3">
        <f t="shared" si="3"/>
        <v>3.3804172000000108</v>
      </c>
      <c r="V134" s="3">
        <f t="shared" si="4"/>
        <v>2.1355537000000027</v>
      </c>
      <c r="W134" s="2">
        <f>VLOOKUP(B134,[1]CivilReport!$A$2:$E$342,5,FALSE)-H134</f>
        <v>-1.5370000000025641E-4</v>
      </c>
    </row>
    <row r="135" spans="1:23" s="4" customFormat="1" ht="14.45" customHeight="1" x14ac:dyDescent="0.25">
      <c r="A135" s="2">
        <f t="shared" si="13"/>
        <v>93862.672000000006</v>
      </c>
      <c r="B135" s="3">
        <v>284860</v>
      </c>
      <c r="C135" s="3">
        <v>3370807.9518428999</v>
      </c>
      <c r="D135" s="3">
        <v>656997.91838549997</v>
      </c>
      <c r="E135" s="3">
        <v>269.46062219999999</v>
      </c>
      <c r="F135" s="3">
        <f t="shared" si="0"/>
        <v>268.7726222</v>
      </c>
      <c r="G135" s="7">
        <v>93862.672000000006</v>
      </c>
      <c r="H135" s="7">
        <v>-11.0482966</v>
      </c>
      <c r="I135" s="3">
        <v>3370798.9107921999</v>
      </c>
      <c r="J135" s="3">
        <v>656991.56824679999</v>
      </c>
      <c r="K135" s="3">
        <v>270.18304719999998</v>
      </c>
      <c r="L135" s="3">
        <v>270.92504719999999</v>
      </c>
      <c r="M135" s="3">
        <f t="shared" si="11"/>
        <v>0.72242499999998699</v>
      </c>
      <c r="N135" s="3">
        <f t="shared" si="12"/>
        <v>2.1524249999999938</v>
      </c>
      <c r="O135" s="3">
        <v>-8.8593720000000005</v>
      </c>
      <c r="P135" s="3">
        <v>267.52669450000002</v>
      </c>
      <c r="Q135" s="3">
        <v>6.2980716000000001</v>
      </c>
      <c r="R135" s="3">
        <v>268.80734480000001</v>
      </c>
      <c r="S135" s="3">
        <v>268.04784280000001</v>
      </c>
      <c r="T135" s="3">
        <f t="shared" si="14"/>
        <v>2.1352043999999637</v>
      </c>
      <c r="U135" s="3">
        <f t="shared" si="3"/>
        <v>3.3983526999999754</v>
      </c>
      <c r="V135" s="3">
        <f t="shared" si="4"/>
        <v>2.1177023999999847</v>
      </c>
      <c r="W135" s="2">
        <f>VLOOKUP(B135,[1]CivilReport!$A$2:$E$342,5,FALSE)-H135</f>
        <v>2.966000000004243E-4</v>
      </c>
    </row>
    <row r="136" spans="1:23" s="4" customFormat="1" ht="14.45" customHeight="1" x14ac:dyDescent="0.25">
      <c r="A136" s="2">
        <f t="shared" si="13"/>
        <v>93882.672000000006</v>
      </c>
      <c r="B136" s="3">
        <v>284880</v>
      </c>
      <c r="C136" s="3">
        <v>3370819.4470786001</v>
      </c>
      <c r="D136" s="3">
        <v>656981.55197010003</v>
      </c>
      <c r="E136" s="3">
        <v>269.4657502</v>
      </c>
      <c r="F136" s="3">
        <f t="shared" si="0"/>
        <v>268.77775020000001</v>
      </c>
      <c r="G136" s="7">
        <v>93882.672000000006</v>
      </c>
      <c r="H136" s="7">
        <v>-11.0333395</v>
      </c>
      <c r="I136" s="3">
        <v>3370810.4182676999</v>
      </c>
      <c r="J136" s="3">
        <v>656975.21042809996</v>
      </c>
      <c r="K136" s="3">
        <v>270.19812229999997</v>
      </c>
      <c r="L136" s="3">
        <v>270.94012229999998</v>
      </c>
      <c r="M136" s="3">
        <f t="shared" si="11"/>
        <v>0.73237209999996367</v>
      </c>
      <c r="N136" s="3">
        <f t="shared" si="12"/>
        <v>2.1623720999999705</v>
      </c>
      <c r="O136" s="3">
        <v>-9.2052560000000003</v>
      </c>
      <c r="P136" s="3">
        <v>267.3688277</v>
      </c>
      <c r="Q136" s="3">
        <v>6.2822380999999998</v>
      </c>
      <c r="R136" s="3">
        <v>268.83033660000001</v>
      </c>
      <c r="S136" s="3">
        <v>268.03612670000001</v>
      </c>
      <c r="T136" s="3">
        <f t="shared" si="14"/>
        <v>2.1619955999999547</v>
      </c>
      <c r="U136" s="3">
        <f t="shared" si="3"/>
        <v>3.5712945999999874</v>
      </c>
      <c r="V136" s="3">
        <f t="shared" si="4"/>
        <v>2.1097856999999749</v>
      </c>
      <c r="W136" s="2">
        <f>VLOOKUP(B136,[1]CivilReport!$A$2:$E$342,5,FALSE)-H136</f>
        <v>-6.6050000000039688E-4</v>
      </c>
    </row>
    <row r="137" spans="1:23" s="4" customFormat="1" ht="14.45" customHeight="1" x14ac:dyDescent="0.25">
      <c r="A137" s="2">
        <f t="shared" si="13"/>
        <v>93902.676999999996</v>
      </c>
      <c r="B137" s="3">
        <v>284900</v>
      </c>
      <c r="C137" s="3">
        <v>3370830.9452163</v>
      </c>
      <c r="D137" s="3">
        <v>656965.18759390002</v>
      </c>
      <c r="E137" s="3">
        <v>269.47327999999999</v>
      </c>
      <c r="F137" s="3">
        <f t="shared" si="0"/>
        <v>268.78528</v>
      </c>
      <c r="G137" s="7">
        <v>93902.676999999996</v>
      </c>
      <c r="H137" s="7">
        <v>-11.021926499999999</v>
      </c>
      <c r="I137" s="3">
        <v>3370821.9288134002</v>
      </c>
      <c r="J137" s="3">
        <v>656958.8482452</v>
      </c>
      <c r="K137" s="3">
        <v>270.21320149999997</v>
      </c>
      <c r="L137" s="3">
        <v>270.95520149999999</v>
      </c>
      <c r="M137" s="3">
        <f t="shared" si="11"/>
        <v>0.73992149999997991</v>
      </c>
      <c r="N137" s="3">
        <f t="shared" si="12"/>
        <v>2.1699214999999867</v>
      </c>
      <c r="O137" s="3">
        <v>-9.7275872000000003</v>
      </c>
      <c r="P137" s="3">
        <v>267.12274120000001</v>
      </c>
      <c r="Q137" s="3">
        <v>6.2279745999999996</v>
      </c>
      <c r="R137" s="3">
        <v>268.8725475</v>
      </c>
      <c r="S137" s="3">
        <v>267.99976770000001</v>
      </c>
      <c r="T137" s="3">
        <f t="shared" si="14"/>
        <v>2.2134337999999616</v>
      </c>
      <c r="U137" s="3">
        <f t="shared" si="3"/>
        <v>3.8324602999999797</v>
      </c>
      <c r="V137" s="3">
        <f t="shared" si="4"/>
        <v>2.0826539999999909</v>
      </c>
      <c r="W137" s="2">
        <f>VLOOKUP(B137,[1]CivilReport!$A$2:$E$342,5,FALSE)-H137</f>
        <v>-7.3500000000947807E-5</v>
      </c>
    </row>
    <row r="138" spans="1:23" s="4" customFormat="1" ht="14.45" customHeight="1" x14ac:dyDescent="0.25">
      <c r="A138" s="2">
        <f t="shared" si="13"/>
        <v>93922.676999999996</v>
      </c>
      <c r="B138" s="3">
        <v>284920</v>
      </c>
      <c r="C138" s="3">
        <v>3370842.4483754002</v>
      </c>
      <c r="D138" s="3">
        <v>656948.82674639998</v>
      </c>
      <c r="E138" s="3">
        <v>269.48496619999997</v>
      </c>
      <c r="F138" s="3">
        <f t="shared" si="0"/>
        <v>268.79696619999999</v>
      </c>
      <c r="G138" s="7">
        <v>93922.676999999996</v>
      </c>
      <c r="H138" s="7">
        <v>-11.016653399999999</v>
      </c>
      <c r="I138" s="3">
        <v>3370833.4362861002</v>
      </c>
      <c r="J138" s="3">
        <v>656942.49043060001</v>
      </c>
      <c r="K138" s="3">
        <v>270.22827659999996</v>
      </c>
      <c r="L138" s="3">
        <v>270.97027659999998</v>
      </c>
      <c r="M138" s="3">
        <f t="shared" si="11"/>
        <v>0.74331039999998438</v>
      </c>
      <c r="N138" s="3">
        <f t="shared" si="12"/>
        <v>2.1733103999999912</v>
      </c>
      <c r="O138" s="3">
        <v>-10.279097200000001</v>
      </c>
      <c r="P138" s="3">
        <v>266.86206140000002</v>
      </c>
      <c r="Q138" s="3">
        <v>6.1634017999999999</v>
      </c>
      <c r="R138" s="3">
        <v>268.91990909999998</v>
      </c>
      <c r="S138" s="3">
        <v>267.9596889</v>
      </c>
      <c r="T138" s="3">
        <f t="shared" si="14"/>
        <v>2.268587699999955</v>
      </c>
      <c r="U138" s="3">
        <f t="shared" si="3"/>
        <v>4.108215199999961</v>
      </c>
      <c r="V138" s="3">
        <f t="shared" si="4"/>
        <v>2.050367499999993</v>
      </c>
      <c r="W138" s="2">
        <f>VLOOKUP(B138,[1]CivilReport!$A$2:$E$342,5,FALSE)-H138</f>
        <v>-3.4660000000030777E-4</v>
      </c>
    </row>
    <row r="139" spans="1:23" s="4" customFormat="1" ht="14.45" customHeight="1" x14ac:dyDescent="0.25">
      <c r="A139" s="2">
        <f t="shared" si="13"/>
        <v>93942.682000000001</v>
      </c>
      <c r="B139" s="3">
        <v>284940</v>
      </c>
      <c r="C139" s="3">
        <v>3370853.9519467</v>
      </c>
      <c r="D139" s="3">
        <v>656932.46618890006</v>
      </c>
      <c r="E139" s="3">
        <v>269.49507540000002</v>
      </c>
      <c r="F139" s="3">
        <f t="shared" si="0"/>
        <v>268.80707540000003</v>
      </c>
      <c r="G139" s="7">
        <v>93942.682000000001</v>
      </c>
      <c r="H139" s="7">
        <v>-11.0118841</v>
      </c>
      <c r="I139" s="3">
        <v>3370844.9466189002</v>
      </c>
      <c r="J139" s="3">
        <v>656926.12855020002</v>
      </c>
      <c r="K139" s="3">
        <v>270.24335550000001</v>
      </c>
      <c r="L139" s="3">
        <v>270.98535550000003</v>
      </c>
      <c r="M139" s="3">
        <f t="shared" si="11"/>
        <v>0.74828009999998812</v>
      </c>
      <c r="N139" s="3">
        <f t="shared" si="12"/>
        <v>2.1782800999999949</v>
      </c>
      <c r="O139" s="3">
        <v>-10.566313900000001</v>
      </c>
      <c r="P139" s="3">
        <v>266.7335319</v>
      </c>
      <c r="Q139" s="3">
        <v>6.1696662</v>
      </c>
      <c r="R139" s="3">
        <v>268.93185570000003</v>
      </c>
      <c r="S139" s="3">
        <v>267.98348010000001</v>
      </c>
      <c r="T139" s="3">
        <f t="shared" si="14"/>
        <v>2.2598753999999985</v>
      </c>
      <c r="U139" s="3">
        <f t="shared" si="3"/>
        <v>4.2518236000000229</v>
      </c>
      <c r="V139" s="3">
        <f t="shared" si="4"/>
        <v>2.0534997999999973</v>
      </c>
      <c r="W139" s="2">
        <f>VLOOKUP(B139,[1]CivilReport!$A$2:$E$342,5,FALSE)-H139</f>
        <v>8.8410000000038735E-4</v>
      </c>
    </row>
    <row r="140" spans="1:23" s="4" customFormat="1" ht="14.45" customHeight="1" x14ac:dyDescent="0.25">
      <c r="A140" s="2">
        <f t="shared" si="13"/>
        <v>93962.682000000001</v>
      </c>
      <c r="B140" s="3">
        <v>284960</v>
      </c>
      <c r="C140" s="3">
        <v>3370865.4624903002</v>
      </c>
      <c r="D140" s="3">
        <v>656916.11053579999</v>
      </c>
      <c r="E140" s="3">
        <v>269.47851150000002</v>
      </c>
      <c r="F140" s="3">
        <f t="shared" si="0"/>
        <v>268.79051150000004</v>
      </c>
      <c r="G140" s="7">
        <v>93962.682000000001</v>
      </c>
      <c r="H140" s="7">
        <v>-11.0156396</v>
      </c>
      <c r="I140" s="3">
        <v>3370856.4540913999</v>
      </c>
      <c r="J140" s="3">
        <v>656909.77073580003</v>
      </c>
      <c r="K140" s="3">
        <v>270.2584306</v>
      </c>
      <c r="L140" s="3">
        <v>271.00043060000002</v>
      </c>
      <c r="M140" s="3">
        <f t="shared" si="11"/>
        <v>0.77991909999997233</v>
      </c>
      <c r="N140" s="3">
        <f t="shared" si="12"/>
        <v>2.2099190999999792</v>
      </c>
      <c r="O140" s="3">
        <v>-9.2643336999999999</v>
      </c>
      <c r="P140" s="3">
        <v>267.39959709999999</v>
      </c>
      <c r="Q140" s="3">
        <v>6.4362447999999999</v>
      </c>
      <c r="R140" s="3">
        <v>268.81364159999998</v>
      </c>
      <c r="S140" s="3">
        <v>268.23478319999998</v>
      </c>
      <c r="T140" s="3">
        <f t="shared" si="14"/>
        <v>2.0236474000000158</v>
      </c>
      <c r="U140" s="3">
        <f t="shared" si="3"/>
        <v>3.6008335000000216</v>
      </c>
      <c r="V140" s="3">
        <f t="shared" si="4"/>
        <v>2.186789000000033</v>
      </c>
      <c r="W140" s="2">
        <f>VLOOKUP(B140,[1]CivilReport!$A$2:$E$342,5,FALSE)-H140</f>
        <v>-3.6039999999992745E-4</v>
      </c>
    </row>
    <row r="141" spans="1:23" s="4" customFormat="1" ht="14.45" customHeight="1" x14ac:dyDescent="0.25">
      <c r="A141" s="2">
        <f t="shared" si="13"/>
        <v>93982.682000000001</v>
      </c>
      <c r="B141" s="3">
        <v>284980</v>
      </c>
      <c r="C141" s="3">
        <v>3370876.9730338999</v>
      </c>
      <c r="D141" s="3">
        <v>656899.75488280004</v>
      </c>
      <c r="E141" s="3">
        <v>269.46194750000001</v>
      </c>
      <c r="F141" s="3">
        <f t="shared" si="0"/>
        <v>268.77394750000002</v>
      </c>
      <c r="G141" s="7">
        <v>93982.682000000001</v>
      </c>
      <c r="H141" s="7">
        <v>-11.019394999999999</v>
      </c>
      <c r="I141" s="3">
        <v>3370867.9615639001</v>
      </c>
      <c r="J141" s="3">
        <v>656893.41292150004</v>
      </c>
      <c r="K141" s="3">
        <v>270.27350580000001</v>
      </c>
      <c r="L141" s="3">
        <v>271.01550580000003</v>
      </c>
      <c r="M141" s="3">
        <f t="shared" si="11"/>
        <v>0.81155830000000151</v>
      </c>
      <c r="N141" s="3">
        <f t="shared" si="12"/>
        <v>2.2415583000000083</v>
      </c>
      <c r="O141" s="3">
        <v>-7.9688477999999998</v>
      </c>
      <c r="P141" s="3">
        <v>268.06241519999998</v>
      </c>
      <c r="Q141" s="3">
        <v>6.6089742999999999</v>
      </c>
      <c r="R141" s="3">
        <v>268.74235199999998</v>
      </c>
      <c r="S141" s="3">
        <v>268.38005879999997</v>
      </c>
      <c r="T141" s="3">
        <f t="shared" si="14"/>
        <v>1.8934470000000374</v>
      </c>
      <c r="U141" s="3">
        <f t="shared" si="3"/>
        <v>2.9530906000000527</v>
      </c>
      <c r="V141" s="3">
        <f t="shared" si="4"/>
        <v>2.2731538000000455</v>
      </c>
      <c r="W141" s="2">
        <f>VLOOKUP(B141,[1]CivilReport!$A$2:$E$342,5,FALSE)-H141</f>
        <v>3.9499999999925706E-4</v>
      </c>
    </row>
    <row r="142" spans="1:23" s="4" customFormat="1" ht="14.45" customHeight="1" x14ac:dyDescent="0.25">
      <c r="A142" s="2">
        <f t="shared" si="13"/>
        <v>94002.679000000004</v>
      </c>
      <c r="B142" s="3">
        <v>285000</v>
      </c>
      <c r="C142" s="3">
        <v>3370888.4796102</v>
      </c>
      <c r="D142" s="3">
        <v>656883.39643860003</v>
      </c>
      <c r="E142" s="3">
        <v>269.4782252</v>
      </c>
      <c r="F142" s="3">
        <f t="shared" si="0"/>
        <v>268.79022520000001</v>
      </c>
      <c r="G142" s="7">
        <v>94002.679000000004</v>
      </c>
      <c r="H142" s="7">
        <v>-11.0182994</v>
      </c>
      <c r="I142" s="3">
        <v>3370879.4671654999</v>
      </c>
      <c r="J142" s="3">
        <v>656877.05776650005</v>
      </c>
      <c r="K142" s="3">
        <v>270.28857849999997</v>
      </c>
      <c r="L142" s="3">
        <v>271.03057849999999</v>
      </c>
      <c r="M142" s="3">
        <f t="shared" si="11"/>
        <v>0.8103532999999743</v>
      </c>
      <c r="N142" s="3">
        <f t="shared" si="12"/>
        <v>2.2403532999999811</v>
      </c>
      <c r="O142" s="3">
        <v>-6.6890790999999998</v>
      </c>
      <c r="P142" s="3">
        <v>268.71737230000002</v>
      </c>
      <c r="Q142" s="3">
        <v>6.5383122</v>
      </c>
      <c r="R142" s="3">
        <v>268.79275569999999</v>
      </c>
      <c r="S142" s="3">
        <v>268.76391489999997</v>
      </c>
      <c r="T142" s="3">
        <f t="shared" si="14"/>
        <v>1.5246635999999967</v>
      </c>
      <c r="U142" s="3">
        <f t="shared" si="3"/>
        <v>2.3132061999999678</v>
      </c>
      <c r="V142" s="3">
        <f t="shared" si="4"/>
        <v>2.2378228000000036</v>
      </c>
      <c r="W142" s="2">
        <f>VLOOKUP(B142,[1]CivilReport!$A$2:$E$342,5,FALSE)-H142</f>
        <v>2.9939999999939459E-4</v>
      </c>
    </row>
    <row r="143" spans="1:23" s="4" customFormat="1" ht="14.45" customHeight="1" x14ac:dyDescent="0.25">
      <c r="A143" s="2">
        <f t="shared" si="13"/>
        <v>94022.679000000004</v>
      </c>
      <c r="B143" s="3">
        <v>285020</v>
      </c>
      <c r="C143" s="3">
        <v>3370899.9853277002</v>
      </c>
      <c r="D143" s="3">
        <v>656867.03739019996</v>
      </c>
      <c r="E143" s="3">
        <v>269.5016119</v>
      </c>
      <c r="F143" s="3">
        <f t="shared" si="0"/>
        <v>268.81361190000001</v>
      </c>
      <c r="G143" s="7">
        <v>94022.679000000004</v>
      </c>
      <c r="H143" s="7">
        <v>-11.016154</v>
      </c>
      <c r="I143" s="3">
        <v>3370890.9746377999</v>
      </c>
      <c r="J143" s="3">
        <v>656860.69995240006</v>
      </c>
      <c r="K143" s="3">
        <v>270.30365359999996</v>
      </c>
      <c r="L143" s="3">
        <v>271.04565359999998</v>
      </c>
      <c r="M143" s="3">
        <f t="shared" si="11"/>
        <v>0.80204169999996111</v>
      </c>
      <c r="N143" s="3">
        <f t="shared" si="12"/>
        <v>2.2320416999999679</v>
      </c>
      <c r="O143" s="3">
        <v>-5.7508216999999995</v>
      </c>
      <c r="P143" s="3">
        <v>269.20157610000001</v>
      </c>
      <c r="Q143" s="3">
        <v>6.2122498999999998</v>
      </c>
      <c r="R143" s="3">
        <v>268.97086200000001</v>
      </c>
      <c r="S143" s="3">
        <v>269.0831566</v>
      </c>
      <c r="T143" s="3">
        <f t="shared" si="14"/>
        <v>1.2204969999999662</v>
      </c>
      <c r="U143" s="3">
        <f t="shared" si="3"/>
        <v>1.8440774999999689</v>
      </c>
      <c r="V143" s="3">
        <f t="shared" si="4"/>
        <v>2.0747915999999691</v>
      </c>
      <c r="W143" s="2">
        <f>VLOOKUP(B143,[1]CivilReport!$A$2:$E$342,5,FALSE)-H143</f>
        <v>1.5400000000020952E-4</v>
      </c>
    </row>
    <row r="144" spans="1:23" s="4" customFormat="1" ht="14.45" customHeight="1" x14ac:dyDescent="0.25">
      <c r="A144" s="2">
        <f t="shared" si="13"/>
        <v>94042.680999999997</v>
      </c>
      <c r="B144" s="3">
        <v>285040</v>
      </c>
      <c r="C144" s="3">
        <v>3370911.4932982</v>
      </c>
      <c r="D144" s="3">
        <v>656850.67992669996</v>
      </c>
      <c r="E144" s="3">
        <v>269.53027040000001</v>
      </c>
      <c r="F144" s="3">
        <f t="shared" si="0"/>
        <v>268.84227040000002</v>
      </c>
      <c r="G144" s="7">
        <v>94042.680999999997</v>
      </c>
      <c r="H144" s="7">
        <v>-11.0167632</v>
      </c>
      <c r="I144" s="3">
        <v>3370902.4832671001</v>
      </c>
      <c r="J144" s="3">
        <v>656844.3404936</v>
      </c>
      <c r="K144" s="3">
        <v>270.3187302</v>
      </c>
      <c r="L144" s="3">
        <v>271.06073020000002</v>
      </c>
      <c r="M144" s="3">
        <f t="shared" si="11"/>
        <v>0.78845979999999827</v>
      </c>
      <c r="N144" s="3">
        <f t="shared" si="12"/>
        <v>2.2184598000000051</v>
      </c>
      <c r="O144" s="3">
        <v>-5.1400908000000003</v>
      </c>
      <c r="P144" s="3">
        <v>269.52201819999999</v>
      </c>
      <c r="Q144" s="3">
        <v>5.5108857999999996</v>
      </c>
      <c r="R144" s="3">
        <v>269.33662070000003</v>
      </c>
      <c r="S144" s="3">
        <v>269.41075360000002</v>
      </c>
      <c r="T144" s="3">
        <f t="shared" si="14"/>
        <v>0.90797659999998359</v>
      </c>
      <c r="U144" s="3">
        <f t="shared" si="3"/>
        <v>1.5387120000000323</v>
      </c>
      <c r="V144" s="3">
        <f t="shared" si="4"/>
        <v>1.7241094999999973</v>
      </c>
      <c r="W144" s="2">
        <f>VLOOKUP(B144,[1]CivilReport!$A$2:$E$342,5,FALSE)-H144</f>
        <v>-2.3679999999970391E-4</v>
      </c>
    </row>
    <row r="145" spans="1:23" s="4" customFormat="1" ht="14.45" customHeight="1" x14ac:dyDescent="0.25">
      <c r="A145" s="2">
        <f t="shared" si="13"/>
        <v>94062.680999999997</v>
      </c>
      <c r="B145" s="3">
        <v>285060</v>
      </c>
      <c r="C145" s="3">
        <v>3370923.0020017</v>
      </c>
      <c r="D145" s="3">
        <v>656834.32297880005</v>
      </c>
      <c r="E145" s="3">
        <v>269.56064420000001</v>
      </c>
      <c r="F145" s="3">
        <f t="shared" si="0"/>
        <v>268.87264420000002</v>
      </c>
      <c r="G145" s="7">
        <v>94062.680999999997</v>
      </c>
      <c r="H145" s="7">
        <v>-11.018268600000001</v>
      </c>
      <c r="I145" s="3">
        <v>3370913.9907395002</v>
      </c>
      <c r="J145" s="3">
        <v>656827.98267940001</v>
      </c>
      <c r="K145" s="3">
        <v>270.33380539999996</v>
      </c>
      <c r="L145" s="3">
        <v>271.07580539999998</v>
      </c>
      <c r="M145" s="3">
        <f t="shared" si="11"/>
        <v>0.77316119999994726</v>
      </c>
      <c r="N145" s="3">
        <f t="shared" si="12"/>
        <v>2.2031611999999541</v>
      </c>
      <c r="O145" s="3">
        <v>-4.8021510999999997</v>
      </c>
      <c r="P145" s="3">
        <v>269.70606320000002</v>
      </c>
      <c r="Q145" s="3">
        <v>4.6102794999999999</v>
      </c>
      <c r="R145" s="3">
        <v>269.8019989</v>
      </c>
      <c r="S145" s="3">
        <v>269.8550242</v>
      </c>
      <c r="T145" s="3">
        <f t="shared" si="14"/>
        <v>0.47878119999995761</v>
      </c>
      <c r="U145" s="3">
        <f t="shared" si="3"/>
        <v>1.3697421999999619</v>
      </c>
      <c r="V145" s="3">
        <f t="shared" si="4"/>
        <v>1.2738064999999779</v>
      </c>
      <c r="W145" s="2">
        <f>VLOOKUP(B145,[1]CivilReport!$A$2:$E$342,5,FALSE)-H145</f>
        <v>2.6860000000006323E-4</v>
      </c>
    </row>
    <row r="146" spans="1:23" s="4" customFormat="1" ht="14.45" customHeight="1" x14ac:dyDescent="0.25">
      <c r="A146" s="2">
        <f t="shared" si="13"/>
        <v>94082.675000000003</v>
      </c>
      <c r="B146" s="3">
        <v>285080</v>
      </c>
      <c r="C146" s="3">
        <v>3370934.5059198001</v>
      </c>
      <c r="D146" s="3">
        <v>656817.96266590001</v>
      </c>
      <c r="E146" s="3">
        <v>269.5875188</v>
      </c>
      <c r="F146" s="3">
        <f t="shared" si="0"/>
        <v>268.89951880000001</v>
      </c>
      <c r="G146" s="7">
        <v>94082.675000000003</v>
      </c>
      <c r="H146" s="7">
        <v>-11.0139251</v>
      </c>
      <c r="I146" s="3">
        <v>3370925.4947353001</v>
      </c>
      <c r="J146" s="3">
        <v>656811.62980710005</v>
      </c>
      <c r="K146" s="3">
        <v>270.3488759</v>
      </c>
      <c r="L146" s="3">
        <v>271.09087590000001</v>
      </c>
      <c r="M146" s="3">
        <f t="shared" si="11"/>
        <v>0.7613570999999979</v>
      </c>
      <c r="N146" s="3">
        <f t="shared" si="12"/>
        <v>2.1913571000000047</v>
      </c>
      <c r="O146" s="3">
        <v>-5.6896734000000002</v>
      </c>
      <c r="P146" s="3">
        <v>269.27737259999998</v>
      </c>
      <c r="Q146" s="3">
        <v>4.1051820000000001</v>
      </c>
      <c r="R146" s="3">
        <v>270.0696183</v>
      </c>
      <c r="S146" s="3">
        <v>270.01884000000001</v>
      </c>
      <c r="T146" s="3">
        <f t="shared" si="14"/>
        <v>0.33003589999998439</v>
      </c>
      <c r="U146" s="3">
        <f t="shared" si="3"/>
        <v>1.8135033000000362</v>
      </c>
      <c r="V146" s="3">
        <f t="shared" si="4"/>
        <v>1.0212576000000126</v>
      </c>
      <c r="W146" s="2">
        <f>VLOOKUP(B146,[1]CivilReport!$A$2:$E$342,5,FALSE)-H146</f>
        <v>-7.4899999999544775E-5</v>
      </c>
    </row>
    <row r="147" spans="1:23" s="4" customFormat="1" ht="14.45" customHeight="1" x14ac:dyDescent="0.25">
      <c r="A147" s="2">
        <f t="shared" si="13"/>
        <v>94102.675000000003</v>
      </c>
      <c r="B147" s="3">
        <v>285100</v>
      </c>
      <c r="C147" s="3">
        <v>3370946.0056508002</v>
      </c>
      <c r="D147" s="3">
        <v>656801.59940860001</v>
      </c>
      <c r="E147" s="3">
        <v>269.61133169999999</v>
      </c>
      <c r="F147" s="3">
        <f t="shared" si="0"/>
        <v>268.92333170000001</v>
      </c>
      <c r="G147" s="7">
        <v>94102.675000000003</v>
      </c>
      <c r="H147" s="7">
        <v>-11.0044617</v>
      </c>
      <c r="I147" s="3">
        <v>3370937.0022089002</v>
      </c>
      <c r="J147" s="3">
        <v>656795.27199110005</v>
      </c>
      <c r="K147" s="3">
        <v>270.36395110000001</v>
      </c>
      <c r="L147" s="3">
        <v>271.10595110000003</v>
      </c>
      <c r="M147" s="3">
        <f t="shared" si="11"/>
        <v>0.75261940000001459</v>
      </c>
      <c r="N147" s="3">
        <f t="shared" si="12"/>
        <v>2.1826194000000214</v>
      </c>
      <c r="O147" s="3">
        <v>-6.9393526000000003</v>
      </c>
      <c r="P147" s="3">
        <v>268.6676081</v>
      </c>
      <c r="Q147" s="3">
        <v>3.9893714</v>
      </c>
      <c r="R147" s="3">
        <v>270.16497190000001</v>
      </c>
      <c r="S147" s="3">
        <v>269.99256209999999</v>
      </c>
      <c r="T147" s="3">
        <f t="shared" si="14"/>
        <v>0.37138900000002195</v>
      </c>
      <c r="U147" s="3">
        <f t="shared" si="3"/>
        <v>2.4383430000000317</v>
      </c>
      <c r="V147" s="3">
        <f t="shared" si="4"/>
        <v>0.94097920000001523</v>
      </c>
      <c r="W147" s="2">
        <f>VLOOKUP(B147,[1]CivilReport!$A$2:$E$342,5,FALSE)-H147</f>
        <v>-5.3830000000054667E-4</v>
      </c>
    </row>
    <row r="148" spans="1:23" s="4" customFormat="1" ht="14.45" customHeight="1" x14ac:dyDescent="0.25">
      <c r="A148" s="2">
        <f t="shared" si="13"/>
        <v>94122.675000000003</v>
      </c>
      <c r="B148" s="3">
        <v>285120</v>
      </c>
      <c r="C148" s="3">
        <v>3370957.5053817998</v>
      </c>
      <c r="D148" s="3">
        <v>656785.23615140002</v>
      </c>
      <c r="E148" s="3">
        <v>269.63514459999999</v>
      </c>
      <c r="F148" s="3">
        <f t="shared" si="0"/>
        <v>268.9471446</v>
      </c>
      <c r="G148" s="7">
        <v>94122.675000000003</v>
      </c>
      <c r="H148" s="7">
        <v>-10.994998300000001</v>
      </c>
      <c r="I148" s="3">
        <v>3370948.5096824998</v>
      </c>
      <c r="J148" s="3">
        <v>656778.91417530004</v>
      </c>
      <c r="K148" s="3">
        <v>270.3790262</v>
      </c>
      <c r="L148" s="3">
        <v>271.12102620000002</v>
      </c>
      <c r="M148" s="3">
        <f t="shared" si="11"/>
        <v>0.7438816000000088</v>
      </c>
      <c r="N148" s="3">
        <f t="shared" si="12"/>
        <v>2.1738816000000156</v>
      </c>
      <c r="O148" s="3">
        <v>-9.0692508000000007</v>
      </c>
      <c r="P148" s="3">
        <v>267.61773410000001</v>
      </c>
      <c r="Q148" s="3">
        <v>4.0408403000000002</v>
      </c>
      <c r="R148" s="3">
        <v>270.27683939999997</v>
      </c>
      <c r="S148" s="3">
        <v>269.56179100000003</v>
      </c>
      <c r="T148" s="3">
        <f t="shared" si="14"/>
        <v>0.81723519999997052</v>
      </c>
      <c r="U148" s="3">
        <f t="shared" si="3"/>
        <v>3.5032921000000101</v>
      </c>
      <c r="V148" s="3">
        <f t="shared" si="4"/>
        <v>0.84418680000004542</v>
      </c>
      <c r="W148" s="2">
        <f>VLOOKUP(B148,[1]CivilReport!$A$2:$E$342,5,FALSE)-H148</f>
        <v>-1.6999999985500835E-6</v>
      </c>
    </row>
    <row r="149" spans="1:23" s="4" customFormat="1" ht="14.45" customHeight="1" x14ac:dyDescent="0.25">
      <c r="A149" s="2">
        <f t="shared" si="13"/>
        <v>94142.680999999997</v>
      </c>
      <c r="B149" s="3">
        <v>285140</v>
      </c>
      <c r="C149" s="3">
        <v>3370969.0127300001</v>
      </c>
      <c r="D149" s="3">
        <v>656768.87825059996</v>
      </c>
      <c r="E149" s="3">
        <v>269.65549950000002</v>
      </c>
      <c r="F149" s="3">
        <f t="shared" si="0"/>
        <v>268.96749950000003</v>
      </c>
      <c r="G149" s="7">
        <v>94142.680999999997</v>
      </c>
      <c r="H149" s="7">
        <v>-10.9948458</v>
      </c>
      <c r="I149" s="3">
        <v>3370960.0206690002</v>
      </c>
      <c r="J149" s="3">
        <v>656762.55136569997</v>
      </c>
      <c r="K149" s="3">
        <v>270.3941059</v>
      </c>
      <c r="L149" s="3">
        <v>271.13610590000002</v>
      </c>
      <c r="M149" s="3">
        <f t="shared" si="11"/>
        <v>0.73860639999998057</v>
      </c>
      <c r="N149" s="3">
        <f t="shared" si="12"/>
        <v>2.1686063999999874</v>
      </c>
      <c r="O149" s="3">
        <v>-10.640633899999999</v>
      </c>
      <c r="P149" s="3">
        <v>266.84712239999999</v>
      </c>
      <c r="Q149" s="3">
        <v>5.1859033999999999</v>
      </c>
      <c r="R149" s="3">
        <v>269.5744876</v>
      </c>
      <c r="S149" s="3">
        <v>268.64180449999998</v>
      </c>
      <c r="T149" s="3">
        <f t="shared" si="14"/>
        <v>1.7523014000000217</v>
      </c>
      <c r="U149" s="3">
        <f t="shared" si="3"/>
        <v>4.2889835000000289</v>
      </c>
      <c r="V149" s="3">
        <f t="shared" si="4"/>
        <v>1.5616183000000206</v>
      </c>
      <c r="W149" s="2">
        <f>VLOOKUP(B149,[1]CivilReport!$A$2:$E$342,5,FALSE)-H149</f>
        <v>-1.5419999999899403E-4</v>
      </c>
    </row>
    <row r="150" spans="1:23" s="4" customFormat="1" ht="14.45" customHeight="1" x14ac:dyDescent="0.25">
      <c r="A150" s="2">
        <f t="shared" si="13"/>
        <v>94162.680999999997</v>
      </c>
      <c r="B150" s="3">
        <v>285160</v>
      </c>
      <c r="C150" s="3">
        <v>3370980.5215496998</v>
      </c>
      <c r="D150" s="3">
        <v>656752.52138449997</v>
      </c>
      <c r="E150" s="3">
        <v>269.67518639999997</v>
      </c>
      <c r="F150" s="3">
        <f t="shared" si="0"/>
        <v>268.98718639999998</v>
      </c>
      <c r="G150" s="7">
        <v>94162.680999999997</v>
      </c>
      <c r="H150" s="7">
        <v>-10.996493299999999</v>
      </c>
      <c r="I150" s="3">
        <v>3370971.5281413002</v>
      </c>
      <c r="J150" s="3">
        <v>656746.19355149998</v>
      </c>
      <c r="K150" s="3">
        <v>270.40918109999996</v>
      </c>
      <c r="L150" s="3">
        <v>271.15118109999997</v>
      </c>
      <c r="M150" s="3">
        <f t="shared" si="11"/>
        <v>0.73399469999998246</v>
      </c>
      <c r="N150" s="3">
        <f t="shared" si="12"/>
        <v>2.1639946999999893</v>
      </c>
      <c r="O150" s="3">
        <v>-10.7966239</v>
      </c>
      <c r="P150" s="3">
        <v>266.78420249999999</v>
      </c>
      <c r="Q150" s="3">
        <v>5.7945364000000001</v>
      </c>
      <c r="R150" s="3">
        <v>269.28524620000002</v>
      </c>
      <c r="S150" s="3">
        <v>267.7475311</v>
      </c>
      <c r="T150" s="3">
        <f t="shared" si="14"/>
        <v>2.6616499999999519</v>
      </c>
      <c r="U150" s="3">
        <f t="shared" si="3"/>
        <v>4.3669785999999817</v>
      </c>
      <c r="V150" s="3">
        <f t="shared" si="4"/>
        <v>1.8659348999999565</v>
      </c>
      <c r="W150" s="2">
        <f>VLOOKUP(B150,[1]CivilReport!$A$2:$E$342,5,FALSE)-H150</f>
        <v>-5.0670000000074822E-4</v>
      </c>
    </row>
    <row r="151" spans="1:23" s="4" customFormat="1" ht="14.45" customHeight="1" x14ac:dyDescent="0.25">
      <c r="A151" s="2">
        <f t="shared" si="13"/>
        <v>94182.676000000007</v>
      </c>
      <c r="B151" s="3">
        <v>285180</v>
      </c>
      <c r="C151" s="3">
        <v>3370992.0273797</v>
      </c>
      <c r="D151" s="3">
        <v>656736.16241570003</v>
      </c>
      <c r="E151" s="3">
        <v>269.69958980000001</v>
      </c>
      <c r="F151" s="3">
        <f t="shared" si="0"/>
        <v>269.01158980000002</v>
      </c>
      <c r="G151" s="7">
        <v>94182.676000000007</v>
      </c>
      <c r="H151" s="7">
        <v>-10.9944863</v>
      </c>
      <c r="I151" s="3">
        <v>3370983.0330395</v>
      </c>
      <c r="J151" s="3">
        <v>656729.83939660003</v>
      </c>
      <c r="K151" s="3">
        <v>270.42425279999998</v>
      </c>
      <c r="L151" s="3">
        <v>271.1662528</v>
      </c>
      <c r="M151" s="3">
        <f t="shared" si="11"/>
        <v>0.72466299999996409</v>
      </c>
      <c r="N151" s="3">
        <f t="shared" si="12"/>
        <v>2.1546629999999709</v>
      </c>
      <c r="O151" s="3">
        <v>-10.4829983</v>
      </c>
      <c r="P151" s="3">
        <v>266.95608700000003</v>
      </c>
      <c r="Q151" s="3">
        <v>6.2205757999999998</v>
      </c>
      <c r="R151" s="3">
        <v>269.08729829999999</v>
      </c>
      <c r="S151" s="3">
        <v>267.65562469999998</v>
      </c>
      <c r="T151" s="3">
        <f t="shared" si="14"/>
        <v>2.7686281000000008</v>
      </c>
      <c r="U151" s="3">
        <f t="shared" si="3"/>
        <v>4.2101657999999702</v>
      </c>
      <c r="V151" s="3">
        <f t="shared" si="4"/>
        <v>2.0789545000000089</v>
      </c>
      <c r="W151" s="2">
        <f>VLOOKUP(B151,[1]CivilReport!$A$2:$E$342,5,FALSE)-H151</f>
        <v>-5.1369999999906213E-4</v>
      </c>
    </row>
    <row r="152" spans="1:23" s="4" customFormat="1" ht="14.45" customHeight="1" x14ac:dyDescent="0.25">
      <c r="A152" s="2">
        <f t="shared" si="13"/>
        <v>94202.676000000007</v>
      </c>
      <c r="B152" s="3">
        <v>285200</v>
      </c>
      <c r="C152" s="3">
        <v>3371003.5295436</v>
      </c>
      <c r="D152" s="3">
        <v>656719.80086850002</v>
      </c>
      <c r="E152" s="3">
        <v>269.72977689999999</v>
      </c>
      <c r="F152" s="3">
        <f t="shared" si="0"/>
        <v>269.0417769</v>
      </c>
      <c r="G152" s="7">
        <v>94202.676000000007</v>
      </c>
      <c r="H152" s="7">
        <v>-10.987996600000001</v>
      </c>
      <c r="I152" s="3">
        <v>3370994.5405124002</v>
      </c>
      <c r="J152" s="3">
        <v>656713.48158160003</v>
      </c>
      <c r="K152" s="3">
        <v>270.43932799999999</v>
      </c>
      <c r="L152" s="3">
        <v>271.18132800000001</v>
      </c>
      <c r="M152" s="3">
        <f t="shared" si="11"/>
        <v>0.70955109999999877</v>
      </c>
      <c r="N152" s="3">
        <f t="shared" si="12"/>
        <v>2.1395511000000056</v>
      </c>
      <c r="O152" s="3">
        <v>-10.849262</v>
      </c>
      <c r="P152" s="3">
        <v>266.7880303</v>
      </c>
      <c r="Q152" s="3">
        <v>6.3380710000000002</v>
      </c>
      <c r="R152" s="3">
        <v>269.04362579999997</v>
      </c>
      <c r="S152" s="3">
        <v>267.51011979999998</v>
      </c>
      <c r="T152" s="3">
        <f t="shared" si="14"/>
        <v>2.929208200000005</v>
      </c>
      <c r="U152" s="3">
        <f t="shared" si="3"/>
        <v>4.3932977000000051</v>
      </c>
      <c r="V152" s="3">
        <f t="shared" si="4"/>
        <v>2.1377022000000352</v>
      </c>
      <c r="W152" s="2">
        <f>VLOOKUP(B152,[1]CivilReport!$A$2:$E$342,5,FALSE)-H152</f>
        <v>-3.3999999988765239E-6</v>
      </c>
    </row>
    <row r="153" spans="1:23" s="4" customFormat="1" ht="14.45" customHeight="1" x14ac:dyDescent="0.25">
      <c r="A153" s="2">
        <f t="shared" si="13"/>
        <v>94222.688999999998</v>
      </c>
      <c r="B153" s="3">
        <v>285220</v>
      </c>
      <c r="C153" s="3">
        <v>3371015.0407747999</v>
      </c>
      <c r="D153" s="3">
        <v>656703.44570359995</v>
      </c>
      <c r="E153" s="3">
        <v>269.75237129999999</v>
      </c>
      <c r="F153" s="3">
        <f t="shared" si="0"/>
        <v>269.0643713</v>
      </c>
      <c r="G153" s="7">
        <v>94222.688999999998</v>
      </c>
      <c r="H153" s="7">
        <v>-10.992598600000001</v>
      </c>
      <c r="I153" s="3">
        <v>3371006.0553513998</v>
      </c>
      <c r="J153" s="3">
        <v>656697.11329570005</v>
      </c>
      <c r="K153" s="3">
        <v>270.4544128</v>
      </c>
      <c r="L153" s="3">
        <v>271.19641280000002</v>
      </c>
      <c r="M153" s="3">
        <f t="shared" si="11"/>
        <v>0.70204150000000709</v>
      </c>
      <c r="N153" s="3">
        <f t="shared" si="12"/>
        <v>2.1320415000000139</v>
      </c>
      <c r="O153" s="3">
        <v>-10.8550152</v>
      </c>
      <c r="P153" s="3">
        <v>266.80023849999998</v>
      </c>
      <c r="Q153" s="3">
        <v>6.4072762000000001</v>
      </c>
      <c r="R153" s="3">
        <v>269.02410800000001</v>
      </c>
      <c r="S153" s="3">
        <v>267.56195259999998</v>
      </c>
      <c r="T153" s="3">
        <f t="shared" si="14"/>
        <v>2.8924602000000164</v>
      </c>
      <c r="U153" s="3">
        <f t="shared" si="3"/>
        <v>4.3961743000000411</v>
      </c>
      <c r="V153" s="3">
        <f t="shared" si="4"/>
        <v>2.1723048000000063</v>
      </c>
      <c r="W153" s="2">
        <f>VLOOKUP(B153,[1]CivilReport!$A$2:$E$342,5,FALSE)-H153</f>
        <v>-4.0139999999944109E-4</v>
      </c>
    </row>
    <row r="154" spans="1:23" s="4" customFormat="1" ht="14.45" customHeight="1" x14ac:dyDescent="0.25">
      <c r="A154" s="2">
        <f t="shared" si="13"/>
        <v>94242.688999999998</v>
      </c>
      <c r="B154" s="3">
        <v>285240</v>
      </c>
      <c r="C154" s="3">
        <v>3371026.5619957</v>
      </c>
      <c r="D154" s="3">
        <v>656687.09757009998</v>
      </c>
      <c r="E154" s="3">
        <v>269.76660070000003</v>
      </c>
      <c r="F154" s="3">
        <f t="shared" si="0"/>
        <v>269.07860070000004</v>
      </c>
      <c r="G154" s="3">
        <v>94242.688999999998</v>
      </c>
      <c r="H154" s="3">
        <v>-11.0094134</v>
      </c>
      <c r="I154" s="3">
        <v>3371017.5628276998</v>
      </c>
      <c r="J154" s="3">
        <v>656680.75547590002</v>
      </c>
      <c r="K154" s="3">
        <v>270.46948789999999</v>
      </c>
      <c r="L154" s="3">
        <v>271.21148790000001</v>
      </c>
      <c r="M154" s="3">
        <f t="shared" si="11"/>
        <v>0.70288719999996374</v>
      </c>
      <c r="N154" s="3">
        <f t="shared" si="12"/>
        <v>2.1328871999999706</v>
      </c>
      <c r="O154" s="3">
        <v>-10.8039624</v>
      </c>
      <c r="P154" s="3">
        <v>266.84084000000001</v>
      </c>
      <c r="Q154" s="3">
        <v>6.4664009</v>
      </c>
      <c r="R154" s="3">
        <v>269.00962079999999</v>
      </c>
      <c r="S154" s="3">
        <v>267.6138904</v>
      </c>
      <c r="T154" s="3">
        <f t="shared" si="14"/>
        <v>2.8555974999999876</v>
      </c>
      <c r="U154" s="3">
        <f t="shared" si="3"/>
        <v>4.3706478999999945</v>
      </c>
      <c r="V154" s="3">
        <f t="shared" si="4"/>
        <v>2.2018671000000154</v>
      </c>
      <c r="W154" s="2">
        <f>VLOOKUP(B154,[1]CivilReport!$A$2:$E$342,5,FALSE)-H154</f>
        <v>4.1339999999934207E-4</v>
      </c>
    </row>
    <row r="155" spans="1:23" s="4" customFormat="1" ht="14.45" customHeight="1" x14ac:dyDescent="0.25">
      <c r="A155" s="2">
        <f t="shared" si="13"/>
        <v>94262.683000000005</v>
      </c>
      <c r="B155" s="3">
        <v>285260</v>
      </c>
      <c r="C155" s="3">
        <v>3371038.0819576001</v>
      </c>
      <c r="D155" s="3">
        <v>656670.74854990002</v>
      </c>
      <c r="E155" s="3">
        <v>269.776207</v>
      </c>
      <c r="F155" s="3">
        <f t="shared" si="0"/>
        <v>269.08820700000001</v>
      </c>
      <c r="G155" s="3">
        <v>94262.683000000005</v>
      </c>
      <c r="H155" s="3">
        <v>-11.0246847</v>
      </c>
      <c r="I155" s="3">
        <v>3371029.0665062</v>
      </c>
      <c r="J155" s="3">
        <v>656664.4030547</v>
      </c>
      <c r="K155" s="3">
        <v>270.48455809999996</v>
      </c>
      <c r="L155" s="3">
        <v>271.22655809999998</v>
      </c>
      <c r="M155" s="3">
        <f t="shared" si="11"/>
        <v>0.70835109999995893</v>
      </c>
      <c r="N155" s="3">
        <f t="shared" si="12"/>
        <v>2.1383510999999658</v>
      </c>
      <c r="O155" s="3">
        <v>-10.5753658</v>
      </c>
      <c r="P155" s="3">
        <v>266.97020850000001</v>
      </c>
      <c r="Q155" s="3">
        <v>6.4864433000000004</v>
      </c>
      <c r="R155" s="3">
        <v>269.01466979999998</v>
      </c>
      <c r="S155" s="3">
        <v>267.68992129999998</v>
      </c>
      <c r="T155" s="3">
        <f t="shared" si="14"/>
        <v>2.7946367999999779</v>
      </c>
      <c r="U155" s="3">
        <f t="shared" si="3"/>
        <v>4.2563495999999645</v>
      </c>
      <c r="V155" s="3">
        <f t="shared" si="4"/>
        <v>2.2118882999999983</v>
      </c>
      <c r="W155" s="2">
        <f>VLOOKUP(B155,[1]CivilReport!$A$2:$E$342,5,FALSE)-H155</f>
        <v>6.847000000007597E-4</v>
      </c>
    </row>
    <row r="156" spans="1:23" s="4" customFormat="1" ht="14.45" customHeight="1" x14ac:dyDescent="0.25">
      <c r="A156" s="2">
        <f t="shared" si="13"/>
        <v>94282.683000000005</v>
      </c>
      <c r="B156" s="3">
        <v>285280</v>
      </c>
      <c r="C156" s="3">
        <v>3371049.5933890999</v>
      </c>
      <c r="D156" s="3">
        <v>656654.39352180006</v>
      </c>
      <c r="E156" s="3">
        <v>269.75449099999997</v>
      </c>
      <c r="F156" s="3">
        <f t="shared" si="0"/>
        <v>269.06649099999998</v>
      </c>
      <c r="G156" s="3">
        <v>94282.683000000005</v>
      </c>
      <c r="H156" s="3">
        <v>-11.029525899999999</v>
      </c>
      <c r="I156" s="3">
        <v>3371040.5739787999</v>
      </c>
      <c r="J156" s="3">
        <v>656648.04524010001</v>
      </c>
      <c r="K156" s="3">
        <v>270.49963320000001</v>
      </c>
      <c r="L156" s="3">
        <v>271.24163320000002</v>
      </c>
      <c r="M156" s="3">
        <f t="shared" si="11"/>
        <v>0.74514220000003206</v>
      </c>
      <c r="N156" s="3">
        <f t="shared" si="12"/>
        <v>2.1751422000000389</v>
      </c>
      <c r="O156" s="3">
        <v>-10.2545535</v>
      </c>
      <c r="P156" s="3">
        <v>267.14568969999999</v>
      </c>
      <c r="Q156" s="3">
        <v>6.4390488000000001</v>
      </c>
      <c r="R156" s="3">
        <v>269.05344209999998</v>
      </c>
      <c r="S156" s="3">
        <v>267.7973169</v>
      </c>
      <c r="T156" s="3">
        <f t="shared" si="14"/>
        <v>2.7023163000000068</v>
      </c>
      <c r="U156" s="3">
        <f t="shared" si="3"/>
        <v>4.0959435000000326</v>
      </c>
      <c r="V156" s="3">
        <f t="shared" si="4"/>
        <v>2.18819110000004</v>
      </c>
      <c r="W156" s="2">
        <f>VLOOKUP(B156,[1]CivilReport!$A$2:$E$342,5,FALSE)-H156</f>
        <v>-4.7409999999992181E-4</v>
      </c>
    </row>
    <row r="157" spans="1:23" s="4" customFormat="1" ht="14.45" customHeight="1" x14ac:dyDescent="0.25">
      <c r="A157" s="2">
        <f t="shared" si="13"/>
        <v>94302.67</v>
      </c>
      <c r="B157" s="3">
        <v>285300</v>
      </c>
      <c r="C157" s="3">
        <v>3371061.1037499001</v>
      </c>
      <c r="D157" s="3">
        <v>656638.03774089995</v>
      </c>
      <c r="E157" s="3">
        <v>269.73777669999998</v>
      </c>
      <c r="F157" s="3">
        <f t="shared" si="0"/>
        <v>269.0497767</v>
      </c>
      <c r="G157" s="3">
        <v>94302.67</v>
      </c>
      <c r="H157" s="3">
        <v>-11.033062599999999</v>
      </c>
      <c r="I157" s="3">
        <v>3371052.0740863001</v>
      </c>
      <c r="J157" s="3">
        <v>656631.69789499999</v>
      </c>
      <c r="K157" s="3">
        <v>270.5146987</v>
      </c>
      <c r="L157" s="3">
        <v>271.25669870000002</v>
      </c>
      <c r="M157" s="3">
        <f t="shared" si="11"/>
        <v>0.77692200000001321</v>
      </c>
      <c r="N157" s="3">
        <f t="shared" si="12"/>
        <v>2.20692200000002</v>
      </c>
      <c r="O157" s="3">
        <v>-10.708195999999999</v>
      </c>
      <c r="P157" s="3">
        <v>266.93393400000002</v>
      </c>
      <c r="Q157" s="3">
        <v>6.4037882000000002</v>
      </c>
      <c r="R157" s="3">
        <v>269.08613789999998</v>
      </c>
      <c r="S157" s="3">
        <v>267.78878680000003</v>
      </c>
      <c r="T157" s="3">
        <f t="shared" si="14"/>
        <v>2.7259118999999714</v>
      </c>
      <c r="U157" s="3">
        <f t="shared" si="3"/>
        <v>4.3227646999999934</v>
      </c>
      <c r="V157" s="3">
        <f t="shared" si="4"/>
        <v>2.1705608000000325</v>
      </c>
      <c r="W157" s="2">
        <f>VLOOKUP(B157,[1]CivilReport!$A$2:$E$342,5,FALSE)-H157</f>
        <v>6.2599999999690681E-5</v>
      </c>
    </row>
    <row r="158" spans="1:23" s="4" customFormat="1" ht="14.45" customHeight="1" x14ac:dyDescent="0.25">
      <c r="A158" s="2">
        <f t="shared" si="13"/>
        <v>94322.67</v>
      </c>
      <c r="B158" s="3">
        <v>285320</v>
      </c>
      <c r="C158" s="3">
        <v>3371072.5961997001</v>
      </c>
      <c r="D158" s="3">
        <v>656621.66936910001</v>
      </c>
      <c r="E158" s="3">
        <v>269.80472780000002</v>
      </c>
      <c r="F158" s="3">
        <f t="shared" si="0"/>
        <v>269.11672780000004</v>
      </c>
      <c r="G158" s="3">
        <v>94322.67</v>
      </c>
      <c r="H158" s="3">
        <v>-11.014701199999999</v>
      </c>
      <c r="I158" s="3">
        <v>3371063.5815635002</v>
      </c>
      <c r="J158" s="3">
        <v>656615.34007399995</v>
      </c>
      <c r="K158" s="3">
        <v>270.52977379999999</v>
      </c>
      <c r="L158" s="3">
        <v>271.27177380000001</v>
      </c>
      <c r="M158" s="3">
        <f t="shared" si="11"/>
        <v>0.72504599999996344</v>
      </c>
      <c r="N158" s="3">
        <f t="shared" si="12"/>
        <v>2.1550459999999703</v>
      </c>
      <c r="O158" s="3">
        <v>-10.7532944</v>
      </c>
      <c r="P158" s="3">
        <v>266.9264599</v>
      </c>
      <c r="Q158" s="3">
        <v>6.4108029999999996</v>
      </c>
      <c r="R158" s="3">
        <v>269.09770559999998</v>
      </c>
      <c r="S158" s="3">
        <v>267.70279110000001</v>
      </c>
      <c r="T158" s="3">
        <f t="shared" si="14"/>
        <v>2.8269826999999736</v>
      </c>
      <c r="U158" s="3">
        <f t="shared" si="3"/>
        <v>4.3453139000000078</v>
      </c>
      <c r="V158" s="3">
        <f t="shared" si="4"/>
        <v>2.174068200000022</v>
      </c>
      <c r="W158" s="2">
        <f>VLOOKUP(B158,[1]CivilReport!$A$2:$E$342,5,FALSE)-H158</f>
        <v>7.0119999999995741E-4</v>
      </c>
    </row>
    <row r="159" spans="1:23" s="4" customFormat="1" ht="14.45" customHeight="1" x14ac:dyDescent="0.25">
      <c r="A159" s="2">
        <f t="shared" si="13"/>
        <v>94342.67</v>
      </c>
      <c r="B159" s="3">
        <v>285340</v>
      </c>
      <c r="C159" s="3">
        <v>3371084.0886495998</v>
      </c>
      <c r="D159" s="3">
        <v>656605.30099719996</v>
      </c>
      <c r="E159" s="3">
        <v>269.87167890000001</v>
      </c>
      <c r="F159" s="3">
        <f t="shared" si="0"/>
        <v>269.18367890000002</v>
      </c>
      <c r="G159" s="3">
        <v>94342.67</v>
      </c>
      <c r="H159" s="3">
        <v>-10.996339799999999</v>
      </c>
      <c r="I159" s="3">
        <v>3371075.0890406002</v>
      </c>
      <c r="J159" s="3">
        <v>656598.98225300002</v>
      </c>
      <c r="K159" s="3">
        <v>270.54484889999998</v>
      </c>
      <c r="L159" s="3">
        <v>271.2868489</v>
      </c>
      <c r="M159" s="3">
        <f t="shared" si="11"/>
        <v>0.67316999999997051</v>
      </c>
      <c r="N159" s="3">
        <f t="shared" si="12"/>
        <v>2.1031699999999773</v>
      </c>
      <c r="O159" s="3">
        <v>-10.712199099999999</v>
      </c>
      <c r="P159" s="3">
        <v>266.96208280000002</v>
      </c>
      <c r="Q159" s="3">
        <v>6.4143834000000002</v>
      </c>
      <c r="R159" s="3">
        <v>269.11099059999998</v>
      </c>
      <c r="S159" s="3">
        <v>267.63216519999997</v>
      </c>
      <c r="T159" s="3">
        <f t="shared" si="14"/>
        <v>2.9126837000000023</v>
      </c>
      <c r="U159" s="3">
        <f t="shared" si="3"/>
        <v>4.3247660999999766</v>
      </c>
      <c r="V159" s="3">
        <f t="shared" si="4"/>
        <v>2.1758583000000158</v>
      </c>
      <c r="W159" s="2">
        <f>VLOOKUP(B159,[1]CivilReport!$A$2:$E$342,5,FALSE)-H159</f>
        <v>-6.6020000000044377E-4</v>
      </c>
    </row>
    <row r="160" spans="1:23" s="4" customFormat="1" ht="14.45" customHeight="1" x14ac:dyDescent="0.25">
      <c r="A160" s="2">
        <f t="shared" si="13"/>
        <v>94362.684999999998</v>
      </c>
      <c r="B160" s="3">
        <v>285360</v>
      </c>
      <c r="C160" s="3">
        <v>3371095.5988669</v>
      </c>
      <c r="D160" s="3">
        <v>656588.94511890004</v>
      </c>
      <c r="E160" s="3">
        <v>269.92664860000002</v>
      </c>
      <c r="F160" s="3">
        <f t="shared" si="0"/>
        <v>269.23864860000003</v>
      </c>
      <c r="G160" s="3">
        <v>94362.684999999998</v>
      </c>
      <c r="H160" s="3">
        <v>-10.9996954</v>
      </c>
      <c r="I160" s="3">
        <v>3371086.6054218998</v>
      </c>
      <c r="J160" s="3">
        <v>656582.6117749</v>
      </c>
      <c r="K160" s="3">
        <v>270.55993569999998</v>
      </c>
      <c r="L160" s="3">
        <v>271.3019357</v>
      </c>
      <c r="M160" s="3">
        <f t="shared" si="11"/>
        <v>0.63328709999996136</v>
      </c>
      <c r="N160" s="3">
        <f t="shared" si="12"/>
        <v>2.0632870999999682</v>
      </c>
      <c r="O160" s="3">
        <v>-10.4357021</v>
      </c>
      <c r="P160" s="3">
        <v>267.11541799999998</v>
      </c>
      <c r="Q160" s="3">
        <v>6.3670282</v>
      </c>
      <c r="R160" s="3">
        <v>269.14975500000003</v>
      </c>
      <c r="S160" s="3">
        <v>267.74652350000002</v>
      </c>
      <c r="T160" s="3">
        <f t="shared" si="14"/>
        <v>2.8134121999999593</v>
      </c>
      <c r="U160" s="3">
        <f t="shared" si="3"/>
        <v>4.1865177000000244</v>
      </c>
      <c r="V160" s="3">
        <f t="shared" si="4"/>
        <v>2.152180699999974</v>
      </c>
      <c r="W160" s="2">
        <f>VLOOKUP(B160,[1]CivilReport!$A$2:$E$342,5,FALSE)-H160</f>
        <v>-3.0459999999976617E-4</v>
      </c>
    </row>
    <row r="161" spans="1:23" s="4" customFormat="1" ht="14.45" customHeight="1" x14ac:dyDescent="0.25">
      <c r="A161" s="2">
        <f t="shared" si="13"/>
        <v>94382.684999999998</v>
      </c>
      <c r="B161" s="3">
        <v>285380</v>
      </c>
      <c r="C161" s="3">
        <v>3371107.1143566999</v>
      </c>
      <c r="D161" s="3">
        <v>656572.59294789995</v>
      </c>
      <c r="E161" s="3">
        <v>269.9780629</v>
      </c>
      <c r="F161" s="3">
        <f t="shared" si="0"/>
        <v>269.29006290000001</v>
      </c>
      <c r="G161" s="3">
        <v>94382.684999999998</v>
      </c>
      <c r="H161" s="3">
        <v>-11.0094998</v>
      </c>
      <c r="I161" s="3">
        <v>3371098.1128954999</v>
      </c>
      <c r="J161" s="3">
        <v>656566.25395879999</v>
      </c>
      <c r="K161" s="3">
        <v>270.5750109</v>
      </c>
      <c r="L161" s="3">
        <v>271.31701090000001</v>
      </c>
      <c r="M161" s="3">
        <f t="shared" si="11"/>
        <v>0.59694799999999759</v>
      </c>
      <c r="N161" s="3">
        <f t="shared" si="12"/>
        <v>2.0269480000000044</v>
      </c>
      <c r="O161" s="3">
        <v>-10.0937834</v>
      </c>
      <c r="P161" s="3">
        <v>267.30145249999998</v>
      </c>
      <c r="Q161" s="3">
        <v>6.3036449000000001</v>
      </c>
      <c r="R161" s="3">
        <v>269.19652180000003</v>
      </c>
      <c r="S161" s="3">
        <v>267.94641280000002</v>
      </c>
      <c r="T161" s="3">
        <f t="shared" si="14"/>
        <v>2.6285980999999765</v>
      </c>
      <c r="U161" s="3">
        <f t="shared" si="3"/>
        <v>4.0155584000000317</v>
      </c>
      <c r="V161" s="3">
        <f t="shared" si="4"/>
        <v>2.1204890999999861</v>
      </c>
      <c r="W161" s="2">
        <f>VLOOKUP(B161,[1]CivilReport!$A$2:$E$342,5,FALSE)-H161</f>
        <v>4.998000000000502E-4</v>
      </c>
    </row>
    <row r="162" spans="1:23" s="4" customFormat="1" ht="14.45" customHeight="1" x14ac:dyDescent="0.25">
      <c r="A162" s="2">
        <f t="shared" si="13"/>
        <v>94402.694000000003</v>
      </c>
      <c r="B162" s="3">
        <v>285400</v>
      </c>
      <c r="C162" s="3">
        <v>3371118.6382201002</v>
      </c>
      <c r="D162" s="3">
        <v>656556.24667889997</v>
      </c>
      <c r="E162" s="3">
        <v>270.0220314</v>
      </c>
      <c r="F162" s="3">
        <f t="shared" si="0"/>
        <v>269.33403140000001</v>
      </c>
      <c r="G162" s="3">
        <v>94402.694000000003</v>
      </c>
      <c r="H162" s="3">
        <v>-11.029556700000001</v>
      </c>
      <c r="I162" s="3">
        <v>3371109.6254983</v>
      </c>
      <c r="J162" s="3">
        <v>656549.8888518</v>
      </c>
      <c r="K162" s="3">
        <v>270.59009269999996</v>
      </c>
      <c r="L162" s="3">
        <v>271.33209269999998</v>
      </c>
      <c r="M162" s="3">
        <f t="shared" si="11"/>
        <v>0.56806129999995392</v>
      </c>
      <c r="N162" s="3">
        <f t="shared" si="12"/>
        <v>1.9980612999999607</v>
      </c>
      <c r="O162" s="3">
        <v>-10.087598099999999</v>
      </c>
      <c r="P162" s="3">
        <v>267.31962700000003</v>
      </c>
      <c r="Q162" s="3">
        <v>6.2999438000000003</v>
      </c>
      <c r="R162" s="3">
        <v>269.2134542</v>
      </c>
      <c r="S162" s="3">
        <v>267.9109368</v>
      </c>
      <c r="T162" s="3">
        <f t="shared" si="14"/>
        <v>2.6791558999999552</v>
      </c>
      <c r="U162" s="3">
        <f t="shared" si="3"/>
        <v>4.0124656999999502</v>
      </c>
      <c r="V162" s="3">
        <f t="shared" si="4"/>
        <v>2.1186384999999746</v>
      </c>
      <c r="W162" s="2">
        <f>VLOOKUP(B162,[1]CivilReport!$A$2:$E$342,5,FALSE)-H162</f>
        <v>-4.4329999999881409E-4</v>
      </c>
    </row>
    <row r="163" spans="1:23" s="4" customFormat="1" ht="14.45" customHeight="1" x14ac:dyDescent="0.25">
      <c r="A163" s="2">
        <f t="shared" si="13"/>
        <v>94422.694000000003</v>
      </c>
      <c r="B163" s="3">
        <v>285420</v>
      </c>
      <c r="C163" s="3">
        <v>3371130.1669283998</v>
      </c>
      <c r="D163" s="3">
        <v>656539.90382470004</v>
      </c>
      <c r="E163" s="3">
        <v>270.06169190000003</v>
      </c>
      <c r="F163" s="3">
        <f t="shared" si="0"/>
        <v>269.37369190000004</v>
      </c>
      <c r="G163" s="3">
        <v>94422.694000000003</v>
      </c>
      <c r="H163" s="3">
        <v>-11.055532899999999</v>
      </c>
      <c r="I163" s="3">
        <v>3371121.1329803001</v>
      </c>
      <c r="J163" s="3">
        <v>656533.53102390002</v>
      </c>
      <c r="K163" s="3">
        <v>270.60516789999997</v>
      </c>
      <c r="L163" s="3">
        <v>271.34716789999999</v>
      </c>
      <c r="M163" s="3">
        <f t="shared" si="11"/>
        <v>0.54347599999994145</v>
      </c>
      <c r="N163" s="3">
        <f t="shared" si="12"/>
        <v>1.9734759999999483</v>
      </c>
      <c r="O163" s="3">
        <v>-10.8810471</v>
      </c>
      <c r="P163" s="3">
        <v>266.93797769999998</v>
      </c>
      <c r="Q163" s="3">
        <v>6.3150577999999999</v>
      </c>
      <c r="R163" s="3">
        <v>269.22097230000003</v>
      </c>
      <c r="S163" s="3">
        <v>267.63225449999999</v>
      </c>
      <c r="T163" s="3">
        <f t="shared" si="14"/>
        <v>2.9729133999999817</v>
      </c>
      <c r="U163" s="3">
        <f t="shared" si="3"/>
        <v>4.4091902000000118</v>
      </c>
      <c r="V163" s="3">
        <f t="shared" si="4"/>
        <v>2.12619559999996</v>
      </c>
      <c r="W163" s="2">
        <f>VLOOKUP(B163,[1]CivilReport!$A$2:$E$342,5,FALSE)-H163</f>
        <v>-4.6709999999983154E-4</v>
      </c>
    </row>
    <row r="164" spans="1:23" s="4" customFormat="1" ht="14.45" customHeight="1" x14ac:dyDescent="0.25">
      <c r="A164" s="2">
        <f t="shared" si="13"/>
        <v>94442.688999999998</v>
      </c>
      <c r="B164" s="3">
        <v>285440</v>
      </c>
      <c r="C164" s="3">
        <v>3371141.6942408001</v>
      </c>
      <c r="D164" s="3">
        <v>656523.55998619995</v>
      </c>
      <c r="E164" s="3">
        <v>270.10006440000001</v>
      </c>
      <c r="F164" s="3">
        <f t="shared" si="0"/>
        <v>269.41206440000002</v>
      </c>
      <c r="G164" s="3">
        <v>94442.688999999998</v>
      </c>
      <c r="H164" s="3">
        <v>-11.079782099999999</v>
      </c>
      <c r="I164" s="3">
        <v>3371132.6375519</v>
      </c>
      <c r="J164" s="3">
        <v>656517.17735669995</v>
      </c>
      <c r="K164" s="3">
        <v>270.62023919999996</v>
      </c>
      <c r="L164" s="3">
        <v>271.36223919999998</v>
      </c>
      <c r="M164" s="3">
        <f t="shared" si="11"/>
        <v>0.52017479999994976</v>
      </c>
      <c r="N164" s="3">
        <f t="shared" si="12"/>
        <v>1.9501747999999566</v>
      </c>
      <c r="O164" s="3">
        <v>-11.511157600000001</v>
      </c>
      <c r="P164" s="3">
        <v>266.63743649999998</v>
      </c>
      <c r="Q164" s="3">
        <v>6.7503988000000001</v>
      </c>
      <c r="R164" s="3">
        <v>269.01892950000001</v>
      </c>
      <c r="S164" s="3">
        <v>267.4930286</v>
      </c>
      <c r="T164" s="3">
        <f t="shared" si="14"/>
        <v>3.1272105999999553</v>
      </c>
      <c r="U164" s="3">
        <f t="shared" si="3"/>
        <v>4.7248026999999979</v>
      </c>
      <c r="V164" s="3">
        <f t="shared" si="4"/>
        <v>2.3433096999999634</v>
      </c>
      <c r="W164" s="2">
        <f>VLOOKUP(B164,[1]CivilReport!$A$2:$E$342,5,FALSE)-H164</f>
        <v>7.820999999985645E-4</v>
      </c>
    </row>
    <row r="165" spans="1:23" s="4" customFormat="1" ht="14.45" customHeight="1" x14ac:dyDescent="0.25">
      <c r="A165" s="2">
        <f t="shared" si="13"/>
        <v>94462.688999999998</v>
      </c>
      <c r="B165" s="3">
        <v>285460</v>
      </c>
      <c r="C165" s="3">
        <v>3371153.2154191998</v>
      </c>
      <c r="D165" s="3">
        <v>656507.21182269999</v>
      </c>
      <c r="E165" s="3">
        <v>270.13277670000002</v>
      </c>
      <c r="F165" s="3">
        <f t="shared" si="0"/>
        <v>269.44477670000003</v>
      </c>
      <c r="G165" s="3">
        <v>94462.688999999998</v>
      </c>
      <c r="H165" s="3">
        <v>-11.0814991</v>
      </c>
      <c r="I165" s="3">
        <v>3371144.1573112998</v>
      </c>
      <c r="J165" s="3">
        <v>656500.82822639996</v>
      </c>
      <c r="K165" s="3">
        <v>270.6353143</v>
      </c>
      <c r="L165" s="3">
        <v>271.37731430000002</v>
      </c>
      <c r="M165" s="3">
        <f t="shared" si="11"/>
        <v>0.50253759999998238</v>
      </c>
      <c r="N165" s="3">
        <f t="shared" si="12"/>
        <v>1.9325375999999892</v>
      </c>
      <c r="O165" s="3">
        <v>-12.455538499999999</v>
      </c>
      <c r="P165" s="3">
        <v>266.17959000000002</v>
      </c>
      <c r="Q165" s="3">
        <v>10.154433600000001</v>
      </c>
      <c r="R165" s="3">
        <v>267.33271389999999</v>
      </c>
      <c r="S165" s="3">
        <v>266.26257709999999</v>
      </c>
      <c r="T165" s="3">
        <f t="shared" si="14"/>
        <v>4.3727372000000173</v>
      </c>
      <c r="U165" s="3">
        <f t="shared" si="3"/>
        <v>5.1977243000000044</v>
      </c>
      <c r="V165" s="3">
        <f t="shared" si="4"/>
        <v>4.0446004000000357</v>
      </c>
      <c r="W165" s="2">
        <f>VLOOKUP(B165,[1]CivilReport!$A$2:$E$342,5,FALSE)-H165</f>
        <v>-5.0090000000047041E-4</v>
      </c>
    </row>
    <row r="166" spans="1:23" s="4" customFormat="1" ht="14.45" customHeight="1" x14ac:dyDescent="0.25">
      <c r="A166" s="2">
        <f t="shared" si="13"/>
        <v>94482.713000000003</v>
      </c>
      <c r="B166" s="3">
        <v>285480</v>
      </c>
      <c r="C166" s="3">
        <v>3371164.7613788</v>
      </c>
      <c r="D166" s="3">
        <v>656490.88116400002</v>
      </c>
      <c r="E166" s="3">
        <v>270.12616370000001</v>
      </c>
      <c r="F166" s="3">
        <f t="shared" si="0"/>
        <v>269.43816370000002</v>
      </c>
      <c r="G166" s="3">
        <v>94482.713000000003</v>
      </c>
      <c r="H166" s="3">
        <v>-11.054719</v>
      </c>
      <c r="I166" s="3">
        <v>3371155.7390577998</v>
      </c>
      <c r="J166" s="3">
        <v>656484.49332120002</v>
      </c>
      <c r="K166" s="3">
        <v>270.65040759999999</v>
      </c>
      <c r="L166" s="3">
        <v>271.39240760000001</v>
      </c>
      <c r="M166" s="3">
        <f t="shared" si="11"/>
        <v>0.52424389999998766</v>
      </c>
      <c r="N166" s="3">
        <f t="shared" si="12"/>
        <v>1.9542438999999945</v>
      </c>
      <c r="O166" s="3">
        <v>-11.539109399999999</v>
      </c>
      <c r="P166" s="3">
        <v>266.65294490000002</v>
      </c>
      <c r="Q166" s="3">
        <v>7.0190495999999998</v>
      </c>
      <c r="R166" s="3">
        <v>268.91545359999998</v>
      </c>
      <c r="S166" s="3">
        <v>267.99753920000001</v>
      </c>
      <c r="T166" s="3">
        <f t="shared" si="14"/>
        <v>2.6528683999999885</v>
      </c>
      <c r="U166" s="3">
        <f t="shared" si="3"/>
        <v>4.73946269999999</v>
      </c>
      <c r="V166" s="3">
        <f t="shared" si="4"/>
        <v>2.4769540000000347</v>
      </c>
      <c r="W166" s="2">
        <f>VLOOKUP(B166,[1]CivilReport!$A$2:$E$342,5,FALSE)-H166</f>
        <v>-2.8099999999930958E-4</v>
      </c>
    </row>
    <row r="167" spans="1:23" s="4" customFormat="1" ht="14.45" customHeight="1" x14ac:dyDescent="0.25">
      <c r="A167" s="2">
        <f t="shared" si="13"/>
        <v>94502.714000000007</v>
      </c>
      <c r="B167" s="3">
        <v>285500</v>
      </c>
      <c r="C167" s="3">
        <v>3371176.3181500002</v>
      </c>
      <c r="D167" s="3">
        <v>656474.5581422</v>
      </c>
      <c r="E167" s="3">
        <v>270.10239369999999</v>
      </c>
      <c r="F167" s="3">
        <f t="shared" si="0"/>
        <v>269.41439370000001</v>
      </c>
      <c r="G167" s="3">
        <v>94502.714000000007</v>
      </c>
      <c r="H167" s="3">
        <v>-10.974510800000001</v>
      </c>
      <c r="I167" s="3">
        <v>3371167.3612910998</v>
      </c>
      <c r="J167" s="3">
        <v>656468.21664680005</v>
      </c>
      <c r="K167" s="3">
        <v>270.66548289999997</v>
      </c>
      <c r="L167" s="3">
        <v>271.40748289999999</v>
      </c>
      <c r="M167" s="3">
        <f t="shared" si="11"/>
        <v>0.56308919999997897</v>
      </c>
      <c r="N167" s="3">
        <f t="shared" si="12"/>
        <v>1.9930891999999858</v>
      </c>
      <c r="O167" s="3">
        <v>-10.659649999999999</v>
      </c>
      <c r="P167" s="3">
        <v>267.10813960000002</v>
      </c>
      <c r="Q167" s="3">
        <v>6.2740828000000004</v>
      </c>
      <c r="R167" s="3">
        <v>269.30262429999999</v>
      </c>
      <c r="S167" s="3">
        <v>268.40746830000001</v>
      </c>
      <c r="T167" s="3">
        <f t="shared" si="14"/>
        <v>2.2580145999999672</v>
      </c>
      <c r="U167" s="3">
        <f t="shared" si="3"/>
        <v>4.2993432999999754</v>
      </c>
      <c r="V167" s="3">
        <f t="shared" si="4"/>
        <v>2.1048586</v>
      </c>
      <c r="W167" s="2">
        <f>VLOOKUP(B167,[1]CivilReport!$A$2:$E$342,5,FALSE)-H167</f>
        <v>-4.8919999999874619E-4</v>
      </c>
    </row>
    <row r="168" spans="1:23" s="4" customFormat="1" ht="14.45" customHeight="1" x14ac:dyDescent="0.25">
      <c r="A168" s="2">
        <f t="shared" si="13"/>
        <v>94522.740999999995</v>
      </c>
      <c r="B168" s="3">
        <v>285520</v>
      </c>
      <c r="C168" s="3">
        <v>3371187.8849801002</v>
      </c>
      <c r="D168" s="3">
        <v>656458.24226119998</v>
      </c>
      <c r="E168" s="3">
        <v>270.07826</v>
      </c>
      <c r="F168" s="3">
        <f t="shared" si="0"/>
        <v>269.39026000000001</v>
      </c>
      <c r="G168" s="3">
        <v>94522.740999999995</v>
      </c>
      <c r="H168" s="3">
        <v>-10.839757199999999</v>
      </c>
      <c r="I168" s="3">
        <v>3371179.0538550001</v>
      </c>
      <c r="J168" s="3">
        <v>656451.95643849997</v>
      </c>
      <c r="K168" s="3">
        <v>270.68057899999997</v>
      </c>
      <c r="L168" s="3">
        <v>271.42257899999998</v>
      </c>
      <c r="M168" s="3">
        <f t="shared" si="11"/>
        <v>0.60231899999996585</v>
      </c>
      <c r="N168" s="3">
        <f t="shared" si="12"/>
        <v>2.0323189999999727</v>
      </c>
      <c r="O168" s="3">
        <v>-9.9000416999999992</v>
      </c>
      <c r="P168" s="3">
        <v>267.50342760000001</v>
      </c>
      <c r="Q168" s="3">
        <v>6.2668865</v>
      </c>
      <c r="R168" s="3">
        <v>269.32093159999999</v>
      </c>
      <c r="S168" s="3">
        <v>268.60702279999998</v>
      </c>
      <c r="T168" s="3">
        <f t="shared" si="14"/>
        <v>2.0735561999999845</v>
      </c>
      <c r="U168" s="3">
        <f t="shared" si="3"/>
        <v>3.9191513999999756</v>
      </c>
      <c r="V168" s="3">
        <f t="shared" si="4"/>
        <v>2.1016473999999903</v>
      </c>
      <c r="W168" s="2">
        <f>VLOOKUP(B168,[1]CivilReport!$A$2:$E$342,5,FALSE)-H168</f>
        <v>-2.4280000000054258E-4</v>
      </c>
    </row>
    <row r="169" spans="1:23" s="4" customFormat="1" ht="14.45" customHeight="1" x14ac:dyDescent="0.25">
      <c r="A169" s="2">
        <f t="shared" si="13"/>
        <v>94542.819000000003</v>
      </c>
      <c r="B169" s="3">
        <v>285540</v>
      </c>
      <c r="C169" s="3">
        <v>3371199.5390401999</v>
      </c>
      <c r="D169" s="3">
        <v>656441.98871870001</v>
      </c>
      <c r="E169" s="3">
        <v>270.04864400000002</v>
      </c>
      <c r="F169" s="3">
        <f t="shared" si="0"/>
        <v>269.36064400000004</v>
      </c>
      <c r="G169" s="3">
        <v>94542.819000000003</v>
      </c>
      <c r="H169" s="3">
        <v>-10.745187700000001</v>
      </c>
      <c r="I169" s="3">
        <v>3371190.8303386001</v>
      </c>
      <c r="J169" s="3">
        <v>656435.69446919998</v>
      </c>
      <c r="K169" s="3">
        <v>270.69571309999998</v>
      </c>
      <c r="L169" s="3">
        <v>271.4377131</v>
      </c>
      <c r="M169" s="3">
        <f t="shared" si="11"/>
        <v>0.64706909999995332</v>
      </c>
      <c r="N169" s="3">
        <f t="shared" si="12"/>
        <v>2.0770690999999601</v>
      </c>
      <c r="O169" s="3">
        <v>-10.188009600000001</v>
      </c>
      <c r="P169" s="3">
        <v>267.37497839999997</v>
      </c>
      <c r="Q169" s="3">
        <v>6.4542374999999996</v>
      </c>
      <c r="R169" s="3">
        <v>269.2419908</v>
      </c>
      <c r="S169" s="3">
        <v>268.24125409999999</v>
      </c>
      <c r="T169" s="3">
        <f t="shared" si="14"/>
        <v>2.4544589999999857</v>
      </c>
      <c r="U169" s="3">
        <f t="shared" si="3"/>
        <v>4.0627347000000213</v>
      </c>
      <c r="V169" s="3">
        <f t="shared" si="4"/>
        <v>2.1957222999999999</v>
      </c>
      <c r="W169" s="2">
        <f>VLOOKUP(B169,[1]CivilReport!$A$2:$E$342,5,FALSE)-H169</f>
        <v>1.8770000000145615E-4</v>
      </c>
    </row>
    <row r="170" spans="1:23" s="4" customFormat="1" ht="14.45" customHeight="1" x14ac:dyDescent="0.25">
      <c r="A170" s="2">
        <f t="shared" si="13"/>
        <v>94562.82</v>
      </c>
      <c r="B170" s="3">
        <v>285560</v>
      </c>
      <c r="C170" s="3">
        <v>3371211.2545159999</v>
      </c>
      <c r="D170" s="3">
        <v>656425.77922679996</v>
      </c>
      <c r="E170" s="3">
        <v>270.01426950000001</v>
      </c>
      <c r="F170" s="3">
        <f t="shared" si="0"/>
        <v>269.32626950000002</v>
      </c>
      <c r="G170" s="3">
        <v>94562.82</v>
      </c>
      <c r="H170" s="3">
        <v>-10.659791</v>
      </c>
      <c r="I170" s="3">
        <v>3371202.6150532002</v>
      </c>
      <c r="J170" s="3">
        <v>656419.53496329999</v>
      </c>
      <c r="K170" s="3">
        <v>270.71078839999996</v>
      </c>
      <c r="L170" s="3">
        <v>271.45278839999997</v>
      </c>
      <c r="M170" s="3">
        <f t="shared" si="11"/>
        <v>0.6965188999999441</v>
      </c>
      <c r="N170" s="3">
        <f t="shared" si="12"/>
        <v>2.1265188999999509</v>
      </c>
      <c r="O170" s="3">
        <v>-10.518754299999999</v>
      </c>
      <c r="P170" s="3">
        <v>267.2235048</v>
      </c>
      <c r="Q170" s="3">
        <v>6.6912070000000003</v>
      </c>
      <c r="R170" s="3">
        <v>269.13975570000002</v>
      </c>
      <c r="S170" s="3">
        <v>267.96760619999998</v>
      </c>
      <c r="T170" s="3">
        <f t="shared" si="14"/>
        <v>2.7431821999999784</v>
      </c>
      <c r="U170" s="3">
        <f t="shared" si="3"/>
        <v>4.2292835999999738</v>
      </c>
      <c r="V170" s="3">
        <f t="shared" si="4"/>
        <v>2.3130326999999511</v>
      </c>
      <c r="W170" s="2">
        <f>VLOOKUP(B170,[1]CivilReport!$A$2:$E$342,5,FALSE)-H170</f>
        <v>-2.0899999999990371E-4</v>
      </c>
    </row>
    <row r="171" spans="1:23" s="4" customFormat="1" ht="14.45" customHeight="1" x14ac:dyDescent="0.25">
      <c r="A171" s="2">
        <f t="shared" si="13"/>
        <v>94582.868000000002</v>
      </c>
      <c r="B171" s="3">
        <v>285580</v>
      </c>
      <c r="C171" s="3">
        <v>3371222.9999870001</v>
      </c>
      <c r="D171" s="3">
        <v>656409.5915176</v>
      </c>
      <c r="E171" s="3">
        <v>269.97932700000001</v>
      </c>
      <c r="F171" s="3">
        <f t="shared" si="0"/>
        <v>269.29132700000002</v>
      </c>
      <c r="G171" s="3">
        <v>94582.868000000002</v>
      </c>
      <c r="H171" s="3">
        <v>-10.561144499999999</v>
      </c>
      <c r="I171" s="3">
        <v>3371214.4685463998</v>
      </c>
      <c r="J171" s="3">
        <v>656403.36638340005</v>
      </c>
      <c r="K171" s="3">
        <v>270.72589979999998</v>
      </c>
      <c r="L171" s="3">
        <v>271.4678998</v>
      </c>
      <c r="M171" s="3">
        <f t="shared" si="11"/>
        <v>0.74657279999996717</v>
      </c>
      <c r="N171" s="3">
        <f t="shared" si="12"/>
        <v>2.176572799999974</v>
      </c>
      <c r="O171" s="3">
        <v>-11.1248091</v>
      </c>
      <c r="P171" s="3">
        <v>266.93682860000001</v>
      </c>
      <c r="Q171" s="3">
        <v>6.8619526999999998</v>
      </c>
      <c r="R171" s="3">
        <v>269.06825679999997</v>
      </c>
      <c r="S171" s="3">
        <v>267.6290454</v>
      </c>
      <c r="T171" s="3">
        <f t="shared" si="14"/>
        <v>3.0968543999999838</v>
      </c>
      <c r="U171" s="3">
        <f t="shared" si="3"/>
        <v>4.5310711999999853</v>
      </c>
      <c r="V171" s="3">
        <f t="shared" si="4"/>
        <v>2.3996430000000259</v>
      </c>
      <c r="W171" s="2">
        <f>VLOOKUP(B171,[1]CivilReport!$A$2:$E$342,5,FALSE)-H171</f>
        <v>1.4449999999932572E-4</v>
      </c>
    </row>
    <row r="172" spans="1:23" s="4" customFormat="1" ht="14.45" customHeight="1" x14ac:dyDescent="0.25">
      <c r="A172" s="2">
        <f t="shared" si="13"/>
        <v>94602.868000000002</v>
      </c>
      <c r="B172" s="3">
        <v>285600</v>
      </c>
      <c r="C172" s="3">
        <v>3371234.7887363001</v>
      </c>
      <c r="D172" s="3">
        <v>656393.4352374</v>
      </c>
      <c r="E172" s="3">
        <v>269.9435651</v>
      </c>
      <c r="F172" s="3">
        <f t="shared" si="0"/>
        <v>269.25556510000001</v>
      </c>
      <c r="G172" s="3">
        <v>94602.868000000002</v>
      </c>
      <c r="H172" s="3">
        <v>-10.509275000000001</v>
      </c>
      <c r="I172" s="3">
        <v>3371226.2991967001</v>
      </c>
      <c r="J172" s="3">
        <v>656387.24067700002</v>
      </c>
      <c r="K172" s="3">
        <v>270.74097499999999</v>
      </c>
      <c r="L172" s="3">
        <v>271.48297500000001</v>
      </c>
      <c r="M172" s="3">
        <f t="shared" si="11"/>
        <v>0.79740989999999101</v>
      </c>
      <c r="N172" s="3">
        <f t="shared" si="12"/>
        <v>2.2274098999999978</v>
      </c>
      <c r="O172" s="3">
        <v>-10.753711599999999</v>
      </c>
      <c r="P172" s="3">
        <v>267.13745249999999</v>
      </c>
      <c r="Q172" s="3">
        <v>6.8277295999999996</v>
      </c>
      <c r="R172" s="3">
        <v>269.10044360000001</v>
      </c>
      <c r="S172" s="3">
        <v>267.7968846</v>
      </c>
      <c r="T172" s="3">
        <f t="shared" si="14"/>
        <v>2.9440903999999932</v>
      </c>
      <c r="U172" s="3">
        <f t="shared" si="3"/>
        <v>4.3455225000000155</v>
      </c>
      <c r="V172" s="3">
        <f t="shared" si="4"/>
        <v>2.3825314000000049</v>
      </c>
      <c r="W172" s="2">
        <f>VLOOKUP(B172,[1]CivilReport!$A$2:$E$342,5,FALSE)-H172</f>
        <v>2.7500000000024727E-4</v>
      </c>
    </row>
    <row r="173" spans="1:23" s="4" customFormat="1" ht="14.45" customHeight="1" x14ac:dyDescent="0.25">
      <c r="A173" s="2">
        <f t="shared" si="13"/>
        <v>94622.877999999997</v>
      </c>
      <c r="B173" s="3">
        <v>285620</v>
      </c>
      <c r="C173" s="3">
        <v>3371246.5834257002</v>
      </c>
      <c r="D173" s="3">
        <v>656377.28329609998</v>
      </c>
      <c r="E173" s="3">
        <v>269.90714430000003</v>
      </c>
      <c r="F173" s="3">
        <f t="shared" si="0"/>
        <v>269.21914430000004</v>
      </c>
      <c r="G173" s="3">
        <v>94622.877999999997</v>
      </c>
      <c r="H173" s="3">
        <v>-10.4647395</v>
      </c>
      <c r="I173" s="3">
        <v>3371238.1360145998</v>
      </c>
      <c r="J173" s="3">
        <v>656371.10656400002</v>
      </c>
      <c r="K173" s="3">
        <v>270.75605809999996</v>
      </c>
      <c r="L173" s="3">
        <v>271.49805809999998</v>
      </c>
      <c r="M173" s="3">
        <f t="shared" si="11"/>
        <v>0.84891379999993433</v>
      </c>
      <c r="N173" s="3">
        <f t="shared" si="12"/>
        <v>2.2789137999999411</v>
      </c>
      <c r="O173" s="3">
        <v>-10.1179294</v>
      </c>
      <c r="P173" s="3">
        <v>267.47042670000002</v>
      </c>
      <c r="Q173" s="3">
        <v>6.8513108000000003</v>
      </c>
      <c r="R173" s="3">
        <v>269.10373600000003</v>
      </c>
      <c r="S173" s="3">
        <v>267.7840041</v>
      </c>
      <c r="T173" s="3">
        <f t="shared" si="14"/>
        <v>2.9720539999999573</v>
      </c>
      <c r="U173" s="3">
        <f t="shared" si="3"/>
        <v>4.0276313999999616</v>
      </c>
      <c r="V173" s="3">
        <f t="shared" si="4"/>
        <v>2.3943220999999539</v>
      </c>
      <c r="W173" s="2">
        <f>VLOOKUP(B173,[1]CivilReport!$A$2:$E$342,5,FALSE)-H173</f>
        <v>-2.6049999999955276E-4</v>
      </c>
    </row>
    <row r="174" spans="1:23" s="4" customFormat="1" ht="14.45" customHeight="1" x14ac:dyDescent="0.25">
      <c r="A174" s="2">
        <f t="shared" si="13"/>
        <v>94642.877999999997</v>
      </c>
      <c r="B174" s="3">
        <v>285640</v>
      </c>
      <c r="C174" s="3">
        <v>3371258.3882718999</v>
      </c>
      <c r="D174" s="3">
        <v>656361.13877359999</v>
      </c>
      <c r="E174" s="3">
        <v>269.86959689999998</v>
      </c>
      <c r="F174" s="3">
        <f t="shared" si="0"/>
        <v>269.18159689999999</v>
      </c>
      <c r="G174" s="3">
        <v>94642.877999999997</v>
      </c>
      <c r="H174" s="3">
        <v>-10.4328038</v>
      </c>
      <c r="I174" s="3">
        <v>3371249.9666402</v>
      </c>
      <c r="J174" s="3">
        <v>656354.98089140002</v>
      </c>
      <c r="K174" s="3">
        <v>270.77113320000001</v>
      </c>
      <c r="L174" s="3">
        <v>271.51313320000003</v>
      </c>
      <c r="M174" s="3">
        <f t="shared" si="11"/>
        <v>0.90153630000003204</v>
      </c>
      <c r="N174" s="3">
        <f t="shared" si="12"/>
        <v>2.3315363000000389</v>
      </c>
      <c r="O174" s="3">
        <v>-10.4278692</v>
      </c>
      <c r="P174" s="3">
        <v>267.33053189999998</v>
      </c>
      <c r="Q174" s="3">
        <v>6.9830322999999996</v>
      </c>
      <c r="R174" s="3">
        <v>269.05295039999999</v>
      </c>
      <c r="S174" s="3">
        <v>267.6302743</v>
      </c>
      <c r="T174" s="3">
        <f t="shared" si="14"/>
        <v>3.140858900000012</v>
      </c>
      <c r="U174" s="3">
        <f t="shared" si="3"/>
        <v>4.1826013000000444</v>
      </c>
      <c r="V174" s="3">
        <f t="shared" si="4"/>
        <v>2.460182800000041</v>
      </c>
      <c r="W174" s="2">
        <f>VLOOKUP(B174,[1]CivilReport!$A$2:$E$342,5,FALSE)-H174</f>
        <v>8.0379999999991014E-4</v>
      </c>
    </row>
    <row r="175" spans="1:23" s="4" customFormat="1" ht="14.45" customHeight="1" x14ac:dyDescent="0.25">
      <c r="A175" s="2">
        <f t="shared" si="13"/>
        <v>94662.892000000007</v>
      </c>
      <c r="B175" s="3">
        <v>285660</v>
      </c>
      <c r="C175" s="3">
        <v>3371270.1994198002</v>
      </c>
      <c r="D175" s="3">
        <v>656344.99886519997</v>
      </c>
      <c r="E175" s="3">
        <v>269.83155340000002</v>
      </c>
      <c r="F175" s="3">
        <f t="shared" si="0"/>
        <v>269.14355340000003</v>
      </c>
      <c r="G175" s="3">
        <v>94662.892000000007</v>
      </c>
      <c r="H175" s="3">
        <v>-10.4086655</v>
      </c>
      <c r="I175" s="3">
        <v>3371261.8052333998</v>
      </c>
      <c r="J175" s="3">
        <v>656338.84435839998</v>
      </c>
      <c r="K175" s="3">
        <v>270.78621849999996</v>
      </c>
      <c r="L175" s="3">
        <v>271.52821849999998</v>
      </c>
      <c r="M175" s="3">
        <f t="shared" si="11"/>
        <v>0.95466509999994287</v>
      </c>
      <c r="N175" s="3">
        <f t="shared" si="12"/>
        <v>2.3846650999999497</v>
      </c>
      <c r="O175" s="3">
        <v>-11.5036231</v>
      </c>
      <c r="P175" s="3">
        <v>266.80774029999998</v>
      </c>
      <c r="Q175" s="3">
        <v>7.0349235999999999</v>
      </c>
      <c r="R175" s="3">
        <v>269.0420901</v>
      </c>
      <c r="S175" s="3">
        <v>267.35835950000001</v>
      </c>
      <c r="T175" s="3">
        <f t="shared" si="14"/>
        <v>3.4278589999999554</v>
      </c>
      <c r="U175" s="3">
        <f t="shared" si="3"/>
        <v>4.7204782000000023</v>
      </c>
      <c r="V175" s="3">
        <f t="shared" si="4"/>
        <v>2.4861283999999841</v>
      </c>
      <c r="W175" s="2">
        <f>VLOOKUP(B175,[1]CivilReport!$A$2:$E$342,5,FALSE)-H175</f>
        <v>-3.3450000000101454E-4</v>
      </c>
    </row>
    <row r="176" spans="1:23" s="4" customFormat="1" ht="14.45" customHeight="1" x14ac:dyDescent="0.25">
      <c r="A176" s="2">
        <f t="shared" si="13"/>
        <v>94682.892000000007</v>
      </c>
      <c r="B176" s="3">
        <v>285680</v>
      </c>
      <c r="C176" s="3">
        <v>3371282.0251561999</v>
      </c>
      <c r="D176" s="3">
        <v>656328.86963830004</v>
      </c>
      <c r="E176" s="3">
        <v>269.7923614</v>
      </c>
      <c r="F176" s="3">
        <f t="shared" si="0"/>
        <v>269.10436140000002</v>
      </c>
      <c r="G176" s="3">
        <v>94682.892000000007</v>
      </c>
      <c r="H176" s="3">
        <v>-10.402621099999999</v>
      </c>
      <c r="I176" s="3">
        <v>3371273.6358444002</v>
      </c>
      <c r="J176" s="3">
        <v>656322.71870560001</v>
      </c>
      <c r="K176" s="3">
        <v>270.80129360000001</v>
      </c>
      <c r="L176" s="3">
        <v>271.54329360000003</v>
      </c>
      <c r="M176" s="3">
        <f t="shared" si="11"/>
        <v>1.0089322000000038</v>
      </c>
      <c r="N176" s="3">
        <f t="shared" si="12"/>
        <v>2.4389322000000107</v>
      </c>
      <c r="O176" s="3">
        <v>-12.0245446</v>
      </c>
      <c r="P176" s="3">
        <v>266.56235470000001</v>
      </c>
      <c r="Q176" s="3">
        <v>6.9384008000000001</v>
      </c>
      <c r="R176" s="3">
        <v>269.10542659999999</v>
      </c>
      <c r="S176" s="3">
        <v>267.33062109999997</v>
      </c>
      <c r="T176" s="3">
        <f t="shared" si="14"/>
        <v>3.4706725000000347</v>
      </c>
      <c r="U176" s="3">
        <f t="shared" si="3"/>
        <v>4.9809389000000124</v>
      </c>
      <c r="V176" s="3">
        <f t="shared" si="4"/>
        <v>2.4378670000000398</v>
      </c>
      <c r="W176" s="2">
        <f>VLOOKUP(B176,[1]CivilReport!$A$2:$E$342,5,FALSE)-H176</f>
        <v>-3.7890000000118107E-4</v>
      </c>
    </row>
    <row r="177" spans="1:23" s="4" customFormat="1" ht="14.45" customHeight="1" x14ac:dyDescent="0.25">
      <c r="A177" s="2">
        <f t="shared" si="13"/>
        <v>94702.892000000007</v>
      </c>
      <c r="B177" s="3">
        <v>285700</v>
      </c>
      <c r="C177" s="3">
        <v>3371293.8508926001</v>
      </c>
      <c r="D177" s="3">
        <v>656312.74041149998</v>
      </c>
      <c r="E177" s="3">
        <v>269.75316939999999</v>
      </c>
      <c r="F177" s="3">
        <f t="shared" si="0"/>
        <v>269.0651694</v>
      </c>
      <c r="G177" s="3">
        <v>94702.892000000007</v>
      </c>
      <c r="H177" s="3">
        <v>-10.3965766</v>
      </c>
      <c r="I177" s="3">
        <v>3371285.4664555001</v>
      </c>
      <c r="J177" s="3">
        <v>656306.59305280005</v>
      </c>
      <c r="K177" s="3">
        <v>270.80680699999999</v>
      </c>
      <c r="L177" s="3">
        <v>271.54880700000001</v>
      </c>
      <c r="M177" s="3">
        <f t="shared" si="11"/>
        <v>1.0536376000000018</v>
      </c>
      <c r="N177" s="3">
        <f t="shared" si="12"/>
        <v>2.4836376000000087</v>
      </c>
      <c r="O177" s="3">
        <v>-12.120502200000001</v>
      </c>
      <c r="P177" s="3">
        <v>266.51724780000001</v>
      </c>
      <c r="Q177" s="3">
        <v>6.8590546000000003</v>
      </c>
      <c r="R177" s="3">
        <v>269.14797149999998</v>
      </c>
      <c r="S177" s="3">
        <v>267.3165444</v>
      </c>
      <c r="T177" s="3">
        <f t="shared" si="14"/>
        <v>3.4902625999999941</v>
      </c>
      <c r="U177" s="3">
        <f t="shared" si="3"/>
        <v>5.0315592000000038</v>
      </c>
      <c r="V177" s="3">
        <f t="shared" si="4"/>
        <v>2.4008355000000279</v>
      </c>
      <c r="W177" s="2">
        <f>VLOOKUP(B177,[1]CivilReport!$A$2:$E$342,5,FALSE)-H177</f>
        <v>-4.2340000000073985E-4</v>
      </c>
    </row>
    <row r="178" spans="1:23" s="4" customFormat="1" ht="14.45" customHeight="1" x14ac:dyDescent="0.25">
      <c r="A178" s="2">
        <f t="shared" si="13"/>
        <v>94722.921000000002</v>
      </c>
      <c r="B178" s="3">
        <v>285720</v>
      </c>
      <c r="C178" s="3">
        <v>3371305.7192456</v>
      </c>
      <c r="D178" s="3">
        <v>656296.64252240001</v>
      </c>
      <c r="E178" s="3">
        <v>269.72092350000003</v>
      </c>
      <c r="F178" s="3">
        <f t="shared" si="0"/>
        <v>269.03292350000004</v>
      </c>
      <c r="G178" s="3">
        <v>94722.921000000002</v>
      </c>
      <c r="H178" s="3">
        <v>-10.443462500000001</v>
      </c>
      <c r="I178" s="3">
        <v>3371297.3143194001</v>
      </c>
      <c r="J178" s="3">
        <v>656290.44388349995</v>
      </c>
      <c r="K178" s="3">
        <v>270.75658759999999</v>
      </c>
      <c r="L178" s="3">
        <v>271.49858760000001</v>
      </c>
      <c r="M178" s="3">
        <f t="shared" si="11"/>
        <v>1.0356640999999627</v>
      </c>
      <c r="N178" s="3">
        <f t="shared" si="12"/>
        <v>2.4656640999999695</v>
      </c>
      <c r="O178" s="3">
        <v>-11.840431499999999</v>
      </c>
      <c r="P178" s="3">
        <v>266.60970520000001</v>
      </c>
      <c r="Q178" s="3">
        <v>7.0822010999999998</v>
      </c>
      <c r="R178" s="3">
        <v>268.98882040000001</v>
      </c>
      <c r="S178" s="3">
        <v>267.11563699999999</v>
      </c>
      <c r="T178" s="3">
        <f t="shared" si="14"/>
        <v>3.6409505999999965</v>
      </c>
      <c r="U178" s="3">
        <f t="shared" si="3"/>
        <v>4.8888824</v>
      </c>
      <c r="V178" s="3">
        <f t="shared" si="4"/>
        <v>2.5097671999999989</v>
      </c>
      <c r="W178" s="2">
        <f>VLOOKUP(B178,[1]CivilReport!$A$2:$E$342,5,FALSE)-H178</f>
        <v>4.6250000000114255E-4</v>
      </c>
    </row>
    <row r="179" spans="1:23" s="4" customFormat="1" ht="14.45" customHeight="1" x14ac:dyDescent="0.25">
      <c r="A179" s="2">
        <f t="shared" si="13"/>
        <v>94742.926000000007</v>
      </c>
      <c r="B179" s="3">
        <v>285740</v>
      </c>
      <c r="C179" s="3">
        <v>3371317.5917024999</v>
      </c>
      <c r="D179" s="3">
        <v>656280.5476552</v>
      </c>
      <c r="E179" s="3">
        <v>269.6727305</v>
      </c>
      <c r="F179" s="3">
        <f t="shared" si="0"/>
        <v>268.98473050000001</v>
      </c>
      <c r="G179" s="3">
        <v>94742.926000000007</v>
      </c>
      <c r="H179" s="3">
        <v>-10.495427400000001</v>
      </c>
      <c r="I179" s="3">
        <v>3371309.1480888999</v>
      </c>
      <c r="J179" s="3">
        <v>656274.31392550003</v>
      </c>
      <c r="K179" s="3">
        <v>270.69744579999997</v>
      </c>
      <c r="L179" s="3">
        <v>271.43944579999999</v>
      </c>
      <c r="M179" s="3">
        <f t="shared" si="11"/>
        <v>1.0247152999999685</v>
      </c>
      <c r="N179" s="3">
        <f t="shared" si="12"/>
        <v>2.4547152999999753</v>
      </c>
      <c r="O179" s="3">
        <v>-12.105851299999999</v>
      </c>
      <c r="P179" s="3">
        <v>266.41785349999998</v>
      </c>
      <c r="Q179" s="3">
        <v>7.1551701999999997</v>
      </c>
      <c r="R179" s="3">
        <v>268.89319399999999</v>
      </c>
      <c r="S179" s="3">
        <v>266.79387730000002</v>
      </c>
      <c r="T179" s="3">
        <f t="shared" si="14"/>
        <v>3.9035684999999489</v>
      </c>
      <c r="U179" s="3">
        <f t="shared" si="3"/>
        <v>5.0215923000000089</v>
      </c>
      <c r="V179" s="3">
        <f t="shared" si="4"/>
        <v>2.5462517999999932</v>
      </c>
      <c r="W179" s="2">
        <f>VLOOKUP(B179,[1]CivilReport!$A$2:$E$342,5,FALSE)-H179</f>
        <v>4.2740000000129896E-4</v>
      </c>
    </row>
    <row r="180" spans="1:23" s="4" customFormat="1" ht="14.45" customHeight="1" x14ac:dyDescent="0.25">
      <c r="A180" s="2">
        <f t="shared" si="13"/>
        <v>94762.926999999996</v>
      </c>
      <c r="B180" s="3">
        <v>285760</v>
      </c>
      <c r="C180" s="3">
        <v>3371329.4706464</v>
      </c>
      <c r="D180" s="3">
        <v>656264.45757470001</v>
      </c>
      <c r="E180" s="3">
        <v>269.55850930000003</v>
      </c>
      <c r="F180" s="3">
        <f t="shared" si="0"/>
        <v>268.87050930000004</v>
      </c>
      <c r="G180" s="3">
        <v>94762.926999999996</v>
      </c>
      <c r="H180" s="3">
        <v>-10.555439700000001</v>
      </c>
      <c r="I180" s="3">
        <v>3371320.9787527001</v>
      </c>
      <c r="J180" s="3">
        <v>656258.18820089998</v>
      </c>
      <c r="K180" s="3">
        <v>270.63831949999997</v>
      </c>
      <c r="L180" s="3">
        <v>271.38031949999998</v>
      </c>
      <c r="M180" s="3">
        <f t="shared" si="11"/>
        <v>1.0798101999999403</v>
      </c>
      <c r="N180" s="3">
        <f t="shared" si="12"/>
        <v>2.5098101999999471</v>
      </c>
      <c r="O180" s="3">
        <v>-11.7312159</v>
      </c>
      <c r="P180" s="3">
        <v>266.54604490000003</v>
      </c>
      <c r="Q180" s="3">
        <v>6.6673456</v>
      </c>
      <c r="R180" s="3">
        <v>269.07798000000003</v>
      </c>
      <c r="S180" s="3">
        <v>266.4936381</v>
      </c>
      <c r="T180" s="3">
        <f t="shared" si="14"/>
        <v>4.1446813999999677</v>
      </c>
      <c r="U180" s="3">
        <f t="shared" si="3"/>
        <v>4.8342745999999579</v>
      </c>
      <c r="V180" s="3">
        <f t="shared" si="4"/>
        <v>2.3023394999999596</v>
      </c>
      <c r="W180" s="2">
        <f>VLOOKUP(B180,[1]CivilReport!$A$2:$E$342,5,FALSE)-H180</f>
        <v>4.3970000000115306E-4</v>
      </c>
    </row>
    <row r="181" spans="1:23" s="4" customFormat="1" ht="14.45" customHeight="1" x14ac:dyDescent="0.25">
      <c r="A181" s="2">
        <f t="shared" si="13"/>
        <v>94782.917000000001</v>
      </c>
      <c r="B181" s="3">
        <v>285780</v>
      </c>
      <c r="C181" s="3">
        <v>3371341.3382478999</v>
      </c>
      <c r="D181" s="3">
        <v>656248.35912859999</v>
      </c>
      <c r="E181" s="3">
        <v>269.55440370000002</v>
      </c>
      <c r="F181" s="3">
        <f t="shared" si="0"/>
        <v>268.86640370000003</v>
      </c>
      <c r="G181" s="3">
        <v>94782.917000000001</v>
      </c>
      <c r="H181" s="3">
        <v>-10.6013328</v>
      </c>
      <c r="I181" s="3">
        <v>3371332.803454</v>
      </c>
      <c r="J181" s="3">
        <v>656242.0706033</v>
      </c>
      <c r="K181" s="3">
        <v>270.57922299999996</v>
      </c>
      <c r="L181" s="3">
        <v>271.32122299999997</v>
      </c>
      <c r="M181" s="3">
        <f t="shared" si="11"/>
        <v>1.0248192999999333</v>
      </c>
      <c r="N181" s="3">
        <f t="shared" si="12"/>
        <v>2.4548192999999401</v>
      </c>
      <c r="O181" s="3">
        <v>-10.957591600000001</v>
      </c>
      <c r="P181" s="3">
        <v>266.87376060000003</v>
      </c>
      <c r="Q181" s="3">
        <v>6.5500698000000002</v>
      </c>
      <c r="R181" s="3">
        <v>269.07752140000002</v>
      </c>
      <c r="S181" s="3">
        <v>266.63974330000002</v>
      </c>
      <c r="T181" s="3">
        <f t="shared" si="14"/>
        <v>3.9394796999999357</v>
      </c>
      <c r="U181" s="3">
        <f t="shared" si="3"/>
        <v>4.4474623999999494</v>
      </c>
      <c r="V181" s="3">
        <f t="shared" si="4"/>
        <v>2.2437015999999517</v>
      </c>
      <c r="W181" s="2">
        <f>VLOOKUP(B181,[1]CivilReport!$A$2:$E$342,5,FALSE)-H181</f>
        <v>-6.6720000000053403E-4</v>
      </c>
    </row>
    <row r="182" spans="1:23" s="4" customFormat="1" ht="14.45" customHeight="1" x14ac:dyDescent="0.25">
      <c r="A182" s="2">
        <f t="shared" si="13"/>
        <v>94802.917000000001</v>
      </c>
      <c r="B182" s="3">
        <v>285800</v>
      </c>
      <c r="C182" s="3">
        <v>3371353.2018982</v>
      </c>
      <c r="D182" s="3">
        <v>656232.25776840001</v>
      </c>
      <c r="E182" s="3">
        <v>269.58865689999999</v>
      </c>
      <c r="F182" s="3">
        <f t="shared" si="0"/>
        <v>268.9006569</v>
      </c>
      <c r="G182" s="3">
        <v>94802.917000000001</v>
      </c>
      <c r="H182" s="3">
        <v>-10.642341699999999</v>
      </c>
      <c r="I182" s="3">
        <v>3371344.6340892999</v>
      </c>
      <c r="J182" s="3">
        <v>656225.94491740002</v>
      </c>
      <c r="K182" s="3">
        <v>270.52009679999998</v>
      </c>
      <c r="L182" s="3">
        <v>271.26209679999999</v>
      </c>
      <c r="M182" s="3">
        <f t="shared" si="11"/>
        <v>0.93143989999998666</v>
      </c>
      <c r="N182" s="3">
        <f t="shared" si="12"/>
        <v>2.3614398999999935</v>
      </c>
      <c r="O182" s="3">
        <v>-10.7846686</v>
      </c>
      <c r="P182" s="3">
        <v>266.90109589999997</v>
      </c>
      <c r="Q182" s="3">
        <v>6.6063245999999998</v>
      </c>
      <c r="R182" s="3">
        <v>268.99026789999999</v>
      </c>
      <c r="S182" s="3">
        <v>266.64366439999998</v>
      </c>
      <c r="T182" s="3">
        <f t="shared" si="14"/>
        <v>3.8764323999999988</v>
      </c>
      <c r="U182" s="3">
        <f t="shared" si="3"/>
        <v>4.3610009000000218</v>
      </c>
      <c r="V182" s="3">
        <f t="shared" si="4"/>
        <v>2.2718289000000027</v>
      </c>
      <c r="W182" s="2">
        <f>VLOOKUP(B182,[1]CivilReport!$A$2:$E$342,5,FALSE)-H182</f>
        <v>3.4169999999988931E-4</v>
      </c>
    </row>
    <row r="183" spans="1:23" s="4" customFormat="1" ht="14.45" customHeight="1" x14ac:dyDescent="0.25">
      <c r="A183" s="2">
        <f t="shared" si="13"/>
        <v>94822.911999999997</v>
      </c>
      <c r="B183" s="3">
        <v>285820</v>
      </c>
      <c r="C183" s="3">
        <v>3371365.0596113</v>
      </c>
      <c r="D183" s="3">
        <v>656216.15203520004</v>
      </c>
      <c r="E183" s="3">
        <v>269.5940263</v>
      </c>
      <c r="F183" s="3">
        <f t="shared" si="0"/>
        <v>268.90602630000001</v>
      </c>
      <c r="G183" s="3">
        <v>94822.911999999997</v>
      </c>
      <c r="H183" s="3">
        <v>-10.6759688</v>
      </c>
      <c r="I183" s="3">
        <v>3371356.4621585002</v>
      </c>
      <c r="J183" s="3">
        <v>656209.82272920001</v>
      </c>
      <c r="K183" s="3">
        <v>270.4609835</v>
      </c>
      <c r="L183" s="3">
        <v>271.20298350000002</v>
      </c>
      <c r="M183" s="3">
        <f t="shared" si="11"/>
        <v>0.86695720000000165</v>
      </c>
      <c r="N183" s="3">
        <f t="shared" si="12"/>
        <v>2.2969572000000085</v>
      </c>
      <c r="O183" s="3">
        <v>-10.5236497</v>
      </c>
      <c r="P183" s="3">
        <v>266.97249199999999</v>
      </c>
      <c r="Q183" s="3">
        <v>6.5271419999999996</v>
      </c>
      <c r="R183" s="3">
        <v>268.97074579999997</v>
      </c>
      <c r="S183" s="3">
        <v>266.61902020000002</v>
      </c>
      <c r="T183" s="3">
        <f t="shared" si="14"/>
        <v>3.8419632999999749</v>
      </c>
      <c r="U183" s="3">
        <f t="shared" si="3"/>
        <v>4.2304915000000278</v>
      </c>
      <c r="V183" s="3">
        <f t="shared" si="4"/>
        <v>2.2322377000000415</v>
      </c>
      <c r="W183" s="2">
        <f>VLOOKUP(B183,[1]CivilReport!$A$2:$E$342,5,FALSE)-H183</f>
        <v>-3.1200000000453088E-5</v>
      </c>
    </row>
    <row r="184" spans="1:23" s="4" customFormat="1" ht="14.45" customHeight="1" x14ac:dyDescent="0.25">
      <c r="A184" s="2">
        <f t="shared" si="13"/>
        <v>94842.896999999997</v>
      </c>
      <c r="B184" s="3">
        <v>285840</v>
      </c>
      <c r="C184" s="3">
        <v>3371376.9103452</v>
      </c>
      <c r="D184" s="3">
        <v>656200.04117099999</v>
      </c>
      <c r="E184" s="3">
        <v>269.58511440000001</v>
      </c>
      <c r="F184" s="3">
        <f t="shared" si="0"/>
        <v>268.89711440000002</v>
      </c>
      <c r="G184" s="3">
        <v>94842.896999999997</v>
      </c>
      <c r="H184" s="3">
        <v>-10.7009273</v>
      </c>
      <c r="I184" s="3">
        <v>3371368.2839052998</v>
      </c>
      <c r="J184" s="3">
        <v>656193.70915869996</v>
      </c>
      <c r="K184" s="3">
        <v>270.40190179999996</v>
      </c>
      <c r="L184" s="3">
        <v>271.14390179999998</v>
      </c>
      <c r="M184" s="3">
        <f t="shared" si="11"/>
        <v>0.81678739999995287</v>
      </c>
      <c r="N184" s="3">
        <f t="shared" si="12"/>
        <v>2.2467873999999597</v>
      </c>
      <c r="O184" s="3">
        <v>-12.3537874</v>
      </c>
      <c r="P184" s="3">
        <v>265.99834140000002</v>
      </c>
      <c r="Q184" s="3">
        <v>6.4825309999999998</v>
      </c>
      <c r="R184" s="3">
        <v>268.93396960000001</v>
      </c>
      <c r="S184" s="3">
        <v>266.28576290000001</v>
      </c>
      <c r="T184" s="3">
        <f t="shared" si="14"/>
        <v>4.1161388999999531</v>
      </c>
      <c r="U184" s="3">
        <f t="shared" si="3"/>
        <v>5.1455603999999653</v>
      </c>
      <c r="V184" s="3">
        <f t="shared" si="4"/>
        <v>2.2099321999999688</v>
      </c>
      <c r="W184" s="2">
        <f>VLOOKUP(B184,[1]CivilReport!$A$2:$E$342,5,FALSE)-H184</f>
        <v>-7.2700000000480713E-5</v>
      </c>
    </row>
    <row r="185" spans="1:23" s="4" customFormat="1" ht="14.45" customHeight="1" x14ac:dyDescent="0.25">
      <c r="A185" s="2">
        <f t="shared" si="13"/>
        <v>94862.896999999997</v>
      </c>
      <c r="B185" s="3">
        <v>285860</v>
      </c>
      <c r="C185" s="3">
        <v>3371388.7448566002</v>
      </c>
      <c r="D185" s="3">
        <v>656183.91838150006</v>
      </c>
      <c r="E185" s="3">
        <v>269.57133779999998</v>
      </c>
      <c r="F185" s="3">
        <f t="shared" si="0"/>
        <v>268.88333779999999</v>
      </c>
      <c r="G185" s="3">
        <v>94862.896999999997</v>
      </c>
      <c r="H185" s="3">
        <v>-10.7057658</v>
      </c>
      <c r="I185" s="3">
        <v>3371380.1145162</v>
      </c>
      <c r="J185" s="3">
        <v>656177.5835061</v>
      </c>
      <c r="K185" s="3">
        <v>270.3427757</v>
      </c>
      <c r="L185" s="3">
        <v>271.08477570000002</v>
      </c>
      <c r="M185" s="3">
        <f t="shared" si="11"/>
        <v>0.77143790000002355</v>
      </c>
      <c r="N185" s="3">
        <f t="shared" si="12"/>
        <v>2.2014379000000304</v>
      </c>
      <c r="O185" s="3">
        <v>-11.6656969</v>
      </c>
      <c r="P185" s="3">
        <v>266.28326060000001</v>
      </c>
      <c r="Q185" s="3">
        <v>6.4430396999999999</v>
      </c>
      <c r="R185" s="3">
        <v>268.89458919999998</v>
      </c>
      <c r="S185" s="3">
        <v>266.51086020000002</v>
      </c>
      <c r="T185" s="3">
        <f t="shared" si="14"/>
        <v>3.8319154999999796</v>
      </c>
      <c r="U185" s="3">
        <f t="shared" si="3"/>
        <v>4.8015151000000174</v>
      </c>
      <c r="V185" s="3">
        <f t="shared" si="4"/>
        <v>2.1901865000000384</v>
      </c>
      <c r="W185" s="2">
        <f>VLOOKUP(B185,[1]CivilReport!$A$2:$E$342,5,FALSE)-H185</f>
        <v>7.6579999999992765E-4</v>
      </c>
    </row>
    <row r="186" spans="1:23" s="4" customFormat="1" ht="14.45" customHeight="1" x14ac:dyDescent="0.25">
      <c r="A186" s="2">
        <f t="shared" si="13"/>
        <v>94882.907999999996</v>
      </c>
      <c r="B186" s="3">
        <v>285880</v>
      </c>
      <c r="C186" s="3">
        <v>3371400.5866924999</v>
      </c>
      <c r="D186" s="3">
        <v>656167.80097380001</v>
      </c>
      <c r="E186" s="3">
        <v>269.56167499999998</v>
      </c>
      <c r="F186" s="3">
        <f t="shared" si="0"/>
        <v>268.87367499999999</v>
      </c>
      <c r="G186" s="3">
        <v>94882.907999999996</v>
      </c>
      <c r="H186" s="3">
        <v>-10.719701000000001</v>
      </c>
      <c r="I186" s="3">
        <v>3371391.9512608</v>
      </c>
      <c r="J186" s="3">
        <v>656161.44949290005</v>
      </c>
      <c r="K186" s="3">
        <v>270.28361899999999</v>
      </c>
      <c r="L186" s="3">
        <v>271.02561900000001</v>
      </c>
      <c r="M186" s="3">
        <f t="shared" si="11"/>
        <v>0.72194400000000769</v>
      </c>
      <c r="N186" s="3">
        <f t="shared" si="12"/>
        <v>2.1519440000000145</v>
      </c>
      <c r="O186" s="3">
        <v>-10.136514500000001</v>
      </c>
      <c r="P186" s="3">
        <v>266.98869509999997</v>
      </c>
      <c r="Q186" s="3">
        <v>6.4153960999999997</v>
      </c>
      <c r="R186" s="3">
        <v>268.84925429999998</v>
      </c>
      <c r="S186" s="3">
        <v>266.51014900000001</v>
      </c>
      <c r="T186" s="3">
        <f t="shared" si="14"/>
        <v>3.7734699999999748</v>
      </c>
      <c r="U186" s="3">
        <f t="shared" si="3"/>
        <v>4.0369239000000334</v>
      </c>
      <c r="V186" s="3">
        <f t="shared" si="4"/>
        <v>2.1763647000000219</v>
      </c>
      <c r="W186" s="2">
        <f>VLOOKUP(B186,[1]CivilReport!$A$2:$E$342,5,FALSE)-H186</f>
        <v>-2.9900000000004923E-4</v>
      </c>
    </row>
    <row r="187" spans="1:23" s="4" customFormat="1" ht="14.45" customHeight="1" x14ac:dyDescent="0.25">
      <c r="A187" s="2">
        <f t="shared" si="13"/>
        <v>94902.907999999996</v>
      </c>
      <c r="B187" s="3">
        <v>285900</v>
      </c>
      <c r="C187" s="3">
        <v>3371412.4368008999</v>
      </c>
      <c r="D187" s="3">
        <v>656151.68964460003</v>
      </c>
      <c r="E187" s="3">
        <v>269.55665859999999</v>
      </c>
      <c r="F187" s="3">
        <f t="shared" si="0"/>
        <v>268.8686586</v>
      </c>
      <c r="G187" s="3">
        <v>94902.907999999996</v>
      </c>
      <c r="H187" s="3">
        <v>-10.743894300000001</v>
      </c>
      <c r="I187" s="3">
        <v>3371403.7818800001</v>
      </c>
      <c r="J187" s="3">
        <v>656145.323829</v>
      </c>
      <c r="K187" s="3">
        <v>270.224493</v>
      </c>
      <c r="L187" s="3">
        <v>270.96649300000001</v>
      </c>
      <c r="M187" s="3">
        <f t="shared" si="11"/>
        <v>0.66783440000000382</v>
      </c>
      <c r="N187" s="3">
        <f t="shared" si="12"/>
        <v>2.0978344000000106</v>
      </c>
      <c r="O187" s="3">
        <v>-10.327473400000001</v>
      </c>
      <c r="P187" s="3">
        <v>266.83408960000003</v>
      </c>
      <c r="Q187" s="3">
        <v>6.3953294999999999</v>
      </c>
      <c r="R187" s="3">
        <v>268.8001615</v>
      </c>
      <c r="S187" s="3">
        <v>266.46132640000002</v>
      </c>
      <c r="T187" s="3">
        <f t="shared" si="14"/>
        <v>3.7631665999999768</v>
      </c>
      <c r="U187" s="3">
        <f t="shared" si="3"/>
        <v>4.132403399999987</v>
      </c>
      <c r="V187" s="3">
        <f t="shared" si="4"/>
        <v>2.1663315000000125</v>
      </c>
      <c r="W187" s="2">
        <f>VLOOKUP(B187,[1]CivilReport!$A$2:$E$342,5,FALSE)-H187</f>
        <v>-1.0569999999887614E-4</v>
      </c>
    </row>
    <row r="188" spans="1:23" s="4" customFormat="1" ht="14.45" customHeight="1" x14ac:dyDescent="0.25">
      <c r="A188" s="2">
        <f t="shared" si="13"/>
        <v>94922.891000000003</v>
      </c>
      <c r="B188" s="3">
        <v>285920</v>
      </c>
      <c r="C188" s="3">
        <v>3371424.2683627</v>
      </c>
      <c r="D188" s="3">
        <v>656135.56469429994</v>
      </c>
      <c r="E188" s="3">
        <v>269.52185730000002</v>
      </c>
      <c r="F188" s="3">
        <f t="shared" si="0"/>
        <v>268.83385730000003</v>
      </c>
      <c r="G188" s="3">
        <v>94922.891000000003</v>
      </c>
      <c r="H188" s="3">
        <v>-10.745069000000001</v>
      </c>
      <c r="I188" s="3">
        <v>3371415.6028804998</v>
      </c>
      <c r="J188" s="3">
        <v>656129.21127570001</v>
      </c>
      <c r="K188" s="3">
        <v>270.16541489999997</v>
      </c>
      <c r="L188" s="3">
        <v>270.90741489999999</v>
      </c>
      <c r="M188" s="3">
        <f t="shared" si="11"/>
        <v>0.64355759999995144</v>
      </c>
      <c r="N188" s="3">
        <f t="shared" si="12"/>
        <v>2.0735575999999583</v>
      </c>
      <c r="O188" s="3">
        <v>-9.6650843999999996</v>
      </c>
      <c r="P188" s="3">
        <v>267.10620610000001</v>
      </c>
      <c r="Q188" s="3">
        <v>6.2913154000000002</v>
      </c>
      <c r="R188" s="3">
        <v>268.79309060000003</v>
      </c>
      <c r="S188" s="3">
        <v>266.4295985</v>
      </c>
      <c r="T188" s="3">
        <f t="shared" si="14"/>
        <v>3.7358163999999761</v>
      </c>
      <c r="U188" s="3">
        <f t="shared" si="3"/>
        <v>3.8012087999999835</v>
      </c>
      <c r="V188" s="3">
        <f t="shared" si="4"/>
        <v>2.1143242999999643</v>
      </c>
      <c r="W188" s="2">
        <f>VLOOKUP(B188,[1]CivilReport!$A$2:$E$342,5,FALSE)-H188</f>
        <v>6.9000000001651074E-5</v>
      </c>
    </row>
    <row r="189" spans="1:23" s="4" customFormat="1" ht="14.45" customHeight="1" x14ac:dyDescent="0.25">
      <c r="A189" s="2">
        <f t="shared" si="13"/>
        <v>94942.891000000003</v>
      </c>
      <c r="B189" s="3">
        <v>285940</v>
      </c>
      <c r="C189" s="3">
        <v>3371436.0941006001</v>
      </c>
      <c r="D189" s="3">
        <v>656119.43546850001</v>
      </c>
      <c r="E189" s="3">
        <v>269.50906400000002</v>
      </c>
      <c r="F189" s="3">
        <f t="shared" si="0"/>
        <v>268.82106400000004</v>
      </c>
      <c r="G189" s="3">
        <v>94942.891000000003</v>
      </c>
      <c r="H189" s="3">
        <v>-10.7390265</v>
      </c>
      <c r="I189" s="3">
        <v>3371427.4334915001</v>
      </c>
      <c r="J189" s="3">
        <v>656113.08562290005</v>
      </c>
      <c r="K189" s="3">
        <v>270.10628889999998</v>
      </c>
      <c r="L189" s="3">
        <v>270.8482889</v>
      </c>
      <c r="M189" s="3">
        <f t="shared" si="11"/>
        <v>0.59722489999995787</v>
      </c>
      <c r="N189" s="3">
        <f t="shared" si="12"/>
        <v>2.0272248999999647</v>
      </c>
      <c r="O189" s="3">
        <v>-11.5841627</v>
      </c>
      <c r="P189" s="3">
        <v>266.08754090000002</v>
      </c>
      <c r="Q189" s="3">
        <v>6.1183946000000002</v>
      </c>
      <c r="R189" s="3">
        <v>268.82042489999998</v>
      </c>
      <c r="S189" s="3">
        <v>266.41205400000001</v>
      </c>
      <c r="T189" s="3">
        <f t="shared" si="14"/>
        <v>3.6942348999999695</v>
      </c>
      <c r="U189" s="3">
        <f t="shared" si="3"/>
        <v>4.7607479999999782</v>
      </c>
      <c r="V189" s="3">
        <f t="shared" si="4"/>
        <v>2.0278640000000223</v>
      </c>
      <c r="W189" s="2">
        <f>VLOOKUP(B189,[1]CivilReport!$A$2:$E$342,5,FALSE)-H189</f>
        <v>2.6499999998819135E-5</v>
      </c>
    </row>
    <row r="190" spans="1:23" s="4" customFormat="1" ht="14.45" customHeight="1" x14ac:dyDescent="0.25">
      <c r="A190" s="2">
        <f t="shared" si="13"/>
        <v>94962.895999999993</v>
      </c>
      <c r="B190" s="3">
        <v>285960</v>
      </c>
      <c r="C190" s="3">
        <v>3371447.9251374002</v>
      </c>
      <c r="D190" s="3">
        <v>656103.31012939999</v>
      </c>
      <c r="E190" s="3">
        <v>269.48492570000002</v>
      </c>
      <c r="F190" s="3">
        <f t="shared" si="0"/>
        <v>268.79692570000003</v>
      </c>
      <c r="G190" s="3">
        <v>94962.895999999993</v>
      </c>
      <c r="H190" s="3">
        <v>-10.739554800000001</v>
      </c>
      <c r="I190" s="3">
        <v>3371439.2665994</v>
      </c>
      <c r="J190" s="3">
        <v>656096.95656680001</v>
      </c>
      <c r="K190" s="3">
        <v>270.04715039999996</v>
      </c>
      <c r="L190" s="3">
        <v>270.78915039999998</v>
      </c>
      <c r="M190" s="3">
        <f t="shared" si="11"/>
        <v>0.56222469999994473</v>
      </c>
      <c r="N190" s="3">
        <f t="shared" si="12"/>
        <v>1.9922246999999516</v>
      </c>
      <c r="O190" s="3">
        <v>-9.3485493000000002</v>
      </c>
      <c r="P190" s="3">
        <v>267.14620910000002</v>
      </c>
      <c r="Q190" s="3">
        <v>5.9960281999999996</v>
      </c>
      <c r="R190" s="3">
        <v>268.82246959999998</v>
      </c>
      <c r="S190" s="3">
        <v>266.47543400000001</v>
      </c>
      <c r="T190" s="3">
        <f t="shared" si="14"/>
        <v>3.571716399999957</v>
      </c>
      <c r="U190" s="3">
        <f t="shared" si="3"/>
        <v>3.6429412999999613</v>
      </c>
      <c r="V190" s="3">
        <f t="shared" si="4"/>
        <v>1.966680800000006</v>
      </c>
      <c r="W190" s="2">
        <f>VLOOKUP(B190,[1]CivilReport!$A$2:$E$342,5,FALSE)-H190</f>
        <v>5.5479999999974439E-4</v>
      </c>
    </row>
    <row r="191" spans="1:23" s="4" customFormat="1" ht="14.45" customHeight="1" x14ac:dyDescent="0.25">
      <c r="A191" s="2">
        <f t="shared" si="13"/>
        <v>94982.902000000002</v>
      </c>
      <c r="B191" s="3">
        <v>285980</v>
      </c>
      <c r="C191" s="3">
        <v>3371459.7580321999</v>
      </c>
      <c r="D191" s="3">
        <v>656087.18615379999</v>
      </c>
      <c r="E191" s="3">
        <v>269.4588372</v>
      </c>
      <c r="F191" s="3">
        <f t="shared" si="0"/>
        <v>268.77083720000002</v>
      </c>
      <c r="G191" s="3">
        <v>94982.902000000002</v>
      </c>
      <c r="H191" s="3">
        <v>-10.7423904</v>
      </c>
      <c r="I191" s="3">
        <v>3371451.1006840998</v>
      </c>
      <c r="J191" s="3">
        <v>656080.82617919997</v>
      </c>
      <c r="K191" s="3">
        <v>269.98800699999998</v>
      </c>
      <c r="L191" s="3">
        <v>270.730007</v>
      </c>
      <c r="M191" s="3">
        <f t="shared" si="11"/>
        <v>0.52916979999997693</v>
      </c>
      <c r="N191" s="3">
        <f t="shared" si="12"/>
        <v>1.9591697999999838</v>
      </c>
      <c r="O191" s="3">
        <v>-11.241628499999999</v>
      </c>
      <c r="P191" s="3">
        <v>266.14052609999999</v>
      </c>
      <c r="Q191" s="3">
        <v>5.9322949999999999</v>
      </c>
      <c r="R191" s="3">
        <v>268.7951928</v>
      </c>
      <c r="S191" s="3">
        <v>266.49450480000002</v>
      </c>
      <c r="T191" s="3">
        <f t="shared" si="14"/>
        <v>3.4935021999999663</v>
      </c>
      <c r="U191" s="3">
        <f t="shared" si="3"/>
        <v>4.5894809000000123</v>
      </c>
      <c r="V191" s="3">
        <f t="shared" si="4"/>
        <v>1.9348142000000053</v>
      </c>
      <c r="W191" s="2">
        <f>VLOOKUP(B191,[1]CivilReport!$A$2:$E$342,5,FALSE)-H191</f>
        <v>3.9039999999879171E-4</v>
      </c>
    </row>
    <row r="192" spans="1:23" s="4" customFormat="1" ht="14.45" customHeight="1" x14ac:dyDescent="0.25">
      <c r="A192" s="2">
        <f t="shared" si="13"/>
        <v>95002.902000000002</v>
      </c>
      <c r="B192" s="3">
        <v>286000</v>
      </c>
      <c r="C192" s="3">
        <v>3371471.5989247998</v>
      </c>
      <c r="D192" s="3">
        <v>656071.0680502</v>
      </c>
      <c r="E192" s="3">
        <v>269.43549009999998</v>
      </c>
      <c r="F192" s="3">
        <f t="shared" si="0"/>
        <v>268.74749009999999</v>
      </c>
      <c r="G192" s="3">
        <v>95002.902000000002</v>
      </c>
      <c r="H192" s="3">
        <v>-10.7551459</v>
      </c>
      <c r="I192" s="3">
        <v>3371462.931297</v>
      </c>
      <c r="J192" s="3">
        <v>656064.70052389998</v>
      </c>
      <c r="K192" s="3">
        <v>269.92888089999997</v>
      </c>
      <c r="L192" s="3">
        <v>270.67088089999999</v>
      </c>
      <c r="M192" s="3">
        <f t="shared" si="11"/>
        <v>0.49339079999998603</v>
      </c>
      <c r="N192" s="3">
        <f t="shared" si="12"/>
        <v>1.9233907999999929</v>
      </c>
      <c r="O192" s="3">
        <v>-10.5555824</v>
      </c>
      <c r="P192" s="3">
        <v>266.42442310000001</v>
      </c>
      <c r="Q192" s="3">
        <v>6.0849811999999996</v>
      </c>
      <c r="R192" s="3">
        <v>268.65972369999997</v>
      </c>
      <c r="S192" s="3">
        <v>266.71937459999998</v>
      </c>
      <c r="T192" s="3">
        <f t="shared" si="14"/>
        <v>3.2095062999999868</v>
      </c>
      <c r="U192" s="3">
        <f t="shared" si="3"/>
        <v>4.2464577999999733</v>
      </c>
      <c r="V192" s="3">
        <f t="shared" si="4"/>
        <v>2.0111572000000137</v>
      </c>
      <c r="W192" s="2">
        <f>VLOOKUP(B192,[1]CivilReport!$A$2:$E$342,5,FALSE)-H192</f>
        <v>1.4589999999969905E-4</v>
      </c>
    </row>
    <row r="193" spans="1:23" s="4" customFormat="1" ht="14.45" customHeight="1" x14ac:dyDescent="0.25">
      <c r="A193" s="2">
        <f t="shared" si="13"/>
        <v>95022.899000000005</v>
      </c>
      <c r="B193" s="3">
        <v>286020</v>
      </c>
      <c r="C193" s="3">
        <v>3371483.4389692</v>
      </c>
      <c r="D193" s="3">
        <v>656054.94932370004</v>
      </c>
      <c r="E193" s="3">
        <v>269.41236579999998</v>
      </c>
      <c r="F193" s="3">
        <f t="shared" si="0"/>
        <v>268.72436579999999</v>
      </c>
      <c r="G193" s="3">
        <v>95022.899000000005</v>
      </c>
      <c r="H193" s="3">
        <v>-10.7668476</v>
      </c>
      <c r="I193" s="3">
        <v>3371474.7602991001</v>
      </c>
      <c r="J193" s="3">
        <v>656048.57706409995</v>
      </c>
      <c r="K193" s="3">
        <v>269.86976289999996</v>
      </c>
      <c r="L193" s="3">
        <v>270.61176289999997</v>
      </c>
      <c r="M193" s="3">
        <f t="shared" si="11"/>
        <v>0.45739709999998013</v>
      </c>
      <c r="N193" s="3">
        <f t="shared" si="12"/>
        <v>1.8873970999999869</v>
      </c>
      <c r="O193" s="3">
        <v>-8.5271487999999991</v>
      </c>
      <c r="P193" s="3">
        <v>267.37952189999999</v>
      </c>
      <c r="Q193" s="3">
        <v>6.2298106999999998</v>
      </c>
      <c r="R193" s="3">
        <v>268.52819090000003</v>
      </c>
      <c r="S193" s="3">
        <v>266.58846140000003</v>
      </c>
      <c r="T193" s="3">
        <f t="shared" si="14"/>
        <v>3.2813014999999268</v>
      </c>
      <c r="U193" s="3">
        <f t="shared" si="3"/>
        <v>3.2322409999999877</v>
      </c>
      <c r="V193" s="3">
        <f t="shared" si="4"/>
        <v>2.0835719999999469</v>
      </c>
      <c r="W193" s="2">
        <f>VLOOKUP(B193,[1]CivilReport!$A$2:$E$342,5,FALSE)-H193</f>
        <v>-1.5239999999927534E-4</v>
      </c>
    </row>
    <row r="194" spans="1:23" s="4" customFormat="1" ht="14.45" customHeight="1" x14ac:dyDescent="0.25">
      <c r="A194" s="2">
        <f t="shared" si="13"/>
        <v>95042.899000000005</v>
      </c>
      <c r="B194" s="3">
        <v>286040</v>
      </c>
      <c r="C194" s="3">
        <v>3371495.2757850001</v>
      </c>
      <c r="D194" s="3">
        <v>656038.82822599995</v>
      </c>
      <c r="E194" s="3">
        <v>269.39008990000002</v>
      </c>
      <c r="F194" s="3">
        <f t="shared" si="0"/>
        <v>268.70208990000003</v>
      </c>
      <c r="G194" s="3">
        <v>95042.899000000005</v>
      </c>
      <c r="H194" s="3">
        <v>-10.7745449</v>
      </c>
      <c r="I194" s="3">
        <v>3371486.5909104999</v>
      </c>
      <c r="J194" s="3">
        <v>656032.45141079999</v>
      </c>
      <c r="K194" s="3">
        <v>269.81063689999996</v>
      </c>
      <c r="L194" s="3">
        <v>270.55263689999998</v>
      </c>
      <c r="M194" s="3">
        <f t="shared" si="11"/>
        <v>0.42054699999994227</v>
      </c>
      <c r="N194" s="3">
        <f t="shared" si="12"/>
        <v>1.8505469999999491</v>
      </c>
      <c r="O194" s="3">
        <v>-10.3910932</v>
      </c>
      <c r="P194" s="3">
        <v>266.38842360000001</v>
      </c>
      <c r="Q194" s="3">
        <v>6.2855289000000001</v>
      </c>
      <c r="R194" s="3">
        <v>268.44120579999998</v>
      </c>
      <c r="S194" s="3">
        <v>266.4517611</v>
      </c>
      <c r="T194" s="3">
        <f t="shared" si="14"/>
        <v>3.3588757999999643</v>
      </c>
      <c r="U194" s="3">
        <f t="shared" si="3"/>
        <v>4.1642132999999717</v>
      </c>
      <c r="V194" s="3">
        <f t="shared" si="4"/>
        <v>2.1114311000000043</v>
      </c>
      <c r="W194" s="2">
        <f>VLOOKUP(B194,[1]CivilReport!$A$2:$E$342,5,FALSE)-H194</f>
        <v>5.4490000000129157E-4</v>
      </c>
    </row>
    <row r="195" spans="1:23" s="4" customFormat="1" ht="14.45" customHeight="1" x14ac:dyDescent="0.25">
      <c r="A195" s="2">
        <f t="shared" si="13"/>
        <v>95062.899000000005</v>
      </c>
      <c r="B195" s="3">
        <v>286060</v>
      </c>
      <c r="C195" s="3">
        <v>3371507.1126008001</v>
      </c>
      <c r="D195" s="3">
        <v>656022.70712829998</v>
      </c>
      <c r="E195" s="3">
        <v>269.36781400000001</v>
      </c>
      <c r="F195" s="3">
        <f t="shared" si="0"/>
        <v>268.67981400000002</v>
      </c>
      <c r="G195" s="3">
        <v>95062.899000000005</v>
      </c>
      <c r="H195" s="3">
        <v>-10.782242200000001</v>
      </c>
      <c r="I195" s="3">
        <v>3371498.4215219002</v>
      </c>
      <c r="J195" s="3">
        <v>656016.32575750002</v>
      </c>
      <c r="K195" s="3">
        <v>269.75151089999997</v>
      </c>
      <c r="L195" s="3">
        <v>270.49351089999999</v>
      </c>
      <c r="M195" s="3">
        <f t="shared" si="11"/>
        <v>0.38369689999996126</v>
      </c>
      <c r="N195" s="3">
        <f t="shared" si="12"/>
        <v>1.8136968999999681</v>
      </c>
      <c r="O195" s="3">
        <v>-10.432852199999999</v>
      </c>
      <c r="P195" s="3">
        <v>266.30841809999998</v>
      </c>
      <c r="Q195" s="3">
        <v>6.4238591999999999</v>
      </c>
      <c r="R195" s="3">
        <v>268.3129146</v>
      </c>
      <c r="S195" s="3">
        <v>266.52870799999999</v>
      </c>
      <c r="T195" s="3">
        <f t="shared" si="14"/>
        <v>3.2228028999999765</v>
      </c>
      <c r="U195" s="3">
        <f t="shared" si="3"/>
        <v>4.1850928000000067</v>
      </c>
      <c r="V195" s="3">
        <f t="shared" si="4"/>
        <v>2.1805962999999906</v>
      </c>
      <c r="W195" s="2">
        <f>VLOOKUP(B195,[1]CivilReport!$A$2:$E$342,5,FALSE)-H195</f>
        <v>2.4220000000063635E-4</v>
      </c>
    </row>
    <row r="196" spans="1:23" s="4" customFormat="1" ht="14.45" customHeight="1" x14ac:dyDescent="0.25">
      <c r="A196" s="2">
        <f t="shared" si="13"/>
        <v>95082.892000000007</v>
      </c>
      <c r="B196" s="3">
        <v>286080</v>
      </c>
      <c r="C196" s="3">
        <v>3371518.9419064</v>
      </c>
      <c r="D196" s="3">
        <v>656006.58052009996</v>
      </c>
      <c r="E196" s="3">
        <v>269.34127369999999</v>
      </c>
      <c r="F196" s="3">
        <f t="shared" si="0"/>
        <v>268.6532737</v>
      </c>
      <c r="G196" s="3">
        <v>95082.892000000007</v>
      </c>
      <c r="H196" s="3">
        <v>-10.780624100000001</v>
      </c>
      <c r="I196" s="3">
        <v>3371510.2478522998</v>
      </c>
      <c r="J196" s="3">
        <v>656000.20593940001</v>
      </c>
      <c r="K196" s="3">
        <v>269.69240619999999</v>
      </c>
      <c r="L196" s="3">
        <v>270.43440620000001</v>
      </c>
      <c r="M196" s="3">
        <f t="shared" ref="M196:M259" si="15">+K196-E196</f>
        <v>0.35113250000000562</v>
      </c>
      <c r="N196" s="3">
        <f t="shared" ref="N196:N259" si="16">+L196-F196</f>
        <v>1.7811325000000124</v>
      </c>
      <c r="O196" s="3">
        <v>-10.626279</v>
      </c>
      <c r="P196" s="3">
        <v>266.15260009999997</v>
      </c>
      <c r="Q196" s="3">
        <v>6.3532311999999997</v>
      </c>
      <c r="R196" s="3">
        <v>268.28912400000002</v>
      </c>
      <c r="S196" s="3">
        <v>267.01484670000002</v>
      </c>
      <c r="T196" s="3">
        <f t="shared" si="14"/>
        <v>2.6775594999999726</v>
      </c>
      <c r="U196" s="3">
        <f t="shared" si="3"/>
        <v>4.2818061000000398</v>
      </c>
      <c r="V196" s="3">
        <f t="shared" si="4"/>
        <v>2.1452821999999969</v>
      </c>
      <c r="W196" s="2">
        <f>VLOOKUP(B196,[1]CivilReport!$A$2:$E$342,5,FALSE)-H196</f>
        <v>-3.7589999999987356E-4</v>
      </c>
    </row>
    <row r="197" spans="1:23" s="4" customFormat="1" ht="14.45" customHeight="1" x14ac:dyDescent="0.25">
      <c r="A197" s="2">
        <f t="shared" ref="A197:A260" si="17">G197</f>
        <v>95102.892000000007</v>
      </c>
      <c r="B197" s="3">
        <v>286100</v>
      </c>
      <c r="C197" s="3">
        <v>3371530.7679021</v>
      </c>
      <c r="D197" s="3">
        <v>655990.45148339996</v>
      </c>
      <c r="E197" s="3">
        <v>269.31285400000002</v>
      </c>
      <c r="F197" s="3">
        <f t="shared" si="0"/>
        <v>268.62485400000003</v>
      </c>
      <c r="G197" s="3">
        <v>95102.892000000007</v>
      </c>
      <c r="H197" s="3">
        <v>-10.7749012</v>
      </c>
      <c r="I197" s="3">
        <v>3371522.0784633001</v>
      </c>
      <c r="J197" s="3">
        <v>655984.08028670005</v>
      </c>
      <c r="K197" s="3">
        <v>269.6332802</v>
      </c>
      <c r="L197" s="3">
        <v>270.37528020000002</v>
      </c>
      <c r="M197" s="3">
        <f t="shared" si="15"/>
        <v>0.32042619999998578</v>
      </c>
      <c r="N197" s="3">
        <f t="shared" si="16"/>
        <v>1.7504261999999926</v>
      </c>
      <c r="O197" s="3">
        <v>-8.9534675000000004</v>
      </c>
      <c r="P197" s="3">
        <v>266.92987979999998</v>
      </c>
      <c r="Q197" s="3">
        <v>6.1869009000000004</v>
      </c>
      <c r="R197" s="3">
        <v>268.3131631</v>
      </c>
      <c r="S197" s="3">
        <v>267.54096220000002</v>
      </c>
      <c r="T197" s="3">
        <f t="shared" ref="T197:T260" si="18">K197-S197</f>
        <v>2.0923179999999775</v>
      </c>
      <c r="U197" s="3">
        <f t="shared" si="3"/>
        <v>3.4454004000000396</v>
      </c>
      <c r="V197" s="3">
        <f t="shared" si="4"/>
        <v>2.0621171000000231</v>
      </c>
      <c r="W197" s="2">
        <f>VLOOKUP(B197,[1]CivilReport!$A$2:$E$342,5,FALSE)-H197</f>
        <v>-9.879999999995448E-5</v>
      </c>
    </row>
    <row r="198" spans="1:23" s="4" customFormat="1" ht="14.45" customHeight="1" x14ac:dyDescent="0.25">
      <c r="A198" s="2">
        <f t="shared" si="17"/>
        <v>95122.861000000004</v>
      </c>
      <c r="B198" s="3">
        <v>286120</v>
      </c>
      <c r="C198" s="3">
        <v>3371542.5621569999</v>
      </c>
      <c r="D198" s="3">
        <v>655974.29924379999</v>
      </c>
      <c r="E198" s="3">
        <v>269.27933760000002</v>
      </c>
      <c r="F198" s="3">
        <f t="shared" si="0"/>
        <v>268.59133760000003</v>
      </c>
      <c r="G198" s="3">
        <v>95122.861000000004</v>
      </c>
      <c r="H198" s="3">
        <v>-10.729913700000001</v>
      </c>
      <c r="I198" s="3">
        <v>3371533.8908588002</v>
      </c>
      <c r="J198" s="3">
        <v>655967.97946229996</v>
      </c>
      <c r="K198" s="3">
        <v>269.57424520000001</v>
      </c>
      <c r="L198" s="3">
        <v>270.31624520000003</v>
      </c>
      <c r="M198" s="3">
        <f t="shared" si="15"/>
        <v>0.29490759999998772</v>
      </c>
      <c r="N198" s="3">
        <f t="shared" si="16"/>
        <v>1.7249075999999945</v>
      </c>
      <c r="O198" s="3">
        <v>-8.4937514000000007</v>
      </c>
      <c r="P198" s="3">
        <v>267.10070280000002</v>
      </c>
      <c r="Q198" s="3">
        <v>6.1795153999999997</v>
      </c>
      <c r="R198" s="3">
        <v>268.25782079999999</v>
      </c>
      <c r="S198" s="3">
        <v>267.90220900000003</v>
      </c>
      <c r="T198" s="3">
        <f t="shared" si="18"/>
        <v>1.6720361999999795</v>
      </c>
      <c r="U198" s="3">
        <f t="shared" si="3"/>
        <v>3.2155424000000039</v>
      </c>
      <c r="V198" s="3">
        <f t="shared" si="4"/>
        <v>2.0584244000000353</v>
      </c>
      <c r="W198" s="2">
        <f>VLOOKUP(B198,[1]CivilReport!$A$2:$E$342,5,FALSE)-H198</f>
        <v>-3.0862999999996532E-3</v>
      </c>
    </row>
    <row r="199" spans="1:23" s="4" customFormat="1" ht="14.45" customHeight="1" x14ac:dyDescent="0.25">
      <c r="A199" s="2">
        <f t="shared" si="17"/>
        <v>95142.861000000004</v>
      </c>
      <c r="B199" s="3">
        <v>286140</v>
      </c>
      <c r="C199" s="3">
        <v>3371554.3419002001</v>
      </c>
      <c r="D199" s="3">
        <v>655958.13639590004</v>
      </c>
      <c r="E199" s="3">
        <v>269.24349100000001</v>
      </c>
      <c r="F199" s="3">
        <f t="shared" si="0"/>
        <v>268.55549100000002</v>
      </c>
      <c r="G199" s="3">
        <v>95142.861000000004</v>
      </c>
      <c r="H199" s="3">
        <v>-10.6668976</v>
      </c>
      <c r="I199" s="3">
        <v>3371545.7215280002</v>
      </c>
      <c r="J199" s="3">
        <v>655951.85373019997</v>
      </c>
      <c r="K199" s="3">
        <v>269.51511879999998</v>
      </c>
      <c r="L199" s="3">
        <v>270.2571188</v>
      </c>
      <c r="M199" s="3">
        <f t="shared" si="15"/>
        <v>0.27162779999997611</v>
      </c>
      <c r="N199" s="3">
        <f t="shared" si="16"/>
        <v>1.7016277999999829</v>
      </c>
      <c r="O199" s="3">
        <v>-9.3915647</v>
      </c>
      <c r="P199" s="3">
        <v>266.59266980000001</v>
      </c>
      <c r="Q199" s="3">
        <v>6.2798781999999997</v>
      </c>
      <c r="R199" s="3">
        <v>268.1485131</v>
      </c>
      <c r="S199" s="3">
        <v>267.31734349999999</v>
      </c>
      <c r="T199" s="3">
        <f t="shared" si="18"/>
        <v>2.1977752999999893</v>
      </c>
      <c r="U199" s="3">
        <f t="shared" si="3"/>
        <v>3.6644489999999905</v>
      </c>
      <c r="V199" s="3">
        <f t="shared" si="4"/>
        <v>2.1086056999999983</v>
      </c>
      <c r="W199" s="2">
        <f>VLOOKUP(B199,[1]CivilReport!$A$2:$E$342,5,FALSE)-H199</f>
        <v>-8.1024000000002872E-3</v>
      </c>
    </row>
    <row r="200" spans="1:23" s="4" customFormat="1" ht="14.45" customHeight="1" x14ac:dyDescent="0.25">
      <c r="A200" s="2">
        <f t="shared" si="17"/>
        <v>95162.917000000001</v>
      </c>
      <c r="B200" s="3">
        <v>286160</v>
      </c>
      <c r="C200" s="3">
        <v>3371566.1849753</v>
      </c>
      <c r="D200" s="3">
        <v>655942.01996299997</v>
      </c>
      <c r="E200" s="3">
        <v>269.2239525</v>
      </c>
      <c r="F200" s="3">
        <f t="shared" si="0"/>
        <v>268.53595250000001</v>
      </c>
      <c r="G200" s="3">
        <v>95162.917000000001</v>
      </c>
      <c r="H200" s="3">
        <v>-10.6823728</v>
      </c>
      <c r="I200" s="3">
        <v>3371557.5855707</v>
      </c>
      <c r="J200" s="3">
        <v>655935.68250859994</v>
      </c>
      <c r="K200" s="3">
        <v>269.45582569999999</v>
      </c>
      <c r="L200" s="3">
        <v>270.19782570000001</v>
      </c>
      <c r="M200" s="3">
        <f t="shared" si="15"/>
        <v>0.23187319999999545</v>
      </c>
      <c r="N200" s="3">
        <f t="shared" si="16"/>
        <v>1.6618732000000023</v>
      </c>
      <c r="O200" s="3">
        <v>-10.9873019</v>
      </c>
      <c r="P200" s="3">
        <v>265.7355081</v>
      </c>
      <c r="Q200" s="3">
        <v>6.2117841</v>
      </c>
      <c r="R200" s="3">
        <v>268.123267</v>
      </c>
      <c r="S200" s="3">
        <v>266.53650879999998</v>
      </c>
      <c r="T200" s="3">
        <f t="shared" si="18"/>
        <v>2.9193169000000125</v>
      </c>
      <c r="U200" s="3">
        <f t="shared" si="3"/>
        <v>4.4623176000000058</v>
      </c>
      <c r="V200" s="3">
        <f t="shared" si="4"/>
        <v>2.0745587000000114</v>
      </c>
      <c r="W200" s="2">
        <f>VLOOKUP(B200,[1]CivilReport!$A$2:$E$342,5,FALSE)-H200</f>
        <v>3.7279999999917379E-4</v>
      </c>
    </row>
    <row r="201" spans="1:23" s="4" customFormat="1" ht="14.45" customHeight="1" x14ac:dyDescent="0.25">
      <c r="A201" s="2">
        <f t="shared" si="17"/>
        <v>95182.917000000001</v>
      </c>
      <c r="B201" s="3">
        <v>286180</v>
      </c>
      <c r="C201" s="3">
        <v>3371578.0502312002</v>
      </c>
      <c r="D201" s="3">
        <v>655925.91978580004</v>
      </c>
      <c r="E201" s="3">
        <v>269.21012560000003</v>
      </c>
      <c r="F201" s="3">
        <f t="shared" si="0"/>
        <v>268.52212560000004</v>
      </c>
      <c r="G201" s="3">
        <v>95182.917000000001</v>
      </c>
      <c r="H201" s="3">
        <v>-10.725376000000001</v>
      </c>
      <c r="I201" s="3">
        <v>3371569.4162085</v>
      </c>
      <c r="J201" s="3">
        <v>655919.55681930005</v>
      </c>
      <c r="K201" s="3">
        <v>269.39669949999995</v>
      </c>
      <c r="L201" s="3">
        <v>270.13869949999997</v>
      </c>
      <c r="M201" s="3">
        <f t="shared" si="15"/>
        <v>0.18657389999992802</v>
      </c>
      <c r="N201" s="3">
        <f t="shared" si="16"/>
        <v>1.6165738999999348</v>
      </c>
      <c r="O201" s="3">
        <v>-11.589359399999999</v>
      </c>
      <c r="P201" s="3">
        <v>265.37535320000001</v>
      </c>
      <c r="Q201" s="3">
        <v>5.9962774000000003</v>
      </c>
      <c r="R201" s="3">
        <v>268.1718942</v>
      </c>
      <c r="S201" s="3">
        <v>266.48433820000002</v>
      </c>
      <c r="T201" s="3">
        <f t="shared" si="18"/>
        <v>2.9123612999999295</v>
      </c>
      <c r="U201" s="3">
        <f t="shared" si="3"/>
        <v>4.7633462999999665</v>
      </c>
      <c r="V201" s="3">
        <f t="shared" si="4"/>
        <v>1.9668052999999759</v>
      </c>
      <c r="W201" s="2">
        <f>VLOOKUP(B201,[1]CivilReport!$A$2:$E$342,5,FALSE)-H201</f>
        <v>-6.2400000000017997E-4</v>
      </c>
    </row>
    <row r="202" spans="1:23" s="4" customFormat="1" ht="14.45" customHeight="1" x14ac:dyDescent="0.25">
      <c r="A202" s="2">
        <f t="shared" si="17"/>
        <v>95202.892000000007</v>
      </c>
      <c r="B202" s="3">
        <v>286200</v>
      </c>
      <c r="C202" s="3">
        <v>3371589.8836682001</v>
      </c>
      <c r="D202" s="3">
        <v>655909.79621689999</v>
      </c>
      <c r="E202" s="3">
        <v>269.19638350000002</v>
      </c>
      <c r="F202" s="3">
        <f t="shared" si="0"/>
        <v>268.50838350000004</v>
      </c>
      <c r="G202" s="3">
        <v>95202.892000000007</v>
      </c>
      <c r="H202" s="3">
        <v>-10.728862700000001</v>
      </c>
      <c r="I202" s="3">
        <v>3371581.2319387998</v>
      </c>
      <c r="J202" s="3">
        <v>655903.45144960005</v>
      </c>
      <c r="K202" s="3">
        <v>269.33764789999998</v>
      </c>
      <c r="L202" s="3">
        <v>270.0796479</v>
      </c>
      <c r="M202" s="3">
        <f t="shared" si="15"/>
        <v>0.14126439999995455</v>
      </c>
      <c r="N202" s="3">
        <f t="shared" si="16"/>
        <v>1.5712643999999614</v>
      </c>
      <c r="O202" s="3">
        <v>-11.393241700000001</v>
      </c>
      <c r="P202" s="3">
        <v>265.41436040000002</v>
      </c>
      <c r="Q202" s="3">
        <v>5.8985377999999997</v>
      </c>
      <c r="R202" s="3">
        <v>268.16171229999998</v>
      </c>
      <c r="S202" s="3">
        <v>266.33800189999999</v>
      </c>
      <c r="T202" s="3">
        <f t="shared" si="18"/>
        <v>2.9996459999999843</v>
      </c>
      <c r="U202" s="3">
        <f t="shared" si="3"/>
        <v>4.6652874999999767</v>
      </c>
      <c r="V202" s="3">
        <f t="shared" si="4"/>
        <v>1.9179356000000212</v>
      </c>
      <c r="W202" s="2">
        <f>VLOOKUP(B202,[1]CivilReport!$A$2:$E$342,5,FALSE)-H202</f>
        <v>-1.3729999999867459E-4</v>
      </c>
    </row>
    <row r="203" spans="1:23" s="4" customFormat="1" ht="14.45" customHeight="1" x14ac:dyDescent="0.25">
      <c r="A203" s="2">
        <f t="shared" si="17"/>
        <v>95222.892000000007</v>
      </c>
      <c r="B203" s="3">
        <v>286220</v>
      </c>
      <c r="C203" s="3">
        <v>3371601.7111423998</v>
      </c>
      <c r="D203" s="3">
        <v>655893.66826429998</v>
      </c>
      <c r="E203" s="3">
        <v>269.18265730000002</v>
      </c>
      <c r="F203" s="3">
        <f t="shared" si="0"/>
        <v>268.49465730000003</v>
      </c>
      <c r="G203" s="3">
        <v>95222.892000000007</v>
      </c>
      <c r="H203" s="3">
        <v>-10.7249731</v>
      </c>
      <c r="I203" s="3">
        <v>3371593.0625494998</v>
      </c>
      <c r="J203" s="3">
        <v>655887.32579719997</v>
      </c>
      <c r="K203" s="3">
        <v>269.27852179999996</v>
      </c>
      <c r="L203" s="3">
        <v>270.02052179999998</v>
      </c>
      <c r="M203" s="3">
        <f t="shared" si="15"/>
        <v>9.5864499999947839E-2</v>
      </c>
      <c r="N203" s="3">
        <f t="shared" si="16"/>
        <v>1.5258644999999547</v>
      </c>
      <c r="O203" s="3">
        <v>-11.0297106</v>
      </c>
      <c r="P203" s="3">
        <v>265.53699990000001</v>
      </c>
      <c r="Q203" s="3">
        <v>5.8085933000000001</v>
      </c>
      <c r="R203" s="3">
        <v>268.1475585</v>
      </c>
      <c r="S203" s="3">
        <v>266.41892289999998</v>
      </c>
      <c r="T203" s="3">
        <f t="shared" si="18"/>
        <v>2.8595988999999804</v>
      </c>
      <c r="U203" s="3">
        <f t="shared" si="3"/>
        <v>4.4835218999999711</v>
      </c>
      <c r="V203" s="3">
        <f t="shared" si="4"/>
        <v>1.8729632999999808</v>
      </c>
      <c r="W203" s="2">
        <f>VLOOKUP(B203,[1]CivilReport!$A$2:$E$342,5,FALSE)-H203</f>
        <v>-2.689999999994086E-5</v>
      </c>
    </row>
    <row r="204" spans="1:23" s="4" customFormat="1" ht="14.45" customHeight="1" x14ac:dyDescent="0.25">
      <c r="A204" s="2">
        <f t="shared" si="17"/>
        <v>95242.902000000002</v>
      </c>
      <c r="B204" s="3">
        <v>286240</v>
      </c>
      <c r="C204" s="3">
        <v>3371613.5513984002</v>
      </c>
      <c r="D204" s="3">
        <v>655877.54969410005</v>
      </c>
      <c r="E204" s="3">
        <v>269.1838588</v>
      </c>
      <c r="F204" s="3">
        <f t="shared" si="0"/>
        <v>268.49585880000001</v>
      </c>
      <c r="G204" s="3">
        <v>95242.902000000002</v>
      </c>
      <c r="H204" s="3">
        <v>-10.736941699999999</v>
      </c>
      <c r="I204" s="3">
        <v>3371604.8988732998</v>
      </c>
      <c r="J204" s="3">
        <v>655871.19235759997</v>
      </c>
      <c r="K204" s="3">
        <v>269.21936719999997</v>
      </c>
      <c r="L204" s="3">
        <v>269.96136719999998</v>
      </c>
      <c r="M204" s="3">
        <f t="shared" si="15"/>
        <v>3.5508399999969242E-2</v>
      </c>
      <c r="N204" s="3">
        <f t="shared" si="16"/>
        <v>1.4655083999999761</v>
      </c>
      <c r="O204" s="3">
        <v>-10.4116692</v>
      </c>
      <c r="P204" s="3">
        <v>265.78686599999997</v>
      </c>
      <c r="Q204" s="3">
        <v>5.7544513999999998</v>
      </c>
      <c r="R204" s="3">
        <v>268.11547489999998</v>
      </c>
      <c r="S204" s="3">
        <v>266.66945709999999</v>
      </c>
      <c r="T204" s="3">
        <f t="shared" si="18"/>
        <v>2.5499100999999769</v>
      </c>
      <c r="U204" s="3">
        <f t="shared" si="3"/>
        <v>4.1745012000000088</v>
      </c>
      <c r="V204" s="3">
        <f t="shared" si="4"/>
        <v>1.8458923000000027</v>
      </c>
      <c r="W204" s="2">
        <f>VLOOKUP(B204,[1]CivilReport!$A$2:$E$342,5,FALSE)-H204</f>
        <v>-5.830000000095481E-5</v>
      </c>
    </row>
    <row r="205" spans="1:23" s="4" customFormat="1" ht="14.45" customHeight="1" x14ac:dyDescent="0.25">
      <c r="A205" s="2">
        <f t="shared" si="17"/>
        <v>95262.902000000002</v>
      </c>
      <c r="B205" s="3">
        <v>286260</v>
      </c>
      <c r="C205" s="3">
        <v>3371625.3933859998</v>
      </c>
      <c r="D205" s="3">
        <v>655861.43239500001</v>
      </c>
      <c r="E205" s="3">
        <v>269.1870826</v>
      </c>
      <c r="F205" s="3">
        <f t="shared" si="0"/>
        <v>268.49908260000001</v>
      </c>
      <c r="G205" s="3">
        <v>95262.902000000002</v>
      </c>
      <c r="H205" s="3">
        <v>-10.751055900000001</v>
      </c>
      <c r="I205" s="3">
        <v>3371616.7294867998</v>
      </c>
      <c r="J205" s="3">
        <v>655855.06670149998</v>
      </c>
      <c r="K205" s="3">
        <v>269.16024119999997</v>
      </c>
      <c r="L205" s="3">
        <v>269.90224119999999</v>
      </c>
      <c r="M205" s="3">
        <f t="shared" si="15"/>
        <v>-2.6841400000023441E-2</v>
      </c>
      <c r="N205" s="3">
        <f t="shared" si="16"/>
        <v>1.4031585999999834</v>
      </c>
      <c r="O205" s="3">
        <v>-10.020012400000001</v>
      </c>
      <c r="P205" s="3">
        <v>265.9235683</v>
      </c>
      <c r="Q205" s="3">
        <v>5.7516635000000003</v>
      </c>
      <c r="R205" s="3">
        <v>268.05774280000003</v>
      </c>
      <c r="S205" s="3">
        <v>266.7202289</v>
      </c>
      <c r="T205" s="3">
        <f t="shared" si="18"/>
        <v>2.440012299999978</v>
      </c>
      <c r="U205" s="3">
        <f t="shared" si="3"/>
        <v>3.9786728999999923</v>
      </c>
      <c r="V205" s="3">
        <f t="shared" si="4"/>
        <v>1.8444983999999636</v>
      </c>
      <c r="W205" s="2">
        <f>VLOOKUP(B205,[1]CivilReport!$A$2:$E$342,5,FALSE)-H205</f>
        <v>5.5900000001329886E-5</v>
      </c>
    </row>
    <row r="206" spans="1:23" s="4" customFormat="1" ht="14.45" customHeight="1" x14ac:dyDescent="0.25">
      <c r="A206" s="2">
        <f t="shared" si="17"/>
        <v>95282.817999999999</v>
      </c>
      <c r="B206" s="3">
        <v>286280</v>
      </c>
      <c r="C206" s="3">
        <v>3371637.1448361999</v>
      </c>
      <c r="D206" s="3">
        <v>655845.24911890004</v>
      </c>
      <c r="E206" s="3">
        <v>269.19335560000002</v>
      </c>
      <c r="F206" s="3">
        <f t="shared" si="0"/>
        <v>268.50535560000003</v>
      </c>
      <c r="G206" s="3">
        <v>95282.817999999999</v>
      </c>
      <c r="H206" s="3">
        <v>-10.6534116</v>
      </c>
      <c r="I206" s="3">
        <v>3371628.5105033</v>
      </c>
      <c r="J206" s="3">
        <v>655839.00864829996</v>
      </c>
      <c r="K206" s="3">
        <v>269.10136299999999</v>
      </c>
      <c r="L206" s="3">
        <v>269.84336300000001</v>
      </c>
      <c r="M206" s="3">
        <f t="shared" si="15"/>
        <v>-9.1992600000025959E-2</v>
      </c>
      <c r="N206" s="3">
        <f t="shared" si="16"/>
        <v>1.3380073999999809</v>
      </c>
      <c r="O206" s="3">
        <v>-10.1164238</v>
      </c>
      <c r="P206" s="3">
        <v>265.81648439999998</v>
      </c>
      <c r="Q206" s="3">
        <v>5.5011314999999996</v>
      </c>
      <c r="R206" s="3">
        <v>268.1241306</v>
      </c>
      <c r="S206" s="3">
        <v>266.8088783</v>
      </c>
      <c r="T206" s="3">
        <f t="shared" si="18"/>
        <v>2.2924846999999886</v>
      </c>
      <c r="U206" s="3">
        <f t="shared" si="3"/>
        <v>4.0268786000000318</v>
      </c>
      <c r="V206" s="3">
        <f t="shared" si="4"/>
        <v>1.7192324000000099</v>
      </c>
      <c r="W206" s="2">
        <f>VLOOKUP(B206,[1]CivilReport!$A$2:$E$342,5,FALSE)-H206</f>
        <v>4.1159999999962338E-4</v>
      </c>
    </row>
    <row r="207" spans="1:23" s="4" customFormat="1" ht="14.45" customHeight="1" x14ac:dyDescent="0.25">
      <c r="A207" s="2">
        <f t="shared" si="17"/>
        <v>95302.789000000004</v>
      </c>
      <c r="B207" s="3">
        <v>286300</v>
      </c>
      <c r="C207" s="3">
        <v>3371648.8306387998</v>
      </c>
      <c r="D207" s="3">
        <v>655829.01824440004</v>
      </c>
      <c r="E207" s="3">
        <v>269.1898104</v>
      </c>
      <c r="F207" s="3">
        <f t="shared" si="0"/>
        <v>268.50181040000001</v>
      </c>
      <c r="G207" s="3">
        <v>95302.789000000004</v>
      </c>
      <c r="H207" s="3">
        <v>-10.474706400000001</v>
      </c>
      <c r="I207" s="3">
        <v>3371640.3238777001</v>
      </c>
      <c r="J207" s="3">
        <v>655822.90641249996</v>
      </c>
      <c r="K207" s="3">
        <v>269.04232289999999</v>
      </c>
      <c r="L207" s="3">
        <v>269.78432290000001</v>
      </c>
      <c r="M207" s="3">
        <f t="shared" si="15"/>
        <v>-0.1474875000000111</v>
      </c>
      <c r="N207" s="3">
        <f t="shared" si="16"/>
        <v>1.2825124999999957</v>
      </c>
      <c r="O207" s="3">
        <v>-10.040593599999999</v>
      </c>
      <c r="P207" s="3">
        <v>265.79553650000003</v>
      </c>
      <c r="Q207" s="3">
        <v>5.2237894999999996</v>
      </c>
      <c r="R207" s="3">
        <v>268.20358329999999</v>
      </c>
      <c r="S207" s="3">
        <v>266.8977605</v>
      </c>
      <c r="T207" s="3">
        <f t="shared" si="18"/>
        <v>2.1445623999999839</v>
      </c>
      <c r="U207" s="3">
        <f t="shared" si="3"/>
        <v>3.9887863999999809</v>
      </c>
      <c r="V207" s="3">
        <f t="shared" si="4"/>
        <v>1.5807396000000153</v>
      </c>
      <c r="W207" s="2">
        <f>VLOOKUP(B207,[1]CivilReport!$A$2:$E$342,5,FALSE)-H207</f>
        <v>-2.9359999999911679E-4</v>
      </c>
    </row>
    <row r="208" spans="1:23" s="4" customFormat="1" ht="14.45" customHeight="1" x14ac:dyDescent="0.25">
      <c r="A208" s="2">
        <f t="shared" si="17"/>
        <v>95322.703999999998</v>
      </c>
      <c r="B208" s="3">
        <v>286320</v>
      </c>
      <c r="C208" s="3">
        <v>3371660.4321420998</v>
      </c>
      <c r="D208" s="3">
        <v>655812.72720219998</v>
      </c>
      <c r="E208" s="3">
        <v>269.16363030000002</v>
      </c>
      <c r="F208" s="3">
        <f t="shared" si="0"/>
        <v>268.47563030000003</v>
      </c>
      <c r="G208" s="3">
        <v>95322.703999999998</v>
      </c>
      <c r="H208" s="3">
        <v>-10.2104696</v>
      </c>
      <c r="I208" s="3">
        <v>3371652.0901989001</v>
      </c>
      <c r="J208" s="3">
        <v>655806.83944600006</v>
      </c>
      <c r="K208" s="3">
        <v>268.9834492</v>
      </c>
      <c r="L208" s="3">
        <v>269.72544920000001</v>
      </c>
      <c r="M208" s="3">
        <f t="shared" si="15"/>
        <v>-0.18018110000002707</v>
      </c>
      <c r="N208" s="3">
        <f t="shared" si="16"/>
        <v>1.2498188999999797</v>
      </c>
      <c r="O208" s="3">
        <v>-9.5917311000000005</v>
      </c>
      <c r="P208" s="3">
        <v>265.96186360000002</v>
      </c>
      <c r="Q208" s="3">
        <v>5.0401648000000003</v>
      </c>
      <c r="R208" s="3">
        <v>268.23574980000001</v>
      </c>
      <c r="S208" s="3">
        <v>267.01809859999997</v>
      </c>
      <c r="T208" s="3">
        <f t="shared" si="18"/>
        <v>1.965350600000022</v>
      </c>
      <c r="U208" s="3">
        <f t="shared" si="3"/>
        <v>3.763585599999999</v>
      </c>
      <c r="V208" s="3">
        <f t="shared" si="4"/>
        <v>1.4896994000000063</v>
      </c>
      <c r="W208" s="2">
        <f>VLOOKUP(B208,[1]CivilReport!$A$2:$E$342,5,FALSE)-H208</f>
        <v>4.6959999999884872E-4</v>
      </c>
    </row>
    <row r="209" spans="1:23" s="4" customFormat="1" ht="14.45" customHeight="1" x14ac:dyDescent="0.25">
      <c r="A209" s="2">
        <f t="shared" si="17"/>
        <v>95342.668000000005</v>
      </c>
      <c r="B209" s="3">
        <v>286340</v>
      </c>
      <c r="C209" s="3">
        <v>3371671.9382477999</v>
      </c>
      <c r="D209" s="3">
        <v>655796.36847009999</v>
      </c>
      <c r="E209" s="3">
        <v>269.11146710000003</v>
      </c>
      <c r="F209" s="3">
        <f t="shared" si="0"/>
        <v>268.42346710000004</v>
      </c>
      <c r="G209" s="3">
        <v>95342.668000000005</v>
      </c>
      <c r="H209" s="3">
        <v>-9.9056002000000003</v>
      </c>
      <c r="I209" s="3">
        <v>3371663.8236262999</v>
      </c>
      <c r="J209" s="3">
        <v>655790.68746359996</v>
      </c>
      <c r="K209" s="3">
        <v>268.9244296</v>
      </c>
      <c r="L209" s="3">
        <v>269.66642960000001</v>
      </c>
      <c r="M209" s="3">
        <f t="shared" si="15"/>
        <v>-0.18703750000003083</v>
      </c>
      <c r="N209" s="3">
        <f t="shared" si="16"/>
        <v>1.242962499999976</v>
      </c>
      <c r="O209" s="3">
        <v>-9.4940113000000004</v>
      </c>
      <c r="P209" s="3">
        <v>265.95246040000001</v>
      </c>
      <c r="Q209" s="3">
        <v>5.1701126999999998</v>
      </c>
      <c r="R209" s="3">
        <v>268.11099309999997</v>
      </c>
      <c r="S209" s="3">
        <v>266.92711389999999</v>
      </c>
      <c r="T209" s="3">
        <f t="shared" si="18"/>
        <v>1.9973157000000015</v>
      </c>
      <c r="U209" s="3">
        <f t="shared" si="3"/>
        <v>3.7139692000000082</v>
      </c>
      <c r="V209" s="3">
        <f t="shared" si="4"/>
        <v>1.5554365000000416</v>
      </c>
      <c r="W209" s="2">
        <f>VLOOKUP(B209,[1]CivilReport!$A$2:$E$342,5,FALSE)-H209</f>
        <v>6.0020000000093887E-4</v>
      </c>
    </row>
    <row r="210" spans="1:23" s="4" customFormat="1" ht="14.45" customHeight="1" x14ac:dyDescent="0.25">
      <c r="A210" s="2">
        <f t="shared" si="17"/>
        <v>95362.591</v>
      </c>
      <c r="B210" s="3">
        <v>286360</v>
      </c>
      <c r="C210" s="3">
        <v>3371683.3576276</v>
      </c>
      <c r="D210" s="3">
        <v>655779.94922279997</v>
      </c>
      <c r="E210" s="3">
        <v>269.06448230000001</v>
      </c>
      <c r="F210" s="3">
        <f t="shared" si="0"/>
        <v>268.37648230000002</v>
      </c>
      <c r="G210" s="3">
        <v>95362.591</v>
      </c>
      <c r="H210" s="3">
        <v>-9.6386587000000006</v>
      </c>
      <c r="I210" s="3">
        <v>3371675.4177502999</v>
      </c>
      <c r="J210" s="3">
        <v>655774.48460109998</v>
      </c>
      <c r="K210" s="3">
        <v>268.86552869999997</v>
      </c>
      <c r="L210" s="3">
        <v>269.60752869999999</v>
      </c>
      <c r="M210" s="3">
        <f t="shared" si="15"/>
        <v>-0.19895360000003848</v>
      </c>
      <c r="N210" s="3">
        <f t="shared" si="16"/>
        <v>1.2310463999999683</v>
      </c>
      <c r="O210" s="3">
        <v>-9.6846916000000007</v>
      </c>
      <c r="P210" s="3">
        <v>265.79855909999998</v>
      </c>
      <c r="Q210" s="3">
        <v>5.1144511000000001</v>
      </c>
      <c r="R210" s="3">
        <v>268.07957690000001</v>
      </c>
      <c r="S210" s="3">
        <v>266.45562890000002</v>
      </c>
      <c r="T210" s="3">
        <f t="shared" si="18"/>
        <v>2.4098997999999483</v>
      </c>
      <c r="U210" s="3">
        <f t="shared" si="3"/>
        <v>3.8089696000000117</v>
      </c>
      <c r="V210" s="3">
        <f t="shared" si="4"/>
        <v>1.5279517999999825</v>
      </c>
      <c r="W210" s="2">
        <f>VLOOKUP(B210,[1]CivilReport!$A$2:$E$342,5,FALSE)-H210</f>
        <v>-3.4129999999876759E-4</v>
      </c>
    </row>
    <row r="211" spans="1:23" s="4" customFormat="1" ht="14.45" customHeight="1" x14ac:dyDescent="0.25">
      <c r="A211" s="2">
        <f t="shared" si="17"/>
        <v>95382.570999999996</v>
      </c>
      <c r="B211" s="3">
        <v>286380</v>
      </c>
      <c r="C211" s="3">
        <v>3371694.6929505002</v>
      </c>
      <c r="D211" s="3">
        <v>655763.47165399999</v>
      </c>
      <c r="E211" s="3">
        <v>269.04386529999999</v>
      </c>
      <c r="F211" s="3">
        <f t="shared" si="0"/>
        <v>268.3558653</v>
      </c>
      <c r="G211" s="3">
        <v>95382.570999999996</v>
      </c>
      <c r="H211" s="3">
        <v>-9.4612893000000007</v>
      </c>
      <c r="I211" s="3">
        <v>3371686.8869877001</v>
      </c>
      <c r="J211" s="3">
        <v>655758.12535230001</v>
      </c>
      <c r="K211" s="3">
        <v>268.80646389999998</v>
      </c>
      <c r="L211" s="3">
        <v>269.5484639</v>
      </c>
      <c r="M211" s="3">
        <f t="shared" si="15"/>
        <v>-0.2374014000000102</v>
      </c>
      <c r="N211" s="3">
        <f t="shared" si="16"/>
        <v>1.1925985999999966</v>
      </c>
      <c r="O211" s="3">
        <v>-10.286045100000001</v>
      </c>
      <c r="P211" s="3">
        <v>265.43838899999997</v>
      </c>
      <c r="Q211" s="3">
        <v>4.7181696999999998</v>
      </c>
      <c r="R211" s="3">
        <v>268.21908569999999</v>
      </c>
      <c r="S211" s="3">
        <v>266.2870873</v>
      </c>
      <c r="T211" s="3">
        <f t="shared" si="18"/>
        <v>2.5193765999999869</v>
      </c>
      <c r="U211" s="3">
        <f t="shared" si="3"/>
        <v>4.1100749000000292</v>
      </c>
      <c r="V211" s="3">
        <f t="shared" si="4"/>
        <v>1.3293782000000078</v>
      </c>
      <c r="W211" s="2">
        <f>VLOOKUP(B211,[1]CivilReport!$A$2:$E$342,5,FALSE)-H211</f>
        <v>2.8930000000038092E-4</v>
      </c>
    </row>
    <row r="212" spans="1:23" s="4" customFormat="1" ht="14.45" customHeight="1" x14ac:dyDescent="0.25">
      <c r="A212" s="2">
        <f t="shared" si="17"/>
        <v>95402.570999999996</v>
      </c>
      <c r="B212" s="3">
        <v>286400</v>
      </c>
      <c r="C212" s="3">
        <v>3371705.9943734999</v>
      </c>
      <c r="D212" s="3">
        <v>655746.97081049997</v>
      </c>
      <c r="E212" s="3">
        <v>269.0115697</v>
      </c>
      <c r="F212" s="3">
        <f t="shared" si="0"/>
        <v>268.32356970000001</v>
      </c>
      <c r="G212" s="3">
        <v>95402.570999999996</v>
      </c>
      <c r="H212" s="3">
        <v>-9.4424893999999995</v>
      </c>
      <c r="I212" s="3">
        <v>3371698.2039215998</v>
      </c>
      <c r="J212" s="3">
        <v>655741.63513189997</v>
      </c>
      <c r="K212" s="3">
        <v>268.74733759999998</v>
      </c>
      <c r="L212" s="3">
        <v>269.4893376</v>
      </c>
      <c r="M212" s="3">
        <f t="shared" si="15"/>
        <v>-0.26423210000001518</v>
      </c>
      <c r="N212" s="3">
        <f t="shared" si="16"/>
        <v>1.1657678999999916</v>
      </c>
      <c r="O212" s="3">
        <v>-10.4417793</v>
      </c>
      <c r="P212" s="3">
        <v>265.30097790000002</v>
      </c>
      <c r="Q212" s="3">
        <v>4.8868925999999995</v>
      </c>
      <c r="R212" s="3">
        <v>268.07601979999998</v>
      </c>
      <c r="S212" s="3">
        <v>266.13063360000001</v>
      </c>
      <c r="T212" s="3">
        <f t="shared" si="18"/>
        <v>2.6167039999999702</v>
      </c>
      <c r="U212" s="3">
        <f t="shared" si="3"/>
        <v>4.1883596999999781</v>
      </c>
      <c r="V212" s="3">
        <f t="shared" si="4"/>
        <v>1.4133178000000157</v>
      </c>
      <c r="W212" s="2">
        <f>VLOOKUP(B212,[1]CivilReport!$A$2:$E$342,5,FALSE)-H212</f>
        <v>-5.1060000000013872E-4</v>
      </c>
    </row>
    <row r="213" spans="1:23" s="4" customFormat="1" ht="14.45" customHeight="1" x14ac:dyDescent="0.25">
      <c r="A213" s="2">
        <f t="shared" si="17"/>
        <v>95422.464000000007</v>
      </c>
      <c r="B213" s="3">
        <v>286420</v>
      </c>
      <c r="C213" s="3">
        <v>3371717.1302044</v>
      </c>
      <c r="D213" s="3">
        <v>655730.35791480006</v>
      </c>
      <c r="E213" s="3">
        <v>269.00005820000001</v>
      </c>
      <c r="F213" s="3">
        <f t="shared" si="0"/>
        <v>268.31205820000002</v>
      </c>
      <c r="G213" s="3">
        <v>95422.464000000007</v>
      </c>
      <c r="H213" s="3">
        <v>-9.4228544999999997</v>
      </c>
      <c r="I213" s="3">
        <v>3371709.2965990999</v>
      </c>
      <c r="J213" s="3">
        <v>655725.12104410003</v>
      </c>
      <c r="K213" s="3">
        <v>268.6885254</v>
      </c>
      <c r="L213" s="3">
        <v>269.43052540000002</v>
      </c>
      <c r="M213" s="3">
        <f t="shared" si="15"/>
        <v>-0.31153280000000905</v>
      </c>
      <c r="N213" s="3">
        <f t="shared" si="16"/>
        <v>1.1184671999999978</v>
      </c>
      <c r="O213" s="3">
        <v>-9.7255722000000002</v>
      </c>
      <c r="P213" s="3">
        <v>265.59984980000002</v>
      </c>
      <c r="Q213" s="3">
        <v>4.8292969000000001</v>
      </c>
      <c r="R213" s="3">
        <v>268.04642669999998</v>
      </c>
      <c r="S213" s="3">
        <v>266.45162060000001</v>
      </c>
      <c r="T213" s="3">
        <f t="shared" si="18"/>
        <v>2.2369047999999907</v>
      </c>
      <c r="U213" s="3">
        <f t="shared" si="3"/>
        <v>3.8306756000000064</v>
      </c>
      <c r="V213" s="3">
        <f t="shared" si="4"/>
        <v>1.3840987000000382</v>
      </c>
      <c r="W213" s="2">
        <f>VLOOKUP(B213,[1]CivilReport!$A$2:$E$342,5,FALSE)-H213</f>
        <v>8.544999999990921E-4</v>
      </c>
    </row>
    <row r="214" spans="1:23" s="4" customFormat="1" ht="14.45" customHeight="1" x14ac:dyDescent="0.25">
      <c r="A214" s="2">
        <f t="shared" si="17"/>
        <v>95442.391000000003</v>
      </c>
      <c r="B214" s="3">
        <v>286440</v>
      </c>
      <c r="C214" s="3">
        <v>3371728.1602456002</v>
      </c>
      <c r="D214" s="3">
        <v>655713.67460739997</v>
      </c>
      <c r="E214" s="3">
        <v>269.00057120000002</v>
      </c>
      <c r="F214" s="3">
        <f t="shared" si="0"/>
        <v>268.31257120000004</v>
      </c>
      <c r="G214" s="3">
        <v>95442.391000000003</v>
      </c>
      <c r="H214" s="3">
        <v>-9.4680230999999999</v>
      </c>
      <c r="I214" s="3">
        <v>3371720.2484157002</v>
      </c>
      <c r="J214" s="3">
        <v>655708.47399119998</v>
      </c>
      <c r="K214" s="3">
        <v>268.62961630000001</v>
      </c>
      <c r="L214" s="3">
        <v>269.37161630000003</v>
      </c>
      <c r="M214" s="3">
        <f t="shared" si="15"/>
        <v>-0.37095490000001519</v>
      </c>
      <c r="N214" s="3">
        <f t="shared" si="16"/>
        <v>1.0590450999999916</v>
      </c>
      <c r="O214" s="3">
        <v>-9.4174074000000001</v>
      </c>
      <c r="P214" s="3">
        <v>265.6947983</v>
      </c>
      <c r="Q214" s="3">
        <v>4.7242534000000003</v>
      </c>
      <c r="R214" s="3">
        <v>268.0402684</v>
      </c>
      <c r="S214" s="3">
        <v>267.31540539999997</v>
      </c>
      <c r="T214" s="3">
        <f t="shared" si="18"/>
        <v>1.3142109000000346</v>
      </c>
      <c r="U214" s="3">
        <f t="shared" si="3"/>
        <v>3.6768180000000257</v>
      </c>
      <c r="V214" s="3">
        <f t="shared" si="4"/>
        <v>1.3313479000000257</v>
      </c>
      <c r="W214" s="2">
        <f>VLOOKUP(B214,[1]CivilReport!$A$2:$E$342,5,FALSE)-H214</f>
        <v>-9.7689999999950317E-4</v>
      </c>
    </row>
    <row r="215" spans="1:23" s="4" customFormat="1" ht="14.45" customHeight="1" x14ac:dyDescent="0.25">
      <c r="A215" s="2">
        <f t="shared" si="17"/>
        <v>95462.317999999999</v>
      </c>
      <c r="B215" s="3">
        <v>286460</v>
      </c>
      <c r="C215" s="3">
        <v>3371739.0748195001</v>
      </c>
      <c r="D215" s="3">
        <v>655696.91554249998</v>
      </c>
      <c r="E215" s="3">
        <v>269.02782070000001</v>
      </c>
      <c r="F215" s="3">
        <f t="shared" si="0"/>
        <v>268.33982070000002</v>
      </c>
      <c r="G215" s="3">
        <v>95462.317999999999</v>
      </c>
      <c r="H215" s="3">
        <v>-9.5166617999999996</v>
      </c>
      <c r="I215" s="3">
        <v>3371731.0824167999</v>
      </c>
      <c r="J215" s="3">
        <v>655691.7494655</v>
      </c>
      <c r="K215" s="3">
        <v>268.57070599999997</v>
      </c>
      <c r="L215" s="3">
        <v>269.31270599999999</v>
      </c>
      <c r="M215" s="3">
        <f t="shared" si="15"/>
        <v>-0.45711470000003374</v>
      </c>
      <c r="N215" s="3">
        <f t="shared" si="16"/>
        <v>0.97288529999997309</v>
      </c>
      <c r="O215" s="3">
        <v>-9.0630015000000004</v>
      </c>
      <c r="P215" s="3">
        <v>265.81283130000003</v>
      </c>
      <c r="Q215" s="3">
        <v>4.5232568999999998</v>
      </c>
      <c r="R215" s="3">
        <v>268.08211779999999</v>
      </c>
      <c r="S215" s="3">
        <v>267.32756910000001</v>
      </c>
      <c r="T215" s="3">
        <f t="shared" si="18"/>
        <v>1.2431368999999677</v>
      </c>
      <c r="U215" s="3">
        <f t="shared" si="3"/>
        <v>3.4998746999999639</v>
      </c>
      <c r="V215" s="3">
        <f t="shared" si="4"/>
        <v>1.2305881999999997</v>
      </c>
      <c r="W215" s="2">
        <f>VLOOKUP(B215,[1]CivilReport!$A$2:$E$342,5,FALSE)-H215</f>
        <v>-3.3819999999984418E-4</v>
      </c>
    </row>
    <row r="216" spans="1:23" s="4" customFormat="1" ht="14.45" customHeight="1" x14ac:dyDescent="0.25">
      <c r="A216" s="2">
        <f t="shared" si="17"/>
        <v>95482.245999999999</v>
      </c>
      <c r="B216" s="3">
        <v>286480</v>
      </c>
      <c r="C216" s="3">
        <v>3371749.8899527001</v>
      </c>
      <c r="D216" s="3">
        <v>655680.09211239999</v>
      </c>
      <c r="E216" s="3">
        <v>269.06562539999999</v>
      </c>
      <c r="F216" s="3">
        <f t="shared" si="0"/>
        <v>268.3776254</v>
      </c>
      <c r="G216" s="3">
        <v>95482.245999999999</v>
      </c>
      <c r="H216" s="3">
        <v>-9.5224869000000005</v>
      </c>
      <c r="I216" s="3">
        <v>3371741.8536437</v>
      </c>
      <c r="J216" s="3">
        <v>655674.98373730003</v>
      </c>
      <c r="K216" s="3">
        <v>268.51179400000001</v>
      </c>
      <c r="L216" s="3">
        <v>269.25379400000003</v>
      </c>
      <c r="M216" s="3">
        <f t="shared" si="15"/>
        <v>-0.55383139999997866</v>
      </c>
      <c r="N216" s="3">
        <f t="shared" si="16"/>
        <v>0.87616860000002816</v>
      </c>
      <c r="O216" s="3">
        <v>-8.6193591999999999</v>
      </c>
      <c r="P216" s="3">
        <v>265.97548180000001</v>
      </c>
      <c r="Q216" s="3">
        <v>4.3305547000000004</v>
      </c>
      <c r="R216" s="3">
        <v>268.11981630000002</v>
      </c>
      <c r="S216" s="3">
        <v>267.32164510000001</v>
      </c>
      <c r="T216" s="3">
        <f t="shared" si="18"/>
        <v>1.190148899999997</v>
      </c>
      <c r="U216" s="3">
        <f t="shared" si="3"/>
        <v>3.2783122000000162</v>
      </c>
      <c r="V216" s="3">
        <f t="shared" si="4"/>
        <v>1.1339777000000026</v>
      </c>
      <c r="W216" s="2">
        <f>VLOOKUP(B216,[1]CivilReport!$A$2:$E$342,5,FALSE)-H216</f>
        <v>-5.130999999991559E-4</v>
      </c>
    </row>
    <row r="217" spans="1:23" s="4" customFormat="1" ht="14.45" customHeight="1" x14ac:dyDescent="0.25">
      <c r="A217" s="2">
        <f t="shared" si="17"/>
        <v>95502.194000000003</v>
      </c>
      <c r="B217" s="3">
        <v>286500</v>
      </c>
      <c r="C217" s="3">
        <v>3371760.6074887998</v>
      </c>
      <c r="D217" s="3">
        <v>655663.20622779999</v>
      </c>
      <c r="E217" s="3">
        <v>269.09144190000001</v>
      </c>
      <c r="F217" s="3">
        <f t="shared" si="0"/>
        <v>268.40344190000002</v>
      </c>
      <c r="G217" s="3">
        <v>95502.194000000003</v>
      </c>
      <c r="H217" s="3">
        <v>-9.4289351999999997</v>
      </c>
      <c r="I217" s="3">
        <v>3371752.6223510001</v>
      </c>
      <c r="J217" s="3">
        <v>655658.19200869999</v>
      </c>
      <c r="K217" s="3">
        <v>268.45576439999996</v>
      </c>
      <c r="L217" s="3">
        <v>269.19776439999998</v>
      </c>
      <c r="M217" s="3">
        <f t="shared" si="15"/>
        <v>-0.63567750000004253</v>
      </c>
      <c r="N217" s="3">
        <f t="shared" si="16"/>
        <v>0.79432249999996429</v>
      </c>
      <c r="O217" s="3">
        <v>-10.2258336</v>
      </c>
      <c r="P217" s="3">
        <v>265.1186811</v>
      </c>
      <c r="Q217" s="3">
        <v>4.5436104000000004</v>
      </c>
      <c r="R217" s="3">
        <v>267.95979260000001</v>
      </c>
      <c r="S217" s="3">
        <v>266.77153149999998</v>
      </c>
      <c r="T217" s="3">
        <f t="shared" si="18"/>
        <v>1.6842328999999836</v>
      </c>
      <c r="U217" s="3">
        <f t="shared" si="3"/>
        <v>4.0790832999999793</v>
      </c>
      <c r="V217" s="3">
        <f t="shared" si="4"/>
        <v>1.2379717999999684</v>
      </c>
      <c r="W217" s="2">
        <f>VLOOKUP(B217,[1]CivilReport!$A$2:$E$342,5,FALSE)-H217</f>
        <v>-6.4800000000531099E-5</v>
      </c>
    </row>
    <row r="218" spans="1:23" s="4" customFormat="1" ht="14.45" customHeight="1" x14ac:dyDescent="0.25">
      <c r="A218" s="2">
        <f t="shared" si="17"/>
        <v>95522.195000000007</v>
      </c>
      <c r="B218" s="3">
        <v>286520</v>
      </c>
      <c r="C218" s="3">
        <v>3371771.2433008002</v>
      </c>
      <c r="D218" s="3">
        <v>655646.26871019998</v>
      </c>
      <c r="E218" s="3">
        <v>269.13529349999999</v>
      </c>
      <c r="F218" s="3">
        <f t="shared" si="0"/>
        <v>268.4472935</v>
      </c>
      <c r="G218" s="3">
        <v>95522.195000000007</v>
      </c>
      <c r="H218" s="3">
        <v>-9.2383863000000002</v>
      </c>
      <c r="I218" s="3">
        <v>3371763.4195343</v>
      </c>
      <c r="J218" s="3">
        <v>655641.35582329996</v>
      </c>
      <c r="K218" s="3">
        <v>268.47090229999998</v>
      </c>
      <c r="L218" s="3">
        <v>269.2129023</v>
      </c>
      <c r="M218" s="3">
        <f t="shared" si="15"/>
        <v>-0.66439120000001139</v>
      </c>
      <c r="N218" s="3">
        <f t="shared" si="16"/>
        <v>0.76560879999999543</v>
      </c>
      <c r="O218" s="3">
        <v>-9.2333695000000002</v>
      </c>
      <c r="P218" s="3">
        <v>265.62839609999997</v>
      </c>
      <c r="Q218" s="3">
        <v>4.3311134999999998</v>
      </c>
      <c r="R218" s="3">
        <v>268.07952419999998</v>
      </c>
      <c r="S218" s="3">
        <v>266.17992090000001</v>
      </c>
      <c r="T218" s="3">
        <f t="shared" si="18"/>
        <v>2.2909813999999642</v>
      </c>
      <c r="U218" s="3">
        <f t="shared" si="3"/>
        <v>3.5845062000000212</v>
      </c>
      <c r="V218" s="3">
        <f t="shared" si="4"/>
        <v>1.1333781000000158</v>
      </c>
      <c r="W218" s="2">
        <f>VLOOKUP(B218,[1]CivilReport!$A$2:$E$342,5,FALSE)-H218</f>
        <v>3.8630000000061671E-4</v>
      </c>
    </row>
    <row r="219" spans="1:23" s="4" customFormat="1" ht="14.45" customHeight="1" x14ac:dyDescent="0.25">
      <c r="A219" s="2">
        <f t="shared" si="17"/>
        <v>95542.183000000005</v>
      </c>
      <c r="B219" s="3">
        <v>286540</v>
      </c>
      <c r="C219" s="3">
        <v>3371781.8555187001</v>
      </c>
      <c r="D219" s="3">
        <v>655629.31640010001</v>
      </c>
      <c r="E219" s="3">
        <v>269.17317830000002</v>
      </c>
      <c r="F219" s="3">
        <f t="shared" si="0"/>
        <v>268.48517830000003</v>
      </c>
      <c r="G219" s="3">
        <v>95542.183000000005</v>
      </c>
      <c r="H219" s="3">
        <v>-9.0201203000000003</v>
      </c>
      <c r="I219" s="3">
        <v>3371774.2098154998</v>
      </c>
      <c r="J219" s="3">
        <v>655624.53040020005</v>
      </c>
      <c r="K219" s="3">
        <v>268.55020889999997</v>
      </c>
      <c r="L219" s="3">
        <v>269.29220889999999</v>
      </c>
      <c r="M219" s="3">
        <f t="shared" si="15"/>
        <v>-0.62296940000004497</v>
      </c>
      <c r="N219" s="3">
        <f t="shared" si="16"/>
        <v>0.80703059999996185</v>
      </c>
      <c r="O219" s="3">
        <v>-9.8101860999999992</v>
      </c>
      <c r="P219" s="3">
        <v>265.4184492</v>
      </c>
      <c r="Q219" s="3">
        <v>4.4871108</v>
      </c>
      <c r="R219" s="3">
        <v>268.07998689999999</v>
      </c>
      <c r="S219" s="3">
        <v>266.25040790000003</v>
      </c>
      <c r="T219" s="3">
        <f t="shared" si="18"/>
        <v>2.2998009999999454</v>
      </c>
      <c r="U219" s="3">
        <f t="shared" si="3"/>
        <v>3.8737596999999937</v>
      </c>
      <c r="V219" s="3">
        <f t="shared" si="4"/>
        <v>1.212221999999997</v>
      </c>
      <c r="W219" s="2">
        <f>VLOOKUP(B219,[1]CivilReport!$A$2:$E$342,5,FALSE)-H219</f>
        <v>1.2030000000073926E-4</v>
      </c>
    </row>
    <row r="220" spans="1:23" s="4" customFormat="1" ht="14.45" customHeight="1" x14ac:dyDescent="0.25">
      <c r="A220" s="2">
        <f t="shared" si="17"/>
        <v>95562.194000000003</v>
      </c>
      <c r="B220" s="3">
        <v>286560</v>
      </c>
      <c r="C220" s="3">
        <v>3371792.4796221</v>
      </c>
      <c r="D220" s="3">
        <v>655612.37153979996</v>
      </c>
      <c r="E220" s="3">
        <v>269.20709549999998</v>
      </c>
      <c r="F220" s="3">
        <f t="shared" si="0"/>
        <v>268.51909549999999</v>
      </c>
      <c r="G220" s="3">
        <v>95562.194000000003</v>
      </c>
      <c r="H220" s="3">
        <v>-8.8156394000000002</v>
      </c>
      <c r="I220" s="3">
        <v>3371785.0128215002</v>
      </c>
      <c r="J220" s="3">
        <v>655607.68513540004</v>
      </c>
      <c r="K220" s="3">
        <v>268.63079629999999</v>
      </c>
      <c r="L220" s="3">
        <v>269.3727963</v>
      </c>
      <c r="M220" s="3">
        <f t="shared" si="15"/>
        <v>-0.57629919999999402</v>
      </c>
      <c r="N220" s="3">
        <f t="shared" si="16"/>
        <v>0.8537008000000128</v>
      </c>
      <c r="O220" s="3">
        <v>-8.9017531000000005</v>
      </c>
      <c r="P220" s="3">
        <v>265.95325309999998</v>
      </c>
      <c r="Q220" s="3">
        <v>4.4889450999999996</v>
      </c>
      <c r="R220" s="3">
        <v>268.1596571</v>
      </c>
      <c r="S220" s="3">
        <v>266.34583750000002</v>
      </c>
      <c r="T220" s="3">
        <f t="shared" si="18"/>
        <v>2.2849587999999699</v>
      </c>
      <c r="U220" s="3">
        <f t="shared" si="3"/>
        <v>3.419543200000021</v>
      </c>
      <c r="V220" s="3">
        <f t="shared" si="4"/>
        <v>1.2131392000000005</v>
      </c>
      <c r="W220" s="2">
        <f>VLOOKUP(B220,[1]CivilReport!$A$2:$E$342,5,FALSE)-H220</f>
        <v>-3.6060000000048831E-4</v>
      </c>
    </row>
    <row r="221" spans="1:23" s="4" customFormat="1" ht="14.45" customHeight="1" x14ac:dyDescent="0.25">
      <c r="A221" s="2">
        <f t="shared" si="17"/>
        <v>95582.195000000007</v>
      </c>
      <c r="B221" s="3">
        <v>286580</v>
      </c>
      <c r="C221" s="3">
        <v>3371803.1116458001</v>
      </c>
      <c r="D221" s="3">
        <v>655595.4316439</v>
      </c>
      <c r="E221" s="3">
        <v>269.23851509999997</v>
      </c>
      <c r="F221" s="3">
        <f t="shared" si="0"/>
        <v>268.55051509999998</v>
      </c>
      <c r="G221" s="3">
        <v>95582.195000000007</v>
      </c>
      <c r="H221" s="3">
        <v>-8.6206169999999993</v>
      </c>
      <c r="I221" s="3">
        <v>3371795.8100279998</v>
      </c>
      <c r="J221" s="3">
        <v>655590.84891359997</v>
      </c>
      <c r="K221" s="3">
        <v>268.71134050000001</v>
      </c>
      <c r="L221" s="3">
        <v>269.45334050000002</v>
      </c>
      <c r="M221" s="3">
        <f t="shared" si="15"/>
        <v>-0.52717459999996663</v>
      </c>
      <c r="N221" s="3">
        <f t="shared" si="16"/>
        <v>0.90282540000004019</v>
      </c>
      <c r="O221" s="3">
        <v>-9.8797806999999995</v>
      </c>
      <c r="P221" s="3">
        <v>265.54478349999999</v>
      </c>
      <c r="Q221" s="3">
        <v>4.3630579999999997</v>
      </c>
      <c r="R221" s="3">
        <v>268.30314479999998</v>
      </c>
      <c r="S221" s="3">
        <v>266.43986469999999</v>
      </c>
      <c r="T221" s="3">
        <f t="shared" si="18"/>
        <v>2.2714758000000188</v>
      </c>
      <c r="U221" s="3">
        <f t="shared" si="3"/>
        <v>3.9085570000000303</v>
      </c>
      <c r="V221" s="3">
        <f t="shared" si="4"/>
        <v>1.1501957000000402</v>
      </c>
      <c r="W221" s="2">
        <f>VLOOKUP(B221,[1]CivilReport!$A$2:$E$342,5,FALSE)-H221</f>
        <v>-3.8300000000113243E-4</v>
      </c>
    </row>
    <row r="222" spans="1:23" s="4" customFormat="1" ht="14.45" customHeight="1" x14ac:dyDescent="0.25">
      <c r="A222" s="2">
        <f t="shared" si="17"/>
        <v>95602.207999999999</v>
      </c>
      <c r="B222" s="3">
        <v>286600</v>
      </c>
      <c r="C222" s="3">
        <v>3371813.758812</v>
      </c>
      <c r="D222" s="3">
        <v>655578.50126609998</v>
      </c>
      <c r="E222" s="3">
        <v>269.26947680000001</v>
      </c>
      <c r="F222" s="3">
        <f t="shared" si="0"/>
        <v>268.58147680000002</v>
      </c>
      <c r="G222" s="3">
        <v>95602.207999999999</v>
      </c>
      <c r="H222" s="3">
        <v>-8.4433775000000004</v>
      </c>
      <c r="I222" s="3">
        <v>3371806.6133460002</v>
      </c>
      <c r="J222" s="3">
        <v>655574.00316229998</v>
      </c>
      <c r="K222" s="3">
        <v>268.79193019999997</v>
      </c>
      <c r="L222" s="3">
        <v>269.53393019999999</v>
      </c>
      <c r="M222" s="3">
        <f t="shared" si="15"/>
        <v>-0.47754660000003923</v>
      </c>
      <c r="N222" s="3">
        <f t="shared" si="16"/>
        <v>0.95245339999996759</v>
      </c>
      <c r="O222" s="3">
        <v>-9.0533842999999994</v>
      </c>
      <c r="P222" s="3">
        <v>266.03857140000002</v>
      </c>
      <c r="Q222" s="3">
        <v>4.3187787000000002</v>
      </c>
      <c r="R222" s="3">
        <v>268.40587420000003</v>
      </c>
      <c r="S222" s="3">
        <v>266.59017569999997</v>
      </c>
      <c r="T222" s="3">
        <f t="shared" si="18"/>
        <v>2.2017544999999927</v>
      </c>
      <c r="U222" s="3">
        <f t="shared" si="3"/>
        <v>3.4953587999999627</v>
      </c>
      <c r="V222" s="3">
        <f t="shared" si="4"/>
        <v>1.1280559999999582</v>
      </c>
      <c r="W222" s="2">
        <f>VLOOKUP(B222,[1]CivilReport!$A$2:$E$342,5,FALSE)-H222</f>
        <v>3.7750000000080774E-4</v>
      </c>
    </row>
    <row r="223" spans="1:23" s="4" customFormat="1" ht="14.45" customHeight="1" x14ac:dyDescent="0.25">
      <c r="A223" s="2">
        <f t="shared" si="17"/>
        <v>95622.207999999999</v>
      </c>
      <c r="B223" s="3">
        <v>286620</v>
      </c>
      <c r="C223" s="3">
        <v>3371824.4133158</v>
      </c>
      <c r="D223" s="3">
        <v>655561.57550030004</v>
      </c>
      <c r="E223" s="3">
        <v>269.30420509999999</v>
      </c>
      <c r="F223" s="3">
        <f t="shared" si="0"/>
        <v>268.6162051</v>
      </c>
      <c r="G223" s="3">
        <v>95622.207999999999</v>
      </c>
      <c r="H223" s="3">
        <v>-8.2749117999999999</v>
      </c>
      <c r="I223" s="3">
        <v>3371817.4102678001</v>
      </c>
      <c r="J223" s="3">
        <v>655557.16738450003</v>
      </c>
      <c r="K223" s="3">
        <v>268.87247229999997</v>
      </c>
      <c r="L223" s="3">
        <v>269.61447229999999</v>
      </c>
      <c r="M223" s="3">
        <f t="shared" si="15"/>
        <v>-0.43173280000002023</v>
      </c>
      <c r="N223" s="3">
        <f t="shared" si="16"/>
        <v>0.99826719999998659</v>
      </c>
      <c r="O223" s="3">
        <v>-9.8738089999999996</v>
      </c>
      <c r="P223" s="3">
        <v>265.70890109999999</v>
      </c>
      <c r="Q223" s="3">
        <v>4.3327529</v>
      </c>
      <c r="R223" s="3">
        <v>268.47942920000003</v>
      </c>
      <c r="S223" s="3">
        <v>266.57336040000001</v>
      </c>
      <c r="T223" s="3">
        <f t="shared" si="18"/>
        <v>2.2991118999999571</v>
      </c>
      <c r="U223" s="3">
        <f t="shared" si="3"/>
        <v>3.9055711999999971</v>
      </c>
      <c r="V223" s="3">
        <f t="shared" si="4"/>
        <v>1.1350430999999617</v>
      </c>
      <c r="W223" s="2">
        <f>VLOOKUP(B223,[1]CivilReport!$A$2:$E$342,5,FALSE)-H223</f>
        <v>-8.8200000000426826E-5</v>
      </c>
    </row>
    <row r="224" spans="1:23" s="4" customFormat="1" ht="14.45" customHeight="1" x14ac:dyDescent="0.25">
      <c r="A224" s="2">
        <f t="shared" si="17"/>
        <v>95642.297000000006</v>
      </c>
      <c r="B224" s="3">
        <v>286640</v>
      </c>
      <c r="C224" s="3">
        <v>3371835.1009558998</v>
      </c>
      <c r="D224" s="3">
        <v>655544.67084629997</v>
      </c>
      <c r="E224" s="3">
        <v>269.34965729999999</v>
      </c>
      <c r="F224" s="3">
        <f t="shared" si="0"/>
        <v>268.6616573</v>
      </c>
      <c r="G224" s="3">
        <v>95642.297000000006</v>
      </c>
      <c r="H224" s="3">
        <v>-8.1454678000000005</v>
      </c>
      <c r="I224" s="3">
        <v>3371828.2549049999</v>
      </c>
      <c r="J224" s="3">
        <v>655540.25720470003</v>
      </c>
      <c r="K224" s="3">
        <v>268.95337019999999</v>
      </c>
      <c r="L224" s="3">
        <v>269.69537020000001</v>
      </c>
      <c r="M224" s="3">
        <f t="shared" si="15"/>
        <v>-0.39628709999999501</v>
      </c>
      <c r="N224" s="3">
        <f t="shared" si="16"/>
        <v>1.0337129000000118</v>
      </c>
      <c r="O224" s="3">
        <v>-9.8066537</v>
      </c>
      <c r="P224" s="3">
        <v>265.82328269999999</v>
      </c>
      <c r="Q224" s="3">
        <v>4.34436</v>
      </c>
      <c r="R224" s="3">
        <v>268.55461659999997</v>
      </c>
      <c r="S224" s="3">
        <v>266.50952460000002</v>
      </c>
      <c r="T224" s="3">
        <f t="shared" si="18"/>
        <v>2.4438455999999746</v>
      </c>
      <c r="U224" s="3">
        <f t="shared" si="3"/>
        <v>3.8720875000000206</v>
      </c>
      <c r="V224" s="3">
        <f t="shared" si="4"/>
        <v>1.1407536000000391</v>
      </c>
      <c r="W224" s="2">
        <f>VLOOKUP(B224,[1]CivilReport!$A$2:$E$342,5,FALSE)-H224</f>
        <v>4.6780000000090638E-4</v>
      </c>
    </row>
    <row r="225" spans="1:23" s="4" customFormat="1" ht="14.45" customHeight="1" x14ac:dyDescent="0.25">
      <c r="A225" s="2">
        <f t="shared" si="17"/>
        <v>95662.297000000006</v>
      </c>
      <c r="B225" s="3">
        <v>286660</v>
      </c>
      <c r="C225" s="3">
        <v>3371845.9378220998</v>
      </c>
      <c r="D225" s="3">
        <v>655527.8612559</v>
      </c>
      <c r="E225" s="3">
        <v>269.41878259999999</v>
      </c>
      <c r="F225" s="3">
        <f t="shared" si="0"/>
        <v>268.7307826</v>
      </c>
      <c r="G225" s="3">
        <v>95662.297000000006</v>
      </c>
      <c r="H225" s="3">
        <v>-8.1808189999999996</v>
      </c>
      <c r="I225" s="3">
        <v>3371839.0619994001</v>
      </c>
      <c r="J225" s="3">
        <v>655523.42855229997</v>
      </c>
      <c r="K225" s="3">
        <v>269.03391019999998</v>
      </c>
      <c r="L225" s="3">
        <v>269.7759102</v>
      </c>
      <c r="M225" s="3">
        <f t="shared" si="15"/>
        <v>-0.38487240000000611</v>
      </c>
      <c r="N225" s="3">
        <f t="shared" si="16"/>
        <v>1.0451276000000007</v>
      </c>
      <c r="O225" s="3">
        <v>-9.8364183999999995</v>
      </c>
      <c r="P225" s="3">
        <v>265.88840970000001</v>
      </c>
      <c r="Q225" s="3">
        <v>4.3382811999999999</v>
      </c>
      <c r="R225" s="3">
        <v>268.63872529999998</v>
      </c>
      <c r="S225" s="3">
        <v>266.47524399999998</v>
      </c>
      <c r="T225" s="3">
        <f t="shared" si="18"/>
        <v>2.5586662000000047</v>
      </c>
      <c r="U225" s="3">
        <f t="shared" si="3"/>
        <v>3.8875004999999874</v>
      </c>
      <c r="V225" s="3">
        <f t="shared" si="4"/>
        <v>1.1371849000000225</v>
      </c>
      <c r="W225" s="2">
        <f>VLOOKUP(B225,[1]CivilReport!$A$2:$E$342,5,FALSE)-H225</f>
        <v>-1.8099999999954264E-4</v>
      </c>
    </row>
    <row r="226" spans="1:23" s="4" customFormat="1" ht="14.45" customHeight="1" x14ac:dyDescent="0.25">
      <c r="A226" s="2">
        <f t="shared" si="17"/>
        <v>95682.369000000006</v>
      </c>
      <c r="B226" s="3">
        <v>286680</v>
      </c>
      <c r="C226" s="3">
        <v>3371856.8217766001</v>
      </c>
      <c r="D226" s="3">
        <v>655511.08231850003</v>
      </c>
      <c r="E226" s="3">
        <v>269.48611560000001</v>
      </c>
      <c r="F226" s="3">
        <f t="shared" si="0"/>
        <v>268.79811560000002</v>
      </c>
      <c r="G226" s="3">
        <v>95682.369000000006</v>
      </c>
      <c r="H226" s="3">
        <v>-8.2031778000000006</v>
      </c>
      <c r="I226" s="3">
        <v>3371849.9668079</v>
      </c>
      <c r="J226" s="3">
        <v>655506.5765966</v>
      </c>
      <c r="K226" s="3">
        <v>269.11474239999995</v>
      </c>
      <c r="L226" s="3">
        <v>269.85674239999997</v>
      </c>
      <c r="M226" s="3">
        <f t="shared" si="15"/>
        <v>-0.37137320000005047</v>
      </c>
      <c r="N226" s="3">
        <f t="shared" si="16"/>
        <v>1.0586267999999563</v>
      </c>
      <c r="O226" s="3">
        <v>-10.022865299999999</v>
      </c>
      <c r="P226" s="3">
        <v>265.8758833</v>
      </c>
      <c r="Q226" s="3">
        <v>4.3517488999999996</v>
      </c>
      <c r="R226" s="3">
        <v>268.71295659999998</v>
      </c>
      <c r="S226" s="3">
        <v>266.5029237</v>
      </c>
      <c r="T226" s="3">
        <f t="shared" si="18"/>
        <v>2.611818699999958</v>
      </c>
      <c r="U226" s="3">
        <f t="shared" si="3"/>
        <v>3.9808590999999751</v>
      </c>
      <c r="V226" s="3">
        <f t="shared" si="4"/>
        <v>1.1437857999999892</v>
      </c>
      <c r="W226" s="2">
        <f>VLOOKUP(B226,[1]CivilReport!$A$2:$E$342,5,FALSE)-H226</f>
        <v>1.1778000000006728E-3</v>
      </c>
    </row>
    <row r="227" spans="1:23" s="4" customFormat="1" ht="14.45" customHeight="1" x14ac:dyDescent="0.25">
      <c r="A227" s="2">
        <f t="shared" si="17"/>
        <v>95702.369000000006</v>
      </c>
      <c r="B227" s="3">
        <v>286700</v>
      </c>
      <c r="C227" s="3">
        <v>3371867.807085</v>
      </c>
      <c r="D227" s="3">
        <v>655494.36935940001</v>
      </c>
      <c r="E227" s="3">
        <v>269.54959100000002</v>
      </c>
      <c r="F227" s="3">
        <f t="shared" si="0"/>
        <v>268.86159100000003</v>
      </c>
      <c r="G227" s="3">
        <v>95702.369000000006</v>
      </c>
      <c r="H227" s="3">
        <v>-8.2225707000000003</v>
      </c>
      <c r="I227" s="3">
        <v>3371860.9359105998</v>
      </c>
      <c r="J227" s="3">
        <v>655489.85298580001</v>
      </c>
      <c r="K227" s="3">
        <v>269.1952829</v>
      </c>
      <c r="L227" s="3">
        <v>269.93728290000001</v>
      </c>
      <c r="M227" s="3">
        <f t="shared" si="15"/>
        <v>-0.35430810000002566</v>
      </c>
      <c r="N227" s="3">
        <f t="shared" si="16"/>
        <v>1.0756918999999812</v>
      </c>
      <c r="O227" s="3">
        <v>-10.010183400000001</v>
      </c>
      <c r="P227" s="3">
        <v>265.96295400000002</v>
      </c>
      <c r="Q227" s="3">
        <v>4.4241700999999996</v>
      </c>
      <c r="R227" s="3">
        <v>268.75709990000001</v>
      </c>
      <c r="S227" s="3">
        <v>266.25764040000001</v>
      </c>
      <c r="T227" s="3">
        <f t="shared" si="18"/>
        <v>2.9376424999999813</v>
      </c>
      <c r="U227" s="3">
        <f t="shared" si="3"/>
        <v>3.9743288999999891</v>
      </c>
      <c r="V227" s="3">
        <f t="shared" si="4"/>
        <v>1.1801829999999995</v>
      </c>
      <c r="W227" s="2">
        <f>VLOOKUP(B227,[1]CivilReport!$A$2:$E$342,5,FALSE)-H227</f>
        <v>1.570700000000258E-3</v>
      </c>
    </row>
    <row r="228" spans="1:23" s="4" customFormat="1" ht="14.45" customHeight="1" x14ac:dyDescent="0.25">
      <c r="A228" s="2">
        <f t="shared" si="17"/>
        <v>95722.441000000006</v>
      </c>
      <c r="B228" s="3">
        <v>286720</v>
      </c>
      <c r="C228" s="3">
        <v>3371878.8803193001</v>
      </c>
      <c r="D228" s="3">
        <v>655477.71474530001</v>
      </c>
      <c r="E228" s="3">
        <v>269.609668</v>
      </c>
      <c r="F228" s="3">
        <f t="shared" si="0"/>
        <v>268.92166800000001</v>
      </c>
      <c r="G228" s="3">
        <v>95722.441000000006</v>
      </c>
      <c r="H228" s="3">
        <v>-8.2138183999999992</v>
      </c>
      <c r="I228" s="3">
        <v>3371872.0561470999</v>
      </c>
      <c r="J228" s="3">
        <v>655473.14336840005</v>
      </c>
      <c r="K228" s="3">
        <v>269.27611189999999</v>
      </c>
      <c r="L228" s="3">
        <v>270.01811190000001</v>
      </c>
      <c r="M228" s="3">
        <f t="shared" si="15"/>
        <v>-0.33355610000000979</v>
      </c>
      <c r="N228" s="3">
        <f t="shared" si="16"/>
        <v>1.096443899999997</v>
      </c>
      <c r="O228" s="3">
        <v>-10.607448399999999</v>
      </c>
      <c r="P228" s="3">
        <v>265.74438880000002</v>
      </c>
      <c r="Q228" s="3">
        <v>4.4980998000000003</v>
      </c>
      <c r="R228" s="3">
        <v>268.80171969999998</v>
      </c>
      <c r="S228" s="3">
        <v>266.37453629999999</v>
      </c>
      <c r="T228" s="3">
        <f t="shared" si="18"/>
        <v>2.901575600000001</v>
      </c>
      <c r="U228" s="3">
        <f t="shared" si="3"/>
        <v>4.2737230999999838</v>
      </c>
      <c r="V228" s="3">
        <f t="shared" si="4"/>
        <v>1.2163922000000298</v>
      </c>
      <c r="W228" s="2">
        <f>VLOOKUP(B228,[1]CivilReport!$A$2:$E$342,5,FALSE)-H228</f>
        <v>-1.8160000000122523E-4</v>
      </c>
    </row>
    <row r="229" spans="1:23" s="4" customFormat="1" ht="14.45" customHeight="1" x14ac:dyDescent="0.25">
      <c r="A229" s="2">
        <f t="shared" si="17"/>
        <v>95742.493000000002</v>
      </c>
      <c r="B229" s="3">
        <v>286740</v>
      </c>
      <c r="C229" s="3">
        <v>3371890.088583</v>
      </c>
      <c r="D229" s="3">
        <v>655461.15057639999</v>
      </c>
      <c r="E229" s="3">
        <v>269.69167499999998</v>
      </c>
      <c r="F229" s="3">
        <f t="shared" si="0"/>
        <v>269.00367499999999</v>
      </c>
      <c r="G229" s="3">
        <v>95742.493000000002</v>
      </c>
      <c r="H229" s="3">
        <v>-8.2339141999999992</v>
      </c>
      <c r="I229" s="3">
        <v>3371883.2769281999</v>
      </c>
      <c r="J229" s="3">
        <v>655456.52470339998</v>
      </c>
      <c r="K229" s="3">
        <v>269.3568621</v>
      </c>
      <c r="L229" s="3">
        <v>270.09886210000002</v>
      </c>
      <c r="M229" s="3">
        <f t="shared" si="15"/>
        <v>-0.33481289999997443</v>
      </c>
      <c r="N229" s="3">
        <f t="shared" si="16"/>
        <v>1.0951871000000324</v>
      </c>
      <c r="O229" s="3">
        <v>-9.8890609999999999</v>
      </c>
      <c r="P229" s="3">
        <v>266.18423319999999</v>
      </c>
      <c r="Q229" s="3">
        <v>4.6291948999999999</v>
      </c>
      <c r="R229" s="3">
        <v>268.8170207</v>
      </c>
      <c r="S229" s="3">
        <v>266.46349570000001</v>
      </c>
      <c r="T229" s="3">
        <f t="shared" si="18"/>
        <v>2.8933663999999908</v>
      </c>
      <c r="U229" s="3">
        <f t="shared" si="3"/>
        <v>3.9146289000000252</v>
      </c>
      <c r="V229" s="3">
        <f t="shared" si="4"/>
        <v>1.2818414000000189</v>
      </c>
      <c r="W229" s="2">
        <f>VLOOKUP(B229,[1]CivilReport!$A$2:$E$342,5,FALSE)-H229</f>
        <v>-8.5800000000801901E-5</v>
      </c>
    </row>
    <row r="230" spans="1:23" s="4" customFormat="1" ht="14.45" customHeight="1" x14ac:dyDescent="0.25">
      <c r="A230" s="2">
        <f t="shared" si="17"/>
        <v>95762.551000000007</v>
      </c>
      <c r="B230" s="3">
        <v>286760</v>
      </c>
      <c r="C230" s="3">
        <v>3371901.4036794002</v>
      </c>
      <c r="D230" s="3">
        <v>655444.65924029995</v>
      </c>
      <c r="E230" s="3">
        <v>269.75933739999999</v>
      </c>
      <c r="F230" s="3">
        <f t="shared" si="0"/>
        <v>269.0713374</v>
      </c>
      <c r="G230" s="3">
        <v>95762.551000000007</v>
      </c>
      <c r="H230" s="3">
        <v>-8.2496054999999995</v>
      </c>
      <c r="I230" s="3">
        <v>3371894.6121085002</v>
      </c>
      <c r="J230" s="3">
        <v>655439.97623320005</v>
      </c>
      <c r="K230" s="3">
        <v>269.43763759999996</v>
      </c>
      <c r="L230" s="3">
        <v>270.17963759999998</v>
      </c>
      <c r="M230" s="3">
        <f t="shared" si="15"/>
        <v>-0.32169980000003306</v>
      </c>
      <c r="N230" s="3">
        <f t="shared" si="16"/>
        <v>1.1083001999999738</v>
      </c>
      <c r="O230" s="3">
        <v>-10.477404099999999</v>
      </c>
      <c r="P230" s="3">
        <v>265.97184950000002</v>
      </c>
      <c r="Q230" s="3">
        <v>4.5832815</v>
      </c>
      <c r="R230" s="3">
        <v>268.9197479</v>
      </c>
      <c r="S230" s="3">
        <v>266.7816669</v>
      </c>
      <c r="T230" s="3">
        <f t="shared" si="18"/>
        <v>2.6559706999999548</v>
      </c>
      <c r="U230" s="3">
        <f t="shared" si="3"/>
        <v>4.2077880999999593</v>
      </c>
      <c r="V230" s="3">
        <f t="shared" si="4"/>
        <v>1.2598896999999738</v>
      </c>
      <c r="W230" s="2">
        <f>VLOOKUP(B230,[1]CivilReport!$A$2:$E$342,5,FALSE)-H230</f>
        <v>-3.9450000000051944E-4</v>
      </c>
    </row>
    <row r="231" spans="1:23" s="4" customFormat="1" ht="14.45" customHeight="1" x14ac:dyDescent="0.25">
      <c r="A231" s="2">
        <f t="shared" si="17"/>
        <v>95782.604000000007</v>
      </c>
      <c r="B231" s="3">
        <v>286780</v>
      </c>
      <c r="C231" s="3">
        <v>3371912.8070721999</v>
      </c>
      <c r="D231" s="3">
        <v>655428.22882590001</v>
      </c>
      <c r="E231" s="3">
        <v>269.82705559999999</v>
      </c>
      <c r="F231" s="3">
        <f t="shared" si="0"/>
        <v>269.13905560000001</v>
      </c>
      <c r="G231" s="3">
        <v>95782.604000000007</v>
      </c>
      <c r="H231" s="3">
        <v>-8.2388736999999992</v>
      </c>
      <c r="I231" s="3">
        <v>3371906.0545107001</v>
      </c>
      <c r="J231" s="3">
        <v>655423.50844969996</v>
      </c>
      <c r="K231" s="3">
        <v>269.51839089999999</v>
      </c>
      <c r="L231" s="3">
        <v>270.2603909</v>
      </c>
      <c r="M231" s="3">
        <f t="shared" si="15"/>
        <v>-0.30866470000000845</v>
      </c>
      <c r="N231" s="3">
        <f t="shared" si="16"/>
        <v>1.1213352999999984</v>
      </c>
      <c r="O231" s="3">
        <v>-10.4253958</v>
      </c>
      <c r="P231" s="3">
        <v>266.07780050000002</v>
      </c>
      <c r="Q231" s="3">
        <v>4.5142917000000002</v>
      </c>
      <c r="R231" s="3">
        <v>269.03579669999999</v>
      </c>
      <c r="S231" s="3">
        <v>267.10760040000002</v>
      </c>
      <c r="T231" s="3">
        <f t="shared" si="18"/>
        <v>2.4107904999999619</v>
      </c>
      <c r="U231" s="3">
        <f t="shared" si="3"/>
        <v>4.1825903999999809</v>
      </c>
      <c r="V231" s="3">
        <f t="shared" si="4"/>
        <v>1.2245942000000127</v>
      </c>
      <c r="W231" s="2">
        <f>VLOOKUP(B231,[1]CivilReport!$A$2:$E$342,5,FALSE)-H231</f>
        <v>-1.2630000000157793E-4</v>
      </c>
    </row>
    <row r="232" spans="1:23" s="4" customFormat="1" ht="14.45" customHeight="1" x14ac:dyDescent="0.25">
      <c r="A232" s="2">
        <f t="shared" si="17"/>
        <v>95802.665999999997</v>
      </c>
      <c r="B232" s="3">
        <v>286800</v>
      </c>
      <c r="C232" s="3">
        <v>3371924.2953011999</v>
      </c>
      <c r="D232" s="3">
        <v>655411.8576166</v>
      </c>
      <c r="E232" s="3">
        <v>269.8965887</v>
      </c>
      <c r="F232" s="3">
        <f t="shared" si="0"/>
        <v>269.20858870000001</v>
      </c>
      <c r="G232" s="3">
        <v>95802.665999999997</v>
      </c>
      <c r="H232" s="3">
        <v>-8.1978939000000004</v>
      </c>
      <c r="I232" s="3">
        <v>3371917.6117187999</v>
      </c>
      <c r="J232" s="3">
        <v>655407.11049220001</v>
      </c>
      <c r="K232" s="3">
        <v>269.59917889999997</v>
      </c>
      <c r="L232" s="3">
        <v>270.34117889999999</v>
      </c>
      <c r="M232" s="3">
        <f t="shared" si="15"/>
        <v>-0.29740980000002537</v>
      </c>
      <c r="N232" s="3">
        <f t="shared" si="16"/>
        <v>1.1325901999999815</v>
      </c>
      <c r="O232" s="3">
        <v>-11.060189299999999</v>
      </c>
      <c r="P232" s="3">
        <v>265.84041130000003</v>
      </c>
      <c r="Q232" s="3">
        <v>4.4831313000000002</v>
      </c>
      <c r="R232" s="3">
        <v>269.13294180000003</v>
      </c>
      <c r="S232" s="3">
        <v>267.30392389999997</v>
      </c>
      <c r="T232" s="3">
        <f t="shared" si="18"/>
        <v>2.2952549999999974</v>
      </c>
      <c r="U232" s="3">
        <f t="shared" si="3"/>
        <v>4.5007675999999606</v>
      </c>
      <c r="V232" s="3">
        <f t="shared" si="4"/>
        <v>1.2082370999999625</v>
      </c>
      <c r="W232" s="2">
        <f>VLOOKUP(B232,[1]CivilReport!$A$2:$E$342,5,FALSE)-H232</f>
        <v>-1.0609999999999786E-4</v>
      </c>
    </row>
    <row r="233" spans="1:23" s="4" customFormat="1" ht="14.45" customHeight="1" x14ac:dyDescent="0.25">
      <c r="A233" s="2">
        <f t="shared" si="17"/>
        <v>95822.665999999997</v>
      </c>
      <c r="B233" s="3">
        <v>286820</v>
      </c>
      <c r="C233" s="3">
        <v>3371935.8766255998</v>
      </c>
      <c r="D233" s="3">
        <v>655395.55200639996</v>
      </c>
      <c r="E233" s="3">
        <v>269.9326648</v>
      </c>
      <c r="F233" s="3">
        <f t="shared" si="0"/>
        <v>269.24466480000001</v>
      </c>
      <c r="G233" s="3">
        <v>95822.665999999997</v>
      </c>
      <c r="H233" s="3">
        <v>-8.1372678000000001</v>
      </c>
      <c r="I233" s="3">
        <v>3371929.2424697001</v>
      </c>
      <c r="J233" s="3">
        <v>655390.8399895</v>
      </c>
      <c r="K233" s="3">
        <v>269.67971969999996</v>
      </c>
      <c r="L233" s="3">
        <v>270.42171969999998</v>
      </c>
      <c r="M233" s="3">
        <f t="shared" si="15"/>
        <v>-0.25294510000003356</v>
      </c>
      <c r="N233" s="3">
        <f t="shared" si="16"/>
        <v>1.1770548999999733</v>
      </c>
      <c r="O233" s="3">
        <v>-11.2986483</v>
      </c>
      <c r="P233" s="3">
        <v>265.80347949999998</v>
      </c>
      <c r="Q233" s="3">
        <v>4.4890376999999999</v>
      </c>
      <c r="R233" s="3">
        <v>269.2087823</v>
      </c>
      <c r="S233" s="3">
        <v>267.42047239999999</v>
      </c>
      <c r="T233" s="3">
        <f t="shared" si="18"/>
        <v>2.25924729999997</v>
      </c>
      <c r="U233" s="3">
        <f t="shared" si="3"/>
        <v>4.6182402000000025</v>
      </c>
      <c r="V233" s="3">
        <f t="shared" si="4"/>
        <v>1.2129373999999871</v>
      </c>
      <c r="W233" s="2">
        <f>VLOOKUP(B233,[1]CivilReport!$A$2:$E$342,5,FALSE)-H233</f>
        <v>-7.3219999999984964E-4</v>
      </c>
    </row>
    <row r="234" spans="1:23" s="4" customFormat="1" ht="14.45" customHeight="1" x14ac:dyDescent="0.25">
      <c r="A234" s="2">
        <f t="shared" si="17"/>
        <v>95842.713000000003</v>
      </c>
      <c r="B234" s="3">
        <v>286840</v>
      </c>
      <c r="C234" s="3">
        <v>3371947.5517258998</v>
      </c>
      <c r="D234" s="3">
        <v>655379.31341479998</v>
      </c>
      <c r="E234" s="3">
        <v>270.02153550000003</v>
      </c>
      <c r="F234" s="3">
        <f t="shared" si="0"/>
        <v>269.33353550000004</v>
      </c>
      <c r="G234" s="3">
        <v>95842.713000000003</v>
      </c>
      <c r="H234" s="3">
        <v>-8.0675080000000001</v>
      </c>
      <c r="I234" s="3">
        <v>3371941.0018667998</v>
      </c>
      <c r="J234" s="3">
        <v>655374.60342219996</v>
      </c>
      <c r="K234" s="3">
        <v>269.76045210000001</v>
      </c>
      <c r="L234" s="3">
        <v>270.50245210000003</v>
      </c>
      <c r="M234" s="3">
        <f t="shared" si="15"/>
        <v>-0.26108340000001817</v>
      </c>
      <c r="N234" s="3">
        <f t="shared" si="16"/>
        <v>1.1689165999999886</v>
      </c>
      <c r="O234" s="3">
        <v>-11.292282800000001</v>
      </c>
      <c r="P234" s="3">
        <v>265.88679910000002</v>
      </c>
      <c r="Q234" s="3">
        <v>4.4542631999999998</v>
      </c>
      <c r="R234" s="3">
        <v>269.3075005</v>
      </c>
      <c r="S234" s="3">
        <v>267.57417980000002</v>
      </c>
      <c r="T234" s="3">
        <f t="shared" si="18"/>
        <v>2.1862722999999846</v>
      </c>
      <c r="U234" s="3">
        <f t="shared" si="3"/>
        <v>4.6156530000000089</v>
      </c>
      <c r="V234" s="3">
        <f t="shared" si="4"/>
        <v>1.1949516000000244</v>
      </c>
      <c r="W234" s="2">
        <f>VLOOKUP(B234,[1]CivilReport!$A$2:$E$342,5,FALSE)-H234</f>
        <v>5.0799999999995293E-4</v>
      </c>
    </row>
    <row r="235" spans="1:23" s="4" customFormat="1" ht="14.45" customHeight="1" x14ac:dyDescent="0.25">
      <c r="A235" s="2">
        <f t="shared" si="17"/>
        <v>95862.751000000004</v>
      </c>
      <c r="B235" s="3">
        <v>286860</v>
      </c>
      <c r="C235" s="3">
        <v>3371959.2947085998</v>
      </c>
      <c r="D235" s="3">
        <v>655363.12386649998</v>
      </c>
      <c r="E235" s="3">
        <v>270.12188090000001</v>
      </c>
      <c r="F235" s="3">
        <f t="shared" si="0"/>
        <v>269.43388090000002</v>
      </c>
      <c r="G235" s="3">
        <v>95862.751000000004</v>
      </c>
      <c r="H235" s="3">
        <v>-8.0112243999999997</v>
      </c>
      <c r="I235" s="3">
        <v>3371952.8123154999</v>
      </c>
      <c r="J235" s="3">
        <v>655358.41660650005</v>
      </c>
      <c r="K235" s="3">
        <v>269.8411433</v>
      </c>
      <c r="L235" s="3">
        <v>270.58314330000002</v>
      </c>
      <c r="M235" s="3">
        <f t="shared" si="15"/>
        <v>-0.28073760000000902</v>
      </c>
      <c r="N235" s="3">
        <f t="shared" si="16"/>
        <v>1.1492623999999978</v>
      </c>
      <c r="O235" s="3">
        <v>-12.462533199999999</v>
      </c>
      <c r="P235" s="3">
        <v>265.38320110000001</v>
      </c>
      <c r="Q235" s="3">
        <v>4.6241741999999997</v>
      </c>
      <c r="R235" s="3">
        <v>269.30239879999999</v>
      </c>
      <c r="S235" s="3">
        <v>267.6724347</v>
      </c>
      <c r="T235" s="3">
        <f t="shared" si="18"/>
        <v>2.1687086000000022</v>
      </c>
      <c r="U235" s="3">
        <f t="shared" si="3"/>
        <v>5.1999422000000095</v>
      </c>
      <c r="V235" s="3">
        <f t="shared" si="4"/>
        <v>1.2807445000000257</v>
      </c>
      <c r="W235" s="2">
        <f>VLOOKUP(B235,[1]CivilReport!$A$2:$E$342,5,FALSE)-H235</f>
        <v>-7.7560000000076457E-4</v>
      </c>
    </row>
    <row r="236" spans="1:23" s="4" customFormat="1" ht="14.45" customHeight="1" x14ac:dyDescent="0.25">
      <c r="A236" s="2">
        <f t="shared" si="17"/>
        <v>95882.788</v>
      </c>
      <c r="B236" s="3">
        <v>286880</v>
      </c>
      <c r="C236" s="3">
        <v>3371971.1123310002</v>
      </c>
      <c r="D236" s="3">
        <v>655346.98872360005</v>
      </c>
      <c r="E236" s="3">
        <v>270.1919067</v>
      </c>
      <c r="F236" s="3">
        <f t="shared" si="0"/>
        <v>269.50390670000002</v>
      </c>
      <c r="G236" s="3">
        <v>95882.788</v>
      </c>
      <c r="H236" s="3">
        <v>-8.0344885999999995</v>
      </c>
      <c r="I236" s="3">
        <v>3371964.6332449</v>
      </c>
      <c r="J236" s="3">
        <v>655342.23746570002</v>
      </c>
      <c r="K236" s="3">
        <v>269.92183439999997</v>
      </c>
      <c r="L236" s="3">
        <v>270.66383439999998</v>
      </c>
      <c r="M236" s="3">
        <f t="shared" si="15"/>
        <v>-0.27007230000003801</v>
      </c>
      <c r="N236" s="3">
        <f t="shared" si="16"/>
        <v>1.1599276999999688</v>
      </c>
      <c r="O236" s="3">
        <v>-12.968596999999999</v>
      </c>
      <c r="P236" s="3">
        <v>265.21086919999999</v>
      </c>
      <c r="Q236" s="3">
        <v>4.6622025000000002</v>
      </c>
      <c r="R236" s="3">
        <v>269.36406649999998</v>
      </c>
      <c r="S236" s="3">
        <v>267.80757269999998</v>
      </c>
      <c r="T236" s="3">
        <f t="shared" si="18"/>
        <v>2.1142616999999859</v>
      </c>
      <c r="U236" s="3">
        <f t="shared" si="3"/>
        <v>5.4529651999999942</v>
      </c>
      <c r="V236" s="3">
        <f t="shared" si="4"/>
        <v>1.2997679000000062</v>
      </c>
      <c r="W236" s="2">
        <f>VLOOKUP(B236,[1]CivilReport!$A$2:$E$342,5,FALSE)-H236</f>
        <v>-5.1140000000060581E-4</v>
      </c>
    </row>
    <row r="237" spans="1:23" s="4" customFormat="1" ht="14.45" customHeight="1" x14ac:dyDescent="0.25">
      <c r="A237" s="2">
        <f t="shared" si="17"/>
        <v>95902.788</v>
      </c>
      <c r="B237" s="3">
        <v>286900</v>
      </c>
      <c r="C237" s="3">
        <v>3371982.9394878</v>
      </c>
      <c r="D237" s="3">
        <v>655330.86053820001</v>
      </c>
      <c r="E237" s="3">
        <v>270.25734590000002</v>
      </c>
      <c r="F237" s="3">
        <f t="shared" si="0"/>
        <v>269.56934590000003</v>
      </c>
      <c r="G237" s="3">
        <v>95902.788</v>
      </c>
      <c r="H237" s="3">
        <v>-8.0695762000000002</v>
      </c>
      <c r="I237" s="3">
        <v>3371976.4321067999</v>
      </c>
      <c r="J237" s="3">
        <v>655326.08853109996</v>
      </c>
      <c r="K237" s="3">
        <v>270.00237490000001</v>
      </c>
      <c r="L237" s="3">
        <v>270.74437490000003</v>
      </c>
      <c r="M237" s="3">
        <f t="shared" si="15"/>
        <v>-0.25497100000001183</v>
      </c>
      <c r="N237" s="3">
        <f t="shared" si="16"/>
        <v>1.175028999999995</v>
      </c>
      <c r="O237" s="3">
        <v>-12.2810139</v>
      </c>
      <c r="P237" s="3">
        <v>265.63520119999998</v>
      </c>
      <c r="Q237" s="3">
        <v>4.6790440999999996</v>
      </c>
      <c r="R237" s="3">
        <v>269.43618609999999</v>
      </c>
      <c r="S237" s="3">
        <v>267.83771189999999</v>
      </c>
      <c r="T237" s="3">
        <f t="shared" si="18"/>
        <v>2.1646630000000187</v>
      </c>
      <c r="U237" s="3">
        <f t="shared" si="3"/>
        <v>5.1091737000000421</v>
      </c>
      <c r="V237" s="3">
        <f t="shared" si="4"/>
        <v>1.308188800000039</v>
      </c>
      <c r="W237" s="2">
        <f>VLOOKUP(B237,[1]CivilReport!$A$2:$E$342,5,FALSE)-H237</f>
        <v>-4.2380000000008522E-4</v>
      </c>
    </row>
    <row r="238" spans="1:23" s="4" customFormat="1" ht="14.45" customHeight="1" x14ac:dyDescent="0.25">
      <c r="A238" s="2">
        <f t="shared" si="17"/>
        <v>95922.805999999997</v>
      </c>
      <c r="B238" s="3">
        <v>286920</v>
      </c>
      <c r="C238" s="3">
        <v>3371994.7915349002</v>
      </c>
      <c r="D238" s="3">
        <v>655314.75064600003</v>
      </c>
      <c r="E238" s="3">
        <v>270.32087790000003</v>
      </c>
      <c r="F238" s="3">
        <f t="shared" si="0"/>
        <v>269.63287790000004</v>
      </c>
      <c r="G238" s="3">
        <v>95922.805999999997</v>
      </c>
      <c r="H238" s="3">
        <v>-8.1356017000000005</v>
      </c>
      <c r="I238" s="3">
        <v>3371988.2411008002</v>
      </c>
      <c r="J238" s="3">
        <v>655309.92572870001</v>
      </c>
      <c r="K238" s="3">
        <v>270.08298450000001</v>
      </c>
      <c r="L238" s="3">
        <v>270.82498450000003</v>
      </c>
      <c r="M238" s="3">
        <f t="shared" si="15"/>
        <v>-0.23789340000001857</v>
      </c>
      <c r="N238" s="3">
        <f t="shared" si="16"/>
        <v>1.1921065999999882</v>
      </c>
      <c r="O238" s="3">
        <v>-10.7392442</v>
      </c>
      <c r="P238" s="3">
        <v>266.48669569999998</v>
      </c>
      <c r="Q238" s="3">
        <v>4.7303822000000002</v>
      </c>
      <c r="R238" s="3">
        <v>269.4911267</v>
      </c>
      <c r="S238" s="3">
        <v>267.73101960000002</v>
      </c>
      <c r="T238" s="3">
        <f t="shared" si="18"/>
        <v>2.3519648999999845</v>
      </c>
      <c r="U238" s="3">
        <f t="shared" si="3"/>
        <v>4.3382888000000435</v>
      </c>
      <c r="V238" s="3">
        <f t="shared" si="4"/>
        <v>1.3338578000000325</v>
      </c>
      <c r="W238" s="2">
        <f>VLOOKUP(B238,[1]CivilReport!$A$2:$E$342,5,FALSE)-H238</f>
        <v>-3.9829999999874133E-4</v>
      </c>
    </row>
    <row r="239" spans="1:23" s="4" customFormat="1" ht="14.45" customHeight="1" x14ac:dyDescent="0.25">
      <c r="A239" s="2">
        <f t="shared" si="17"/>
        <v>95942.805999999997</v>
      </c>
      <c r="B239" s="3">
        <v>286940</v>
      </c>
      <c r="C239" s="3">
        <v>3372006.6527777999</v>
      </c>
      <c r="D239" s="3">
        <v>655298.64751230006</v>
      </c>
      <c r="E239" s="3">
        <v>270.3837054</v>
      </c>
      <c r="F239" s="3">
        <f t="shared" si="0"/>
        <v>269.69570540000001</v>
      </c>
      <c r="G239" s="3">
        <v>95942.805999999997</v>
      </c>
      <c r="H239" s="3">
        <v>-8.2129913999999999</v>
      </c>
      <c r="I239" s="3">
        <v>3372000.0400328999</v>
      </c>
      <c r="J239" s="3">
        <v>655293.77669800003</v>
      </c>
      <c r="K239" s="3">
        <v>270.16352539999997</v>
      </c>
      <c r="L239" s="3">
        <v>270.90552539999999</v>
      </c>
      <c r="M239" s="3">
        <f t="shared" si="15"/>
        <v>-0.22018000000002758</v>
      </c>
      <c r="N239" s="3">
        <f t="shared" si="16"/>
        <v>1.2098199999999792</v>
      </c>
      <c r="O239" s="3">
        <v>-10.722929600000001</v>
      </c>
      <c r="P239" s="3">
        <v>266.57539389999999</v>
      </c>
      <c r="Q239" s="3">
        <v>4.8147456000000002</v>
      </c>
      <c r="R239" s="3">
        <v>269.5294859</v>
      </c>
      <c r="S239" s="3">
        <v>267.65734359999999</v>
      </c>
      <c r="T239" s="3">
        <f t="shared" si="18"/>
        <v>2.5061817999999789</v>
      </c>
      <c r="U239" s="3">
        <f t="shared" si="3"/>
        <v>4.3301314999999931</v>
      </c>
      <c r="V239" s="3">
        <f t="shared" si="4"/>
        <v>1.3760394999999903</v>
      </c>
      <c r="W239" s="2">
        <f>VLOOKUP(B239,[1]CivilReport!$A$2:$E$342,5,FALSE)-H239</f>
        <v>-8.599999999248098E-6</v>
      </c>
    </row>
    <row r="240" spans="1:23" s="4" customFormat="1" ht="14.45" customHeight="1" x14ac:dyDescent="0.25">
      <c r="A240" s="2">
        <f t="shared" si="17"/>
        <v>95962.797999999995</v>
      </c>
      <c r="B240" s="3">
        <v>286960</v>
      </c>
      <c r="C240" s="3">
        <v>3372018.5003859</v>
      </c>
      <c r="D240" s="3">
        <v>655282.53434560006</v>
      </c>
      <c r="E240" s="3">
        <v>270.4461063</v>
      </c>
      <c r="F240" s="3">
        <f t="shared" si="0"/>
        <v>269.75810630000001</v>
      </c>
      <c r="G240" s="3">
        <v>95962.797999999995</v>
      </c>
      <c r="H240" s="3">
        <v>-8.2734255000000001</v>
      </c>
      <c r="I240" s="3">
        <v>3372011.8342003999</v>
      </c>
      <c r="J240" s="3">
        <v>655277.6341884</v>
      </c>
      <c r="K240" s="3">
        <v>270.24403379999995</v>
      </c>
      <c r="L240" s="3">
        <v>270.98603379999997</v>
      </c>
      <c r="M240" s="3">
        <f t="shared" si="15"/>
        <v>-0.20207250000004251</v>
      </c>
      <c r="N240" s="3">
        <f t="shared" si="16"/>
        <v>1.2279274999999643</v>
      </c>
      <c r="O240" s="3">
        <v>-10.866435899999999</v>
      </c>
      <c r="P240" s="3">
        <v>266.58414920000001</v>
      </c>
      <c r="Q240" s="3">
        <v>5.0084587000000003</v>
      </c>
      <c r="R240" s="3">
        <v>269.51313779999998</v>
      </c>
      <c r="S240" s="3">
        <v>267.63194379999999</v>
      </c>
      <c r="T240" s="3">
        <f t="shared" si="18"/>
        <v>2.6120899999999665</v>
      </c>
      <c r="U240" s="3">
        <f t="shared" si="3"/>
        <v>4.4018845999999598</v>
      </c>
      <c r="V240" s="3">
        <f t="shared" si="4"/>
        <v>1.4728959999999915</v>
      </c>
      <c r="W240" s="2">
        <f>VLOOKUP(B240,[1]CivilReport!$A$2:$E$342,5,FALSE)-H240</f>
        <v>-5.7449999999903412E-4</v>
      </c>
    </row>
    <row r="241" spans="1:23" s="4" customFormat="1" ht="14.45" customHeight="1" x14ac:dyDescent="0.25">
      <c r="A241" s="2">
        <f t="shared" si="17"/>
        <v>95982.797999999995</v>
      </c>
      <c r="B241" s="3">
        <v>286980</v>
      </c>
      <c r="C241" s="3">
        <v>3372030.3459200999</v>
      </c>
      <c r="D241" s="3">
        <v>655266.41965299996</v>
      </c>
      <c r="E241" s="3">
        <v>270.50844230000001</v>
      </c>
      <c r="F241" s="3">
        <f t="shared" si="0"/>
        <v>269.82044230000002</v>
      </c>
      <c r="G241" s="3">
        <v>95982.797999999995</v>
      </c>
      <c r="H241" s="3">
        <v>-8.3313118999999993</v>
      </c>
      <c r="I241" s="3">
        <v>3372023.6330935</v>
      </c>
      <c r="J241" s="3">
        <v>655261.48521089996</v>
      </c>
      <c r="K241" s="3">
        <v>270.32457449999998</v>
      </c>
      <c r="L241" s="3">
        <v>271.0665745</v>
      </c>
      <c r="M241" s="3">
        <f t="shared" si="15"/>
        <v>-0.18386780000003</v>
      </c>
      <c r="N241" s="3">
        <f t="shared" si="16"/>
        <v>1.2461321999999768</v>
      </c>
      <c r="O241" s="3">
        <v>-10.8621195</v>
      </c>
      <c r="P241" s="3">
        <v>266.66684800000002</v>
      </c>
      <c r="Q241" s="3">
        <v>5.1979479</v>
      </c>
      <c r="R241" s="3">
        <v>269.4989339</v>
      </c>
      <c r="S241" s="3">
        <v>267.96673349999998</v>
      </c>
      <c r="T241" s="3">
        <f t="shared" si="18"/>
        <v>2.3578410000000076</v>
      </c>
      <c r="U241" s="3">
        <f t="shared" si="3"/>
        <v>4.3997264999999857</v>
      </c>
      <c r="V241" s="3">
        <f t="shared" si="4"/>
        <v>1.5676406000000043</v>
      </c>
      <c r="W241" s="2">
        <f>VLOOKUP(B241,[1]CivilReport!$A$2:$E$342,5,FALSE)-H241</f>
        <v>3.1189999999980955E-4</v>
      </c>
    </row>
    <row r="242" spans="1:23" s="4" customFormat="1" ht="14.45" customHeight="1" x14ac:dyDescent="0.25">
      <c r="A242" s="2">
        <f t="shared" si="17"/>
        <v>96002.994000000006</v>
      </c>
      <c r="B242" s="3">
        <v>287000</v>
      </c>
      <c r="C242" s="3">
        <v>3372042.1972488998</v>
      </c>
      <c r="D242" s="3">
        <v>655250.30922209995</v>
      </c>
      <c r="E242" s="3">
        <v>270.56579620000002</v>
      </c>
      <c r="F242" s="3">
        <f t="shared" si="0"/>
        <v>269.87779620000003</v>
      </c>
      <c r="G242" s="3">
        <v>96002.994000000006</v>
      </c>
      <c r="H242" s="3">
        <v>-8.3964049000000003</v>
      </c>
      <c r="I242" s="3">
        <v>3372035.4345223</v>
      </c>
      <c r="J242" s="3">
        <v>655245.33276310004</v>
      </c>
      <c r="K242" s="3">
        <v>270.40513239999996</v>
      </c>
      <c r="L242" s="3">
        <v>271.14713239999998</v>
      </c>
      <c r="M242" s="3">
        <f t="shared" si="15"/>
        <v>-0.16066380000006575</v>
      </c>
      <c r="N242" s="3">
        <f t="shared" si="16"/>
        <v>1.2693361999999411</v>
      </c>
      <c r="O242" s="3">
        <v>-11.129827199999999</v>
      </c>
      <c r="P242" s="3">
        <v>266.61355209999999</v>
      </c>
      <c r="Q242" s="3">
        <v>5.1873636000000003</v>
      </c>
      <c r="R242" s="3">
        <v>269.58478400000001</v>
      </c>
      <c r="S242" s="3">
        <v>268.15067900000003</v>
      </c>
      <c r="T242" s="3">
        <f t="shared" si="18"/>
        <v>2.2544533999999317</v>
      </c>
      <c r="U242" s="3">
        <f t="shared" si="3"/>
        <v>4.5335802999999828</v>
      </c>
      <c r="V242" s="3">
        <f t="shared" si="4"/>
        <v>1.5623483999999621</v>
      </c>
      <c r="W242" s="2">
        <f>VLOOKUP(B242,[1]CivilReport!$A$2:$E$342,5,FALSE)-H242</f>
        <v>4.0489999999948623E-4</v>
      </c>
    </row>
    <row r="243" spans="1:23" s="4" customFormat="1" ht="14.45" customHeight="1" x14ac:dyDescent="0.25">
      <c r="A243" s="2">
        <f t="shared" si="17"/>
        <v>96022.803</v>
      </c>
      <c r="B243" s="3">
        <v>287020</v>
      </c>
      <c r="C243" s="3">
        <v>3372054.0510339998</v>
      </c>
      <c r="D243" s="3">
        <v>655234.20059769996</v>
      </c>
      <c r="E243" s="3">
        <v>270.62103819999999</v>
      </c>
      <c r="F243" s="3">
        <f t="shared" si="0"/>
        <v>269.9330382</v>
      </c>
      <c r="G243" s="3">
        <v>96022.803</v>
      </c>
      <c r="H243" s="3">
        <v>-8.4645334999999999</v>
      </c>
      <c r="I243" s="3">
        <v>3372047.2334344001</v>
      </c>
      <c r="J243" s="3">
        <v>655229.18375960004</v>
      </c>
      <c r="K243" s="3">
        <v>270.48567320000001</v>
      </c>
      <c r="L243" s="3">
        <v>271.22767320000003</v>
      </c>
      <c r="M243" s="3">
        <f t="shared" si="15"/>
        <v>-0.13536499999997886</v>
      </c>
      <c r="N243" s="3">
        <f t="shared" si="16"/>
        <v>1.294635000000028</v>
      </c>
      <c r="O243" s="3">
        <v>-11.2923826</v>
      </c>
      <c r="P243" s="3">
        <v>266.6128152</v>
      </c>
      <c r="Q243" s="3">
        <v>5.0034410999999999</v>
      </c>
      <c r="R243" s="3">
        <v>269.75728600000002</v>
      </c>
      <c r="S243" s="3">
        <v>267.96670569999998</v>
      </c>
      <c r="T243" s="3">
        <f t="shared" si="18"/>
        <v>2.5189675000000307</v>
      </c>
      <c r="U243" s="3">
        <f t="shared" si="3"/>
        <v>4.6148580000000265</v>
      </c>
      <c r="V243" s="3">
        <f t="shared" si="4"/>
        <v>1.4703872000000047</v>
      </c>
      <c r="W243" s="2">
        <f>VLOOKUP(B243,[1]CivilReport!$A$2:$E$342,5,FALSE)-H243</f>
        <v>-4.6649999999992531E-4</v>
      </c>
    </row>
    <row r="244" spans="1:23" s="4" customFormat="1" ht="14.45" customHeight="1" x14ac:dyDescent="0.25">
      <c r="A244" s="2">
        <f t="shared" si="17"/>
        <v>96042.803</v>
      </c>
      <c r="B244" s="3">
        <v>287040</v>
      </c>
      <c r="C244" s="3">
        <v>3372065.9042536998</v>
      </c>
      <c r="D244" s="3">
        <v>655218.09155729995</v>
      </c>
      <c r="E244" s="3">
        <v>270.67282139999998</v>
      </c>
      <c r="F244" s="3">
        <f t="shared" si="0"/>
        <v>269.98482139999999</v>
      </c>
      <c r="G244" s="3">
        <v>96042.803</v>
      </c>
      <c r="H244" s="3">
        <v>-8.5319576999999995</v>
      </c>
      <c r="I244" s="3">
        <v>3372059.0319085</v>
      </c>
      <c r="J244" s="3">
        <v>655213.03535569995</v>
      </c>
      <c r="K244" s="3">
        <v>270.56621100000001</v>
      </c>
      <c r="L244" s="3">
        <v>271.30821100000003</v>
      </c>
      <c r="M244" s="3">
        <f t="shared" si="15"/>
        <v>-0.10661039999996547</v>
      </c>
      <c r="N244" s="3">
        <f t="shared" si="16"/>
        <v>1.3233896000000414</v>
      </c>
      <c r="O244" s="3">
        <v>-11.3279915</v>
      </c>
      <c r="P244" s="3">
        <v>266.67554860000001</v>
      </c>
      <c r="Q244" s="3">
        <v>4.9637241000000003</v>
      </c>
      <c r="R244" s="3">
        <v>269.85768230000002</v>
      </c>
      <c r="S244" s="3">
        <v>267.80985729999998</v>
      </c>
      <c r="T244" s="3">
        <f t="shared" si="18"/>
        <v>2.7563537000000338</v>
      </c>
      <c r="U244" s="3">
        <f t="shared" si="3"/>
        <v>4.6326624000000152</v>
      </c>
      <c r="V244" s="3">
        <f t="shared" si="4"/>
        <v>1.4505287000000067</v>
      </c>
      <c r="W244" s="2">
        <f>VLOOKUP(B244,[1]CivilReport!$A$2:$E$342,5,FALSE)-H244</f>
        <v>-4.230000000049472E-5</v>
      </c>
    </row>
    <row r="245" spans="1:23" s="4" customFormat="1" ht="14.45" customHeight="1" x14ac:dyDescent="0.25">
      <c r="A245" s="2">
        <f t="shared" si="17"/>
        <v>96062.803</v>
      </c>
      <c r="B245" s="3">
        <v>287060</v>
      </c>
      <c r="C245" s="3">
        <v>3372077.7566368999</v>
      </c>
      <c r="D245" s="3">
        <v>655201.98190140002</v>
      </c>
      <c r="E245" s="3">
        <v>270.71948739999999</v>
      </c>
      <c r="F245" s="3">
        <f t="shared" si="0"/>
        <v>270.0314874</v>
      </c>
      <c r="G245" s="3">
        <v>96062.803</v>
      </c>
      <c r="H245" s="3">
        <v>-8.5983459</v>
      </c>
      <c r="I245" s="3">
        <v>3372070.8308171998</v>
      </c>
      <c r="J245" s="3">
        <v>655196.88635699998</v>
      </c>
      <c r="K245" s="3">
        <v>270.6467518</v>
      </c>
      <c r="L245" s="3">
        <v>271.38875180000002</v>
      </c>
      <c r="M245" s="3">
        <f t="shared" si="15"/>
        <v>-7.2735599999987244E-2</v>
      </c>
      <c r="N245" s="3">
        <f t="shared" si="16"/>
        <v>1.3572644000000196</v>
      </c>
      <c r="O245" s="3">
        <v>-11.4253938</v>
      </c>
      <c r="P245" s="3">
        <v>266.70738820000003</v>
      </c>
      <c r="Q245" s="3">
        <v>5.2822025999999997</v>
      </c>
      <c r="R245" s="3">
        <v>269.77898379999999</v>
      </c>
      <c r="S245" s="3">
        <v>267.97031429999998</v>
      </c>
      <c r="T245" s="3">
        <f t="shared" si="18"/>
        <v>2.67643750000002</v>
      </c>
      <c r="U245" s="3">
        <f t="shared" si="3"/>
        <v>4.6813635999999974</v>
      </c>
      <c r="V245" s="3">
        <f t="shared" si="4"/>
        <v>1.609768000000031</v>
      </c>
      <c r="W245" s="2">
        <f>VLOOKUP(B245,[1]CivilReport!$A$2:$E$342,5,FALSE)-H245</f>
        <v>3.4589999999923293E-4</v>
      </c>
    </row>
    <row r="246" spans="1:23" s="4" customFormat="1" ht="14.45" customHeight="1" x14ac:dyDescent="0.25">
      <c r="A246" s="2">
        <f t="shared" si="17"/>
        <v>96082.803</v>
      </c>
      <c r="B246" s="3">
        <v>287080</v>
      </c>
      <c r="C246" s="3">
        <v>3372089.6093231998</v>
      </c>
      <c r="D246" s="3">
        <v>655185.87246860005</v>
      </c>
      <c r="E246" s="3">
        <v>270.76742710000002</v>
      </c>
      <c r="F246" s="3">
        <f t="shared" si="0"/>
        <v>270.07942710000003</v>
      </c>
      <c r="G246" s="3">
        <v>96082.803</v>
      </c>
      <c r="H246" s="3">
        <v>-8.6721369999999993</v>
      </c>
      <c r="I246" s="3">
        <v>3372082.6243644999</v>
      </c>
      <c r="J246" s="3">
        <v>655180.73278840003</v>
      </c>
      <c r="K246" s="3">
        <v>270.72729469999996</v>
      </c>
      <c r="L246" s="3">
        <v>271.46929469999998</v>
      </c>
      <c r="M246" s="3">
        <f t="shared" si="15"/>
        <v>-4.0132400000061352E-2</v>
      </c>
      <c r="N246" s="3">
        <f t="shared" si="16"/>
        <v>1.3898675999999455</v>
      </c>
      <c r="O246" s="3">
        <v>-11.2866207</v>
      </c>
      <c r="P246" s="3">
        <v>266.8585205</v>
      </c>
      <c r="Q246" s="3">
        <v>5.4928431</v>
      </c>
      <c r="R246" s="3">
        <v>269.75300290000001</v>
      </c>
      <c r="S246" s="3">
        <v>267.91347020000001</v>
      </c>
      <c r="T246" s="3">
        <f t="shared" si="18"/>
        <v>2.8138244999999529</v>
      </c>
      <c r="U246" s="3">
        <f t="shared" si="3"/>
        <v>4.6107741999999803</v>
      </c>
      <c r="V246" s="3">
        <f t="shared" si="4"/>
        <v>1.716291799999965</v>
      </c>
      <c r="W246" s="2">
        <f>VLOOKUP(B246,[1]CivilReport!$A$2:$E$342,5,FALSE)-H246</f>
        <v>1.3699999999872148E-4</v>
      </c>
    </row>
    <row r="247" spans="1:23" s="4" customFormat="1" ht="14.45" customHeight="1" x14ac:dyDescent="0.25">
      <c r="A247" s="2">
        <f t="shared" si="17"/>
        <v>96102.804000000004</v>
      </c>
      <c r="B247" s="3">
        <v>287100</v>
      </c>
      <c r="C247" s="3">
        <v>3372101.4626396</v>
      </c>
      <c r="D247" s="3">
        <v>655169.7634994</v>
      </c>
      <c r="E247" s="3">
        <v>270.81801569999999</v>
      </c>
      <c r="F247" s="3">
        <f t="shared" si="0"/>
        <v>270.1300157</v>
      </c>
      <c r="G247" s="3">
        <v>96102.804000000004</v>
      </c>
      <c r="H247" s="3">
        <v>-8.8034513000000008</v>
      </c>
      <c r="I247" s="3">
        <v>3372094.3719134</v>
      </c>
      <c r="J247" s="3">
        <v>655164.54599460005</v>
      </c>
      <c r="K247" s="3">
        <v>270.80783679999996</v>
      </c>
      <c r="L247" s="3">
        <v>271.54983679999998</v>
      </c>
      <c r="M247" s="3">
        <f t="shared" si="15"/>
        <v>-1.0178900000028079E-2</v>
      </c>
      <c r="N247" s="3">
        <f t="shared" si="16"/>
        <v>1.4198210999999787</v>
      </c>
      <c r="O247" s="3">
        <v>-11.151094499999999</v>
      </c>
      <c r="P247" s="3">
        <v>267.00676060000001</v>
      </c>
      <c r="Q247" s="3">
        <v>5.5604440999999998</v>
      </c>
      <c r="R247" s="3">
        <v>269.79980540000003</v>
      </c>
      <c r="S247" s="3">
        <v>267.84774299999998</v>
      </c>
      <c r="T247" s="3">
        <f t="shared" si="18"/>
        <v>2.9600937999999815</v>
      </c>
      <c r="U247" s="3">
        <f t="shared" si="3"/>
        <v>4.5430761999999731</v>
      </c>
      <c r="V247" s="3">
        <f t="shared" si="4"/>
        <v>1.7500313999999548</v>
      </c>
      <c r="W247" s="2">
        <f>VLOOKUP(B247,[1]CivilReport!$A$2:$E$342,5,FALSE)-H247</f>
        <v>4.5129999999993231E-4</v>
      </c>
    </row>
    <row r="248" spans="1:23" s="4" customFormat="1" ht="14.45" customHeight="1" x14ac:dyDescent="0.25">
      <c r="A248" s="2">
        <f t="shared" si="17"/>
        <v>96122.790999999997</v>
      </c>
      <c r="B248" s="3">
        <v>287120</v>
      </c>
      <c r="C248" s="3">
        <v>3372113.3071328001</v>
      </c>
      <c r="D248" s="3">
        <v>655153.64804849995</v>
      </c>
      <c r="E248" s="3">
        <v>270.88043490000001</v>
      </c>
      <c r="F248" s="3">
        <f t="shared" si="0"/>
        <v>270.19243490000002</v>
      </c>
      <c r="G248" s="3">
        <v>96122.790999999997</v>
      </c>
      <c r="H248" s="3">
        <v>-9.0207073999999992</v>
      </c>
      <c r="I248" s="3">
        <v>3372106.0330169001</v>
      </c>
      <c r="J248" s="3">
        <v>655148.31321960001</v>
      </c>
      <c r="K248" s="3">
        <v>270.88832529999996</v>
      </c>
      <c r="L248" s="3">
        <v>271.63032529999998</v>
      </c>
      <c r="M248" s="3">
        <f t="shared" si="15"/>
        <v>7.8903999999511143E-3</v>
      </c>
      <c r="N248" s="3">
        <f t="shared" si="16"/>
        <v>1.4378903999999579</v>
      </c>
      <c r="O248" s="3">
        <v>-11.453878599999999</v>
      </c>
      <c r="P248" s="3">
        <v>266.93475419999999</v>
      </c>
      <c r="Q248" s="3">
        <v>5.3318624999999997</v>
      </c>
      <c r="R248" s="3">
        <v>269.9956924</v>
      </c>
      <c r="S248" s="3">
        <v>267.70278189999999</v>
      </c>
      <c r="T248" s="3">
        <f t="shared" si="18"/>
        <v>3.1855433999999718</v>
      </c>
      <c r="U248" s="3">
        <f t="shared" si="3"/>
        <v>4.6955710999999951</v>
      </c>
      <c r="V248" s="3">
        <f t="shared" si="4"/>
        <v>1.6346328999999855</v>
      </c>
      <c r="W248" s="2">
        <f>VLOOKUP(B248,[1]CivilReport!$A$2:$E$342,5,FALSE)-H248</f>
        <v>-2.9260000000164155E-4</v>
      </c>
    </row>
    <row r="249" spans="1:23" s="4" customFormat="1" ht="14.45" customHeight="1" x14ac:dyDescent="0.25">
      <c r="A249" s="2">
        <f t="shared" si="17"/>
        <v>96142.793000000005</v>
      </c>
      <c r="B249" s="3">
        <v>287140</v>
      </c>
      <c r="C249" s="3">
        <v>3372125.1350941001</v>
      </c>
      <c r="D249" s="3">
        <v>655137.52045309998</v>
      </c>
      <c r="E249" s="3">
        <v>270.96502070000003</v>
      </c>
      <c r="F249" s="3">
        <f t="shared" si="0"/>
        <v>270.27702070000004</v>
      </c>
      <c r="G249" s="3">
        <v>96142.793000000005</v>
      </c>
      <c r="H249" s="3">
        <v>-9.3175863999999997</v>
      </c>
      <c r="I249" s="3">
        <v>3372117.6215809002</v>
      </c>
      <c r="J249" s="3">
        <v>655132.01005050004</v>
      </c>
      <c r="K249" s="3">
        <v>270.96887449999997</v>
      </c>
      <c r="L249" s="3">
        <v>271.71087449999999</v>
      </c>
      <c r="M249" s="3">
        <f t="shared" si="15"/>
        <v>3.8537999999448402E-3</v>
      </c>
      <c r="N249" s="3">
        <f t="shared" si="16"/>
        <v>1.4338537999999517</v>
      </c>
      <c r="O249" s="3">
        <v>-8.0490443999999997</v>
      </c>
      <c r="P249" s="3">
        <v>268.71899180000003</v>
      </c>
      <c r="Q249" s="3">
        <v>4.5893322999999997</v>
      </c>
      <c r="R249" s="3">
        <v>270.44622279999999</v>
      </c>
      <c r="S249" s="3">
        <v>269.69787739999998</v>
      </c>
      <c r="T249" s="3">
        <f t="shared" si="18"/>
        <v>1.2709970999999882</v>
      </c>
      <c r="U249" s="3">
        <f t="shared" si="3"/>
        <v>2.9918826999999624</v>
      </c>
      <c r="V249" s="3">
        <f t="shared" si="4"/>
        <v>1.2646517000000017</v>
      </c>
      <c r="W249" s="2">
        <f>VLOOKUP(B249,[1]CivilReport!$A$2:$E$342,5,FALSE)-H249</f>
        <v>5.8639999999954284E-4</v>
      </c>
    </row>
    <row r="250" spans="1:23" s="4" customFormat="1" ht="14.45" customHeight="1" x14ac:dyDescent="0.25">
      <c r="A250" s="2">
        <f t="shared" si="17"/>
        <v>96162.804999999993</v>
      </c>
      <c r="B250" s="3">
        <v>287160</v>
      </c>
      <c r="C250" s="3">
        <v>3372136.9679550999</v>
      </c>
      <c r="D250" s="3">
        <v>655121.39645420003</v>
      </c>
      <c r="E250" s="3">
        <v>271.05306380000002</v>
      </c>
      <c r="F250" s="3">
        <f t="shared" si="0"/>
        <v>270.36506380000003</v>
      </c>
      <c r="G250" s="3">
        <v>96162.804999999993</v>
      </c>
      <c r="H250" s="3">
        <v>-9.7180730999999998</v>
      </c>
      <c r="I250" s="3">
        <v>3372129.1359482999</v>
      </c>
      <c r="J250" s="3">
        <v>655115.64314089995</v>
      </c>
      <c r="K250" s="3">
        <v>271.04946089999999</v>
      </c>
      <c r="L250" s="3">
        <v>271.7914609</v>
      </c>
      <c r="M250" s="3">
        <f t="shared" si="15"/>
        <v>-3.602900000032605E-3</v>
      </c>
      <c r="N250" s="3">
        <f t="shared" si="16"/>
        <v>1.4263970999999742</v>
      </c>
      <c r="O250" s="3">
        <v>-16.583746000000001</v>
      </c>
      <c r="P250" s="3">
        <v>264.9247676</v>
      </c>
      <c r="Q250" s="3">
        <v>4.4726708999999998</v>
      </c>
      <c r="R250" s="3">
        <v>270.58619729999998</v>
      </c>
      <c r="S250" s="3">
        <v>268.25335130000002</v>
      </c>
      <c r="T250" s="3">
        <f t="shared" si="18"/>
        <v>2.7961095999999657</v>
      </c>
      <c r="U250" s="3">
        <f t="shared" si="3"/>
        <v>6.8666933000000085</v>
      </c>
      <c r="V250" s="3">
        <f t="shared" si="4"/>
        <v>1.2052636000000234</v>
      </c>
      <c r="W250" s="2">
        <f>VLOOKUP(B250,[1]CivilReport!$A$2:$E$342,5,FALSE)-H250</f>
        <v>7.3099999999826082E-5</v>
      </c>
    </row>
    <row r="251" spans="1:23" s="4" customFormat="1" ht="14.45" customHeight="1" x14ac:dyDescent="0.25">
      <c r="A251" s="2">
        <f t="shared" si="17"/>
        <v>96182.81</v>
      </c>
      <c r="B251" s="3">
        <v>287180</v>
      </c>
      <c r="C251" s="3">
        <v>3372148.8083640002</v>
      </c>
      <c r="D251" s="3">
        <v>655105.27799530001</v>
      </c>
      <c r="E251" s="3">
        <v>271.14643269999999</v>
      </c>
      <c r="F251" s="3">
        <f t="shared" si="0"/>
        <v>270.4584327</v>
      </c>
      <c r="G251" s="3">
        <v>96182.81</v>
      </c>
      <c r="H251" s="3">
        <v>-10.185727699999999</v>
      </c>
      <c r="I251" s="3">
        <v>3372140.5994524001</v>
      </c>
      <c r="J251" s="3">
        <v>655099.24783620005</v>
      </c>
      <c r="K251" s="3">
        <v>271.13002309999996</v>
      </c>
      <c r="L251" s="3">
        <v>271.87202309999998</v>
      </c>
      <c r="M251" s="3">
        <f t="shared" si="15"/>
        <v>-1.6409600000031332E-2</v>
      </c>
      <c r="N251" s="3">
        <f t="shared" si="16"/>
        <v>1.4135903999999755</v>
      </c>
      <c r="O251" s="3">
        <v>-18.7362672</v>
      </c>
      <c r="P251" s="3">
        <v>264.2201144</v>
      </c>
      <c r="Q251" s="3">
        <v>5.1999231000000004</v>
      </c>
      <c r="R251" s="3">
        <v>270.3033949</v>
      </c>
      <c r="S251" s="3">
        <v>267.01830009999998</v>
      </c>
      <c r="T251" s="3">
        <f t="shared" si="18"/>
        <v>4.1117229999999836</v>
      </c>
      <c r="U251" s="3">
        <f t="shared" si="3"/>
        <v>7.6519086999999786</v>
      </c>
      <c r="V251" s="3">
        <f t="shared" si="4"/>
        <v>1.5686281999999778</v>
      </c>
      <c r="W251" s="2">
        <f>VLOOKUP(B251,[1]CivilReport!$A$2:$E$342,5,FALSE)-H251</f>
        <v>-2.7230000000066923E-4</v>
      </c>
    </row>
    <row r="252" spans="1:23" s="4" customFormat="1" ht="14.45" customHeight="1" x14ac:dyDescent="0.25">
      <c r="A252" s="2">
        <f t="shared" si="17"/>
        <v>96202.805999999997</v>
      </c>
      <c r="B252" s="3">
        <v>287200</v>
      </c>
      <c r="C252" s="3">
        <v>3372160.6425645999</v>
      </c>
      <c r="D252" s="3">
        <v>655089.1549804</v>
      </c>
      <c r="E252" s="3">
        <v>271.21719999999999</v>
      </c>
      <c r="F252" s="3">
        <f t="shared" si="0"/>
        <v>270.5292</v>
      </c>
      <c r="G252" s="3">
        <v>96202.805999999997</v>
      </c>
      <c r="H252" s="3">
        <v>-10.6529446</v>
      </c>
      <c r="I252" s="3">
        <v>3372152.0511468002</v>
      </c>
      <c r="J252" s="3">
        <v>655082.8563481</v>
      </c>
      <c r="K252" s="3">
        <v>271.21054559999999</v>
      </c>
      <c r="L252" s="3">
        <v>271.95254560000001</v>
      </c>
      <c r="M252" s="3">
        <f t="shared" si="15"/>
        <v>-6.6544000000021697E-3</v>
      </c>
      <c r="N252" s="3">
        <f t="shared" si="16"/>
        <v>1.4233456000000047</v>
      </c>
      <c r="O252" s="3">
        <v>-16.106588299999999</v>
      </c>
      <c r="P252" s="3">
        <v>265.12908529999999</v>
      </c>
      <c r="Q252" s="3">
        <v>5.6041951999999995</v>
      </c>
      <c r="R252" s="3">
        <v>270.18178130000001</v>
      </c>
      <c r="S252" s="3">
        <v>265.95337549999999</v>
      </c>
      <c r="T252" s="3">
        <f t="shared" si="18"/>
        <v>5.2571700999999962</v>
      </c>
      <c r="U252" s="3">
        <f t="shared" si="3"/>
        <v>6.823460300000022</v>
      </c>
      <c r="V252" s="3">
        <f t="shared" si="4"/>
        <v>1.7707642999999962</v>
      </c>
      <c r="W252" s="2">
        <f>VLOOKUP(B252,[1]CivilReport!$A$2:$E$342,5,FALSE)-H252</f>
        <v>-5.5400000000815908E-5</v>
      </c>
    </row>
    <row r="253" spans="1:23" s="4" customFormat="1" ht="14.45" customHeight="1" x14ac:dyDescent="0.25">
      <c r="A253" s="2">
        <f t="shared" si="17"/>
        <v>96222.811000000002</v>
      </c>
      <c r="B253" s="3">
        <v>287220</v>
      </c>
      <c r="C253" s="3">
        <v>3372172.4677125001</v>
      </c>
      <c r="D253" s="3">
        <v>655073.02532210003</v>
      </c>
      <c r="E253" s="3">
        <v>271.25501100000002</v>
      </c>
      <c r="F253" s="3">
        <f t="shared" si="0"/>
        <v>270.56701100000004</v>
      </c>
      <c r="G253" s="3">
        <v>96222.811000000002</v>
      </c>
      <c r="H253" s="3">
        <v>-11.1091573</v>
      </c>
      <c r="I253" s="3">
        <v>3372163.5083669</v>
      </c>
      <c r="J253" s="3">
        <v>655066.45695070003</v>
      </c>
      <c r="K253" s="3">
        <v>271.29110679999997</v>
      </c>
      <c r="L253" s="3">
        <v>272.03310679999998</v>
      </c>
      <c r="M253" s="3">
        <f t="shared" si="15"/>
        <v>3.6095799999941391E-2</v>
      </c>
      <c r="N253" s="3">
        <f t="shared" si="16"/>
        <v>1.4660957999999482</v>
      </c>
      <c r="O253" s="3">
        <v>-15.0323566</v>
      </c>
      <c r="P253" s="3">
        <v>265.54826179999998</v>
      </c>
      <c r="Q253" s="3">
        <v>5.6705208999999996</v>
      </c>
      <c r="R253" s="3">
        <v>270.22917969999997</v>
      </c>
      <c r="S253" s="3">
        <v>267.53590559999998</v>
      </c>
      <c r="T253" s="3">
        <f t="shared" si="18"/>
        <v>3.7552011999999877</v>
      </c>
      <c r="U253" s="3">
        <f t="shared" si="3"/>
        <v>6.4848450000000071</v>
      </c>
      <c r="V253" s="3">
        <f t="shared" si="4"/>
        <v>1.8039271000000099</v>
      </c>
      <c r="W253" s="2">
        <f>VLOOKUP(B253,[1]CivilReport!$A$2:$E$342,5,FALSE)-H253</f>
        <v>1.572999999996938E-4</v>
      </c>
    </row>
    <row r="254" spans="1:23" s="4" customFormat="1" ht="14.45" customHeight="1" x14ac:dyDescent="0.25">
      <c r="A254" s="2">
        <f t="shared" si="17"/>
        <v>96242.834000000003</v>
      </c>
      <c r="B254" s="3">
        <v>287240</v>
      </c>
      <c r="C254" s="3">
        <v>3372184.3076346</v>
      </c>
      <c r="D254" s="3">
        <v>655056.90651320003</v>
      </c>
      <c r="E254" s="3">
        <v>271.29342300000002</v>
      </c>
      <c r="F254" s="3">
        <f t="shared" si="0"/>
        <v>270.60542300000003</v>
      </c>
      <c r="G254" s="3">
        <v>96242.834000000003</v>
      </c>
      <c r="H254" s="3">
        <v>-11.5841338</v>
      </c>
      <c r="I254" s="3">
        <v>3372174.9761171001</v>
      </c>
      <c r="J254" s="3">
        <v>655050.04248109995</v>
      </c>
      <c r="K254" s="3">
        <v>271.37174210000001</v>
      </c>
      <c r="L254" s="3">
        <v>272.11374210000002</v>
      </c>
      <c r="M254" s="3">
        <f t="shared" si="15"/>
        <v>7.8319099999987429E-2</v>
      </c>
      <c r="N254" s="3">
        <f t="shared" si="16"/>
        <v>1.5083190999999943</v>
      </c>
      <c r="O254" s="3">
        <v>-14.485918999999999</v>
      </c>
      <c r="P254" s="3">
        <v>265.90211599999998</v>
      </c>
      <c r="Q254" s="3">
        <v>6.0309492999999996</v>
      </c>
      <c r="R254" s="3">
        <v>270.12960079999999</v>
      </c>
      <c r="S254" s="3">
        <v>267.10801529999998</v>
      </c>
      <c r="T254" s="3">
        <f t="shared" si="18"/>
        <v>4.263726800000029</v>
      </c>
      <c r="U254" s="3">
        <f t="shared" si="3"/>
        <v>6.2116261000000463</v>
      </c>
      <c r="V254" s="3">
        <f t="shared" si="4"/>
        <v>1.984141300000033</v>
      </c>
      <c r="W254" s="2">
        <f>VLOOKUP(B254,[1]CivilReport!$A$2:$E$342,5,FALSE)-H254</f>
        <v>1.3380000000040582E-4</v>
      </c>
    </row>
    <row r="255" spans="1:23" s="4" customFormat="1" ht="14.45" customHeight="1" x14ac:dyDescent="0.25">
      <c r="A255" s="2">
        <f t="shared" si="17"/>
        <v>96262.84</v>
      </c>
      <c r="B255" s="3">
        <v>287260</v>
      </c>
      <c r="C255" s="3">
        <v>3372196.1583818002</v>
      </c>
      <c r="D255" s="3">
        <v>655040.79565380001</v>
      </c>
      <c r="E255" s="3">
        <v>271.33227549999998</v>
      </c>
      <c r="F255" s="3">
        <f t="shared" si="0"/>
        <v>270.64427549999999</v>
      </c>
      <c r="G255" s="3">
        <v>96262.84</v>
      </c>
      <c r="H255" s="3">
        <v>-12.0721246</v>
      </c>
      <c r="I255" s="3">
        <v>3372186.4337666999</v>
      </c>
      <c r="J255" s="3">
        <v>655033.64246889995</v>
      </c>
      <c r="K255" s="3">
        <v>271.4523064</v>
      </c>
      <c r="L255" s="3">
        <v>272.19430640000002</v>
      </c>
      <c r="M255" s="3">
        <f t="shared" si="15"/>
        <v>0.12003090000001748</v>
      </c>
      <c r="N255" s="3">
        <f t="shared" si="16"/>
        <v>1.5500309000000243</v>
      </c>
      <c r="O255" s="3">
        <v>-15.392760600000001</v>
      </c>
      <c r="P255" s="3">
        <v>265.52925950000002</v>
      </c>
      <c r="Q255" s="3">
        <v>6.2761382000000001</v>
      </c>
      <c r="R255" s="3">
        <v>270.08757070000001</v>
      </c>
      <c r="S255" s="3">
        <v>266.87958989999998</v>
      </c>
      <c r="T255" s="3">
        <f t="shared" si="18"/>
        <v>4.5727165000000127</v>
      </c>
      <c r="U255" s="3">
        <f t="shared" si="3"/>
        <v>6.665046899999993</v>
      </c>
      <c r="V255" s="3">
        <f t="shared" si="4"/>
        <v>2.1067357000000015</v>
      </c>
      <c r="W255" s="2">
        <f>VLOOKUP(B255,[1]CivilReport!$A$2:$E$342,5,FALSE)-H255</f>
        <v>1.2460000000125149E-4</v>
      </c>
    </row>
    <row r="256" spans="1:23" s="4" customFormat="1" ht="14.45" customHeight="1" x14ac:dyDescent="0.25">
      <c r="A256" s="2">
        <f t="shared" si="17"/>
        <v>96282.827999999994</v>
      </c>
      <c r="B256" s="3">
        <v>287280</v>
      </c>
      <c r="C256" s="3">
        <v>3372207.9977028002</v>
      </c>
      <c r="D256" s="3">
        <v>655024.67640220001</v>
      </c>
      <c r="E256" s="3">
        <v>271.37445689999998</v>
      </c>
      <c r="F256" s="3">
        <f t="shared" si="0"/>
        <v>270.6864569</v>
      </c>
      <c r="G256" s="3">
        <v>96282.827999999994</v>
      </c>
      <c r="H256" s="3">
        <v>-12.5455104</v>
      </c>
      <c r="I256" s="3">
        <v>3372197.8810625002</v>
      </c>
      <c r="J256" s="3">
        <v>655017.2572769</v>
      </c>
      <c r="K256" s="3">
        <v>271.53279789999999</v>
      </c>
      <c r="L256" s="3">
        <v>272.27479790000001</v>
      </c>
      <c r="M256" s="3">
        <f t="shared" si="15"/>
        <v>0.15834100000000717</v>
      </c>
      <c r="N256" s="3">
        <f t="shared" si="16"/>
        <v>1.588341000000014</v>
      </c>
      <c r="O256" s="3">
        <v>-13.2978331</v>
      </c>
      <c r="P256" s="3">
        <v>266.6572147</v>
      </c>
      <c r="Q256" s="3">
        <v>6.5652343999999996</v>
      </c>
      <c r="R256" s="3">
        <v>270.0235141</v>
      </c>
      <c r="S256" s="3">
        <v>266.86855400000002</v>
      </c>
      <c r="T256" s="3">
        <f t="shared" si="18"/>
        <v>4.664243899999974</v>
      </c>
      <c r="U256" s="3">
        <f t="shared" si="3"/>
        <v>5.6175832000000128</v>
      </c>
      <c r="V256" s="3">
        <f t="shared" si="4"/>
        <v>2.2512838000000102</v>
      </c>
      <c r="W256" s="2">
        <f>VLOOKUP(B256,[1]CivilReport!$A$2:$E$342,5,FALSE)-H256</f>
        <v>-4.8959999999986792E-4</v>
      </c>
    </row>
    <row r="257" spans="1:23" s="4" customFormat="1" ht="14.45" customHeight="1" x14ac:dyDescent="0.25">
      <c r="A257" s="2">
        <f t="shared" si="17"/>
        <v>96302.832999999999</v>
      </c>
      <c r="B257" s="3">
        <v>287300</v>
      </c>
      <c r="C257" s="3">
        <v>3372219.8252411</v>
      </c>
      <c r="D257" s="3">
        <v>655008.54849670001</v>
      </c>
      <c r="E257" s="3">
        <v>271.42007089999998</v>
      </c>
      <c r="F257" s="3">
        <f t="shared" si="0"/>
        <v>270.7320709</v>
      </c>
      <c r="G257" s="3">
        <v>96302.832999999999</v>
      </c>
      <c r="H257" s="3">
        <v>-13.0028378</v>
      </c>
      <c r="I257" s="3">
        <v>3372209.3398489999</v>
      </c>
      <c r="J257" s="3">
        <v>655000.8588711</v>
      </c>
      <c r="K257" s="3">
        <v>271.6133595</v>
      </c>
      <c r="L257" s="3">
        <v>272.35535950000002</v>
      </c>
      <c r="M257" s="3">
        <f t="shared" si="15"/>
        <v>0.19328860000001669</v>
      </c>
      <c r="N257" s="3">
        <f t="shared" si="16"/>
        <v>1.6232886000000235</v>
      </c>
      <c r="O257" s="3">
        <v>-13.515037400000001</v>
      </c>
      <c r="P257" s="3">
        <v>266.6289946</v>
      </c>
      <c r="Q257" s="3">
        <v>6.9444116999999999</v>
      </c>
      <c r="R257" s="3">
        <v>269.91466539999999</v>
      </c>
      <c r="S257" s="3">
        <v>266.86354560000001</v>
      </c>
      <c r="T257" s="3">
        <f t="shared" si="18"/>
        <v>4.7498138999999924</v>
      </c>
      <c r="U257" s="3">
        <f t="shared" si="3"/>
        <v>5.7263649000000214</v>
      </c>
      <c r="V257" s="3">
        <f t="shared" si="4"/>
        <v>2.4406941000000302</v>
      </c>
      <c r="W257" s="2">
        <f>VLOOKUP(B257,[1]CivilReport!$A$2:$E$342,5,FALSE)-H257</f>
        <v>-1.6220000000011225E-4</v>
      </c>
    </row>
    <row r="258" spans="1:23" s="4" customFormat="1" ht="14.45" customHeight="1" x14ac:dyDescent="0.25">
      <c r="A258" s="2">
        <f t="shared" si="17"/>
        <v>96322.85</v>
      </c>
      <c r="B258" s="3">
        <v>287320</v>
      </c>
      <c r="C258" s="3">
        <v>3372231.6588750002</v>
      </c>
      <c r="D258" s="3">
        <v>654992.42506549996</v>
      </c>
      <c r="E258" s="3">
        <v>271.48649139999998</v>
      </c>
      <c r="F258" s="3">
        <f t="shared" si="0"/>
        <v>270.79849139999999</v>
      </c>
      <c r="G258" s="3">
        <v>96322.85</v>
      </c>
      <c r="H258" s="3">
        <v>-13.433999999999999</v>
      </c>
      <c r="I258" s="3">
        <v>3372220.8330000001</v>
      </c>
      <c r="J258" s="3">
        <v>654984.47100000002</v>
      </c>
      <c r="K258" s="3">
        <v>271.69396519999998</v>
      </c>
      <c r="L258" s="3">
        <v>272.4359652</v>
      </c>
      <c r="M258" s="3">
        <f t="shared" si="15"/>
        <v>0.20747380000000248</v>
      </c>
      <c r="N258" s="3">
        <f t="shared" si="16"/>
        <v>1.6374738000000093</v>
      </c>
      <c r="O258" s="3">
        <v>-19.174304299999999</v>
      </c>
      <c r="P258" s="3">
        <v>264.6288983</v>
      </c>
      <c r="Q258" s="3">
        <v>7.2475171999999999</v>
      </c>
      <c r="R258" s="3">
        <v>269.84478239999999</v>
      </c>
      <c r="S258" s="3">
        <v>266.88932849999998</v>
      </c>
      <c r="T258" s="3">
        <f t="shared" si="18"/>
        <v>4.8046367000000032</v>
      </c>
      <c r="U258" s="3">
        <f t="shared" si="3"/>
        <v>7.8070668999999953</v>
      </c>
      <c r="V258" s="3">
        <f t="shared" si="4"/>
        <v>2.5911828000000128</v>
      </c>
      <c r="W258" s="2">
        <f>VLOOKUP(B258,[1]CivilReport!$A$2:$E$342,5,FALSE)-H258</f>
        <v>0</v>
      </c>
    </row>
    <row r="259" spans="1:23" s="4" customFormat="1" ht="14.45" customHeight="1" x14ac:dyDescent="0.25">
      <c r="A259" s="2">
        <f t="shared" si="17"/>
        <v>96342.846000000005</v>
      </c>
      <c r="B259" s="3">
        <v>287340</v>
      </c>
      <c r="C259" s="3">
        <v>3372243.5001639002</v>
      </c>
      <c r="D259" s="3">
        <v>654976.30725319998</v>
      </c>
      <c r="E259" s="3">
        <v>271.57787350000001</v>
      </c>
      <c r="F259" s="3">
        <f t="shared" ref="F259:F347" si="19">E259-0.688</f>
        <v>270.88987350000002</v>
      </c>
      <c r="G259" s="3">
        <v>96342.846000000005</v>
      </c>
      <c r="H259" s="3">
        <v>-13.804</v>
      </c>
      <c r="I259" s="3">
        <v>3372232.372</v>
      </c>
      <c r="J259" s="3">
        <v>654968.14099999995</v>
      </c>
      <c r="K259" s="3">
        <v>271.77448949999996</v>
      </c>
      <c r="L259" s="3">
        <v>272.51648949999998</v>
      </c>
      <c r="M259" s="3">
        <f t="shared" si="15"/>
        <v>0.19661599999994905</v>
      </c>
      <c r="N259" s="3">
        <f t="shared" si="16"/>
        <v>1.6266159999999559</v>
      </c>
      <c r="O259" s="3">
        <v>-18.820430699999999</v>
      </c>
      <c r="P259" s="3">
        <v>264.88640140000001</v>
      </c>
      <c r="Q259" s="3">
        <v>7.6462289999999999</v>
      </c>
      <c r="R259" s="3">
        <v>269.72590830000001</v>
      </c>
      <c r="S259" s="3">
        <v>264.59943329999999</v>
      </c>
      <c r="T259" s="3">
        <f t="shared" si="18"/>
        <v>7.1750561999999718</v>
      </c>
      <c r="U259" s="3">
        <f t="shared" ref="U259:U344" si="20">L259-P259</f>
        <v>7.6300880999999663</v>
      </c>
      <c r="V259" s="3">
        <f t="shared" ref="V259:V344" si="21">L259-R259</f>
        <v>2.7905811999999628</v>
      </c>
      <c r="W259" s="2">
        <f>VLOOKUP(B259,[1]CivilReport!$A$2:$E$342,5,FALSE)-H259</f>
        <v>0</v>
      </c>
    </row>
    <row r="260" spans="1:23" s="4" customFormat="1" ht="14.45" customHeight="1" x14ac:dyDescent="0.25">
      <c r="A260" s="2">
        <f t="shared" si="17"/>
        <v>96362.846000000005</v>
      </c>
      <c r="B260" s="3">
        <v>287360</v>
      </c>
      <c r="C260" s="3">
        <v>3372255.3328212001</v>
      </c>
      <c r="D260" s="3">
        <v>654960.18310300005</v>
      </c>
      <c r="E260" s="3">
        <v>271.61684150000002</v>
      </c>
      <c r="F260" s="3">
        <f t="shared" si="19"/>
        <v>270.92884150000003</v>
      </c>
      <c r="G260" s="3">
        <v>96362.846000000005</v>
      </c>
      <c r="H260" s="3">
        <v>-14.086</v>
      </c>
      <c r="I260" s="3">
        <v>3372243.9759999998</v>
      </c>
      <c r="J260" s="3">
        <v>654951.85</v>
      </c>
      <c r="K260" s="3">
        <v>271.85503269999998</v>
      </c>
      <c r="L260" s="3">
        <v>272.5970327</v>
      </c>
      <c r="M260" s="3">
        <f t="shared" ref="M260:M267" si="22">+K260-E260</f>
        <v>0.23819119999996019</v>
      </c>
      <c r="N260" s="3">
        <f t="shared" ref="N260:N266" si="23">+L260-F260</f>
        <v>1.668191199999967</v>
      </c>
      <c r="O260" s="3">
        <v>-18.920527799999999</v>
      </c>
      <c r="P260" s="3">
        <v>264.9175879</v>
      </c>
      <c r="Q260" s="3">
        <v>8.8340549999999993</v>
      </c>
      <c r="R260" s="3">
        <v>269.21185150000002</v>
      </c>
      <c r="S260" s="3">
        <v>265.17445809999998</v>
      </c>
      <c r="T260" s="3">
        <f t="shared" si="18"/>
        <v>6.6805745999999999</v>
      </c>
      <c r="U260" s="3">
        <f t="shared" si="20"/>
        <v>7.6794447999999988</v>
      </c>
      <c r="V260" s="3">
        <f t="shared" si="21"/>
        <v>3.3851811999999768</v>
      </c>
      <c r="W260" s="2">
        <f>VLOOKUP(B260,[1]CivilReport!$A$2:$E$342,5,FALSE)-H260</f>
        <v>0</v>
      </c>
    </row>
    <row r="261" spans="1:23" s="4" customFormat="1" ht="14.45" customHeight="1" x14ac:dyDescent="0.25">
      <c r="A261" s="2">
        <f t="shared" ref="A261:A267" si="24">G261</f>
        <v>96382.82</v>
      </c>
      <c r="B261" s="3">
        <v>287380</v>
      </c>
      <c r="C261" s="3">
        <v>3372267.1465651998</v>
      </c>
      <c r="D261" s="3">
        <v>654944.0451019</v>
      </c>
      <c r="E261" s="3">
        <v>271.64512689999998</v>
      </c>
      <c r="F261" s="3">
        <f t="shared" si="19"/>
        <v>270.95712689999999</v>
      </c>
      <c r="G261" s="3">
        <v>96382.82</v>
      </c>
      <c r="H261" s="3">
        <v>-14.269</v>
      </c>
      <c r="I261" s="3">
        <v>3372255.6260000002</v>
      </c>
      <c r="J261" s="3">
        <v>654935.62600000005</v>
      </c>
      <c r="K261" s="3">
        <v>271.93546509999999</v>
      </c>
      <c r="L261" s="3">
        <v>272.67746510000001</v>
      </c>
      <c r="M261" s="3">
        <f t="shared" si="22"/>
        <v>0.29033820000000787</v>
      </c>
      <c r="N261" s="3">
        <f t="shared" si="23"/>
        <v>1.7203382000000147</v>
      </c>
      <c r="O261" s="3">
        <v>-19.165321500000001</v>
      </c>
      <c r="P261" s="3">
        <v>264.87528500000002</v>
      </c>
      <c r="Q261" s="3">
        <v>9.5416627999999992</v>
      </c>
      <c r="R261" s="3">
        <v>268.9388141</v>
      </c>
      <c r="S261" s="3">
        <v>265.81266360000001</v>
      </c>
      <c r="T261" s="3">
        <f t="shared" ref="T261:T324" si="25">K261-S261</f>
        <v>6.12280149999998</v>
      </c>
      <c r="U261" s="3">
        <f t="shared" si="20"/>
        <v>7.8021800999999869</v>
      </c>
      <c r="V261" s="3">
        <f t="shared" si="21"/>
        <v>3.7386510000000044</v>
      </c>
      <c r="W261" s="2">
        <f>VLOOKUP(B261,[1]CivilReport!$A$2:$E$342,5,FALSE)-H261</f>
        <v>0</v>
      </c>
    </row>
    <row r="262" spans="1:23" s="4" customFormat="1" ht="14.45" customHeight="1" x14ac:dyDescent="0.25">
      <c r="A262" s="2">
        <f t="shared" si="24"/>
        <v>96402.880999999994</v>
      </c>
      <c r="B262" s="3">
        <v>287400</v>
      </c>
      <c r="C262" s="3">
        <v>3372279.0015360001</v>
      </c>
      <c r="D262" s="3">
        <v>654927.93739580002</v>
      </c>
      <c r="E262" s="3">
        <v>271.6775993</v>
      </c>
      <c r="F262" s="3">
        <f t="shared" si="19"/>
        <v>270.98959930000001</v>
      </c>
      <c r="G262" s="3">
        <v>96402.880999999994</v>
      </c>
      <c r="H262" s="3">
        <v>-14.428000000000001</v>
      </c>
      <c r="I262" s="3">
        <v>3372267.389</v>
      </c>
      <c r="J262" s="3">
        <v>654919.375</v>
      </c>
      <c r="K262" s="3">
        <v>272.01625439999998</v>
      </c>
      <c r="L262" s="3">
        <v>272.7582544</v>
      </c>
      <c r="M262" s="3">
        <f t="shared" si="22"/>
        <v>0.33865509999998267</v>
      </c>
      <c r="N262" s="3">
        <f t="shared" si="23"/>
        <v>1.7686550999999895</v>
      </c>
      <c r="O262" s="3">
        <v>-18.981701600000001</v>
      </c>
      <c r="P262" s="3">
        <v>265.0474317</v>
      </c>
      <c r="Q262" s="3">
        <v>8.3059793000000006</v>
      </c>
      <c r="R262" s="3">
        <v>269.6378957</v>
      </c>
      <c r="S262" s="3">
        <v>266.4704792</v>
      </c>
      <c r="T262" s="3">
        <f t="shared" si="25"/>
        <v>5.54577519999998</v>
      </c>
      <c r="U262" s="3">
        <f t="shared" si="20"/>
        <v>7.7108226999999943</v>
      </c>
      <c r="V262" s="3">
        <f t="shared" si="21"/>
        <v>3.120358699999997</v>
      </c>
      <c r="W262" s="2">
        <f>VLOOKUP(B262,[1]CivilReport!$A$2:$E$342,5,FALSE)-H262</f>
        <v>0</v>
      </c>
    </row>
    <row r="263" spans="1:23" s="4" customFormat="1" ht="14.45" customHeight="1" x14ac:dyDescent="0.25">
      <c r="A263" s="2">
        <f t="shared" si="24"/>
        <v>96422.881999999998</v>
      </c>
      <c r="B263" s="3">
        <v>287420</v>
      </c>
      <c r="C263" s="3">
        <v>3372290.8709025001</v>
      </c>
      <c r="D263" s="3">
        <v>654911.8402489</v>
      </c>
      <c r="E263" s="3">
        <v>271.68730959999999</v>
      </c>
      <c r="F263" s="3">
        <f t="shared" si="19"/>
        <v>270.9993096</v>
      </c>
      <c r="G263" s="3">
        <v>96422.881999999998</v>
      </c>
      <c r="H263" s="3">
        <v>-14.526999999999999</v>
      </c>
      <c r="I263" s="3">
        <v>3372279.179</v>
      </c>
      <c r="J263" s="3">
        <v>654903.21900000004</v>
      </c>
      <c r="K263" s="3">
        <v>272.09679560000001</v>
      </c>
      <c r="L263" s="3">
        <v>272.83879560000003</v>
      </c>
      <c r="M263" s="3">
        <f t="shared" si="22"/>
        <v>0.40948600000001534</v>
      </c>
      <c r="N263" s="3">
        <f t="shared" si="23"/>
        <v>1.8394860000000222</v>
      </c>
      <c r="O263" s="3">
        <v>-18.216237899999999</v>
      </c>
      <c r="P263" s="3">
        <v>265.51165120000002</v>
      </c>
      <c r="Q263" s="3">
        <v>7.7422146999999999</v>
      </c>
      <c r="R263" s="3">
        <v>269.99938109999999</v>
      </c>
      <c r="S263" s="3">
        <v>267.16807569999997</v>
      </c>
      <c r="T263" s="3">
        <f t="shared" si="25"/>
        <v>4.9287199000000328</v>
      </c>
      <c r="U263" s="3">
        <f t="shared" si="20"/>
        <v>7.3271444000000088</v>
      </c>
      <c r="V263" s="3">
        <f t="shared" si="21"/>
        <v>2.8394145000000321</v>
      </c>
      <c r="W263" s="2">
        <f>VLOOKUP(B263,[1]CivilReport!$A$2:$E$342,5,FALSE)-H263</f>
        <v>0</v>
      </c>
    </row>
    <row r="264" spans="1:23" s="4" customFormat="1" ht="14.45" customHeight="1" x14ac:dyDescent="0.25">
      <c r="A264" s="2">
        <f t="shared" si="24"/>
        <v>96442.854999999996</v>
      </c>
      <c r="B264" s="3">
        <v>287440</v>
      </c>
      <c r="C264" s="3">
        <v>3372302.7222869</v>
      </c>
      <c r="D264" s="3">
        <v>654895.72986770002</v>
      </c>
      <c r="E264" s="3">
        <v>271.7508211</v>
      </c>
      <c r="F264" s="3">
        <f t="shared" si="19"/>
        <v>271.06282110000001</v>
      </c>
      <c r="G264" s="3">
        <v>96442.854999999996</v>
      </c>
      <c r="H264" s="3">
        <v>-14.542</v>
      </c>
      <c r="I264" s="3">
        <v>3372291.003</v>
      </c>
      <c r="J264" s="3">
        <v>654887.12100000004</v>
      </c>
      <c r="K264" s="3">
        <v>272.1772307</v>
      </c>
      <c r="L264" s="3">
        <v>272.91923070000001</v>
      </c>
      <c r="M264" s="3">
        <f t="shared" si="22"/>
        <v>0.4264095999999995</v>
      </c>
      <c r="N264" s="3">
        <f t="shared" si="23"/>
        <v>1.8564096000000063</v>
      </c>
      <c r="O264" s="3">
        <v>-15.1483992</v>
      </c>
      <c r="P264" s="3">
        <v>266.3763644</v>
      </c>
      <c r="Q264" s="3">
        <v>7.5173475999999999</v>
      </c>
      <c r="R264" s="3">
        <v>270.19189019999999</v>
      </c>
      <c r="S264" s="3">
        <v>267.66993550000001</v>
      </c>
      <c r="T264" s="3">
        <f t="shared" si="25"/>
        <v>4.5072951999999873</v>
      </c>
      <c r="U264" s="3">
        <f t="shared" si="20"/>
        <v>6.5428663000000142</v>
      </c>
      <c r="V264" s="3">
        <f t="shared" si="21"/>
        <v>2.7273405000000253</v>
      </c>
      <c r="W264" s="2">
        <f>VLOOKUP(B264,[1]CivilReport!$A$2:$E$342,5,FALSE)-H264</f>
        <v>0</v>
      </c>
    </row>
    <row r="265" spans="1:23" s="4" customFormat="1" ht="14.45" customHeight="1" x14ac:dyDescent="0.25">
      <c r="A265" s="2">
        <f t="shared" si="24"/>
        <v>96462.854999999996</v>
      </c>
      <c r="B265" s="3">
        <v>287460</v>
      </c>
      <c r="C265" s="3">
        <v>3372314.5626475001</v>
      </c>
      <c r="D265" s="3">
        <v>654879.61137329997</v>
      </c>
      <c r="E265" s="3">
        <v>271.84731470000003</v>
      </c>
      <c r="F265" s="3">
        <f t="shared" si="19"/>
        <v>271.15931470000004</v>
      </c>
      <c r="G265" s="3">
        <v>96462.854999999996</v>
      </c>
      <c r="H265" s="3">
        <v>-14.523</v>
      </c>
      <c r="I265" s="3">
        <v>3372302.858</v>
      </c>
      <c r="J265" s="3">
        <v>654871.01300000004</v>
      </c>
      <c r="K265" s="3">
        <v>272.24781759999996</v>
      </c>
      <c r="L265" s="3">
        <v>272.98981759999998</v>
      </c>
      <c r="M265" s="3">
        <f t="shared" si="22"/>
        <v>0.40050289999993538</v>
      </c>
      <c r="N265" s="3">
        <f t="shared" si="23"/>
        <v>1.8305028999999422</v>
      </c>
      <c r="O265" s="3">
        <v>-13.1347492</v>
      </c>
      <c r="P265" s="3">
        <v>267.45088500000003</v>
      </c>
      <c r="Q265" s="3">
        <v>7.7007244999999998</v>
      </c>
      <c r="R265" s="3">
        <v>270.16789729999999</v>
      </c>
      <c r="S265" s="3">
        <v>267.00610610000001</v>
      </c>
      <c r="T265" s="3">
        <f t="shared" si="25"/>
        <v>5.2417114999999512</v>
      </c>
      <c r="U265" s="3">
        <f t="shared" si="20"/>
        <v>5.5389325999999528</v>
      </c>
      <c r="V265" s="3">
        <f t="shared" si="21"/>
        <v>2.8219202999999879</v>
      </c>
      <c r="W265" s="2">
        <f>VLOOKUP(B265,[1]CivilReport!$A$2:$E$342,5,FALSE)-H265</f>
        <v>0</v>
      </c>
    </row>
    <row r="266" spans="1:23" s="4" customFormat="1" ht="14.45" customHeight="1" x14ac:dyDescent="0.25">
      <c r="A266" s="2">
        <f t="shared" si="24"/>
        <v>96482.856</v>
      </c>
      <c r="B266" s="3">
        <v>287480</v>
      </c>
      <c r="C266" s="3">
        <v>3372326.403283</v>
      </c>
      <c r="D266" s="3">
        <v>654863.49308090005</v>
      </c>
      <c r="E266" s="3">
        <v>271.92029309999998</v>
      </c>
      <c r="F266" s="3">
        <f t="shared" si="19"/>
        <v>271.23229309999999</v>
      </c>
      <c r="G266" s="3">
        <v>96482.856</v>
      </c>
      <c r="H266" s="3">
        <v>-14.505000000000001</v>
      </c>
      <c r="I266" s="3">
        <v>3372314.713</v>
      </c>
      <c r="J266" s="3">
        <v>654854.90599999996</v>
      </c>
      <c r="K266" s="3">
        <v>272.25799999999998</v>
      </c>
      <c r="L266" s="3">
        <v>273</v>
      </c>
      <c r="M266" s="3">
        <f t="shared" si="22"/>
        <v>0.33770690000000059</v>
      </c>
      <c r="N266" s="3">
        <f t="shared" si="23"/>
        <v>1.7677069000000074</v>
      </c>
      <c r="O266" s="3">
        <v>-12.915435799999999</v>
      </c>
      <c r="P266" s="3">
        <v>267.57361539999999</v>
      </c>
      <c r="Q266" s="3">
        <v>7.5309860000000004</v>
      </c>
      <c r="R266" s="3">
        <v>270.2658404</v>
      </c>
      <c r="S266" s="3">
        <v>267.0221919</v>
      </c>
      <c r="T266" s="3">
        <f t="shared" si="25"/>
        <v>5.2358080999999856</v>
      </c>
      <c r="U266" s="3">
        <f t="shared" si="20"/>
        <v>5.4263846000000058</v>
      </c>
      <c r="V266" s="3">
        <f t="shared" si="21"/>
        <v>2.7341595999999981</v>
      </c>
      <c r="W266" s="2">
        <f>VLOOKUP(B266,[1]CivilReport!$A$2:$E$342,5,FALSE)-H266</f>
        <v>0</v>
      </c>
    </row>
    <row r="267" spans="1:23" s="4" customFormat="1" ht="14.45" customHeight="1" x14ac:dyDescent="0.25">
      <c r="A267" s="2">
        <f t="shared" si="24"/>
        <v>96502.856135800001</v>
      </c>
      <c r="B267" s="3">
        <v>287500</v>
      </c>
      <c r="C267" s="3">
        <v>3372338.2440591999</v>
      </c>
      <c r="D267" s="3">
        <v>654847.37489179999</v>
      </c>
      <c r="E267" s="3">
        <v>271.98122610000001</v>
      </c>
      <c r="F267" s="3">
        <f t="shared" si="19"/>
        <v>271.29322610000003</v>
      </c>
      <c r="G267" s="3">
        <v>96502.856135800001</v>
      </c>
      <c r="H267" s="3">
        <v>-14.487</v>
      </c>
      <c r="I267" s="3">
        <v>3372326.5690000001</v>
      </c>
      <c r="J267" s="3">
        <v>654838.79799999995</v>
      </c>
      <c r="K267" s="3">
        <v>272.25799999999998</v>
      </c>
      <c r="L267" s="3">
        <v>273</v>
      </c>
      <c r="M267" s="3">
        <f t="shared" si="22"/>
        <v>0.27677389999996649</v>
      </c>
      <c r="N267" s="3">
        <f t="shared" ref="N267:N299" si="26">+L267-F267</f>
        <v>1.7067738999999733</v>
      </c>
      <c r="O267" s="3">
        <v>-14.7840378</v>
      </c>
      <c r="P267" s="3">
        <v>266.63931450000001</v>
      </c>
      <c r="Q267" s="3">
        <v>7.3773717000000003</v>
      </c>
      <c r="R267" s="3">
        <v>270.3426475</v>
      </c>
      <c r="S267" s="3">
        <v>267.26850769999999</v>
      </c>
      <c r="T267" s="3">
        <f t="shared" si="25"/>
        <v>4.9894922999999949</v>
      </c>
      <c r="U267" s="3">
        <f>L267-P267</f>
        <v>6.3606854999999882</v>
      </c>
      <c r="V267" s="3">
        <f>L267-R267</f>
        <v>2.6573525000000018</v>
      </c>
      <c r="W267" s="2">
        <f>VLOOKUP(B267,[1]CivilReport!$A$2:$E$342,5,FALSE)-H267</f>
        <v>0</v>
      </c>
    </row>
    <row r="268" spans="1:23" s="4" customFormat="1" ht="14.45" customHeight="1" x14ac:dyDescent="0.25">
      <c r="A268" s="2">
        <f t="shared" ref="A268:A298" si="27">G268</f>
        <v>96522.8323351</v>
      </c>
      <c r="B268" s="3">
        <v>287520</v>
      </c>
      <c r="C268" s="3">
        <v>3372350.0667607002</v>
      </c>
      <c r="D268" s="3">
        <v>654831.24344750005</v>
      </c>
      <c r="E268" s="3">
        <v>272.0304845</v>
      </c>
      <c r="F268" s="3">
        <f t="shared" si="19"/>
        <v>271.34248450000001</v>
      </c>
      <c r="G268" s="3">
        <v>96522.8323351</v>
      </c>
      <c r="H268" s="3">
        <v>-14.446</v>
      </c>
      <c r="I268" s="3">
        <v>3372338.41</v>
      </c>
      <c r="J268" s="3">
        <v>654822.71</v>
      </c>
      <c r="K268" s="3">
        <v>272.25799999999998</v>
      </c>
      <c r="L268" s="3">
        <v>273</v>
      </c>
      <c r="M268" s="3">
        <f t="shared" ref="M268:M299" si="28">+K268-E268</f>
        <v>0.22751549999998133</v>
      </c>
      <c r="N268" s="3">
        <f t="shared" si="26"/>
        <v>1.6575154999999882</v>
      </c>
      <c r="O268" s="3">
        <v>-15.2706784</v>
      </c>
      <c r="P268" s="3">
        <v>266.3959941</v>
      </c>
      <c r="Q268" s="3">
        <v>9.3805698999999994</v>
      </c>
      <c r="R268" s="3">
        <v>269.34104839999998</v>
      </c>
      <c r="S268" s="3">
        <v>267.67936600000002</v>
      </c>
      <c r="T268" s="3">
        <f t="shared" si="25"/>
        <v>4.5786339999999655</v>
      </c>
      <c r="U268" s="3">
        <f>L268-P268</f>
        <v>6.6040059000000042</v>
      </c>
      <c r="V268" s="3">
        <f>L268-R268</f>
        <v>3.6589516000000231</v>
      </c>
      <c r="W268" s="2">
        <f>VLOOKUP(B268,[1]CivilReport!$A$2:$E$342,5,FALSE)-H268</f>
        <v>0</v>
      </c>
    </row>
    <row r="269" spans="1:23" s="4" customFormat="1" ht="14.45" customHeight="1" x14ac:dyDescent="0.25">
      <c r="A269" s="2">
        <f t="shared" si="27"/>
        <v>96542.898633000004</v>
      </c>
      <c r="B269" s="3">
        <v>287540</v>
      </c>
      <c r="C269" s="3">
        <v>3372361.8934359001</v>
      </c>
      <c r="D269" s="3">
        <v>654815.11494570004</v>
      </c>
      <c r="E269" s="3">
        <v>272.07356340000001</v>
      </c>
      <c r="F269" s="3">
        <f t="shared" si="19"/>
        <v>271.38556340000002</v>
      </c>
      <c r="G269" s="3">
        <v>96542.898633000004</v>
      </c>
      <c r="H269" s="3">
        <v>-14.41</v>
      </c>
      <c r="I269" s="3">
        <v>3372350.3050000002</v>
      </c>
      <c r="J269" s="3">
        <v>654806.549</v>
      </c>
      <c r="K269" s="3">
        <v>272.25799999999998</v>
      </c>
      <c r="L269" s="3">
        <v>273</v>
      </c>
      <c r="M269" s="3">
        <f t="shared" si="28"/>
        <v>0.18443659999996953</v>
      </c>
      <c r="N269" s="3">
        <f t="shared" si="26"/>
        <v>1.6144365999999764</v>
      </c>
      <c r="O269" s="3">
        <v>-16.091746700000002</v>
      </c>
      <c r="P269" s="3">
        <v>266.09415869999998</v>
      </c>
      <c r="Q269" s="3">
        <v>9.0138139000000006</v>
      </c>
      <c r="R269" s="3">
        <v>269.52442639999998</v>
      </c>
      <c r="S269" s="3">
        <v>267.16256490000001</v>
      </c>
      <c r="T269" s="3">
        <f t="shared" si="25"/>
        <v>5.0954350999999747</v>
      </c>
      <c r="U269" s="3">
        <f t="shared" si="20"/>
        <v>6.9058413000000201</v>
      </c>
      <c r="V269" s="3">
        <f t="shared" si="21"/>
        <v>3.4755736000000184</v>
      </c>
      <c r="W269" s="2">
        <f>VLOOKUP(B269,[1]CivilReport!$A$2:$E$342,5,FALSE)-H269</f>
        <v>0</v>
      </c>
    </row>
    <row r="270" spans="1:23" s="4" customFormat="1" ht="14.45" customHeight="1" x14ac:dyDescent="0.25">
      <c r="A270" s="2">
        <f t="shared" si="27"/>
        <v>96562.898697500001</v>
      </c>
      <c r="B270" s="3">
        <v>287560</v>
      </c>
      <c r="C270" s="3">
        <v>3372373.7817258998</v>
      </c>
      <c r="D270" s="3">
        <v>654799.0317695</v>
      </c>
      <c r="E270" s="3">
        <v>272.11317380000003</v>
      </c>
      <c r="F270" s="3">
        <f t="shared" si="19"/>
        <v>271.42517380000004</v>
      </c>
      <c r="G270" s="3">
        <v>96562.898697500001</v>
      </c>
      <c r="H270" s="3">
        <v>-14.451000000000001</v>
      </c>
      <c r="I270" s="3">
        <v>3372362.1609999998</v>
      </c>
      <c r="J270" s="3">
        <v>654790.44200000004</v>
      </c>
      <c r="K270" s="3">
        <v>272.25799999999998</v>
      </c>
      <c r="L270" s="3">
        <v>273</v>
      </c>
      <c r="M270" s="3">
        <f t="shared" si="28"/>
        <v>0.1448261999999545</v>
      </c>
      <c r="N270" s="3">
        <f t="shared" si="26"/>
        <v>1.5748261999999613</v>
      </c>
      <c r="O270" s="3">
        <v>-18.405004000000002</v>
      </c>
      <c r="P270" s="3">
        <v>265.57883129999999</v>
      </c>
      <c r="Q270" s="3">
        <v>15.195397099999999</v>
      </c>
      <c r="R270" s="3">
        <v>266.43363479999999</v>
      </c>
      <c r="S270" s="3">
        <v>266.48216459999998</v>
      </c>
      <c r="T270" s="3">
        <f t="shared" si="25"/>
        <v>5.7758354000000054</v>
      </c>
      <c r="U270" s="3">
        <f t="shared" si="20"/>
        <v>7.4211687000000097</v>
      </c>
      <c r="V270" s="3">
        <f t="shared" si="21"/>
        <v>6.566365200000007</v>
      </c>
      <c r="W270" s="2">
        <f>VLOOKUP(B270,[1]CivilReport!$A$2:$E$342,5,FALSE)-H270</f>
        <v>0</v>
      </c>
    </row>
    <row r="271" spans="1:23" s="4" customFormat="1" ht="14.45" customHeight="1" x14ac:dyDescent="0.25">
      <c r="A271" s="2">
        <f t="shared" si="27"/>
        <v>96582.824005600007</v>
      </c>
      <c r="B271" s="3">
        <v>287580</v>
      </c>
      <c r="C271" s="3">
        <v>3372385.6297638002</v>
      </c>
      <c r="D271" s="3">
        <v>654782.91899989999</v>
      </c>
      <c r="E271" s="3">
        <v>272.14433750000001</v>
      </c>
      <c r="F271" s="3">
        <f t="shared" si="19"/>
        <v>271.45633750000002</v>
      </c>
      <c r="G271" s="3">
        <v>96582.824005600007</v>
      </c>
      <c r="H271" s="3">
        <v>-14.442</v>
      </c>
      <c r="I271" s="3">
        <v>3372373.9720000001</v>
      </c>
      <c r="J271" s="3">
        <v>654774.39500000002</v>
      </c>
      <c r="K271" s="3">
        <v>272.25799999999998</v>
      </c>
      <c r="L271" s="3">
        <v>273</v>
      </c>
      <c r="M271" s="3">
        <f t="shared" si="28"/>
        <v>0.11366249999997535</v>
      </c>
      <c r="N271" s="3">
        <f t="shared" si="26"/>
        <v>1.5436624999999822</v>
      </c>
      <c r="O271" s="3">
        <v>-20.9117654</v>
      </c>
      <c r="P271" s="3">
        <v>264.32545060000001</v>
      </c>
      <c r="Q271" s="3">
        <v>14.8686998</v>
      </c>
      <c r="R271" s="3">
        <v>266.59698350000002</v>
      </c>
      <c r="S271" s="3">
        <v>266.36466530000001</v>
      </c>
      <c r="T271" s="3">
        <f t="shared" si="25"/>
        <v>5.8933346999999685</v>
      </c>
      <c r="U271" s="3">
        <f t="shared" si="20"/>
        <v>8.6745493999999894</v>
      </c>
      <c r="V271" s="3">
        <f t="shared" si="21"/>
        <v>6.4030164999999784</v>
      </c>
      <c r="W271" s="2">
        <f>VLOOKUP(B271,[1]CivilReport!$A$2:$E$342,5,FALSE)-H271</f>
        <v>0</v>
      </c>
    </row>
    <row r="272" spans="1:23" s="4" customFormat="1" ht="14.45" customHeight="1" x14ac:dyDescent="0.25">
      <c r="A272" s="2">
        <f t="shared" si="27"/>
        <v>96602.878530100003</v>
      </c>
      <c r="B272" s="3">
        <v>287600</v>
      </c>
      <c r="C272" s="3">
        <v>3372397.4418382002</v>
      </c>
      <c r="D272" s="3">
        <v>654766.7797829</v>
      </c>
      <c r="E272" s="3">
        <v>272.16588150000001</v>
      </c>
      <c r="F272" s="3">
        <f t="shared" si="19"/>
        <v>271.47788150000002</v>
      </c>
      <c r="G272" s="3">
        <v>96602.878530100003</v>
      </c>
      <c r="H272" s="3">
        <v>-14.388</v>
      </c>
      <c r="I272" s="3">
        <v>3372385.86</v>
      </c>
      <c r="J272" s="3">
        <v>654758.24300000002</v>
      </c>
      <c r="K272" s="3">
        <v>272.25799999999998</v>
      </c>
      <c r="L272" s="3">
        <v>273</v>
      </c>
      <c r="M272" s="3">
        <f t="shared" si="28"/>
        <v>9.2118499999969572E-2</v>
      </c>
      <c r="N272" s="3">
        <f t="shared" si="26"/>
        <v>1.5221184999999764</v>
      </c>
      <c r="O272" s="3">
        <v>-20.780076399999999</v>
      </c>
      <c r="P272" s="3">
        <v>264.39129509999998</v>
      </c>
      <c r="Q272" s="3">
        <v>15.5290345</v>
      </c>
      <c r="R272" s="3">
        <v>266.26681610000003</v>
      </c>
      <c r="S272" s="3">
        <v>266.70217709999997</v>
      </c>
      <c r="T272" s="3">
        <f t="shared" si="25"/>
        <v>5.5558229000000097</v>
      </c>
      <c r="U272" s="3">
        <f t="shared" si="20"/>
        <v>8.6087049000000206</v>
      </c>
      <c r="V272" s="3">
        <f t="shared" si="21"/>
        <v>6.7331838999999718</v>
      </c>
      <c r="W272" s="2">
        <f>VLOOKUP(B272,[1]CivilReport!$A$2:$E$342,5,FALSE)-H272</f>
        <v>0</v>
      </c>
    </row>
    <row r="273" spans="1:23" s="4" customFormat="1" ht="14.45" customHeight="1" x14ac:dyDescent="0.25">
      <c r="A273" s="2">
        <f t="shared" si="27"/>
        <v>96622.878543600003</v>
      </c>
      <c r="B273" s="3">
        <v>287620</v>
      </c>
      <c r="C273" s="3">
        <v>3372409.3078985</v>
      </c>
      <c r="D273" s="3">
        <v>654750.68019870005</v>
      </c>
      <c r="E273" s="3">
        <v>272.18250740000002</v>
      </c>
      <c r="F273" s="3">
        <f t="shared" si="19"/>
        <v>271.49450740000003</v>
      </c>
      <c r="G273" s="3">
        <v>96622.878543600003</v>
      </c>
      <c r="H273" s="3">
        <v>-14.401</v>
      </c>
      <c r="I273" s="3">
        <v>3372397.7149999999</v>
      </c>
      <c r="J273" s="3">
        <v>654742.13600000006</v>
      </c>
      <c r="K273" s="3">
        <v>272.25799999999998</v>
      </c>
      <c r="L273" s="3">
        <v>273</v>
      </c>
      <c r="M273" s="3">
        <f t="shared" si="28"/>
        <v>7.5492599999961385E-2</v>
      </c>
      <c r="N273" s="3">
        <f t="shared" si="26"/>
        <v>1.5054925999999682</v>
      </c>
      <c r="O273" s="3">
        <v>-19.9444084</v>
      </c>
      <c r="P273" s="3">
        <v>264.80912919999997</v>
      </c>
      <c r="Q273" s="3">
        <v>15.9595117</v>
      </c>
      <c r="R273" s="3">
        <v>266.15952290000001</v>
      </c>
      <c r="S273" s="3">
        <v>266.07125309999998</v>
      </c>
      <c r="T273" s="3">
        <f t="shared" si="25"/>
        <v>6.1867469000000028</v>
      </c>
      <c r="U273" s="3">
        <f t="shared" si="20"/>
        <v>8.1908708000000274</v>
      </c>
      <c r="V273" s="3">
        <f t="shared" si="21"/>
        <v>6.8404770999999869</v>
      </c>
      <c r="W273" s="2">
        <f>VLOOKUP(B273,[1]CivilReport!$A$2:$E$342,5,FALSE)-H273</f>
        <v>0</v>
      </c>
    </row>
    <row r="274" spans="1:23" s="4" customFormat="1" ht="14.45" customHeight="1" x14ac:dyDescent="0.25">
      <c r="A274" s="2">
        <f t="shared" si="27"/>
        <v>96642.878557000004</v>
      </c>
      <c r="B274" s="3">
        <v>287640</v>
      </c>
      <c r="C274" s="3">
        <v>3372421.1739587998</v>
      </c>
      <c r="D274" s="3">
        <v>654734.58061439998</v>
      </c>
      <c r="E274" s="3">
        <v>272.19913339999999</v>
      </c>
      <c r="F274" s="3">
        <f t="shared" si="19"/>
        <v>271.51113340000001</v>
      </c>
      <c r="G274" s="3">
        <v>96642.878557000004</v>
      </c>
      <c r="H274" s="3">
        <v>-14.414999999999999</v>
      </c>
      <c r="I274" s="3">
        <v>3372409.57</v>
      </c>
      <c r="J274" s="3">
        <v>654726.02800000005</v>
      </c>
      <c r="K274" s="3">
        <v>272.25799999999998</v>
      </c>
      <c r="L274" s="3">
        <v>273</v>
      </c>
      <c r="M274" s="3">
        <f t="shared" si="28"/>
        <v>5.8866599999987557E-2</v>
      </c>
      <c r="N274" s="3">
        <f t="shared" si="26"/>
        <v>1.4888665999999944</v>
      </c>
      <c r="O274" s="3">
        <v>-18.1634332</v>
      </c>
      <c r="P274" s="3">
        <v>265.6996168</v>
      </c>
      <c r="Q274" s="3">
        <v>17.774196199999999</v>
      </c>
      <c r="R274" s="3">
        <v>265.89423520000003</v>
      </c>
      <c r="S274" s="3">
        <v>265.30297819999998</v>
      </c>
      <c r="T274" s="3">
        <f t="shared" si="25"/>
        <v>6.9550217999999973</v>
      </c>
      <c r="U274" s="3">
        <f t="shared" si="20"/>
        <v>7.3003831999999989</v>
      </c>
      <c r="V274" s="3">
        <f t="shared" si="21"/>
        <v>7.1057647999999745</v>
      </c>
      <c r="W274" s="2">
        <f>VLOOKUP(B274,[1]CivilReport!$A$2:$E$342,5,FALSE)-H274</f>
        <v>0</v>
      </c>
    </row>
    <row r="275" spans="1:23" s="4" customFormat="1" ht="14.45" customHeight="1" x14ac:dyDescent="0.25">
      <c r="A275" s="2">
        <f t="shared" si="27"/>
        <v>96662.853734200005</v>
      </c>
      <c r="B275" s="3">
        <v>287660</v>
      </c>
      <c r="C275" s="3">
        <v>3372433.0186596001</v>
      </c>
      <c r="D275" s="3">
        <v>654718.46531560004</v>
      </c>
      <c r="E275" s="3">
        <v>272.20157690000002</v>
      </c>
      <c r="F275" s="3">
        <f t="shared" si="19"/>
        <v>271.51357690000003</v>
      </c>
      <c r="G275" s="3">
        <v>96662.853734200005</v>
      </c>
      <c r="H275" s="3">
        <v>-14.401</v>
      </c>
      <c r="I275" s="3">
        <v>3372421.4109999998</v>
      </c>
      <c r="J275" s="3">
        <v>654709.94099999999</v>
      </c>
      <c r="K275" s="3">
        <v>272.25799999999998</v>
      </c>
      <c r="L275" s="3">
        <v>273</v>
      </c>
      <c r="M275" s="3">
        <f t="shared" si="28"/>
        <v>5.6423099999960868E-2</v>
      </c>
      <c r="N275" s="3">
        <f t="shared" si="26"/>
        <v>1.4864230999999677</v>
      </c>
      <c r="O275" s="3">
        <v>-19.2337986</v>
      </c>
      <c r="P275" s="3">
        <v>265.16443400000003</v>
      </c>
      <c r="Q275" s="3">
        <v>19.1890298</v>
      </c>
      <c r="R275" s="3">
        <v>265.0798034</v>
      </c>
      <c r="S275" s="3">
        <v>265.15626609999998</v>
      </c>
      <c r="T275" s="3">
        <f t="shared" si="25"/>
        <v>7.1017338999999993</v>
      </c>
      <c r="U275" s="3">
        <f t="shared" si="20"/>
        <v>7.8355659999999716</v>
      </c>
      <c r="V275" s="3">
        <f t="shared" si="21"/>
        <v>7.920196599999997</v>
      </c>
      <c r="W275" s="2">
        <f>VLOOKUP(B275,[1]CivilReport!$A$2:$E$342,5,FALSE)-H275</f>
        <v>0</v>
      </c>
    </row>
    <row r="276" spans="1:23" s="4" customFormat="1" ht="14.45" customHeight="1" x14ac:dyDescent="0.25">
      <c r="A276" s="2">
        <f t="shared" si="27"/>
        <v>96682.888225200004</v>
      </c>
      <c r="B276" s="3">
        <v>287680</v>
      </c>
      <c r="C276" s="3">
        <v>3372444.8677798999</v>
      </c>
      <c r="D276" s="3">
        <v>654702.35326660005</v>
      </c>
      <c r="E276" s="3">
        <v>272.18008379999998</v>
      </c>
      <c r="F276" s="3">
        <f t="shared" si="19"/>
        <v>271.49208379999999</v>
      </c>
      <c r="G276" s="3">
        <v>96682.888225200004</v>
      </c>
      <c r="H276" s="3">
        <v>-14.393000000000001</v>
      </c>
      <c r="I276" s="3">
        <v>3372433.287</v>
      </c>
      <c r="J276" s="3">
        <v>654693.80599999998</v>
      </c>
      <c r="K276" s="3">
        <v>272.25799999999998</v>
      </c>
      <c r="L276" s="3">
        <v>273</v>
      </c>
      <c r="M276" s="3">
        <f t="shared" si="28"/>
        <v>7.791620000000421E-2</v>
      </c>
      <c r="N276" s="3">
        <f t="shared" si="26"/>
        <v>1.507916200000011</v>
      </c>
      <c r="O276" s="3">
        <v>-18.797838299999999</v>
      </c>
      <c r="P276" s="3">
        <v>265.38241420000003</v>
      </c>
      <c r="Q276" s="3">
        <v>13.5454013</v>
      </c>
      <c r="R276" s="3">
        <v>267.25863270000002</v>
      </c>
      <c r="S276" s="3">
        <v>266.8224128</v>
      </c>
      <c r="T276" s="3">
        <f t="shared" si="25"/>
        <v>5.4355871999999863</v>
      </c>
      <c r="U276" s="3">
        <f t="shared" si="20"/>
        <v>7.6175857999999721</v>
      </c>
      <c r="V276" s="3">
        <f t="shared" si="21"/>
        <v>5.741367299999979</v>
      </c>
      <c r="W276" s="2">
        <f>VLOOKUP(B276,[1]CivilReport!$A$2:$E$342,5,FALSE)-H276</f>
        <v>0</v>
      </c>
    </row>
    <row r="277" spans="1:23" s="4" customFormat="1" ht="14.45" customHeight="1" x14ac:dyDescent="0.25">
      <c r="A277" s="2">
        <f t="shared" si="27"/>
        <v>96702.863357900002</v>
      </c>
      <c r="B277" s="3">
        <v>287700</v>
      </c>
      <c r="C277" s="3">
        <v>3372456.7370298002</v>
      </c>
      <c r="D277" s="3">
        <v>654686.25603739999</v>
      </c>
      <c r="E277" s="3">
        <v>272.04969199999999</v>
      </c>
      <c r="F277" s="3">
        <f t="shared" si="19"/>
        <v>271.36169200000001</v>
      </c>
      <c r="G277" s="3">
        <v>96702.863357900002</v>
      </c>
      <c r="H277" s="3">
        <v>-14.403</v>
      </c>
      <c r="I277" s="3">
        <v>3372445.128</v>
      </c>
      <c r="J277" s="3">
        <v>654677.71799999999</v>
      </c>
      <c r="K277" s="3">
        <v>272.25799999999998</v>
      </c>
      <c r="L277" s="3">
        <v>273</v>
      </c>
      <c r="M277" s="3">
        <f t="shared" si="28"/>
        <v>0.20830799999998817</v>
      </c>
      <c r="N277" s="3">
        <f t="shared" si="26"/>
        <v>1.638307999999995</v>
      </c>
      <c r="O277" s="3">
        <v>-18.9245968</v>
      </c>
      <c r="P277" s="3">
        <v>265.31903490000002</v>
      </c>
      <c r="Q277" s="3">
        <v>8.2204306999999996</v>
      </c>
      <c r="R277" s="3">
        <v>269.92111799999998</v>
      </c>
      <c r="S277" s="3">
        <v>267.09276799999998</v>
      </c>
      <c r="T277" s="3">
        <f t="shared" si="25"/>
        <v>5.1652320000000032</v>
      </c>
      <c r="U277" s="3">
        <f t="shared" si="20"/>
        <v>7.6809650999999803</v>
      </c>
      <c r="V277" s="3">
        <f t="shared" si="21"/>
        <v>3.0788820000000214</v>
      </c>
      <c r="W277" s="2">
        <f>VLOOKUP(B277,[1]CivilReport!$A$2:$E$342,5,FALSE)-H277</f>
        <v>0</v>
      </c>
    </row>
    <row r="278" spans="1:23" s="4" customFormat="1" ht="14.45" customHeight="1" x14ac:dyDescent="0.25">
      <c r="A278" s="2">
        <f t="shared" si="27"/>
        <v>96722.860827500001</v>
      </c>
      <c r="B278" s="3">
        <v>287720</v>
      </c>
      <c r="C278" s="3">
        <v>3372468.5861281999</v>
      </c>
      <c r="D278" s="3">
        <v>654670.14396540006</v>
      </c>
      <c r="E278" s="3">
        <v>271.9642662</v>
      </c>
      <c r="F278" s="3">
        <f t="shared" si="19"/>
        <v>271.27626620000001</v>
      </c>
      <c r="G278" s="3">
        <v>96722.860827500001</v>
      </c>
      <c r="H278" s="3">
        <v>-14.401999999999999</v>
      </c>
      <c r="I278" s="3">
        <v>3372456.9819999998</v>
      </c>
      <c r="J278" s="3">
        <v>654661.61300000001</v>
      </c>
      <c r="K278" s="3">
        <v>272.25799999999998</v>
      </c>
      <c r="L278" s="3">
        <v>273</v>
      </c>
      <c r="M278" s="3">
        <f t="shared" si="28"/>
        <v>0.29373379999998406</v>
      </c>
      <c r="N278" s="3">
        <f t="shared" si="26"/>
        <v>1.7237337999999909</v>
      </c>
      <c r="O278" s="3">
        <v>-18.778975500000001</v>
      </c>
      <c r="P278" s="3">
        <v>265.39184560000001</v>
      </c>
      <c r="Q278" s="3">
        <v>8.2938571000000003</v>
      </c>
      <c r="R278" s="3">
        <v>269.88440480000003</v>
      </c>
      <c r="S278" s="3">
        <v>267.30073340000001</v>
      </c>
      <c r="T278" s="3">
        <f t="shared" si="25"/>
        <v>4.9572665999999685</v>
      </c>
      <c r="U278" s="3">
        <f t="shared" si="20"/>
        <v>7.6081543999999894</v>
      </c>
      <c r="V278" s="3">
        <f t="shared" si="21"/>
        <v>3.1155951999999729</v>
      </c>
      <c r="W278" s="2">
        <f>VLOOKUP(B278,[1]CivilReport!$A$2:$E$342,5,FALSE)-H278</f>
        <v>0</v>
      </c>
    </row>
    <row r="279" spans="1:23" s="4" customFormat="1" ht="14.45" customHeight="1" x14ac:dyDescent="0.25">
      <c r="A279" s="2">
        <f t="shared" si="27"/>
        <v>96742.860827600001</v>
      </c>
      <c r="B279" s="3">
        <v>287740</v>
      </c>
      <c r="C279" s="3">
        <v>3372480.4324955</v>
      </c>
      <c r="D279" s="3">
        <v>654654.02988509997</v>
      </c>
      <c r="E279" s="3">
        <v>271.84518869999999</v>
      </c>
      <c r="F279" s="3">
        <f t="shared" si="19"/>
        <v>271.15718870000001</v>
      </c>
      <c r="G279" s="3">
        <v>96742.860827600001</v>
      </c>
      <c r="H279" s="3">
        <v>-14.391</v>
      </c>
      <c r="I279" s="3">
        <v>3372468.8369999998</v>
      </c>
      <c r="J279" s="3">
        <v>654645.50600000005</v>
      </c>
      <c r="K279" s="3">
        <v>272.25799999999998</v>
      </c>
      <c r="L279" s="3">
        <v>273</v>
      </c>
      <c r="M279" s="3">
        <f t="shared" si="28"/>
        <v>0.41281129999998711</v>
      </c>
      <c r="N279" s="3">
        <f t="shared" si="26"/>
        <v>1.8428112999999939</v>
      </c>
      <c r="O279" s="3">
        <v>-18.491508400000001</v>
      </c>
      <c r="P279" s="3">
        <v>265.53557910000001</v>
      </c>
      <c r="Q279" s="3">
        <v>8.3219636000000001</v>
      </c>
      <c r="R279" s="3">
        <v>269.87035150000003</v>
      </c>
      <c r="S279" s="3">
        <v>267.54361949999998</v>
      </c>
      <c r="T279" s="3">
        <f t="shared" si="25"/>
        <v>4.7143805000000043</v>
      </c>
      <c r="U279" s="3">
        <f t="shared" si="20"/>
        <v>7.4644208999999933</v>
      </c>
      <c r="V279" s="3">
        <f t="shared" si="21"/>
        <v>3.1296484999999734</v>
      </c>
      <c r="W279" s="2">
        <f>VLOOKUP(B279,[1]CivilReport!$A$2:$E$342,5,FALSE)-H279</f>
        <v>0</v>
      </c>
    </row>
    <row r="280" spans="1:23" s="4" customFormat="1" ht="14.45" customHeight="1" x14ac:dyDescent="0.25">
      <c r="A280" s="2">
        <f t="shared" si="27"/>
        <v>96762.855227799999</v>
      </c>
      <c r="B280" s="3">
        <v>287760</v>
      </c>
      <c r="C280" s="3">
        <v>3372492.2730843001</v>
      </c>
      <c r="D280" s="3">
        <v>654637.91155860003</v>
      </c>
      <c r="E280" s="3">
        <v>271.75661000000002</v>
      </c>
      <c r="F280" s="3">
        <f t="shared" si="19"/>
        <v>271.06861000000004</v>
      </c>
      <c r="G280" s="3">
        <v>96762.855227799999</v>
      </c>
      <c r="H280" s="3">
        <v>-14.372999999999999</v>
      </c>
      <c r="I280" s="3">
        <v>3372480.6889999998</v>
      </c>
      <c r="J280" s="3">
        <v>654629.40300000005</v>
      </c>
      <c r="K280" s="3">
        <v>272.25799999999998</v>
      </c>
      <c r="L280" s="3">
        <v>273</v>
      </c>
      <c r="M280" s="3">
        <f t="shared" si="28"/>
        <v>0.50138999999995804</v>
      </c>
      <c r="N280" s="3">
        <f t="shared" si="26"/>
        <v>1.9313899999999649</v>
      </c>
      <c r="O280" s="3">
        <v>-17.90428</v>
      </c>
      <c r="P280" s="3">
        <v>265.8289297</v>
      </c>
      <c r="Q280" s="3">
        <v>8.3951367000000001</v>
      </c>
      <c r="R280" s="3">
        <v>269.83402840000002</v>
      </c>
      <c r="S280" s="3">
        <v>267.58658780000002</v>
      </c>
      <c r="T280" s="3">
        <f t="shared" si="25"/>
        <v>4.6714121999999634</v>
      </c>
      <c r="U280" s="3">
        <f t="shared" si="20"/>
        <v>7.1710702999999967</v>
      </c>
      <c r="V280" s="3">
        <f t="shared" si="21"/>
        <v>3.1659715999999776</v>
      </c>
      <c r="W280" s="2">
        <f>VLOOKUP(B280,[1]CivilReport!$A$2:$E$342,5,FALSE)-H280</f>
        <v>0</v>
      </c>
    </row>
    <row r="281" spans="1:23" s="4" customFormat="1" ht="14.45" customHeight="1" x14ac:dyDescent="0.25">
      <c r="A281" s="2">
        <f t="shared" si="27"/>
        <v>96782.855151600001</v>
      </c>
      <c r="B281" s="3">
        <v>287780</v>
      </c>
      <c r="C281" s="3">
        <v>3372504.1131325001</v>
      </c>
      <c r="D281" s="3">
        <v>654621.79283469997</v>
      </c>
      <c r="E281" s="3">
        <v>271.67088510000002</v>
      </c>
      <c r="F281" s="3">
        <f t="shared" si="19"/>
        <v>270.98288510000003</v>
      </c>
      <c r="G281" s="3">
        <v>96782.855151600001</v>
      </c>
      <c r="H281" s="3">
        <v>-14.353999999999999</v>
      </c>
      <c r="I281" s="3">
        <v>3372492.5449999999</v>
      </c>
      <c r="J281" s="3">
        <v>654613.29599999997</v>
      </c>
      <c r="K281" s="3">
        <v>272.25799999999998</v>
      </c>
      <c r="L281" s="3">
        <v>273</v>
      </c>
      <c r="M281" s="3">
        <f t="shared" si="28"/>
        <v>0.58711489999996047</v>
      </c>
      <c r="N281" s="3">
        <f t="shared" si="26"/>
        <v>2.0171148999999673</v>
      </c>
      <c r="O281" s="3">
        <v>-18.506151500000001</v>
      </c>
      <c r="P281" s="3">
        <v>265.52765060000002</v>
      </c>
      <c r="Q281" s="3">
        <v>8.4359707999999998</v>
      </c>
      <c r="R281" s="3">
        <v>269.81395190000001</v>
      </c>
      <c r="S281" s="3">
        <v>267.0236822</v>
      </c>
      <c r="T281" s="3">
        <f t="shared" si="25"/>
        <v>5.2343177999999853</v>
      </c>
      <c r="U281" s="3">
        <f t="shared" si="20"/>
        <v>7.4723493999999846</v>
      </c>
      <c r="V281" s="3">
        <f t="shared" si="21"/>
        <v>3.1860480999999936</v>
      </c>
      <c r="W281" s="2">
        <f>VLOOKUP(B281,[1]CivilReport!$A$2:$E$342,5,FALSE)-H281</f>
        <v>0</v>
      </c>
    </row>
    <row r="282" spans="1:23" s="4" customFormat="1" ht="14.45" customHeight="1" x14ac:dyDescent="0.25">
      <c r="A282" s="2">
        <f t="shared" si="27"/>
        <v>96802.846813800003</v>
      </c>
      <c r="B282" s="3">
        <v>287800</v>
      </c>
      <c r="C282" s="3">
        <v>3372515.9448519</v>
      </c>
      <c r="D282" s="3">
        <v>654605.66799670004</v>
      </c>
      <c r="E282" s="3">
        <v>271.60438799999997</v>
      </c>
      <c r="F282" s="3">
        <f t="shared" si="19"/>
        <v>270.91638799999998</v>
      </c>
      <c r="G282" s="3">
        <v>96802.846813800003</v>
      </c>
      <c r="H282" s="3">
        <v>-14.292999999999999</v>
      </c>
      <c r="I282" s="3">
        <v>3372504.42</v>
      </c>
      <c r="J282" s="3">
        <v>654597.21400000004</v>
      </c>
      <c r="K282" s="3">
        <v>272.25799999999998</v>
      </c>
      <c r="L282" s="3">
        <v>273</v>
      </c>
      <c r="M282" s="3">
        <f t="shared" si="28"/>
        <v>0.65361200000000963</v>
      </c>
      <c r="N282" s="3">
        <f t="shared" si="26"/>
        <v>2.0836120000000165</v>
      </c>
      <c r="O282" s="3">
        <v>-19.066692700000001</v>
      </c>
      <c r="P282" s="3">
        <v>265.24618839999999</v>
      </c>
      <c r="Q282" s="3">
        <v>8.3068319000000006</v>
      </c>
      <c r="R282" s="3">
        <v>269.8796997</v>
      </c>
      <c r="S282" s="3">
        <v>266.22587290000001</v>
      </c>
      <c r="T282" s="3">
        <f t="shared" si="25"/>
        <v>6.0321270999999683</v>
      </c>
      <c r="U282" s="3">
        <f t="shared" si="20"/>
        <v>7.7538116000000059</v>
      </c>
      <c r="V282" s="3">
        <f t="shared" si="21"/>
        <v>3.1203002999999967</v>
      </c>
      <c r="W282" s="2">
        <f>VLOOKUP(B282,[1]CivilReport!$A$2:$E$342,5,FALSE)-H282</f>
        <v>0</v>
      </c>
    </row>
    <row r="283" spans="1:23" s="4" customFormat="1" ht="14.45" customHeight="1" x14ac:dyDescent="0.25">
      <c r="A283" s="2">
        <f t="shared" si="27"/>
        <v>96822.848239700004</v>
      </c>
      <c r="B283" s="3">
        <v>287820</v>
      </c>
      <c r="C283" s="3">
        <v>3372527.7752307002</v>
      </c>
      <c r="D283" s="3">
        <v>654589.54217469995</v>
      </c>
      <c r="E283" s="3">
        <v>271.54098590000001</v>
      </c>
      <c r="F283" s="3">
        <f t="shared" si="19"/>
        <v>270.85298590000002</v>
      </c>
      <c r="G283" s="3">
        <v>96822.848239700004</v>
      </c>
      <c r="H283" s="3">
        <v>-14.116</v>
      </c>
      <c r="I283" s="3">
        <v>3372516.3939999999</v>
      </c>
      <c r="J283" s="3">
        <v>654581.19200000004</v>
      </c>
      <c r="K283" s="3">
        <v>272.24620829999998</v>
      </c>
      <c r="L283" s="3">
        <v>272.9882083</v>
      </c>
      <c r="M283" s="3">
        <f t="shared" si="28"/>
        <v>0.70522239999996827</v>
      </c>
      <c r="N283" s="3">
        <f t="shared" si="26"/>
        <v>2.1352223999999751</v>
      </c>
      <c r="O283" s="3">
        <v>-18.683630999999998</v>
      </c>
      <c r="P283" s="3">
        <v>265.42377720000002</v>
      </c>
      <c r="Q283" s="3">
        <v>8.1440823000000009</v>
      </c>
      <c r="R283" s="3">
        <v>269.94689039999997</v>
      </c>
      <c r="S283" s="3">
        <v>266.7869025</v>
      </c>
      <c r="T283" s="3">
        <f t="shared" si="25"/>
        <v>5.4593057999999814</v>
      </c>
      <c r="U283" s="3">
        <f t="shared" si="20"/>
        <v>7.5644310999999789</v>
      </c>
      <c r="V283" s="3">
        <f t="shared" si="21"/>
        <v>3.0413179000000241</v>
      </c>
      <c r="W283" s="2">
        <f>VLOOKUP(B283,[1]CivilReport!$A$2:$E$342,5,FALSE)-H283</f>
        <v>0</v>
      </c>
    </row>
    <row r="284" spans="1:23" s="4" customFormat="1" ht="14.45" customHeight="1" x14ac:dyDescent="0.25">
      <c r="A284" s="2">
        <f t="shared" si="27"/>
        <v>96842.860277</v>
      </c>
      <c r="B284" s="3">
        <v>287840</v>
      </c>
      <c r="C284" s="3">
        <v>3372539.6155213001</v>
      </c>
      <c r="D284" s="3">
        <v>654573.42362889997</v>
      </c>
      <c r="E284" s="3">
        <v>271.46365500000002</v>
      </c>
      <c r="F284" s="3">
        <f t="shared" si="19"/>
        <v>270.77565500000003</v>
      </c>
      <c r="G284" s="3">
        <v>96842.860277</v>
      </c>
      <c r="H284" s="3">
        <v>-13.779</v>
      </c>
      <c r="I284" s="3">
        <v>3372528.5109999999</v>
      </c>
      <c r="J284" s="3">
        <v>654565.26599999995</v>
      </c>
      <c r="K284" s="3">
        <v>272.16618789999995</v>
      </c>
      <c r="L284" s="3">
        <v>272.90818789999997</v>
      </c>
      <c r="M284" s="3">
        <f t="shared" si="28"/>
        <v>0.7025328999999374</v>
      </c>
      <c r="N284" s="3">
        <f t="shared" si="26"/>
        <v>2.1325328999999442</v>
      </c>
      <c r="O284" s="3">
        <v>-18.091844999999999</v>
      </c>
      <c r="P284" s="3">
        <v>265.64321239999998</v>
      </c>
      <c r="Q284" s="3">
        <v>7.8034796000000002</v>
      </c>
      <c r="R284" s="3">
        <v>270.03816440000003</v>
      </c>
      <c r="S284" s="3">
        <v>267.18210699999997</v>
      </c>
      <c r="T284" s="3">
        <f t="shared" si="25"/>
        <v>4.9840808999999808</v>
      </c>
      <c r="U284" s="3">
        <f t="shared" si="20"/>
        <v>7.2649754999999914</v>
      </c>
      <c r="V284" s="3">
        <f t="shared" si="21"/>
        <v>2.8700234999999452</v>
      </c>
      <c r="W284" s="2">
        <f>VLOOKUP(B284,[1]CivilReport!$A$2:$E$342,5,FALSE)-H284</f>
        <v>0</v>
      </c>
    </row>
    <row r="285" spans="1:23" s="4" customFormat="1" ht="14.45" customHeight="1" x14ac:dyDescent="0.25">
      <c r="A285" s="2">
        <f t="shared" si="27"/>
        <v>96862.874805300002</v>
      </c>
      <c r="B285" s="3">
        <v>287860</v>
      </c>
      <c r="C285" s="3">
        <v>3372551.4589694999</v>
      </c>
      <c r="D285" s="3">
        <v>654557.30740419996</v>
      </c>
      <c r="E285" s="3">
        <v>271.38866059999998</v>
      </c>
      <c r="F285" s="3">
        <f t="shared" si="19"/>
        <v>270.70066059999999</v>
      </c>
      <c r="G285" s="3">
        <v>96862.874805300002</v>
      </c>
      <c r="H285" s="3">
        <v>-13.294</v>
      </c>
      <c r="I285" s="3">
        <v>3372540.7510000002</v>
      </c>
      <c r="J285" s="3">
        <v>654549.43000000005</v>
      </c>
      <c r="K285" s="3">
        <v>272.07521279999997</v>
      </c>
      <c r="L285" s="3">
        <v>272.81721279999999</v>
      </c>
      <c r="M285" s="3">
        <f t="shared" si="28"/>
        <v>0.68655219999999417</v>
      </c>
      <c r="N285" s="3">
        <f t="shared" si="26"/>
        <v>2.116552200000001</v>
      </c>
      <c r="O285" s="3">
        <v>-17.733894100000001</v>
      </c>
      <c r="P285" s="3">
        <v>265.73060800000002</v>
      </c>
      <c r="Q285" s="3">
        <v>7.4379108</v>
      </c>
      <c r="R285" s="3">
        <v>270.1305729</v>
      </c>
      <c r="S285" s="3">
        <v>267.34650729999998</v>
      </c>
      <c r="T285" s="3">
        <f t="shared" si="25"/>
        <v>4.7287054999999896</v>
      </c>
      <c r="U285" s="3">
        <f t="shared" si="20"/>
        <v>7.0866047999999751</v>
      </c>
      <c r="V285" s="3">
        <f t="shared" si="21"/>
        <v>2.6866398999999888</v>
      </c>
      <c r="W285" s="2">
        <f>VLOOKUP(B285,[1]CivilReport!$A$2:$E$342,5,FALSE)-H285</f>
        <v>0</v>
      </c>
    </row>
    <row r="286" spans="1:23" s="4" customFormat="1" ht="14.45" customHeight="1" x14ac:dyDescent="0.25">
      <c r="A286" s="2">
        <f t="shared" si="27"/>
        <v>96882.882205799993</v>
      </c>
      <c r="B286" s="3">
        <v>287880</v>
      </c>
      <c r="C286" s="3">
        <v>3372563.3100455999</v>
      </c>
      <c r="D286" s="3">
        <v>654541.19678670005</v>
      </c>
      <c r="E286" s="3">
        <v>271.32016440000001</v>
      </c>
      <c r="F286" s="3">
        <f t="shared" si="19"/>
        <v>270.63216440000002</v>
      </c>
      <c r="G286" s="3">
        <v>96882.882205799993</v>
      </c>
      <c r="H286" s="3">
        <v>-12.747</v>
      </c>
      <c r="I286" s="3">
        <v>3372553.0419999999</v>
      </c>
      <c r="J286" s="3">
        <v>654533.64300000004</v>
      </c>
      <c r="K286" s="3">
        <v>271.9842701</v>
      </c>
      <c r="L286" s="3">
        <v>272.72627010000002</v>
      </c>
      <c r="M286" s="3">
        <f t="shared" si="28"/>
        <v>0.66410569999999325</v>
      </c>
      <c r="N286" s="3">
        <f t="shared" si="26"/>
        <v>2.0941057000000001</v>
      </c>
      <c r="O286" s="3">
        <v>-17.494619799999999</v>
      </c>
      <c r="P286" s="3">
        <v>265.76027269999997</v>
      </c>
      <c r="Q286" s="3">
        <v>7.2279974999999999</v>
      </c>
      <c r="R286" s="3">
        <v>270.14362460000001</v>
      </c>
      <c r="S286" s="3">
        <v>267.3511752</v>
      </c>
      <c r="T286" s="3">
        <f t="shared" si="25"/>
        <v>4.6330949000000032</v>
      </c>
      <c r="U286" s="3">
        <f t="shared" si="20"/>
        <v>6.9659974000000489</v>
      </c>
      <c r="V286" s="3">
        <f t="shared" si="21"/>
        <v>2.5826455000000124</v>
      </c>
      <c r="W286" s="2">
        <f>VLOOKUP(B286,[1]CivilReport!$A$2:$E$342,5,FALSE)-H286</f>
        <v>0</v>
      </c>
    </row>
    <row r="287" spans="1:23" s="4" customFormat="1" ht="14.45" customHeight="1" x14ac:dyDescent="0.25">
      <c r="A287" s="2">
        <f t="shared" si="27"/>
        <v>96902.903999999995</v>
      </c>
      <c r="B287" s="3">
        <v>287900</v>
      </c>
      <c r="C287" s="3">
        <v>3372575.1558571998</v>
      </c>
      <c r="D287" s="3">
        <v>654525.08230140002</v>
      </c>
      <c r="E287" s="3">
        <v>271.25090510000001</v>
      </c>
      <c r="F287" s="3">
        <f t="shared" si="19"/>
        <v>270.56290510000002</v>
      </c>
      <c r="G287" s="3">
        <v>96902.903999999995</v>
      </c>
      <c r="H287" s="3">
        <v>-12.186</v>
      </c>
      <c r="I287" s="3">
        <v>3372565.3309999998</v>
      </c>
      <c r="J287" s="3">
        <v>654517.87199999997</v>
      </c>
      <c r="K287" s="3">
        <v>271.89339039999999</v>
      </c>
      <c r="L287" s="3">
        <v>272.63539040000001</v>
      </c>
      <c r="M287" s="3">
        <f t="shared" si="28"/>
        <v>0.64248529999997572</v>
      </c>
      <c r="N287" s="3">
        <f t="shared" si="26"/>
        <v>2.0724852999999825</v>
      </c>
      <c r="O287" s="3">
        <v>-14.8290778</v>
      </c>
      <c r="P287" s="1">
        <v>266.25200000000001</v>
      </c>
      <c r="Q287" s="3">
        <v>6.9826917000000002</v>
      </c>
      <c r="R287" s="3">
        <v>270.1753779</v>
      </c>
      <c r="S287" s="1">
        <v>266.58600000000001</v>
      </c>
      <c r="T287" s="3">
        <f t="shared" si="25"/>
        <v>5.3073903999999743</v>
      </c>
      <c r="U287" s="3">
        <f t="shared" si="20"/>
        <v>6.3833903999999961</v>
      </c>
      <c r="V287" s="3">
        <f t="shared" si="21"/>
        <v>2.4600125000000048</v>
      </c>
      <c r="W287" s="2">
        <f>VLOOKUP(B287,[1]CivilReport!$A$2:$E$342,5,FALSE)-H287</f>
        <v>0</v>
      </c>
    </row>
    <row r="288" spans="1:23" s="4" customFormat="1" ht="14.45" customHeight="1" x14ac:dyDescent="0.25">
      <c r="A288" s="2">
        <f t="shared" si="27"/>
        <v>96922.911999999997</v>
      </c>
      <c r="B288" s="3">
        <v>287920</v>
      </c>
      <c r="C288" s="3">
        <v>3372586.9882800002</v>
      </c>
      <c r="D288" s="3">
        <v>654508.95797900006</v>
      </c>
      <c r="E288" s="3">
        <v>271.17970489999999</v>
      </c>
      <c r="F288" s="3">
        <f t="shared" si="19"/>
        <v>270.4917049</v>
      </c>
      <c r="G288" s="3">
        <v>96922.911999999997</v>
      </c>
      <c r="H288" s="3">
        <v>-11.609</v>
      </c>
      <c r="I288" s="3">
        <v>3372577.6290000002</v>
      </c>
      <c r="J288" s="3">
        <v>654502.09</v>
      </c>
      <c r="K288" s="3">
        <v>271.80244349999998</v>
      </c>
      <c r="L288" s="3">
        <v>272.5444435</v>
      </c>
      <c r="M288" s="3">
        <f t="shared" si="28"/>
        <v>0.62273859999999104</v>
      </c>
      <c r="N288" s="3">
        <f t="shared" si="26"/>
        <v>2.0527385999999979</v>
      </c>
      <c r="O288" s="3">
        <v>-11.8977565</v>
      </c>
      <c r="P288" s="1">
        <v>267.613</v>
      </c>
      <c r="Q288" s="3">
        <v>6.7834918999999996</v>
      </c>
      <c r="R288" s="3">
        <v>270.18403089999998</v>
      </c>
      <c r="S288" s="1">
        <v>267.49599999999998</v>
      </c>
      <c r="T288" s="3">
        <f t="shared" si="25"/>
        <v>4.3064435000000003</v>
      </c>
      <c r="U288" s="3">
        <f t="shared" si="20"/>
        <v>4.9314435000000003</v>
      </c>
      <c r="V288" s="3">
        <f t="shared" si="21"/>
        <v>2.3604126000000178</v>
      </c>
      <c r="W288" s="2">
        <f>VLOOKUP(B288,[1]CivilReport!$A$2:$E$342,5,FALSE)-H288</f>
        <v>0</v>
      </c>
    </row>
    <row r="289" spans="1:23" s="4" customFormat="1" ht="14.45" customHeight="1" x14ac:dyDescent="0.25">
      <c r="A289" s="2">
        <f t="shared" si="27"/>
        <v>96942.936000000002</v>
      </c>
      <c r="B289" s="3">
        <v>287940</v>
      </c>
      <c r="C289" s="3">
        <v>3372598.8208599999</v>
      </c>
      <c r="D289" s="3">
        <v>654492.83377220004</v>
      </c>
      <c r="E289" s="3">
        <v>271.1081355</v>
      </c>
      <c r="F289" s="3">
        <f t="shared" si="19"/>
        <v>270.42013550000001</v>
      </c>
      <c r="G289" s="3">
        <v>96942.936000000002</v>
      </c>
      <c r="H289" s="3">
        <v>-11.032</v>
      </c>
      <c r="I289" s="3">
        <v>3372589.9360000002</v>
      </c>
      <c r="J289" s="3">
        <v>654486.29500000004</v>
      </c>
      <c r="K289" s="3">
        <v>271.71142609999998</v>
      </c>
      <c r="L289" s="3">
        <v>272.4534261</v>
      </c>
      <c r="M289" s="3">
        <f t="shared" si="28"/>
        <v>0.6032905999999798</v>
      </c>
      <c r="N289" s="3">
        <f t="shared" si="26"/>
        <v>2.0332905999999866</v>
      </c>
      <c r="O289" s="3">
        <v>-13.294900999999999</v>
      </c>
      <c r="P289" s="1">
        <v>266.80799999999999</v>
      </c>
      <c r="Q289" s="3">
        <v>6.5718449000000003</v>
      </c>
      <c r="R289" s="3">
        <v>270.19883700000003</v>
      </c>
      <c r="S289" s="1">
        <v>267.55900000000003</v>
      </c>
      <c r="T289" s="3">
        <f t="shared" si="25"/>
        <v>4.1524260999999569</v>
      </c>
      <c r="U289" s="3">
        <f t="shared" si="20"/>
        <v>5.6454261000000088</v>
      </c>
      <c r="V289" s="3">
        <f t="shared" si="21"/>
        <v>2.2545890999999756</v>
      </c>
      <c r="W289" s="2">
        <f>VLOOKUP(B289,[1]CivilReport!$A$2:$E$342,5,FALSE)-H289</f>
        <v>0</v>
      </c>
    </row>
    <row r="290" spans="1:23" s="4" customFormat="1" ht="14.45" customHeight="1" x14ac:dyDescent="0.25">
      <c r="A290" s="2">
        <f t="shared" si="27"/>
        <v>96962.944000000003</v>
      </c>
      <c r="B290" s="3">
        <v>287960</v>
      </c>
      <c r="C290" s="3">
        <v>3372610.6758792</v>
      </c>
      <c r="D290" s="3">
        <v>654476.72605609999</v>
      </c>
      <c r="E290" s="3">
        <v>270.98383510000002</v>
      </c>
      <c r="F290" s="3">
        <f t="shared" si="19"/>
        <v>270.29583510000003</v>
      </c>
      <c r="G290" s="3">
        <v>96962.944000000003</v>
      </c>
      <c r="H290" s="3">
        <v>-10.488</v>
      </c>
      <c r="I290" s="3">
        <v>3372602.236</v>
      </c>
      <c r="J290" s="3">
        <v>654470.5</v>
      </c>
      <c r="K290" s="3">
        <v>271.62048279999999</v>
      </c>
      <c r="L290" s="3">
        <v>272.36248280000001</v>
      </c>
      <c r="M290" s="3">
        <f t="shared" si="28"/>
        <v>0.63664769999996906</v>
      </c>
      <c r="N290" s="3">
        <f t="shared" si="26"/>
        <v>2.0666476999999759</v>
      </c>
      <c r="O290" s="3">
        <v>-13.8233411</v>
      </c>
      <c r="P290" s="1">
        <v>266.483</v>
      </c>
      <c r="Q290" s="3">
        <v>6.2667541</v>
      </c>
      <c r="R290" s="3">
        <v>270.26043900000002</v>
      </c>
      <c r="S290" s="1">
        <v>267.601</v>
      </c>
      <c r="T290" s="3">
        <f t="shared" si="25"/>
        <v>4.0194827999999916</v>
      </c>
      <c r="U290" s="3">
        <f t="shared" si="20"/>
        <v>5.8794828000000052</v>
      </c>
      <c r="V290" s="3">
        <f t="shared" si="21"/>
        <v>2.1020437999999899</v>
      </c>
      <c r="W290" s="2">
        <f>VLOOKUP(B290,[1]CivilReport!$A$2:$E$342,5,FALSE)-H290</f>
        <v>0</v>
      </c>
    </row>
    <row r="291" spans="1:23" s="4" customFormat="1" ht="14.45" customHeight="1" x14ac:dyDescent="0.25">
      <c r="A291" s="2">
        <f t="shared" si="27"/>
        <v>96982.944000000003</v>
      </c>
      <c r="B291" s="3">
        <v>287980</v>
      </c>
      <c r="C291" s="3">
        <v>3372622.5248182998</v>
      </c>
      <c r="D291" s="3">
        <v>654460.61386809999</v>
      </c>
      <c r="E291" s="3">
        <v>270.89066839999998</v>
      </c>
      <c r="F291" s="3">
        <f t="shared" si="19"/>
        <v>270.20266839999999</v>
      </c>
      <c r="G291" s="3">
        <v>96982.944000000003</v>
      </c>
      <c r="H291" s="3">
        <v>-9.9860000000000007</v>
      </c>
      <c r="I291" s="3">
        <v>3372614.5049999999</v>
      </c>
      <c r="J291" s="3">
        <v>654454.66299999994</v>
      </c>
      <c r="K291" s="3">
        <v>271.52956810000001</v>
      </c>
      <c r="L291" s="3">
        <v>272.27156810000002</v>
      </c>
      <c r="M291" s="3">
        <f t="shared" si="28"/>
        <v>0.6388997000000245</v>
      </c>
      <c r="N291" s="3">
        <f t="shared" si="26"/>
        <v>2.0688997000000313</v>
      </c>
      <c r="O291" s="3">
        <v>-13.4791971</v>
      </c>
      <c r="P291" s="1">
        <v>266.56799999999998</v>
      </c>
      <c r="Q291" s="3">
        <v>5.9862785000000001</v>
      </c>
      <c r="R291" s="3">
        <v>270.30976220000002</v>
      </c>
      <c r="S291" s="1">
        <v>267.745</v>
      </c>
      <c r="T291" s="3">
        <f t="shared" si="25"/>
        <v>3.7845681000000013</v>
      </c>
      <c r="U291" s="3">
        <f t="shared" si="20"/>
        <v>5.7035681000000409</v>
      </c>
      <c r="V291" s="3">
        <f t="shared" si="21"/>
        <v>1.9618059000000017</v>
      </c>
      <c r="W291" s="2">
        <f>VLOOKUP(B291,[1]CivilReport!$A$2:$E$342,5,FALSE)-H291</f>
        <v>0</v>
      </c>
    </row>
    <row r="292" spans="1:23" s="4" customFormat="1" ht="14.45" customHeight="1" x14ac:dyDescent="0.25">
      <c r="A292" s="2">
        <f t="shared" si="27"/>
        <v>97002.948999999993</v>
      </c>
      <c r="B292" s="3">
        <v>288000</v>
      </c>
      <c r="C292" s="3">
        <v>3372634.3695724001</v>
      </c>
      <c r="D292" s="3">
        <v>654444.49860199995</v>
      </c>
      <c r="E292" s="3">
        <v>270.81893179999997</v>
      </c>
      <c r="F292" s="3">
        <f t="shared" si="19"/>
        <v>270.13093179999998</v>
      </c>
      <c r="G292" s="3">
        <v>97002.948999999993</v>
      </c>
      <c r="H292" s="3">
        <v>-9.5790000000000006</v>
      </c>
      <c r="I292" s="3">
        <v>3372626.7149999999</v>
      </c>
      <c r="J292" s="3">
        <v>654438.73899999994</v>
      </c>
      <c r="K292" s="3">
        <v>271.43862369999999</v>
      </c>
      <c r="L292" s="3">
        <v>272.18062370000001</v>
      </c>
      <c r="M292" s="3">
        <f t="shared" si="28"/>
        <v>0.61969190000002072</v>
      </c>
      <c r="N292" s="3">
        <f t="shared" si="26"/>
        <v>2.0496919000000275</v>
      </c>
      <c r="O292" s="3">
        <v>-13.165392199999999</v>
      </c>
      <c r="P292" s="1">
        <v>266.64299999999997</v>
      </c>
      <c r="Q292" s="3">
        <v>5.8374755</v>
      </c>
      <c r="R292" s="3">
        <v>270.29298590000002</v>
      </c>
      <c r="S292" s="1">
        <v>267.64699999999999</v>
      </c>
      <c r="T292" s="3">
        <f t="shared" si="25"/>
        <v>3.7916237000000024</v>
      </c>
      <c r="U292" s="3">
        <f t="shared" si="20"/>
        <v>5.5376237000000401</v>
      </c>
      <c r="V292" s="3">
        <f t="shared" si="21"/>
        <v>1.8876377999999931</v>
      </c>
      <c r="W292" s="2">
        <f>VLOOKUP(B292,[1]CivilReport!$A$2:$E$342,5,FALSE)-H292</f>
        <v>0</v>
      </c>
    </row>
    <row r="293" spans="1:23" s="4" customFormat="1" ht="14.45" customHeight="1" x14ac:dyDescent="0.25">
      <c r="A293" s="2">
        <f t="shared" si="27"/>
        <v>97022.95</v>
      </c>
      <c r="B293" s="3">
        <v>288020</v>
      </c>
      <c r="C293" s="3">
        <v>3372646.2141085002</v>
      </c>
      <c r="D293" s="3">
        <v>654428.38317569997</v>
      </c>
      <c r="E293" s="3">
        <v>270.7686885</v>
      </c>
      <c r="F293" s="3">
        <f t="shared" si="19"/>
        <v>270.08068850000001</v>
      </c>
      <c r="G293" s="3">
        <v>97022.95</v>
      </c>
      <c r="H293" s="3">
        <v>-9.3040000000000003</v>
      </c>
      <c r="I293" s="3">
        <v>3372638.8289999999</v>
      </c>
      <c r="J293" s="3">
        <v>654422.72</v>
      </c>
      <c r="K293" s="3">
        <v>271.34768579999997</v>
      </c>
      <c r="L293" s="3">
        <v>272.08968579999998</v>
      </c>
      <c r="M293" s="3">
        <f t="shared" si="28"/>
        <v>0.57899729999996907</v>
      </c>
      <c r="N293" s="3">
        <f t="shared" si="26"/>
        <v>2.0089972999999759</v>
      </c>
      <c r="O293" s="3">
        <v>-12.7029728</v>
      </c>
      <c r="P293" s="1">
        <v>266.798</v>
      </c>
      <c r="Q293" s="3">
        <v>5.9336500999999995</v>
      </c>
      <c r="R293" s="3">
        <v>270.15287840000002</v>
      </c>
      <c r="S293" s="1">
        <v>267.476</v>
      </c>
      <c r="T293" s="3">
        <f t="shared" si="25"/>
        <v>3.8716857999999661</v>
      </c>
      <c r="U293" s="3">
        <f t="shared" si="20"/>
        <v>5.291685799999982</v>
      </c>
      <c r="V293" s="3">
        <f t="shared" si="21"/>
        <v>1.9368073999999638</v>
      </c>
      <c r="W293" s="2">
        <f>VLOOKUP(B293,[1]CivilReport!$A$2:$E$342,5,FALSE)-H293</f>
        <v>0</v>
      </c>
    </row>
    <row r="294" spans="1:23" s="4" customFormat="1" ht="14.45" customHeight="1" x14ac:dyDescent="0.25">
      <c r="A294" s="2">
        <f t="shared" si="27"/>
        <v>97042.951000000001</v>
      </c>
      <c r="B294" s="3">
        <v>288040</v>
      </c>
      <c r="C294" s="3">
        <v>3372658.0585282999</v>
      </c>
      <c r="D294" s="3">
        <v>654412.26766390004</v>
      </c>
      <c r="E294" s="3">
        <v>270.72989430000001</v>
      </c>
      <c r="F294" s="3">
        <f t="shared" si="19"/>
        <v>270.04189430000002</v>
      </c>
      <c r="G294" s="3">
        <v>97042.951000000001</v>
      </c>
      <c r="H294" s="3">
        <v>-9.1560000000000006</v>
      </c>
      <c r="I294" s="3">
        <v>3372650.8420000002</v>
      </c>
      <c r="J294" s="3">
        <v>654406.62600000005</v>
      </c>
      <c r="K294" s="3">
        <v>271.2567578</v>
      </c>
      <c r="L294" s="3">
        <v>271.99875780000002</v>
      </c>
      <c r="M294" s="3">
        <f t="shared" si="28"/>
        <v>0.52686349999999038</v>
      </c>
      <c r="N294" s="3">
        <f t="shared" si="26"/>
        <v>1.9568634999999972</v>
      </c>
      <c r="O294" s="3">
        <v>-12.271796399999999</v>
      </c>
      <c r="P294" s="1">
        <v>266.92899999999997</v>
      </c>
      <c r="Q294" s="3">
        <v>6.1548334999999996</v>
      </c>
      <c r="R294" s="3">
        <v>269.95092529999999</v>
      </c>
      <c r="S294" s="1">
        <v>267.37700000000001</v>
      </c>
      <c r="T294" s="3">
        <f t="shared" si="25"/>
        <v>3.879757799999993</v>
      </c>
      <c r="U294" s="3">
        <f t="shared" si="20"/>
        <v>5.0697578000000476</v>
      </c>
      <c r="V294" s="3">
        <f t="shared" si="21"/>
        <v>2.0478325000000268</v>
      </c>
      <c r="W294" s="2">
        <f>VLOOKUP(B294,[1]CivilReport!$A$2:$E$342,5,FALSE)-H294</f>
        <v>0</v>
      </c>
    </row>
    <row r="295" spans="1:23" s="4" customFormat="1" ht="14.45" customHeight="1" x14ac:dyDescent="0.25">
      <c r="A295" s="2">
        <f t="shared" si="27"/>
        <v>97062.941999999995</v>
      </c>
      <c r="B295" s="3">
        <v>288060</v>
      </c>
      <c r="C295" s="3">
        <v>3372669.8894484001</v>
      </c>
      <c r="D295" s="3">
        <v>654396.14224019996</v>
      </c>
      <c r="E295" s="3">
        <v>270.67396539999999</v>
      </c>
      <c r="F295" s="3">
        <f t="shared" si="19"/>
        <v>269.9859654</v>
      </c>
      <c r="G295" s="3">
        <v>97062.941999999995</v>
      </c>
      <c r="H295" s="3">
        <v>-9.0730000000000004</v>
      </c>
      <c r="I295" s="3">
        <v>3372662.7749999999</v>
      </c>
      <c r="J295" s="3">
        <v>654390.50199999998</v>
      </c>
      <c r="K295" s="3">
        <v>271.16587579999998</v>
      </c>
      <c r="L295" s="3">
        <v>271.9078758</v>
      </c>
      <c r="M295" s="3">
        <f t="shared" si="28"/>
        <v>0.49191039999999475</v>
      </c>
      <c r="N295" s="3">
        <f t="shared" si="26"/>
        <v>1.9219104000000016</v>
      </c>
      <c r="O295" s="3">
        <v>-11.914638099999999</v>
      </c>
      <c r="P295" s="1">
        <v>267.017</v>
      </c>
      <c r="Q295" s="3">
        <v>6.2163069000000002</v>
      </c>
      <c r="R295" s="3">
        <v>269.83082409999997</v>
      </c>
      <c r="S295" s="1">
        <v>267.154</v>
      </c>
      <c r="T295" s="3">
        <f t="shared" si="25"/>
        <v>4.0118757999999843</v>
      </c>
      <c r="U295" s="3">
        <f t="shared" si="20"/>
        <v>4.8908758000000034</v>
      </c>
      <c r="V295" s="3">
        <f t="shared" si="21"/>
        <v>2.0770517000000268</v>
      </c>
      <c r="W295" s="2">
        <f>VLOOKUP(B295,[1]CivilReport!$A$2:$E$342,5,FALSE)-H295</f>
        <v>0</v>
      </c>
    </row>
    <row r="296" spans="1:23" s="4" customFormat="1" ht="14.45" customHeight="1" x14ac:dyDescent="0.25">
      <c r="A296" s="2">
        <f t="shared" si="27"/>
        <v>97082.941999999995</v>
      </c>
      <c r="B296" s="3">
        <v>288080</v>
      </c>
      <c r="C296" s="3">
        <v>3372681.7184195002</v>
      </c>
      <c r="D296" s="3">
        <v>654380.01538550004</v>
      </c>
      <c r="E296" s="3">
        <v>270.6155627</v>
      </c>
      <c r="F296" s="3">
        <f t="shared" si="19"/>
        <v>269.92756270000001</v>
      </c>
      <c r="G296" s="3">
        <v>97082.941999999995</v>
      </c>
      <c r="H296" s="3">
        <v>-9.016</v>
      </c>
      <c r="I296" s="3">
        <v>3372674.682</v>
      </c>
      <c r="J296" s="3">
        <v>654374.36300000001</v>
      </c>
      <c r="K296" s="3">
        <v>271.07496329999998</v>
      </c>
      <c r="L296" s="3">
        <v>271.8169633</v>
      </c>
      <c r="M296" s="3">
        <f t="shared" si="28"/>
        <v>0.45940059999998084</v>
      </c>
      <c r="N296" s="3">
        <f t="shared" si="26"/>
        <v>1.8894005999999877</v>
      </c>
      <c r="O296" s="3">
        <v>-11.6465026</v>
      </c>
      <c r="P296" s="1">
        <v>267.00400000000002</v>
      </c>
      <c r="Q296" s="3">
        <v>6.2432708000000003</v>
      </c>
      <c r="R296" s="3">
        <v>269.72552660000002</v>
      </c>
      <c r="S296" s="1">
        <v>266.94200000000001</v>
      </c>
      <c r="T296" s="3">
        <f t="shared" si="25"/>
        <v>4.1329632999999717</v>
      </c>
      <c r="U296" s="3">
        <f t="shared" si="20"/>
        <v>4.8129632999999785</v>
      </c>
      <c r="V296" s="3">
        <f t="shared" si="21"/>
        <v>2.0914366999999743</v>
      </c>
      <c r="W296" s="2">
        <f>VLOOKUP(B296,[1]CivilReport!$A$2:$E$342,5,FALSE)-H296</f>
        <v>0</v>
      </c>
    </row>
    <row r="297" spans="1:23" s="4" customFormat="1" ht="14.45" customHeight="1" x14ac:dyDescent="0.25">
      <c r="A297" s="2">
        <f t="shared" si="27"/>
        <v>97102.956999999995</v>
      </c>
      <c r="B297" s="3">
        <v>288100</v>
      </c>
      <c r="C297" s="3">
        <v>3372693.5714556002</v>
      </c>
      <c r="D297" s="3">
        <v>654363.90621239995</v>
      </c>
      <c r="E297" s="3">
        <v>270.57230970000001</v>
      </c>
      <c r="F297" s="3">
        <f t="shared" si="19"/>
        <v>269.88430970000002</v>
      </c>
      <c r="G297" s="3">
        <v>97102.956999999995</v>
      </c>
      <c r="H297" s="3">
        <v>-8.9920000000000009</v>
      </c>
      <c r="I297" s="3">
        <v>3372686.5980000002</v>
      </c>
      <c r="J297" s="3">
        <v>654358.21200000006</v>
      </c>
      <c r="K297" s="3">
        <v>270.98399559999996</v>
      </c>
      <c r="L297" s="3">
        <v>271.72599559999998</v>
      </c>
      <c r="M297" s="3">
        <f t="shared" si="28"/>
        <v>0.4116858999999522</v>
      </c>
      <c r="N297" s="3">
        <f t="shared" si="26"/>
        <v>1.841685899999959</v>
      </c>
      <c r="O297" s="3">
        <v>-12.093672399999999</v>
      </c>
      <c r="P297" s="1">
        <v>266.69099999999997</v>
      </c>
      <c r="Q297" s="3">
        <v>6.0615569999999996</v>
      </c>
      <c r="R297" s="3">
        <v>269.72636720000003</v>
      </c>
      <c r="S297" s="1">
        <v>266.78699999999998</v>
      </c>
      <c r="T297" s="3">
        <f t="shared" si="25"/>
        <v>4.1969955999999797</v>
      </c>
      <c r="U297" s="3">
        <f t="shared" si="20"/>
        <v>5.034995600000002</v>
      </c>
      <c r="V297" s="3">
        <f t="shared" si="21"/>
        <v>1.9996283999999491</v>
      </c>
      <c r="W297" s="2">
        <f>VLOOKUP(B297,[1]CivilReport!$A$2:$E$342,5,FALSE)-H297</f>
        <v>0</v>
      </c>
    </row>
    <row r="298" spans="1:23" s="4" customFormat="1" ht="14.45" customHeight="1" x14ac:dyDescent="0.25">
      <c r="A298" s="2">
        <f t="shared" si="27"/>
        <v>97122.956999999995</v>
      </c>
      <c r="B298" s="3">
        <v>288120</v>
      </c>
      <c r="C298" s="3">
        <v>3372705.4265311998</v>
      </c>
      <c r="D298" s="3">
        <v>654347.79853769997</v>
      </c>
      <c r="E298" s="3">
        <v>270.53034059999999</v>
      </c>
      <c r="F298" s="3">
        <f t="shared" si="19"/>
        <v>269.8423406</v>
      </c>
      <c r="G298" s="3">
        <v>97122.956999999995</v>
      </c>
      <c r="H298" s="3">
        <v>-8.9700000000000006</v>
      </c>
      <c r="I298" s="3">
        <v>3372698.5040000002</v>
      </c>
      <c r="J298" s="3">
        <v>654342.07200000004</v>
      </c>
      <c r="K298" s="3">
        <v>270.89308649999998</v>
      </c>
      <c r="L298" s="3">
        <v>271.6350865</v>
      </c>
      <c r="M298" s="3">
        <f t="shared" si="28"/>
        <v>0.36274589999999307</v>
      </c>
      <c r="N298" s="3">
        <f t="shared" si="26"/>
        <v>1.7927458999999999</v>
      </c>
      <c r="O298" s="3">
        <v>-12.289465399999999</v>
      </c>
      <c r="P298" s="1">
        <v>266.54899999999998</v>
      </c>
      <c r="Q298" s="3">
        <v>5.8490836999999996</v>
      </c>
      <c r="R298" s="3">
        <v>269.74187799999999</v>
      </c>
      <c r="S298" s="1">
        <v>266.59399999999999</v>
      </c>
      <c r="T298" s="3">
        <f t="shared" si="25"/>
        <v>4.2990864999999872</v>
      </c>
      <c r="U298" s="3">
        <f t="shared" si="20"/>
        <v>5.0860865000000217</v>
      </c>
      <c r="V298" s="3">
        <f t="shared" si="21"/>
        <v>1.8932085000000143</v>
      </c>
      <c r="W298" s="2">
        <f>VLOOKUP(B298,[1]CivilReport!$A$2:$E$342,5,FALSE)-H298</f>
        <v>0</v>
      </c>
    </row>
    <row r="299" spans="1:23" s="4" customFormat="1" ht="14.45" customHeight="1" x14ac:dyDescent="0.25">
      <c r="A299" s="2">
        <f t="shared" ref="A299:A323" si="29">G299</f>
        <v>97142.962</v>
      </c>
      <c r="B299" s="3">
        <v>288140</v>
      </c>
      <c r="C299" s="3">
        <v>3372717.2880249</v>
      </c>
      <c r="D299" s="3">
        <v>654331.69558940001</v>
      </c>
      <c r="E299" s="3">
        <v>270.45748020000002</v>
      </c>
      <c r="F299" s="3">
        <f t="shared" si="19"/>
        <v>269.76948020000003</v>
      </c>
      <c r="G299" s="3">
        <v>97142.962</v>
      </c>
      <c r="H299" s="3">
        <v>-8.9559999999999995</v>
      </c>
      <c r="I299" s="3">
        <v>3372710.4130000002</v>
      </c>
      <c r="J299" s="3">
        <v>654325.929</v>
      </c>
      <c r="K299" s="3">
        <v>270.80215779999997</v>
      </c>
      <c r="L299" s="3">
        <v>271.54415779999999</v>
      </c>
      <c r="M299" s="3">
        <f t="shared" si="28"/>
        <v>0.34467759999995451</v>
      </c>
      <c r="N299" s="3">
        <f t="shared" si="26"/>
        <v>1.7746775999999613</v>
      </c>
      <c r="O299" s="3">
        <v>-12.006358799999999</v>
      </c>
      <c r="P299" s="1">
        <v>266.55099999999999</v>
      </c>
      <c r="Q299" s="3">
        <v>5.7300605000000004</v>
      </c>
      <c r="R299" s="3">
        <v>269.71046080000002</v>
      </c>
      <c r="S299" s="1">
        <v>266.74200000000002</v>
      </c>
      <c r="T299" s="3">
        <f t="shared" si="25"/>
        <v>4.0601577999999563</v>
      </c>
      <c r="U299" s="3">
        <f t="shared" si="20"/>
        <v>4.9931578000000059</v>
      </c>
      <c r="V299" s="3">
        <f t="shared" si="21"/>
        <v>1.8336969999999724</v>
      </c>
      <c r="W299" s="2">
        <f>VLOOKUP(B299,[1]CivilReport!$A$2:$E$342,5,FALSE)-H299</f>
        <v>0</v>
      </c>
    </row>
    <row r="300" spans="1:23" s="4" customFormat="1" ht="14.45" customHeight="1" x14ac:dyDescent="0.25">
      <c r="A300" s="2">
        <f t="shared" si="29"/>
        <v>97162.962</v>
      </c>
      <c r="B300" s="3">
        <v>288160</v>
      </c>
      <c r="C300" s="3">
        <v>3372729.1517149</v>
      </c>
      <c r="D300" s="3">
        <v>654315.59425840003</v>
      </c>
      <c r="E300" s="3">
        <v>270.3740487</v>
      </c>
      <c r="F300" s="3">
        <f t="shared" si="19"/>
        <v>269.68604870000001</v>
      </c>
      <c r="G300" s="3">
        <v>97162.962</v>
      </c>
      <c r="H300" s="3">
        <v>-8.9440000000000008</v>
      </c>
      <c r="I300" s="3">
        <v>3372722.3190000001</v>
      </c>
      <c r="J300" s="3">
        <v>654309.79</v>
      </c>
      <c r="K300" s="3">
        <v>270.71124849999995</v>
      </c>
      <c r="L300" s="3">
        <v>271.45324849999997</v>
      </c>
      <c r="M300" s="3">
        <f t="shared" ref="M300:M331" si="30">+K300-E300</f>
        <v>0.33719979999995076</v>
      </c>
      <c r="N300" s="3">
        <f t="shared" ref="N300:N331" si="31">+L300-F300</f>
        <v>1.7671997999999576</v>
      </c>
      <c r="O300" s="3">
        <v>-11.4519506</v>
      </c>
      <c r="P300" s="1">
        <v>266.73599999999999</v>
      </c>
      <c r="Q300" s="3">
        <v>5.7044496999999996</v>
      </c>
      <c r="R300" s="3">
        <v>269.63235700000001</v>
      </c>
      <c r="S300" s="1">
        <v>266.84699999999998</v>
      </c>
      <c r="T300" s="3">
        <f t="shared" si="25"/>
        <v>3.8642484999999738</v>
      </c>
      <c r="U300" s="3">
        <f t="shared" si="20"/>
        <v>4.7172484999999824</v>
      </c>
      <c r="V300" s="3">
        <f t="shared" si="21"/>
        <v>1.8208914999999593</v>
      </c>
      <c r="W300" s="2">
        <f>VLOOKUP(B300,[1]CivilReport!$A$2:$E$342,5,FALSE)-H300</f>
        <v>0</v>
      </c>
    </row>
    <row r="301" spans="1:23" s="4" customFormat="1" ht="14.45" customHeight="1" x14ac:dyDescent="0.25">
      <c r="A301" s="2">
        <f t="shared" si="29"/>
        <v>97182.96</v>
      </c>
      <c r="B301" s="3">
        <v>288180</v>
      </c>
      <c r="C301" s="3">
        <v>3372741.0140995001</v>
      </c>
      <c r="D301" s="3">
        <v>654299.49196570006</v>
      </c>
      <c r="E301" s="3">
        <v>270.29370160000002</v>
      </c>
      <c r="F301" s="3">
        <f t="shared" si="19"/>
        <v>269.60570160000003</v>
      </c>
      <c r="G301" s="3">
        <v>97182.96</v>
      </c>
      <c r="H301" s="3">
        <v>-8.93</v>
      </c>
      <c r="I301" s="3">
        <v>3372734.2239999999</v>
      </c>
      <c r="J301" s="3">
        <v>654293.652</v>
      </c>
      <c r="K301" s="3">
        <v>270.6203448</v>
      </c>
      <c r="L301" s="3">
        <v>271.36234480000002</v>
      </c>
      <c r="M301" s="3">
        <f t="shared" si="30"/>
        <v>0.32664319999997815</v>
      </c>
      <c r="N301" s="3">
        <f t="shared" si="31"/>
        <v>1.756643199999985</v>
      </c>
      <c r="O301" s="3">
        <v>-10.876148300000001</v>
      </c>
      <c r="P301" s="1">
        <v>266.92200000000003</v>
      </c>
      <c r="Q301" s="3">
        <v>5.6097289999999997</v>
      </c>
      <c r="R301" s="3">
        <v>269.58881359999998</v>
      </c>
      <c r="S301" s="1">
        <v>266.86799999999999</v>
      </c>
      <c r="T301" s="3">
        <f t="shared" si="25"/>
        <v>3.752344800000003</v>
      </c>
      <c r="U301" s="3">
        <f t="shared" si="20"/>
        <v>4.4403447999999912</v>
      </c>
      <c r="V301" s="3">
        <f t="shared" si="21"/>
        <v>1.7735312000000363</v>
      </c>
      <c r="W301" s="2">
        <f>VLOOKUP(B301,[1]CivilReport!$A$2:$E$342,5,FALSE)-H301</f>
        <v>0</v>
      </c>
    </row>
    <row r="302" spans="1:23" s="4" customFormat="1" ht="14.45" customHeight="1" x14ac:dyDescent="0.25">
      <c r="A302" s="2">
        <f t="shared" si="29"/>
        <v>97202.96</v>
      </c>
      <c r="B302" s="3">
        <v>288200</v>
      </c>
      <c r="C302" s="3">
        <v>3372752.8753809999</v>
      </c>
      <c r="D302" s="3">
        <v>654283.38886039995</v>
      </c>
      <c r="E302" s="3">
        <v>270.21596069999998</v>
      </c>
      <c r="F302" s="3">
        <f t="shared" si="19"/>
        <v>269.52796069999999</v>
      </c>
      <c r="G302" s="3">
        <v>97202.96</v>
      </c>
      <c r="H302" s="3">
        <v>-8.9149999999999991</v>
      </c>
      <c r="I302" s="3">
        <v>3372746.128</v>
      </c>
      <c r="J302" s="3">
        <v>654277.51500000001</v>
      </c>
      <c r="K302" s="3">
        <v>270.5294356</v>
      </c>
      <c r="L302" s="3">
        <v>271.27143560000002</v>
      </c>
      <c r="M302" s="3">
        <f t="shared" si="30"/>
        <v>0.31347490000001699</v>
      </c>
      <c r="N302" s="3">
        <f t="shared" si="31"/>
        <v>1.7434749000000238</v>
      </c>
      <c r="O302" s="3">
        <v>-10.140693000000001</v>
      </c>
      <c r="P302" s="1">
        <v>267.19</v>
      </c>
      <c r="Q302" s="3">
        <v>5.3850312999999996</v>
      </c>
      <c r="R302" s="3">
        <v>269.61025319999999</v>
      </c>
      <c r="S302" s="1">
        <v>266.702</v>
      </c>
      <c r="T302" s="3">
        <f t="shared" si="25"/>
        <v>3.8274356000000012</v>
      </c>
      <c r="U302" s="3">
        <f t="shared" si="20"/>
        <v>4.0814356000000203</v>
      </c>
      <c r="V302" s="3">
        <f t="shared" si="21"/>
        <v>1.6611824000000297</v>
      </c>
      <c r="W302" s="2">
        <f>VLOOKUP(B302,[1]CivilReport!$A$2:$E$342,5,FALSE)-H302</f>
        <v>0</v>
      </c>
    </row>
    <row r="303" spans="1:23" s="4" customFormat="1" ht="14.45" customHeight="1" x14ac:dyDescent="0.25">
      <c r="A303" s="2">
        <f t="shared" si="29"/>
        <v>97223</v>
      </c>
      <c r="B303" s="3">
        <v>288220</v>
      </c>
      <c r="C303" s="3">
        <v>3372764.7770305998</v>
      </c>
      <c r="D303" s="3">
        <v>654267.31563510001</v>
      </c>
      <c r="E303" s="3">
        <v>270.16879219999998</v>
      </c>
      <c r="F303" s="3">
        <f t="shared" si="19"/>
        <v>269.4807922</v>
      </c>
      <c r="G303" s="3">
        <v>97223</v>
      </c>
      <c r="H303" s="3">
        <v>-8.9550000000000001</v>
      </c>
      <c r="I303" s="3">
        <v>3372758.0469999998</v>
      </c>
      <c r="J303" s="3">
        <v>654261.36100000003</v>
      </c>
      <c r="K303" s="3">
        <v>270.4383522</v>
      </c>
      <c r="L303" s="3">
        <v>271.18035220000002</v>
      </c>
      <c r="M303" s="3">
        <f t="shared" si="30"/>
        <v>0.26956000000001268</v>
      </c>
      <c r="N303" s="3">
        <f t="shared" si="31"/>
        <v>1.6995600000000195</v>
      </c>
      <c r="O303" s="3">
        <v>-9.2221449999999994</v>
      </c>
      <c r="P303" s="1">
        <v>267.91399999999999</v>
      </c>
      <c r="Q303" s="3">
        <v>5.2558397000000001</v>
      </c>
      <c r="R303" s="3">
        <v>269.58376570000001</v>
      </c>
      <c r="S303" s="1">
        <v>266.13900000000001</v>
      </c>
      <c r="T303" s="3">
        <f t="shared" si="25"/>
        <v>4.2993521999999871</v>
      </c>
      <c r="U303" s="3">
        <f t="shared" si="20"/>
        <v>3.2663522000000285</v>
      </c>
      <c r="V303" s="3">
        <f t="shared" si="21"/>
        <v>1.5965865000000008</v>
      </c>
      <c r="W303" s="2">
        <f>VLOOKUP(B303,[1]CivilReport!$A$2:$E$342,5,FALSE)-H303</f>
        <v>0</v>
      </c>
    </row>
    <row r="304" spans="1:23" s="4" customFormat="1" ht="14.45" customHeight="1" x14ac:dyDescent="0.25">
      <c r="A304" s="2">
        <f t="shared" si="29"/>
        <v>97243.001999999993</v>
      </c>
      <c r="B304" s="3">
        <v>288240</v>
      </c>
      <c r="C304" s="3">
        <v>3372776.7133220001</v>
      </c>
      <c r="D304" s="3">
        <v>654251.26805119996</v>
      </c>
      <c r="E304" s="3">
        <v>270.14785949999998</v>
      </c>
      <c r="F304" s="3">
        <f t="shared" si="19"/>
        <v>269.45985949999999</v>
      </c>
      <c r="G304" s="3">
        <v>97243.001999999993</v>
      </c>
      <c r="H304" s="3">
        <v>-9.0030000000000001</v>
      </c>
      <c r="I304" s="3">
        <v>3372769.9339999999</v>
      </c>
      <c r="J304" s="3">
        <v>654245.29700000002</v>
      </c>
      <c r="K304" s="3">
        <v>270.34744129999996</v>
      </c>
      <c r="L304" s="3">
        <v>271.08944129999998</v>
      </c>
      <c r="M304" s="3">
        <f t="shared" si="30"/>
        <v>0.19958179999997583</v>
      </c>
      <c r="N304" s="3">
        <f t="shared" si="31"/>
        <v>1.6295817999999826</v>
      </c>
      <c r="O304" s="3">
        <v>-9.9910727999999995</v>
      </c>
      <c r="P304" s="1">
        <v>267.25599999999997</v>
      </c>
      <c r="Q304" s="3">
        <v>5.2468573999999997</v>
      </c>
      <c r="R304" s="3">
        <v>269.4975882</v>
      </c>
      <c r="S304" s="1">
        <v>267.14299999999997</v>
      </c>
      <c r="T304" s="3">
        <f t="shared" si="25"/>
        <v>3.2044412999999849</v>
      </c>
      <c r="U304" s="3">
        <f t="shared" si="20"/>
        <v>3.833441300000004</v>
      </c>
      <c r="V304" s="3">
        <f t="shared" si="21"/>
        <v>1.5918530999999803</v>
      </c>
      <c r="W304" s="2">
        <f>VLOOKUP(B304,[1]CivilReport!$A$2:$E$342,5,FALSE)-H304</f>
        <v>0</v>
      </c>
    </row>
    <row r="305" spans="1:23" s="4" customFormat="1" ht="14.45" customHeight="1" x14ac:dyDescent="0.25">
      <c r="A305" s="2">
        <f t="shared" si="29"/>
        <v>97263.123000000007</v>
      </c>
      <c r="B305" s="3">
        <v>288260</v>
      </c>
      <c r="C305" s="3">
        <v>3372788.8219971</v>
      </c>
      <c r="D305" s="3">
        <v>654235.35048120003</v>
      </c>
      <c r="E305" s="3">
        <v>270.10834060000002</v>
      </c>
      <c r="F305" s="3">
        <f t="shared" si="19"/>
        <v>269.42034060000003</v>
      </c>
      <c r="G305" s="3">
        <v>97263.123000000007</v>
      </c>
      <c r="H305" s="3">
        <v>-9.1910000000000007</v>
      </c>
      <c r="I305" s="3">
        <v>3372781.9410000001</v>
      </c>
      <c r="J305" s="3">
        <v>654229.21699999995</v>
      </c>
      <c r="K305" s="3">
        <v>270.25601549999999</v>
      </c>
      <c r="L305" s="3">
        <v>270.99801550000001</v>
      </c>
      <c r="M305" s="3">
        <f t="shared" si="30"/>
        <v>0.14767489999996997</v>
      </c>
      <c r="N305" s="3">
        <f t="shared" si="31"/>
        <v>1.5776748999999768</v>
      </c>
      <c r="O305" s="3">
        <v>-10.100349899999999</v>
      </c>
      <c r="P305" s="1">
        <v>266.84800000000001</v>
      </c>
      <c r="Q305" s="3">
        <v>5.001817</v>
      </c>
      <c r="R305" s="3">
        <v>269.52895239999998</v>
      </c>
      <c r="S305" s="1">
        <v>267.346</v>
      </c>
      <c r="T305" s="3">
        <f t="shared" si="25"/>
        <v>2.9100154999999859</v>
      </c>
      <c r="U305" s="3">
        <f t="shared" si="20"/>
        <v>4.150015499999995</v>
      </c>
      <c r="V305" s="3">
        <f t="shared" si="21"/>
        <v>1.469063100000028</v>
      </c>
      <c r="W305" s="2">
        <f>VLOOKUP(B305,[1]CivilReport!$A$2:$E$342,5,FALSE)-H305</f>
        <v>0</v>
      </c>
    </row>
    <row r="306" spans="1:23" s="4" customFormat="1" ht="14.45" customHeight="1" x14ac:dyDescent="0.25">
      <c r="A306" s="2">
        <f t="shared" si="29"/>
        <v>97283.202999999994</v>
      </c>
      <c r="B306" s="3">
        <v>288280</v>
      </c>
      <c r="C306" s="3">
        <v>3372800.9791639</v>
      </c>
      <c r="D306" s="3">
        <v>654219.46962300001</v>
      </c>
      <c r="E306" s="3">
        <v>270.06214360000001</v>
      </c>
      <c r="F306" s="3">
        <f t="shared" si="19"/>
        <v>269.37414360000002</v>
      </c>
      <c r="G306" s="3">
        <v>97283.202999999994</v>
      </c>
      <c r="H306" s="3">
        <v>-9.2910000000000004</v>
      </c>
      <c r="I306" s="3">
        <v>3372794.02</v>
      </c>
      <c r="J306" s="3">
        <v>654213.28399999999</v>
      </c>
      <c r="K306" s="3">
        <v>270.16475509999998</v>
      </c>
      <c r="L306" s="3">
        <v>270.9067551</v>
      </c>
      <c r="M306" s="3">
        <f t="shared" si="30"/>
        <v>0.10261149999996633</v>
      </c>
      <c r="N306" s="3">
        <f t="shared" si="31"/>
        <v>1.5326114999999731</v>
      </c>
      <c r="O306" s="3">
        <v>-8.7613462000000002</v>
      </c>
      <c r="P306" s="1">
        <v>267.822</v>
      </c>
      <c r="Q306" s="3">
        <v>4.8231967999999998</v>
      </c>
      <c r="R306" s="3">
        <v>269.52726469999999</v>
      </c>
      <c r="S306" s="1">
        <v>267.31900000000002</v>
      </c>
      <c r="T306" s="3">
        <f t="shared" si="25"/>
        <v>2.8457550999999626</v>
      </c>
      <c r="U306" s="3">
        <f t="shared" si="20"/>
        <v>3.0847550999999953</v>
      </c>
      <c r="V306" s="3">
        <f t="shared" si="21"/>
        <v>1.3794904000000088</v>
      </c>
      <c r="W306" s="2">
        <f>VLOOKUP(B306,[1]CivilReport!$A$2:$E$342,5,FALSE)-H306</f>
        <v>0</v>
      </c>
    </row>
    <row r="307" spans="1:23" s="4" customFormat="1" ht="14.45" customHeight="1" x14ac:dyDescent="0.25">
      <c r="A307" s="2">
        <f t="shared" si="29"/>
        <v>97303.203999999998</v>
      </c>
      <c r="B307" s="3">
        <v>288300</v>
      </c>
      <c r="C307" s="3">
        <v>3372813.2647847999</v>
      </c>
      <c r="D307" s="3">
        <v>654203.68787659996</v>
      </c>
      <c r="E307" s="3">
        <v>269.97880550000002</v>
      </c>
      <c r="F307" s="3">
        <f t="shared" si="19"/>
        <v>269.29080550000003</v>
      </c>
      <c r="G307" s="3">
        <v>97303.203999999998</v>
      </c>
      <c r="H307" s="3">
        <v>-9.3719999999999999</v>
      </c>
      <c r="I307" s="3">
        <v>3372806.1779999998</v>
      </c>
      <c r="J307" s="3">
        <v>654197.53599999996</v>
      </c>
      <c r="K307" s="3">
        <v>270.07384159999998</v>
      </c>
      <c r="L307" s="3">
        <v>270.8158416</v>
      </c>
      <c r="M307" s="3">
        <f t="shared" si="30"/>
        <v>9.5036099999958878E-2</v>
      </c>
      <c r="N307" s="3">
        <f t="shared" si="31"/>
        <v>1.5250360999999657</v>
      </c>
      <c r="O307" s="3">
        <v>-8.7050041</v>
      </c>
      <c r="P307" s="1">
        <v>267.56799999999998</v>
      </c>
      <c r="Q307" s="3">
        <v>4.9030693999999997</v>
      </c>
      <c r="R307" s="3">
        <v>269.39581959999998</v>
      </c>
      <c r="S307" s="1">
        <v>267.29300000000001</v>
      </c>
      <c r="T307" s="3">
        <f t="shared" si="25"/>
        <v>2.7808415999999738</v>
      </c>
      <c r="U307" s="3">
        <f t="shared" si="20"/>
        <v>3.2478416000000152</v>
      </c>
      <c r="V307" s="3">
        <f t="shared" si="21"/>
        <v>1.4200220000000172</v>
      </c>
      <c r="W307" s="2">
        <f>VLOOKUP(B307,[1]CivilReport!$A$2:$E$342,5,FALSE)-H307</f>
        <v>0</v>
      </c>
    </row>
    <row r="308" spans="1:23" s="4" customFormat="1" ht="14.45" customHeight="1" x14ac:dyDescent="0.25">
      <c r="A308" s="2">
        <f t="shared" si="29"/>
        <v>97323.285999999993</v>
      </c>
      <c r="B308" s="3">
        <v>288320</v>
      </c>
      <c r="C308" s="3">
        <v>3372825.6442585001</v>
      </c>
      <c r="D308" s="3">
        <v>654187.97985550005</v>
      </c>
      <c r="E308" s="3">
        <v>269.90984630000003</v>
      </c>
      <c r="F308" s="3">
        <f t="shared" si="19"/>
        <v>269.22184630000004</v>
      </c>
      <c r="G308" s="3">
        <v>97323.285999999993</v>
      </c>
      <c r="H308" s="3">
        <v>-9.3979999999999997</v>
      </c>
      <c r="I308" s="3">
        <v>3372818.5210000002</v>
      </c>
      <c r="J308" s="3">
        <v>654181.83600000001</v>
      </c>
      <c r="K308" s="3">
        <v>269.98256999999995</v>
      </c>
      <c r="L308" s="3">
        <v>270.72456999999997</v>
      </c>
      <c r="M308" s="3">
        <f t="shared" si="30"/>
        <v>7.2723699999926339E-2</v>
      </c>
      <c r="N308" s="3">
        <f t="shared" si="31"/>
        <v>1.5027236999999332</v>
      </c>
      <c r="O308" s="3">
        <v>-10.115613400000001</v>
      </c>
      <c r="P308" s="1">
        <v>266.71600000000001</v>
      </c>
      <c r="Q308" s="3">
        <v>4.9896365999999999</v>
      </c>
      <c r="R308" s="3">
        <v>269.26229430000001</v>
      </c>
      <c r="S308" s="1">
        <v>267.07499999999999</v>
      </c>
      <c r="T308" s="3">
        <f t="shared" si="25"/>
        <v>2.9075699999999642</v>
      </c>
      <c r="U308" s="3">
        <f t="shared" si="20"/>
        <v>4.0085699999999633</v>
      </c>
      <c r="V308" s="3">
        <f t="shared" si="21"/>
        <v>1.4622756999999638</v>
      </c>
      <c r="W308" s="2">
        <f>VLOOKUP(B308,[1]CivilReport!$A$2:$E$342,5,FALSE)-H308</f>
        <v>0</v>
      </c>
    </row>
    <row r="309" spans="1:23" s="4" customFormat="1" ht="14.45" customHeight="1" x14ac:dyDescent="0.25">
      <c r="A309" s="2">
        <f t="shared" si="29"/>
        <v>97343.285999999993</v>
      </c>
      <c r="B309" s="3">
        <v>288340</v>
      </c>
      <c r="C309" s="3">
        <v>3372838.0679044002</v>
      </c>
      <c r="D309" s="3">
        <v>654172.30653349997</v>
      </c>
      <c r="E309" s="3">
        <v>269.8476546</v>
      </c>
      <c r="F309" s="3">
        <f t="shared" si="19"/>
        <v>269.15965460000001</v>
      </c>
      <c r="G309" s="3">
        <v>97343.285999999993</v>
      </c>
      <c r="H309" s="3">
        <v>-9.3010000000000002</v>
      </c>
      <c r="I309" s="3">
        <v>3372830.9440000001</v>
      </c>
      <c r="J309" s="3">
        <v>654166.321</v>
      </c>
      <c r="K309" s="3">
        <v>269.89166039999998</v>
      </c>
      <c r="L309" s="3">
        <v>270.6336604</v>
      </c>
      <c r="M309" s="3">
        <f t="shared" si="30"/>
        <v>4.4005799999979445E-2</v>
      </c>
      <c r="N309" s="3">
        <f t="shared" si="31"/>
        <v>1.4740057999999863</v>
      </c>
      <c r="O309" s="3">
        <v>-10.1490657</v>
      </c>
      <c r="P309" s="1">
        <v>266.59100000000001</v>
      </c>
      <c r="Q309" s="3">
        <v>5.0086922999999999</v>
      </c>
      <c r="R309" s="3">
        <v>269.16288420000001</v>
      </c>
      <c r="S309" s="1">
        <v>267.22199999999998</v>
      </c>
      <c r="T309" s="3">
        <f t="shared" si="25"/>
        <v>2.6696603999999979</v>
      </c>
      <c r="U309" s="3">
        <f t="shared" si="20"/>
        <v>4.0426603999999884</v>
      </c>
      <c r="V309" s="3">
        <f t="shared" si="21"/>
        <v>1.4707761999999889</v>
      </c>
      <c r="W309" s="2">
        <f>VLOOKUP(B309,[1]CivilReport!$A$2:$E$342,5,FALSE)-H309</f>
        <v>0</v>
      </c>
    </row>
    <row r="310" spans="1:23" s="4" customFormat="1" ht="14.45" customHeight="1" x14ac:dyDescent="0.25">
      <c r="A310" s="2">
        <f t="shared" si="29"/>
        <v>97363.381999999998</v>
      </c>
      <c r="B310" s="3">
        <v>288360</v>
      </c>
      <c r="C310" s="3">
        <v>3372850.6459365999</v>
      </c>
      <c r="D310" s="3">
        <v>654156.75689289998</v>
      </c>
      <c r="E310" s="3">
        <v>269.80017709999998</v>
      </c>
      <c r="F310" s="3">
        <f t="shared" si="19"/>
        <v>269.1121771</v>
      </c>
      <c r="G310" s="3">
        <v>97363.381999999998</v>
      </c>
      <c r="H310" s="3">
        <v>-9.2260000000000009</v>
      </c>
      <c r="I310" s="3">
        <v>3372843.56</v>
      </c>
      <c r="J310" s="3">
        <v>654150.84600000002</v>
      </c>
      <c r="K310" s="3">
        <v>269.8003233</v>
      </c>
      <c r="L310" s="3">
        <v>270.54232330000002</v>
      </c>
      <c r="M310" s="3">
        <f t="shared" si="30"/>
        <v>1.4620000001741573E-4</v>
      </c>
      <c r="N310" s="3">
        <f t="shared" si="31"/>
        <v>1.4301462000000242</v>
      </c>
      <c r="O310" s="3">
        <v>-10.097680199999999</v>
      </c>
      <c r="P310" s="1">
        <v>266.529</v>
      </c>
      <c r="Q310" s="3">
        <v>4.9261546000000003</v>
      </c>
      <c r="R310" s="3">
        <v>269.11255449999999</v>
      </c>
      <c r="S310" s="1">
        <v>267.20999999999998</v>
      </c>
      <c r="T310" s="3">
        <f t="shared" si="25"/>
        <v>2.5903233000000228</v>
      </c>
      <c r="U310" s="3">
        <f t="shared" si="20"/>
        <v>4.0133233000000246</v>
      </c>
      <c r="V310" s="3">
        <f t="shared" si="21"/>
        <v>1.4297688000000335</v>
      </c>
      <c r="W310" s="2">
        <f>VLOOKUP(B310,[1]CivilReport!$A$2:$E$342,5,FALSE)-H310</f>
        <v>0</v>
      </c>
    </row>
    <row r="311" spans="1:23" s="4" customFormat="1" ht="14.45" customHeight="1" x14ac:dyDescent="0.25">
      <c r="A311" s="2">
        <f t="shared" si="29"/>
        <v>97383.445999999996</v>
      </c>
      <c r="B311" s="3">
        <v>288380</v>
      </c>
      <c r="C311" s="3">
        <v>3372863.2727208999</v>
      </c>
      <c r="D311" s="3">
        <v>654141.24690439994</v>
      </c>
      <c r="E311" s="3">
        <v>269.75663600000001</v>
      </c>
      <c r="F311" s="3">
        <f t="shared" si="19"/>
        <v>269.06863600000003</v>
      </c>
      <c r="G311" s="3">
        <v>97383.445999999996</v>
      </c>
      <c r="H311" s="3">
        <v>-9.0359999999999996</v>
      </c>
      <c r="I311" s="3">
        <v>3372856.304</v>
      </c>
      <c r="J311" s="3">
        <v>654135.49600000004</v>
      </c>
      <c r="K311" s="3">
        <v>269.70912799999996</v>
      </c>
      <c r="L311" s="3">
        <v>270.45112799999998</v>
      </c>
      <c r="M311" s="3">
        <f t="shared" si="30"/>
        <v>-4.7508000000050288E-2</v>
      </c>
      <c r="N311" s="3">
        <f t="shared" si="31"/>
        <v>1.3824919999999565</v>
      </c>
      <c r="O311" s="3">
        <v>-10.1121143</v>
      </c>
      <c r="P311" s="1">
        <v>266.42700000000002</v>
      </c>
      <c r="Q311" s="3">
        <v>4.8063925999999997</v>
      </c>
      <c r="R311" s="3">
        <v>269.08074199999999</v>
      </c>
      <c r="S311" s="1">
        <v>267.11500000000001</v>
      </c>
      <c r="T311" s="3">
        <f t="shared" si="25"/>
        <v>2.5941279999999551</v>
      </c>
      <c r="U311" s="3">
        <f t="shared" si="20"/>
        <v>4.024127999999962</v>
      </c>
      <c r="V311" s="3">
        <f t="shared" si="21"/>
        <v>1.3703859999999963</v>
      </c>
      <c r="W311" s="2">
        <f>VLOOKUP(B311,[1]CivilReport!$A$2:$E$342,5,FALSE)-H311</f>
        <v>0</v>
      </c>
    </row>
    <row r="312" spans="1:23" s="4" customFormat="1" ht="14.45" customHeight="1" x14ac:dyDescent="0.25">
      <c r="A312" s="2">
        <f t="shared" si="29"/>
        <v>97403.448999999993</v>
      </c>
      <c r="B312" s="3">
        <v>288400</v>
      </c>
      <c r="C312" s="3">
        <v>3372875.9653766002</v>
      </c>
      <c r="D312" s="3">
        <v>654125.79062770004</v>
      </c>
      <c r="E312" s="3">
        <v>269.7182517</v>
      </c>
      <c r="F312" s="3">
        <f t="shared" si="19"/>
        <v>269.03025170000001</v>
      </c>
      <c r="G312" s="3">
        <v>97403.448999999993</v>
      </c>
      <c r="H312" s="3">
        <v>-8.7650000000000006</v>
      </c>
      <c r="I312" s="3">
        <v>3372869.1609999998</v>
      </c>
      <c r="J312" s="3">
        <v>654120.26599999995</v>
      </c>
      <c r="K312" s="3">
        <v>269.61821069999996</v>
      </c>
      <c r="L312" s="3">
        <v>270.36021069999998</v>
      </c>
      <c r="M312" s="3">
        <f t="shared" si="30"/>
        <v>-0.10004100000003291</v>
      </c>
      <c r="N312" s="3">
        <f t="shared" si="31"/>
        <v>1.3299589999999739</v>
      </c>
      <c r="O312" s="3">
        <v>-9.8803006</v>
      </c>
      <c r="P312" s="1">
        <v>266.452</v>
      </c>
      <c r="Q312" s="3">
        <v>4.7456002999999995</v>
      </c>
      <c r="R312" s="3">
        <v>269.01967250000001</v>
      </c>
      <c r="S312" s="1">
        <v>267.16300000000001</v>
      </c>
      <c r="T312" s="3">
        <f t="shared" si="25"/>
        <v>2.4552106999999523</v>
      </c>
      <c r="U312" s="3">
        <f t="shared" si="20"/>
        <v>3.9082106999999837</v>
      </c>
      <c r="V312" s="3">
        <f t="shared" si="21"/>
        <v>1.340538199999969</v>
      </c>
      <c r="W312" s="2">
        <f>VLOOKUP(B312,[1]CivilReport!$A$2:$E$342,5,FALSE)-H312</f>
        <v>0</v>
      </c>
    </row>
    <row r="313" spans="1:23" s="4" customFormat="1" ht="14.45" customHeight="1" x14ac:dyDescent="0.25">
      <c r="A313" s="2">
        <f t="shared" si="29"/>
        <v>97423.505000000005</v>
      </c>
      <c r="B313" s="3">
        <v>288420</v>
      </c>
      <c r="C313" s="3">
        <v>3372888.7353067002</v>
      </c>
      <c r="D313" s="3">
        <v>654110.3982081</v>
      </c>
      <c r="E313" s="3">
        <v>269.72770589999999</v>
      </c>
      <c r="F313" s="3">
        <f t="shared" si="19"/>
        <v>269.0397059</v>
      </c>
      <c r="G313" s="3">
        <v>97423.505000000005</v>
      </c>
      <c r="H313" s="3">
        <v>-8.4779999999999998</v>
      </c>
      <c r="I313" s="3">
        <v>3372882.1740000001</v>
      </c>
      <c r="J313" s="3">
        <v>654105.02899999998</v>
      </c>
      <c r="K313" s="3">
        <v>269.52705309999999</v>
      </c>
      <c r="L313" s="3">
        <v>270.26905310000001</v>
      </c>
      <c r="M313" s="3">
        <f t="shared" si="30"/>
        <v>-0.2006528000000003</v>
      </c>
      <c r="N313" s="3">
        <f t="shared" si="31"/>
        <v>1.2293472000000065</v>
      </c>
      <c r="O313" s="3">
        <v>-9.6798991999999995</v>
      </c>
      <c r="P313" s="1">
        <v>266.46199999999999</v>
      </c>
      <c r="Q313" s="3">
        <v>4.5440398999999996</v>
      </c>
      <c r="R313" s="3">
        <v>269.02874539999999</v>
      </c>
      <c r="S313" s="1">
        <v>267.11399999999998</v>
      </c>
      <c r="T313" s="3">
        <f t="shared" si="25"/>
        <v>2.4130531000000133</v>
      </c>
      <c r="U313" s="3">
        <f t="shared" si="20"/>
        <v>3.8070531000000187</v>
      </c>
      <c r="V313" s="3">
        <f t="shared" si="21"/>
        <v>1.2403077000000167</v>
      </c>
      <c r="W313" s="2">
        <f>VLOOKUP(B313,[1]CivilReport!$A$2:$E$342,5,FALSE)-H313</f>
        <v>0</v>
      </c>
    </row>
    <row r="314" spans="1:23" s="4" customFormat="1" ht="14.45" customHeight="1" x14ac:dyDescent="0.25">
      <c r="A314" s="2">
        <f t="shared" si="29"/>
        <v>97443.58</v>
      </c>
      <c r="B314" s="3">
        <v>288440</v>
      </c>
      <c r="C314" s="3">
        <v>3372901.6121999999</v>
      </c>
      <c r="D314" s="3">
        <v>654095.09532079997</v>
      </c>
      <c r="E314" s="3">
        <v>269.67228260000002</v>
      </c>
      <c r="F314" s="3">
        <f t="shared" si="19"/>
        <v>268.98428260000003</v>
      </c>
      <c r="G314" s="3">
        <v>97443.58</v>
      </c>
      <c r="H314" s="3">
        <v>-8.2750000000000004</v>
      </c>
      <c r="I314" s="3">
        <v>3372895.2519999999</v>
      </c>
      <c r="J314" s="3">
        <v>654089.80000000005</v>
      </c>
      <c r="K314" s="3">
        <v>269.4358052</v>
      </c>
      <c r="L314" s="3">
        <v>270.17780520000002</v>
      </c>
      <c r="M314" s="3">
        <f t="shared" si="30"/>
        <v>-0.23647740000001249</v>
      </c>
      <c r="N314" s="3">
        <f t="shared" si="31"/>
        <v>1.1935225999999943</v>
      </c>
      <c r="O314" s="3">
        <v>-9.2434597000000007</v>
      </c>
      <c r="P314" s="1">
        <v>266.589</v>
      </c>
      <c r="Q314" s="3">
        <v>4.3485242</v>
      </c>
      <c r="R314" s="3">
        <v>269.03487639999997</v>
      </c>
      <c r="S314" s="1">
        <v>267.19200000000001</v>
      </c>
      <c r="T314" s="3">
        <f t="shared" si="25"/>
        <v>2.2438051999999971</v>
      </c>
      <c r="U314" s="3">
        <f t="shared" si="20"/>
        <v>3.5888052000000243</v>
      </c>
      <c r="V314" s="3">
        <f t="shared" si="21"/>
        <v>1.1429288000000497</v>
      </c>
      <c r="W314" s="2">
        <f>VLOOKUP(B314,[1]CivilReport!$A$2:$E$342,5,FALSE)-H314</f>
        <v>0</v>
      </c>
    </row>
    <row r="315" spans="1:23" s="4" customFormat="1" ht="14.45" customHeight="1" x14ac:dyDescent="0.25">
      <c r="A315" s="2">
        <f t="shared" si="29"/>
        <v>97463.635999999999</v>
      </c>
      <c r="B315" s="3">
        <v>288460</v>
      </c>
      <c r="C315" s="3">
        <v>3372914.5541524999</v>
      </c>
      <c r="D315" s="3">
        <v>654079.84726189997</v>
      </c>
      <c r="E315" s="3">
        <v>269.57513710000001</v>
      </c>
      <c r="F315" s="3">
        <f t="shared" si="19"/>
        <v>268.88713710000002</v>
      </c>
      <c r="G315" s="3">
        <v>97463.635999999999</v>
      </c>
      <c r="H315" s="3">
        <v>-8.1509999999999998</v>
      </c>
      <c r="I315" s="3">
        <v>3372908.3289999999</v>
      </c>
      <c r="J315" s="3">
        <v>654074.58400000003</v>
      </c>
      <c r="K315" s="3">
        <v>269.3446477</v>
      </c>
      <c r="L315" s="3">
        <v>270.08664770000001</v>
      </c>
      <c r="M315" s="3">
        <f t="shared" si="30"/>
        <v>-0.23048940000001039</v>
      </c>
      <c r="N315" s="3">
        <f t="shared" si="31"/>
        <v>1.1995105999999964</v>
      </c>
      <c r="O315" s="3">
        <v>-7.8684348000000002</v>
      </c>
      <c r="P315" s="1">
        <v>267.18400000000003</v>
      </c>
      <c r="Q315" s="3">
        <v>4.1876533</v>
      </c>
      <c r="R315" s="3">
        <v>269.02415430000002</v>
      </c>
      <c r="S315" s="1">
        <v>267.447</v>
      </c>
      <c r="T315" s="3">
        <f t="shared" si="25"/>
        <v>1.8976476999999932</v>
      </c>
      <c r="U315" s="3">
        <f t="shared" si="20"/>
        <v>2.9026476999999886</v>
      </c>
      <c r="V315" s="3">
        <f t="shared" si="21"/>
        <v>1.0624933999999939</v>
      </c>
      <c r="W315" s="2">
        <f>VLOOKUP(B315,[1]CivilReport!$A$2:$E$342,5,FALSE)-H315</f>
        <v>0</v>
      </c>
    </row>
    <row r="316" spans="1:23" s="4" customFormat="1" ht="14.45" customHeight="1" x14ac:dyDescent="0.25">
      <c r="A316" s="2">
        <f t="shared" si="29"/>
        <v>97483.635999999999</v>
      </c>
      <c r="B316" s="3">
        <v>288480</v>
      </c>
      <c r="C316" s="3">
        <v>3372927.5817527999</v>
      </c>
      <c r="D316" s="3">
        <v>654064.67222870002</v>
      </c>
      <c r="E316" s="3">
        <v>269.47232380000003</v>
      </c>
      <c r="F316" s="3">
        <f t="shared" si="19"/>
        <v>268.78432380000004</v>
      </c>
      <c r="G316" s="3">
        <v>97483.635999999999</v>
      </c>
      <c r="H316" s="3">
        <v>-8.14</v>
      </c>
      <c r="I316" s="3">
        <v>3372921.37</v>
      </c>
      <c r="J316" s="3">
        <v>654059.41099999996</v>
      </c>
      <c r="K316" s="3">
        <v>269.25373859999996</v>
      </c>
      <c r="L316" s="3">
        <v>269.99573859999998</v>
      </c>
      <c r="M316" s="3">
        <f t="shared" si="30"/>
        <v>-0.21858520000006365</v>
      </c>
      <c r="N316" s="3">
        <f t="shared" si="31"/>
        <v>1.2114147999999432</v>
      </c>
      <c r="O316" s="3">
        <v>-7.1634542999999997</v>
      </c>
      <c r="P316" s="1">
        <v>267.44499999999999</v>
      </c>
      <c r="Q316" s="3">
        <v>4.0306610000000003</v>
      </c>
      <c r="R316" s="3">
        <v>269.01174140000001</v>
      </c>
      <c r="S316" s="1">
        <v>267.56400000000002</v>
      </c>
      <c r="T316" s="3">
        <f t="shared" si="25"/>
        <v>1.6897385999999415</v>
      </c>
      <c r="U316" s="3">
        <f t="shared" si="20"/>
        <v>2.5507385999999883</v>
      </c>
      <c r="V316" s="3">
        <f t="shared" si="21"/>
        <v>0.98399719999997615</v>
      </c>
      <c r="W316" s="2">
        <f>VLOOKUP(B316,[1]CivilReport!$A$2:$E$342,5,FALSE)-H316</f>
        <v>0</v>
      </c>
    </row>
    <row r="317" spans="1:23" s="4" customFormat="1" ht="14.45" customHeight="1" x14ac:dyDescent="0.25">
      <c r="A317" s="2">
        <f t="shared" si="29"/>
        <v>97503.635999999999</v>
      </c>
      <c r="B317" s="3">
        <v>288500</v>
      </c>
      <c r="C317" s="3">
        <v>3372940.6094709001</v>
      </c>
      <c r="D317" s="3">
        <v>654049.49729670002</v>
      </c>
      <c r="E317" s="3">
        <v>269.38113929999997</v>
      </c>
      <c r="F317" s="3">
        <f t="shared" si="19"/>
        <v>268.69313929999998</v>
      </c>
      <c r="G317" s="3">
        <v>97503.635999999999</v>
      </c>
      <c r="H317" s="3">
        <v>-8.1319999999999997</v>
      </c>
      <c r="I317" s="3">
        <v>3372934.409</v>
      </c>
      <c r="J317" s="3">
        <v>654044.23600000003</v>
      </c>
      <c r="K317" s="3">
        <v>269.16282889999997</v>
      </c>
      <c r="L317" s="3">
        <v>269.90482889999998</v>
      </c>
      <c r="M317" s="3">
        <f t="shared" si="30"/>
        <v>-0.21831040000000712</v>
      </c>
      <c r="N317" s="3">
        <f t="shared" si="31"/>
        <v>1.2116895999999997</v>
      </c>
      <c r="O317" s="3">
        <v>-7.6300387000000001</v>
      </c>
      <c r="P317" s="1">
        <v>267.12299999999999</v>
      </c>
      <c r="Q317" s="3">
        <v>4.2762250999999996</v>
      </c>
      <c r="R317" s="3">
        <v>268.79795389999998</v>
      </c>
      <c r="S317" s="1">
        <v>267.53199999999998</v>
      </c>
      <c r="T317" s="3">
        <f t="shared" si="25"/>
        <v>1.6308288999999832</v>
      </c>
      <c r="U317" s="3">
        <f t="shared" si="20"/>
        <v>2.7818288999999936</v>
      </c>
      <c r="V317" s="3">
        <f t="shared" si="21"/>
        <v>1.1068750000000023</v>
      </c>
      <c r="W317" s="2">
        <f>VLOOKUP(B317,[1]CivilReport!$A$2:$E$342,5,FALSE)-H317</f>
        <v>0</v>
      </c>
    </row>
    <row r="318" spans="1:23" s="4" customFormat="1" ht="14.45" customHeight="1" x14ac:dyDescent="0.25">
      <c r="A318" s="2">
        <f t="shared" si="29"/>
        <v>97523.635999999999</v>
      </c>
      <c r="B318" s="3">
        <v>288520</v>
      </c>
      <c r="C318" s="3">
        <v>3372953.6373162</v>
      </c>
      <c r="D318" s="3">
        <v>654034.32247390004</v>
      </c>
      <c r="E318" s="3">
        <v>269.3024848</v>
      </c>
      <c r="F318" s="3">
        <f t="shared" si="19"/>
        <v>268.61448480000001</v>
      </c>
      <c r="G318" s="3">
        <v>97523.635999999999</v>
      </c>
      <c r="H318" s="3">
        <v>-8.1630000000000003</v>
      </c>
      <c r="I318" s="3">
        <v>3372947.4190000002</v>
      </c>
      <c r="J318" s="3">
        <v>654029.03399999999</v>
      </c>
      <c r="K318" s="3">
        <v>269.07191949999998</v>
      </c>
      <c r="L318" s="3">
        <v>269.8139195</v>
      </c>
      <c r="M318" s="3">
        <f t="shared" si="30"/>
        <v>-0.2305653000000234</v>
      </c>
      <c r="N318" s="3">
        <f t="shared" si="31"/>
        <v>1.1994346999999834</v>
      </c>
      <c r="O318" s="3">
        <v>-3.9706733000000001</v>
      </c>
      <c r="P318" s="3">
        <v>269.06799999999998</v>
      </c>
      <c r="Q318" s="3">
        <v>3.9554184000000001</v>
      </c>
      <c r="R318" s="3">
        <v>269.15524540000001</v>
      </c>
      <c r="S318" s="3">
        <v>268.76572970000001</v>
      </c>
      <c r="T318" s="3">
        <f t="shared" si="25"/>
        <v>0.30618979999997009</v>
      </c>
      <c r="U318" s="3">
        <f t="shared" si="20"/>
        <v>0.74591950000001361</v>
      </c>
      <c r="V318" s="3">
        <f t="shared" si="21"/>
        <v>0.65867409999998472</v>
      </c>
      <c r="W318" s="2">
        <f>VLOOKUP(B318,[1]CivilReport!$A$2:$E$342,5,FALSE)-H318</f>
        <v>0</v>
      </c>
    </row>
    <row r="319" spans="1:23" s="4" customFormat="1" ht="14.45" customHeight="1" x14ac:dyDescent="0.25">
      <c r="A319" s="2">
        <f t="shared" si="29"/>
        <v>97543.618000000002</v>
      </c>
      <c r="B319" s="3">
        <v>288540</v>
      </c>
      <c r="C319" s="3">
        <v>3372966.6366907</v>
      </c>
      <c r="D319" s="3">
        <v>654019.12326420005</v>
      </c>
      <c r="E319" s="3">
        <v>269.21100819999998</v>
      </c>
      <c r="F319" s="3">
        <f t="shared" si="19"/>
        <v>268.52300819999999</v>
      </c>
      <c r="G319" s="3">
        <v>97543.618000000002</v>
      </c>
      <c r="H319" s="3">
        <v>-8.2590000000000003</v>
      </c>
      <c r="I319" s="3">
        <v>3372960.3360000001</v>
      </c>
      <c r="J319" s="3">
        <v>654013.78300000005</v>
      </c>
      <c r="K319" s="3">
        <v>268.98109219999998</v>
      </c>
      <c r="L319" s="3">
        <v>269.7230922</v>
      </c>
      <c r="M319" s="3">
        <f t="shared" si="30"/>
        <v>-0.2299160000000029</v>
      </c>
      <c r="N319" s="3">
        <f t="shared" si="31"/>
        <v>1.2000840000000039</v>
      </c>
      <c r="O319" s="3">
        <v>-6.2643779000000004</v>
      </c>
      <c r="P319" s="3">
        <v>267.62299999999999</v>
      </c>
      <c r="Q319" s="3">
        <v>5.3582567000000001</v>
      </c>
      <c r="R319" s="3">
        <v>268.07417299999997</v>
      </c>
      <c r="S319" s="3">
        <v>267.19781210000002</v>
      </c>
      <c r="T319" s="3">
        <f t="shared" si="25"/>
        <v>1.7832800999999563</v>
      </c>
      <c r="U319" s="3">
        <f t="shared" si="20"/>
        <v>2.100092200000006</v>
      </c>
      <c r="V319" s="3">
        <f t="shared" si="21"/>
        <v>1.648919200000023</v>
      </c>
      <c r="W319" s="2">
        <f>VLOOKUP(B319,[1]CivilReport!$A$2:$E$342,5,FALSE)-H319</f>
        <v>0</v>
      </c>
    </row>
    <row r="320" spans="1:23" s="4" customFormat="1" ht="14.45" customHeight="1" x14ac:dyDescent="0.25">
      <c r="A320" s="2">
        <f t="shared" si="29"/>
        <v>97563.615999999995</v>
      </c>
      <c r="B320" s="3">
        <v>288560</v>
      </c>
      <c r="C320" s="3">
        <v>3372979.6272115</v>
      </c>
      <c r="D320" s="3">
        <v>654003.9164783</v>
      </c>
      <c r="E320" s="3">
        <v>269.149</v>
      </c>
      <c r="F320" s="3">
        <f t="shared" si="19"/>
        <v>268.46100000000001</v>
      </c>
      <c r="G320" s="3">
        <v>97563.615999999995</v>
      </c>
      <c r="H320" s="3">
        <v>-8.4979999999999993</v>
      </c>
      <c r="I320" s="3">
        <v>3372973.1439999999</v>
      </c>
      <c r="J320" s="3">
        <v>653998.42500000005</v>
      </c>
      <c r="K320" s="3">
        <v>268.89027549999997</v>
      </c>
      <c r="L320" s="3">
        <v>269.63227549999999</v>
      </c>
      <c r="M320" s="3">
        <f t="shared" si="30"/>
        <v>-0.258724500000028</v>
      </c>
      <c r="N320" s="3">
        <f t="shared" si="31"/>
        <v>1.1712754999999788</v>
      </c>
      <c r="O320" s="3">
        <v>-6.6516986999999999</v>
      </c>
      <c r="P320" s="3">
        <v>267.33999999999997</v>
      </c>
      <c r="Q320" s="3">
        <v>4.9675361999999996</v>
      </c>
      <c r="R320" s="3">
        <v>268.17983459999999</v>
      </c>
      <c r="S320" s="3">
        <v>266.9333034</v>
      </c>
      <c r="T320" s="3">
        <f t="shared" si="25"/>
        <v>1.9569720999999731</v>
      </c>
      <c r="U320" s="3">
        <f t="shared" si="20"/>
        <v>2.2922755000000166</v>
      </c>
      <c r="V320" s="3">
        <f t="shared" si="21"/>
        <v>1.4524408999999991</v>
      </c>
      <c r="W320" s="2">
        <f>VLOOKUP(B320,[1]CivilReport!$A$2:$E$342,5,FALSE)-H320</f>
        <v>0</v>
      </c>
    </row>
    <row r="321" spans="1:23" s="4" customFormat="1" ht="14.45" customHeight="1" x14ac:dyDescent="0.25">
      <c r="A321" s="2">
        <f t="shared" si="29"/>
        <v>97583.531000000003</v>
      </c>
      <c r="B321" s="3">
        <v>288580</v>
      </c>
      <c r="C321" s="3">
        <v>3372992.6119201998</v>
      </c>
      <c r="D321" s="3">
        <v>653988.70472819998</v>
      </c>
      <c r="E321" s="3">
        <v>269.149</v>
      </c>
      <c r="F321" s="3">
        <f t="shared" si="19"/>
        <v>268.46100000000001</v>
      </c>
      <c r="G321" s="3">
        <v>97583.531000000003</v>
      </c>
      <c r="H321" s="3">
        <v>-8.8800000000000008</v>
      </c>
      <c r="I321" s="3">
        <v>3372985.8119999999</v>
      </c>
      <c r="J321" s="3">
        <v>653982.98499999999</v>
      </c>
      <c r="K321" s="3">
        <v>268.8233826</v>
      </c>
      <c r="L321" s="3">
        <v>269.56538260000002</v>
      </c>
      <c r="M321" s="3">
        <f t="shared" si="30"/>
        <v>-0.32561739999999872</v>
      </c>
      <c r="N321" s="3">
        <f t="shared" si="31"/>
        <v>1.1043826000000081</v>
      </c>
      <c r="O321" s="3">
        <v>-5.3470063999999997</v>
      </c>
      <c r="P321" s="3">
        <v>267.923</v>
      </c>
      <c r="Q321" s="3">
        <v>4.3842739000000002</v>
      </c>
      <c r="R321" s="3">
        <v>268.40447139999998</v>
      </c>
      <c r="S321" s="3">
        <v>267.58206430000001</v>
      </c>
      <c r="T321" s="3">
        <f t="shared" si="25"/>
        <v>1.241318299999989</v>
      </c>
      <c r="U321" s="3">
        <f t="shared" si="20"/>
        <v>1.642382600000019</v>
      </c>
      <c r="V321" s="3">
        <f t="shared" si="21"/>
        <v>1.1609112000000437</v>
      </c>
      <c r="W321" s="2">
        <f>VLOOKUP(B321,[1]CivilReport!$A$2:$E$342,5,FALSE)-H321</f>
        <v>0</v>
      </c>
    </row>
    <row r="322" spans="1:23" s="4" customFormat="1" ht="14.45" customHeight="1" x14ac:dyDescent="0.25">
      <c r="A322" s="2">
        <f t="shared" si="29"/>
        <v>97603.53</v>
      </c>
      <c r="B322" s="3">
        <v>288600</v>
      </c>
      <c r="C322" s="3">
        <v>3373005.4362105001</v>
      </c>
      <c r="D322" s="3">
        <v>653973.35749540001</v>
      </c>
      <c r="E322" s="3">
        <v>268.99083250000001</v>
      </c>
      <c r="F322" s="3">
        <f t="shared" si="19"/>
        <v>268.30283250000002</v>
      </c>
      <c r="G322" s="3">
        <v>97603.53</v>
      </c>
      <c r="H322" s="3">
        <v>-9.2279999999999998</v>
      </c>
      <c r="I322" s="3">
        <v>3372998.3420000002</v>
      </c>
      <c r="J322" s="3">
        <v>653967.46200000006</v>
      </c>
      <c r="K322" s="3">
        <v>268.78899999999999</v>
      </c>
      <c r="L322" s="3">
        <v>269.53100000000001</v>
      </c>
      <c r="M322" s="3">
        <f t="shared" si="30"/>
        <v>-0.20183250000002317</v>
      </c>
      <c r="N322" s="3">
        <f t="shared" si="31"/>
        <v>1.2281674999999836</v>
      </c>
      <c r="O322" s="3">
        <v>-4.4536204999999995</v>
      </c>
      <c r="P322" s="3">
        <v>268.32100000000003</v>
      </c>
      <c r="Q322" s="3">
        <v>3.8705471</v>
      </c>
      <c r="R322" s="3">
        <v>268.61307870000002</v>
      </c>
      <c r="S322" s="3">
        <v>268.44259349999999</v>
      </c>
      <c r="T322" s="3">
        <f t="shared" si="25"/>
        <v>0.34640650000000051</v>
      </c>
      <c r="U322" s="3">
        <f t="shared" si="20"/>
        <v>1.2099999999999795</v>
      </c>
      <c r="V322" s="3">
        <f t="shared" si="21"/>
        <v>0.91792129999998906</v>
      </c>
      <c r="W322" s="2">
        <f>VLOOKUP(B322,[1]CivilReport!$A$2:$E$342,5,FALSE)-H322</f>
        <v>0</v>
      </c>
    </row>
    <row r="323" spans="1:23" s="4" customFormat="1" ht="14.45" customHeight="1" x14ac:dyDescent="0.25">
      <c r="A323" s="2">
        <f t="shared" si="29"/>
        <v>97623.434999999998</v>
      </c>
      <c r="B323" s="3">
        <v>288620</v>
      </c>
      <c r="C323" s="3">
        <v>3373018.1584303002</v>
      </c>
      <c r="D323" s="3">
        <v>653957.92587969999</v>
      </c>
      <c r="E323" s="3">
        <v>268.88205470000003</v>
      </c>
      <c r="F323" s="3">
        <f t="shared" si="19"/>
        <v>268.19405470000004</v>
      </c>
      <c r="G323" s="3">
        <v>97623.434999999998</v>
      </c>
      <c r="H323" s="3">
        <v>-9.5860000000000003</v>
      </c>
      <c r="I323" s="3">
        <v>3373010.7239999999</v>
      </c>
      <c r="J323" s="3">
        <v>653951.87199999997</v>
      </c>
      <c r="K323" s="3">
        <v>268.7498166222818</v>
      </c>
      <c r="L323" s="3">
        <v>269.49181662228182</v>
      </c>
      <c r="M323" s="3">
        <f t="shared" si="30"/>
        <v>-0.13223807771822749</v>
      </c>
      <c r="N323" s="3">
        <f t="shared" si="31"/>
        <v>1.2977619222817793</v>
      </c>
      <c r="O323" s="3">
        <v>-4.4982357000000004</v>
      </c>
      <c r="P323" s="3">
        <v>268.25099999999998</v>
      </c>
      <c r="Q323" s="3">
        <v>3.8779472999999998</v>
      </c>
      <c r="R323" s="3">
        <v>268.56136780000003</v>
      </c>
      <c r="S323" s="3">
        <v>268.47897510000001</v>
      </c>
      <c r="T323" s="3">
        <f t="shared" si="25"/>
        <v>0.27084152228178482</v>
      </c>
      <c r="U323" s="3">
        <f t="shared" si="20"/>
        <v>1.2408166222818409</v>
      </c>
      <c r="V323" s="3">
        <f t="shared" si="21"/>
        <v>0.93044882228178949</v>
      </c>
      <c r="W323" s="2">
        <f>VLOOKUP(B323,[1]CivilReport!$A$2:$E$342,5,FALSE)-H323</f>
        <v>0</v>
      </c>
    </row>
    <row r="324" spans="1:23" s="4" customFormat="1" ht="14.45" customHeight="1" x14ac:dyDescent="0.25">
      <c r="A324" s="2">
        <f t="shared" ref="A324:A344" si="32">G324</f>
        <v>97643.437000000005</v>
      </c>
      <c r="B324" s="3">
        <v>288640</v>
      </c>
      <c r="C324" s="3">
        <v>3373030.8202960002</v>
      </c>
      <c r="D324" s="3">
        <v>653942.44436960004</v>
      </c>
      <c r="E324" s="3">
        <v>268.80255290000002</v>
      </c>
      <c r="F324" s="3">
        <f t="shared" si="19"/>
        <v>268.11455290000004</v>
      </c>
      <c r="G324" s="3">
        <v>97643.437000000005</v>
      </c>
      <c r="H324" s="3">
        <v>-10.035</v>
      </c>
      <c r="I324" s="3">
        <v>3373023.04</v>
      </c>
      <c r="J324" s="3">
        <v>653936.10499999998</v>
      </c>
      <c r="K324" s="3">
        <v>268.71043633984408</v>
      </c>
      <c r="L324" s="3">
        <v>269.4524363398441</v>
      </c>
      <c r="M324" s="3">
        <f t="shared" si="30"/>
        <v>-9.2116560155943716E-2</v>
      </c>
      <c r="N324" s="3">
        <f t="shared" si="31"/>
        <v>1.3378834398440631</v>
      </c>
      <c r="O324" s="3">
        <v>-5.4410406</v>
      </c>
      <c r="P324" s="3">
        <v>267.733</v>
      </c>
      <c r="Q324" s="3">
        <v>4.2846688000000004</v>
      </c>
      <c r="R324" s="3">
        <v>268.30976900000002</v>
      </c>
      <c r="S324" s="3">
        <v>267.9452081</v>
      </c>
      <c r="T324" s="3">
        <f t="shared" si="25"/>
        <v>0.76522823984407751</v>
      </c>
      <c r="U324" s="3">
        <f t="shared" si="20"/>
        <v>1.7194363398440942</v>
      </c>
      <c r="V324" s="3">
        <f t="shared" si="21"/>
        <v>1.1426673398440812</v>
      </c>
      <c r="W324" s="2">
        <f>VLOOKUP(B324,[1]CivilReport!$A$2:$E$342,5,FALSE)-H324</f>
        <v>0</v>
      </c>
    </row>
    <row r="325" spans="1:23" s="4" customFormat="1" ht="14.45" customHeight="1" x14ac:dyDescent="0.25">
      <c r="A325" s="2">
        <f t="shared" si="32"/>
        <v>97663.305999999997</v>
      </c>
      <c r="B325" s="3">
        <v>288660</v>
      </c>
      <c r="C325" s="3">
        <v>3373043.3754504002</v>
      </c>
      <c r="D325" s="3">
        <v>653926.87676230003</v>
      </c>
      <c r="E325" s="3">
        <v>268.75173990000002</v>
      </c>
      <c r="F325" s="3">
        <f t="shared" si="19"/>
        <v>268.06373990000003</v>
      </c>
      <c r="G325" s="3">
        <v>97663.305999999997</v>
      </c>
      <c r="H325" s="3">
        <v>-10.503</v>
      </c>
      <c r="I325" s="3">
        <v>3373035.1490000002</v>
      </c>
      <c r="J325" s="3">
        <v>653920.34699999995</v>
      </c>
      <c r="K325" s="3">
        <v>268.6713240305229</v>
      </c>
      <c r="L325" s="3">
        <v>269.41332403052292</v>
      </c>
      <c r="M325" s="3">
        <f t="shared" si="30"/>
        <v>-8.041586947712176E-2</v>
      </c>
      <c r="N325" s="3">
        <f t="shared" si="31"/>
        <v>1.3495841305228851</v>
      </c>
      <c r="O325" s="3">
        <v>-6.6941898000000002</v>
      </c>
      <c r="P325" s="3">
        <v>267.06400000000002</v>
      </c>
      <c r="Q325" s="3">
        <v>4.6829434000000001</v>
      </c>
      <c r="R325" s="3">
        <v>268.06274530000002</v>
      </c>
      <c r="S325" s="3">
        <v>267.09921209999999</v>
      </c>
      <c r="T325" s="3">
        <f t="shared" ref="T325:T344" si="33">K325-S325</f>
        <v>1.5721119305229081</v>
      </c>
      <c r="U325" s="3">
        <f t="shared" si="20"/>
        <v>2.3493240305228937</v>
      </c>
      <c r="V325" s="3">
        <f t="shared" si="21"/>
        <v>1.3505787305228978</v>
      </c>
      <c r="W325" s="2">
        <f>VLOOKUP(B325,[1]CivilReport!$A$2:$E$342,5,FALSE)-H325</f>
        <v>0</v>
      </c>
    </row>
    <row r="326" spans="1:23" s="4" customFormat="1" ht="14.45" customHeight="1" x14ac:dyDescent="0.25">
      <c r="A326" s="2">
        <f t="shared" si="32"/>
        <v>97683.312000000005</v>
      </c>
      <c r="B326" s="3">
        <v>288680</v>
      </c>
      <c r="C326" s="3">
        <v>3373055.8301371001</v>
      </c>
      <c r="D326" s="3">
        <v>653911.22809530003</v>
      </c>
      <c r="E326" s="3">
        <v>268.727937</v>
      </c>
      <c r="F326" s="3">
        <f t="shared" si="19"/>
        <v>268.03993700000001</v>
      </c>
      <c r="G326" s="3">
        <v>97683.312000000005</v>
      </c>
      <c r="H326" s="3">
        <v>-11.004</v>
      </c>
      <c r="I326" s="3">
        <v>3373047.2149999999</v>
      </c>
      <c r="J326" s="3">
        <v>653904.38399999996</v>
      </c>
      <c r="K326" s="3">
        <v>268.63194124398245</v>
      </c>
      <c r="L326" s="3">
        <v>269.37394124398247</v>
      </c>
      <c r="M326" s="3">
        <f t="shared" si="30"/>
        <v>-9.5995756017543954E-2</v>
      </c>
      <c r="N326" s="3">
        <f t="shared" si="31"/>
        <v>1.3340042439824629</v>
      </c>
      <c r="O326" s="3">
        <v>-6.6202921999999997</v>
      </c>
      <c r="P326" s="3">
        <v>267.05500000000001</v>
      </c>
      <c r="Q326" s="3">
        <v>4.8927037000000002</v>
      </c>
      <c r="R326" s="3">
        <v>267.90963529999999</v>
      </c>
      <c r="S326" s="3">
        <v>267.42396389999999</v>
      </c>
      <c r="T326" s="3">
        <f t="shared" si="33"/>
        <v>1.2079773439824635</v>
      </c>
      <c r="U326" s="3">
        <f t="shared" si="20"/>
        <v>2.318941243982465</v>
      </c>
      <c r="V326" s="3">
        <f t="shared" si="21"/>
        <v>1.464305943982481</v>
      </c>
      <c r="W326" s="2">
        <f>VLOOKUP(B326,[1]CivilReport!$A$2:$E$342,5,FALSE)-H326</f>
        <v>0</v>
      </c>
    </row>
    <row r="327" spans="1:23" s="4" customFormat="1" ht="14.45" customHeight="1" x14ac:dyDescent="0.25">
      <c r="A327" s="2">
        <f t="shared" si="32"/>
        <v>97703.240999999995</v>
      </c>
      <c r="B327" s="3">
        <v>288700</v>
      </c>
      <c r="C327" s="3">
        <v>3373068.2158721001</v>
      </c>
      <c r="D327" s="3">
        <v>653895.52494509995</v>
      </c>
      <c r="E327" s="3">
        <v>268.72202019999997</v>
      </c>
      <c r="F327" s="3">
        <f t="shared" si="19"/>
        <v>268.03402019999999</v>
      </c>
      <c r="G327" s="3">
        <v>97703.240999999995</v>
      </c>
      <c r="H327" s="3">
        <v>-11.573</v>
      </c>
      <c r="I327" s="3">
        <v>3373059.1060000001</v>
      </c>
      <c r="J327" s="3">
        <v>653888.38699999999</v>
      </c>
      <c r="K327" s="3">
        <v>268.59271001588843</v>
      </c>
      <c r="L327" s="3">
        <v>269.33471001588845</v>
      </c>
      <c r="M327" s="3">
        <f t="shared" si="30"/>
        <v>-0.12931018411154582</v>
      </c>
      <c r="N327" s="3">
        <f t="shared" si="31"/>
        <v>1.300689815888461</v>
      </c>
      <c r="O327" s="3">
        <v>-6.2715835000000002</v>
      </c>
      <c r="P327" s="3">
        <v>267.178</v>
      </c>
      <c r="Q327" s="3">
        <v>5.0691141000000002</v>
      </c>
      <c r="R327" s="3">
        <v>267.77359580000001</v>
      </c>
      <c r="S327" s="3">
        <v>266.9773174</v>
      </c>
      <c r="T327" s="3">
        <f t="shared" si="33"/>
        <v>1.6153926158884246</v>
      </c>
      <c r="U327" s="3">
        <f t="shared" si="20"/>
        <v>2.15671001588845</v>
      </c>
      <c r="V327" s="3">
        <f t="shared" si="21"/>
        <v>1.5611142158884377</v>
      </c>
      <c r="W327" s="2">
        <f>VLOOKUP(B327,[1]CivilReport!$A$2:$E$342,5,FALSE)-H327</f>
        <v>0</v>
      </c>
    </row>
    <row r="328" spans="1:23" s="4" customFormat="1" ht="14.45" customHeight="1" x14ac:dyDescent="0.25">
      <c r="A328" s="2">
        <f t="shared" si="32"/>
        <v>97723.251999999993</v>
      </c>
      <c r="B328" s="3">
        <v>288720</v>
      </c>
      <c r="C328" s="3">
        <v>3373080.5601550001</v>
      </c>
      <c r="D328" s="3">
        <v>653879.78904089995</v>
      </c>
      <c r="E328" s="3">
        <v>268.72685610000002</v>
      </c>
      <c r="F328" s="3">
        <f t="shared" si="19"/>
        <v>268.03885610000003</v>
      </c>
      <c r="G328" s="3">
        <v>97723.251999999993</v>
      </c>
      <c r="H328" s="3">
        <v>-12.25</v>
      </c>
      <c r="I328" s="3">
        <v>3373070.9190000002</v>
      </c>
      <c r="J328" s="3">
        <v>653872.23</v>
      </c>
      <c r="K328" s="3">
        <v>268.5533170144127</v>
      </c>
      <c r="L328" s="3">
        <v>269.29531701441272</v>
      </c>
      <c r="M328" s="3">
        <f t="shared" si="30"/>
        <v>-0.17353908558732201</v>
      </c>
      <c r="N328" s="3">
        <f t="shared" si="31"/>
        <v>1.2564609144126848</v>
      </c>
      <c r="O328" s="3">
        <v>-5.8556290000000004</v>
      </c>
      <c r="P328" s="3">
        <v>267.32900000000001</v>
      </c>
      <c r="Q328" s="3">
        <v>4.6941344000000003</v>
      </c>
      <c r="R328" s="3">
        <v>267.91542720000001</v>
      </c>
      <c r="S328" s="3">
        <v>267.55718150000001</v>
      </c>
      <c r="T328" s="3">
        <f t="shared" si="33"/>
        <v>0.99613551441268555</v>
      </c>
      <c r="U328" s="3">
        <f t="shared" si="20"/>
        <v>1.9663170144127093</v>
      </c>
      <c r="V328" s="3">
        <f t="shared" si="21"/>
        <v>1.3798898144127065</v>
      </c>
      <c r="W328" s="2">
        <f>VLOOKUP(B328,[1]CivilReport!$A$2:$E$342,5,FALSE)-H328</f>
        <v>0</v>
      </c>
    </row>
    <row r="329" spans="1:23" s="4" customFormat="1" ht="14.45" customHeight="1" x14ac:dyDescent="0.25">
      <c r="A329" s="2">
        <f t="shared" si="32"/>
        <v>97743.104000000007</v>
      </c>
      <c r="B329" s="3">
        <v>288740</v>
      </c>
      <c r="C329" s="3">
        <v>3373092.7181830001</v>
      </c>
      <c r="D329" s="3">
        <v>653863.90884399996</v>
      </c>
      <c r="E329" s="3">
        <v>268.76936289999998</v>
      </c>
      <c r="F329" s="3">
        <f t="shared" si="19"/>
        <v>268.08136289999999</v>
      </c>
      <c r="G329" s="3">
        <v>97743.104000000007</v>
      </c>
      <c r="H329" s="3">
        <v>-12.808</v>
      </c>
      <c r="I329" s="3">
        <v>3373082.5419999999</v>
      </c>
      <c r="J329" s="3">
        <v>653856.12800000003</v>
      </c>
      <c r="K329" s="3">
        <v>268.51422428393215</v>
      </c>
      <c r="L329" s="3">
        <v>269.25622428393217</v>
      </c>
      <c r="M329" s="3">
        <f t="shared" si="30"/>
        <v>-0.25513861606782484</v>
      </c>
      <c r="N329" s="3">
        <f t="shared" si="31"/>
        <v>1.174861383932182</v>
      </c>
      <c r="O329" s="3">
        <v>-5.2628620000000002</v>
      </c>
      <c r="P329" s="3">
        <v>267.59199999999998</v>
      </c>
      <c r="Q329" s="3">
        <v>4.6317842000000002</v>
      </c>
      <c r="R329" s="3">
        <v>267.89853840000001</v>
      </c>
      <c r="S329" s="3">
        <v>267.27750630000003</v>
      </c>
      <c r="T329" s="3">
        <f t="shared" si="33"/>
        <v>1.2367179839321238</v>
      </c>
      <c r="U329" s="3">
        <f t="shared" si="20"/>
        <v>1.6642242839321852</v>
      </c>
      <c r="V329" s="3">
        <f t="shared" si="21"/>
        <v>1.3576858839321631</v>
      </c>
      <c r="W329" s="2">
        <f>VLOOKUP(B329,[1]CivilReport!$A$2:$E$342,5,FALSE)-H329</f>
        <v>0</v>
      </c>
    </row>
    <row r="330" spans="1:23" s="4" customFormat="1" ht="14.45" customHeight="1" x14ac:dyDescent="0.25">
      <c r="A330" s="2">
        <f t="shared" si="32"/>
        <v>97763.01</v>
      </c>
      <c r="B330" s="3">
        <v>288760</v>
      </c>
      <c r="C330" s="3">
        <v>3373104.8176485002</v>
      </c>
      <c r="D330" s="3">
        <v>653847.98412499996</v>
      </c>
      <c r="E330" s="3">
        <v>268.80450020000001</v>
      </c>
      <c r="F330" s="3">
        <f t="shared" si="19"/>
        <v>268.11650020000002</v>
      </c>
      <c r="G330" s="3">
        <v>97763.01</v>
      </c>
      <c r="H330" s="3">
        <v>-13.365</v>
      </c>
      <c r="I330" s="3">
        <v>3373094.1439999999</v>
      </c>
      <c r="J330" s="3">
        <v>653839.95499999996</v>
      </c>
      <c r="K330" s="3">
        <v>268.47504725237525</v>
      </c>
      <c r="L330" s="3">
        <v>269.21704725237527</v>
      </c>
      <c r="M330" s="3">
        <f t="shared" si="30"/>
        <v>-0.32945294762475896</v>
      </c>
      <c r="N330" s="3">
        <f t="shared" si="31"/>
        <v>1.1005470523752479</v>
      </c>
      <c r="O330" s="3">
        <v>-5.3448038999999996</v>
      </c>
      <c r="P330" s="3">
        <v>267.48500000000001</v>
      </c>
      <c r="Q330" s="3">
        <v>5.0575945999999998</v>
      </c>
      <c r="R330" s="3">
        <v>267.63854300000003</v>
      </c>
      <c r="S330" s="3">
        <v>267.25922489999999</v>
      </c>
      <c r="T330" s="3">
        <f t="shared" si="33"/>
        <v>1.2158223523752554</v>
      </c>
      <c r="U330" s="3">
        <f t="shared" si="20"/>
        <v>1.7320472523752528</v>
      </c>
      <c r="V330" s="3">
        <f t="shared" si="21"/>
        <v>1.5785042523752395</v>
      </c>
      <c r="W330" s="2">
        <f>VLOOKUP(B330,[1]CivilReport!$A$2:$E$342,5,FALSE)-H330</f>
        <v>0</v>
      </c>
    </row>
    <row r="331" spans="1:23" s="4" customFormat="1" ht="14.45" customHeight="1" x14ac:dyDescent="0.25">
      <c r="A331" s="2">
        <f t="shared" si="32"/>
        <v>97783.016000000003</v>
      </c>
      <c r="B331" s="3">
        <v>288780</v>
      </c>
      <c r="C331" s="3">
        <v>3373116.8419420002</v>
      </c>
      <c r="D331" s="3">
        <v>653832.00237400003</v>
      </c>
      <c r="E331" s="3">
        <v>268.82751259999998</v>
      </c>
      <c r="F331" s="3">
        <f t="shared" si="19"/>
        <v>268.13951259999999</v>
      </c>
      <c r="G331" s="3">
        <v>97783.016000000003</v>
      </c>
      <c r="H331" s="3">
        <v>-13.824</v>
      </c>
      <c r="I331" s="3">
        <v>3373105.7969999998</v>
      </c>
      <c r="J331" s="3">
        <v>653823.69400000002</v>
      </c>
      <c r="K331" s="3">
        <v>268.43566658677116</v>
      </c>
      <c r="L331" s="3">
        <v>269.17766658677118</v>
      </c>
      <c r="M331" s="3">
        <f t="shared" si="30"/>
        <v>-0.39184601322881463</v>
      </c>
      <c r="N331" s="3">
        <f t="shared" si="31"/>
        <v>1.0381539867711922</v>
      </c>
      <c r="O331" s="3">
        <v>-5.3699231999999997</v>
      </c>
      <c r="P331" s="3">
        <v>267.44200000000001</v>
      </c>
      <c r="Q331" s="3">
        <v>5.1380923999999997</v>
      </c>
      <c r="R331" s="3">
        <v>267.55041290000003</v>
      </c>
      <c r="S331" s="3">
        <v>267.43607229999998</v>
      </c>
      <c r="T331" s="3">
        <f t="shared" si="33"/>
        <v>0.99959428677118467</v>
      </c>
      <c r="U331" s="3">
        <f t="shared" si="20"/>
        <v>1.735666586771174</v>
      </c>
      <c r="V331" s="3">
        <f t="shared" si="21"/>
        <v>1.6272536867711551</v>
      </c>
      <c r="W331" s="2">
        <f>VLOOKUP(B331,[1]CivilReport!$A$2:$E$342,5,FALSE)-H331</f>
        <v>0</v>
      </c>
    </row>
    <row r="332" spans="1:23" s="4" customFormat="1" ht="14.45" customHeight="1" x14ac:dyDescent="0.25">
      <c r="A332" s="2">
        <f t="shared" si="32"/>
        <v>97802.895000000004</v>
      </c>
      <c r="B332" s="3">
        <v>288800</v>
      </c>
      <c r="C332" s="3">
        <v>3373128.8249877999</v>
      </c>
      <c r="D332" s="3">
        <v>653815.98988120002</v>
      </c>
      <c r="E332" s="3">
        <v>268.84207930000002</v>
      </c>
      <c r="F332" s="3">
        <f t="shared" si="19"/>
        <v>268.15407930000003</v>
      </c>
      <c r="G332" s="3">
        <v>97802.895000000004</v>
      </c>
      <c r="H332" s="3">
        <v>-14.23</v>
      </c>
      <c r="I332" s="3">
        <v>3373117.3769999999</v>
      </c>
      <c r="J332" s="3">
        <v>653807.53799999994</v>
      </c>
      <c r="K332" s="3">
        <v>268.39654056397529</v>
      </c>
      <c r="L332" s="3">
        <v>269.13854056397531</v>
      </c>
      <c r="M332" s="3">
        <f t="shared" ref="M332:M344" si="34">+K332-E332</f>
        <v>-0.44553873602473004</v>
      </c>
      <c r="N332" s="3">
        <f t="shared" ref="N332:N344" si="35">+L332-F332</f>
        <v>0.98446126397527678</v>
      </c>
      <c r="O332" s="3">
        <v>-5.1648014</v>
      </c>
      <c r="P332" s="3">
        <v>267.51799999999997</v>
      </c>
      <c r="Q332" s="3">
        <v>4.9107339000000003</v>
      </c>
      <c r="R332" s="3">
        <v>267.61652049999998</v>
      </c>
      <c r="S332" s="3">
        <v>266.32142099999999</v>
      </c>
      <c r="T332" s="3">
        <f t="shared" si="33"/>
        <v>2.0751195639753064</v>
      </c>
      <c r="U332" s="3">
        <f t="shared" si="20"/>
        <v>1.6205405639753394</v>
      </c>
      <c r="V332" s="3">
        <f t="shared" si="21"/>
        <v>1.522020063975333</v>
      </c>
      <c r="W332" s="2">
        <f>VLOOKUP(B332,[1]CivilReport!$A$2:$E$342,5,FALSE)-H332</f>
        <v>0</v>
      </c>
    </row>
    <row r="333" spans="1:23" s="4" customFormat="1" ht="14.45" customHeight="1" x14ac:dyDescent="0.25">
      <c r="A333" s="2">
        <f t="shared" si="32"/>
        <v>97822.896999999997</v>
      </c>
      <c r="B333" s="3">
        <v>288820</v>
      </c>
      <c r="C333" s="3">
        <v>3373140.7038099002</v>
      </c>
      <c r="D333" s="3">
        <v>653799.89971070003</v>
      </c>
      <c r="E333" s="3">
        <v>268.83530519999999</v>
      </c>
      <c r="F333" s="3">
        <f t="shared" si="19"/>
        <v>268.14730520000001</v>
      </c>
      <c r="G333" s="3">
        <v>97822.896999999997</v>
      </c>
      <c r="H333" s="3">
        <v>-14.513</v>
      </c>
      <c r="I333" s="3">
        <v>3373129.0279999999</v>
      </c>
      <c r="J333" s="3">
        <v>653791.28</v>
      </c>
      <c r="K333" s="3">
        <v>268.35716656202368</v>
      </c>
      <c r="L333" s="3">
        <v>269.0991665620237</v>
      </c>
      <c r="M333" s="3">
        <f t="shared" si="34"/>
        <v>-0.47813863797631484</v>
      </c>
      <c r="N333" s="3">
        <f t="shared" si="35"/>
        <v>0.95186136202369198</v>
      </c>
      <c r="O333" s="3">
        <v>-4.9352561999999995</v>
      </c>
      <c r="P333" s="3">
        <v>267.553</v>
      </c>
      <c r="Q333" s="3">
        <v>4.2617402999999996</v>
      </c>
      <c r="R333" s="3">
        <v>267.89314430000002</v>
      </c>
      <c r="S333" s="3">
        <v>267.72097200000002</v>
      </c>
      <c r="T333" s="3">
        <f t="shared" si="33"/>
        <v>0.63619456202366109</v>
      </c>
      <c r="U333" s="3">
        <f t="shared" si="20"/>
        <v>1.5461665620237</v>
      </c>
      <c r="V333" s="3">
        <f t="shared" si="21"/>
        <v>1.20602226202368</v>
      </c>
      <c r="W333" s="2">
        <f>VLOOKUP(B333,[1]CivilReport!$A$2:$E$342,5,FALSE)-H333</f>
        <v>0</v>
      </c>
    </row>
    <row r="334" spans="1:23" s="4" customFormat="1" ht="14.45" customHeight="1" x14ac:dyDescent="0.25">
      <c r="A334" s="2">
        <f t="shared" si="32"/>
        <v>97842.876000000004</v>
      </c>
      <c r="B334" s="3">
        <v>288840</v>
      </c>
      <c r="C334" s="3">
        <v>3373152.5732864998</v>
      </c>
      <c r="D334" s="3">
        <v>653783.80265219999</v>
      </c>
      <c r="E334" s="3">
        <v>268.82424400000002</v>
      </c>
      <c r="F334" s="3">
        <f t="shared" si="19"/>
        <v>268.13624400000003</v>
      </c>
      <c r="G334" s="3">
        <v>97842.876000000004</v>
      </c>
      <c r="H334" s="3">
        <v>-14.782999999999999</v>
      </c>
      <c r="I334" s="3">
        <v>3373140.6660000002</v>
      </c>
      <c r="J334" s="3">
        <v>653775.04099999997</v>
      </c>
      <c r="K334" s="3">
        <v>268.31783851183769</v>
      </c>
      <c r="L334" s="3">
        <v>269.05983851183771</v>
      </c>
      <c r="M334" s="3">
        <f t="shared" si="34"/>
        <v>-0.50640548816232922</v>
      </c>
      <c r="N334" s="3">
        <f t="shared" si="35"/>
        <v>0.9235945118376776</v>
      </c>
      <c r="O334" s="3">
        <v>-6.9133047999999997</v>
      </c>
      <c r="P334" s="3">
        <v>266.54700000000003</v>
      </c>
      <c r="Q334" s="3">
        <v>5.0868465</v>
      </c>
      <c r="R334" s="3">
        <v>267.43277389999997</v>
      </c>
      <c r="S334" s="3">
        <v>266.57084650000002</v>
      </c>
      <c r="T334" s="3">
        <f t="shared" si="33"/>
        <v>1.7469920118376763</v>
      </c>
      <c r="U334" s="3">
        <f t="shared" si="20"/>
        <v>2.5128385118376855</v>
      </c>
      <c r="V334" s="3">
        <f t="shared" si="21"/>
        <v>1.6270646118377385</v>
      </c>
      <c r="W334" s="2">
        <f>VLOOKUP(B334,[1]CivilReport!$A$2:$E$342,5,FALSE)-H334</f>
        <v>0</v>
      </c>
    </row>
    <row r="335" spans="1:23" s="4" customFormat="1" ht="14.45" customHeight="1" x14ac:dyDescent="0.25">
      <c r="A335" s="2">
        <f t="shared" si="32"/>
        <v>97862.844313599999</v>
      </c>
      <c r="B335" s="3">
        <v>288860</v>
      </c>
      <c r="C335" s="3">
        <v>3373164.4266992002</v>
      </c>
      <c r="D335" s="3">
        <v>653767.69375380001</v>
      </c>
      <c r="E335" s="3">
        <v>268.80581360000002</v>
      </c>
      <c r="F335" s="3">
        <f t="shared" si="19"/>
        <v>268.11781360000003</v>
      </c>
      <c r="G335" s="3">
        <v>97862.844313599999</v>
      </c>
      <c r="H335" s="3">
        <v>-15.034000000000001</v>
      </c>
      <c r="I335" s="3">
        <v>3373152.318</v>
      </c>
      <c r="J335" s="3">
        <v>653758.78399999999</v>
      </c>
      <c r="K335" s="3">
        <v>268.27846533826585</v>
      </c>
      <c r="L335" s="3">
        <v>269.02046533826586</v>
      </c>
      <c r="M335" s="3">
        <f t="shared" si="34"/>
        <v>-0.52734826173417559</v>
      </c>
      <c r="N335" s="3">
        <f t="shared" si="35"/>
        <v>0.90265173826583123</v>
      </c>
      <c r="O335" s="3">
        <v>-5.8367060999999998</v>
      </c>
      <c r="P335" s="3">
        <v>266.995</v>
      </c>
      <c r="Q335" s="3">
        <v>6.5947722999999998</v>
      </c>
      <c r="R335" s="3">
        <v>266.63093889999999</v>
      </c>
      <c r="S335" s="3">
        <v>267.15039250000001</v>
      </c>
      <c r="T335" s="3">
        <f t="shared" si="33"/>
        <v>1.1280728382658367</v>
      </c>
      <c r="U335" s="3">
        <f t="shared" si="20"/>
        <v>2.0254653382658603</v>
      </c>
      <c r="V335" s="3">
        <f t="shared" si="21"/>
        <v>2.3895264382658752</v>
      </c>
      <c r="W335" s="2">
        <f>VLOOKUP(B335,[1]CivilReport!$A$2:$E$342,5,FALSE)-H335</f>
        <v>0</v>
      </c>
    </row>
    <row r="336" spans="1:23" s="4" customFormat="1" ht="14.45" customHeight="1" x14ac:dyDescent="0.25">
      <c r="A336" s="2">
        <f t="shared" si="32"/>
        <v>97882.845840900001</v>
      </c>
      <c r="B336" s="3">
        <v>288880</v>
      </c>
      <c r="C336" s="3">
        <v>3373176.2800846002</v>
      </c>
      <c r="D336" s="3">
        <v>653751.58483529999</v>
      </c>
      <c r="E336" s="3">
        <v>268.79972199999997</v>
      </c>
      <c r="F336" s="3">
        <f t="shared" si="19"/>
        <v>268.11172199999999</v>
      </c>
      <c r="G336" s="3">
        <v>97882.845840900001</v>
      </c>
      <c r="H336" s="3">
        <v>-15.285</v>
      </c>
      <c r="I336" s="3">
        <v>3373163.969</v>
      </c>
      <c r="J336" s="3">
        <v>653742.52599999995</v>
      </c>
      <c r="K336" s="3">
        <v>268.23909225302435</v>
      </c>
      <c r="L336" s="3">
        <v>268.98109225302437</v>
      </c>
      <c r="M336" s="3">
        <f t="shared" si="34"/>
        <v>-0.5606297469756214</v>
      </c>
      <c r="N336" s="3">
        <f t="shared" si="35"/>
        <v>0.86937025302438542</v>
      </c>
      <c r="O336" s="3">
        <v>-9.8103915999999991</v>
      </c>
      <c r="P336" s="3">
        <v>264.99200000000002</v>
      </c>
      <c r="Q336" s="3">
        <v>10.3391141</v>
      </c>
      <c r="R336" s="3">
        <v>264.71089610000001</v>
      </c>
      <c r="S336" s="3">
        <v>264.25251780000002</v>
      </c>
      <c r="T336" s="3">
        <f t="shared" si="33"/>
        <v>3.9865744530243319</v>
      </c>
      <c r="U336" s="3">
        <f t="shared" si="20"/>
        <v>3.9890922530243529</v>
      </c>
      <c r="V336" s="3">
        <f t="shared" si="21"/>
        <v>4.270196153024358</v>
      </c>
      <c r="W336" s="2">
        <f>VLOOKUP(B336,[1]CivilReport!$A$2:$E$342,5,FALSE)-H336</f>
        <v>0</v>
      </c>
    </row>
    <row r="337" spans="1:254" s="4" customFormat="1" ht="14.45" customHeight="1" x14ac:dyDescent="0.25">
      <c r="A337" s="2">
        <f t="shared" si="32"/>
        <v>97902.847291800004</v>
      </c>
      <c r="B337" s="3">
        <v>288900</v>
      </c>
      <c r="C337" s="3">
        <v>3373188.1334500001</v>
      </c>
      <c r="D337" s="3">
        <v>653735.47590209998</v>
      </c>
      <c r="E337" s="3">
        <v>268.80271140000002</v>
      </c>
      <c r="F337" s="3">
        <f t="shared" si="19"/>
        <v>268.11471140000003</v>
      </c>
      <c r="G337" s="3">
        <v>97902.847291800004</v>
      </c>
      <c r="H337" s="3">
        <v>-15.526999999999999</v>
      </c>
      <c r="I337" s="3">
        <v>3373175.6269999999</v>
      </c>
      <c r="J337" s="3">
        <v>653726.27399999998</v>
      </c>
      <c r="K337" s="3">
        <v>268.19971932149417</v>
      </c>
      <c r="L337" s="3">
        <v>268.94171932149419</v>
      </c>
      <c r="M337" s="3">
        <f t="shared" si="34"/>
        <v>-0.60299207850584935</v>
      </c>
      <c r="N337" s="3">
        <f t="shared" si="35"/>
        <v>0.82700792149415747</v>
      </c>
      <c r="O337" s="3">
        <v>-6.0922998000000002</v>
      </c>
      <c r="P337" s="3">
        <v>266.74200000000002</v>
      </c>
      <c r="Q337" s="3">
        <v>3.9482477999999999</v>
      </c>
      <c r="R337" s="3">
        <v>267.8594569</v>
      </c>
      <c r="S337" s="3">
        <v>267.54010920000002</v>
      </c>
      <c r="T337" s="3">
        <f t="shared" si="33"/>
        <v>0.6596101214941541</v>
      </c>
      <c r="U337" s="3">
        <f t="shared" si="20"/>
        <v>2.1997193214941717</v>
      </c>
      <c r="V337" s="3">
        <f t="shared" si="21"/>
        <v>1.0822624214941925</v>
      </c>
      <c r="W337" s="2">
        <f>VLOOKUP(B337,[1]CivilReport!$A$2:$E$342,5,FALSE)-H337</f>
        <v>0</v>
      </c>
    </row>
    <row r="338" spans="1:254" s="4" customFormat="1" ht="14.45" customHeight="1" x14ac:dyDescent="0.25">
      <c r="A338" s="2">
        <f t="shared" si="32"/>
        <v>97922.832872300001</v>
      </c>
      <c r="B338" s="3">
        <v>288920</v>
      </c>
      <c r="C338" s="3">
        <v>3373199.9727222002</v>
      </c>
      <c r="D338" s="3">
        <v>653719.35660930001</v>
      </c>
      <c r="E338" s="3">
        <v>268.7985534</v>
      </c>
      <c r="F338" s="3">
        <f t="shared" si="19"/>
        <v>268.11055340000001</v>
      </c>
      <c r="G338" s="3">
        <v>97922.832872300001</v>
      </c>
      <c r="H338" s="3">
        <v>-15.69</v>
      </c>
      <c r="I338" s="3">
        <v>3373187.3259999999</v>
      </c>
      <c r="J338" s="3">
        <v>653710.06999999995</v>
      </c>
      <c r="K338" s="3">
        <v>268.16037766436961</v>
      </c>
      <c r="L338" s="3">
        <v>268.90237766436962</v>
      </c>
      <c r="M338" s="3">
        <f t="shared" si="34"/>
        <v>-0.63817573563039787</v>
      </c>
      <c r="N338" s="3">
        <f t="shared" si="35"/>
        <v>0.79182426436960895</v>
      </c>
      <c r="O338" s="3">
        <v>-6.1653798000000002</v>
      </c>
      <c r="P338" s="3">
        <v>266.71300000000002</v>
      </c>
      <c r="Q338" s="3">
        <v>4.2050036999999998</v>
      </c>
      <c r="R338" s="3">
        <v>267.68263200000001</v>
      </c>
      <c r="S338" s="3">
        <v>266.57704910000001</v>
      </c>
      <c r="T338" s="3">
        <f t="shared" si="33"/>
        <v>1.5833285643695945</v>
      </c>
      <c r="U338" s="3">
        <f t="shared" si="20"/>
        <v>2.1893776643696015</v>
      </c>
      <c r="V338" s="3">
        <f t="shared" si="21"/>
        <v>1.2197456643696114</v>
      </c>
      <c r="W338" s="2">
        <f>VLOOKUP(B338,[1]CivilReport!$A$2:$E$342,5,FALSE)-H338</f>
        <v>0</v>
      </c>
    </row>
    <row r="339" spans="1:254" s="4" customFormat="1" ht="14.45" customHeight="1" x14ac:dyDescent="0.25">
      <c r="A339" s="2">
        <f t="shared" si="32"/>
        <v>97942.833034700001</v>
      </c>
      <c r="B339" s="3">
        <v>288940</v>
      </c>
      <c r="C339" s="3">
        <v>3373211.8104881998</v>
      </c>
      <c r="D339" s="3">
        <v>653703.2362093</v>
      </c>
      <c r="E339" s="3">
        <v>268.79363160000003</v>
      </c>
      <c r="F339" s="3">
        <f t="shared" si="19"/>
        <v>268.10563160000004</v>
      </c>
      <c r="G339" s="3">
        <v>97942.833034700001</v>
      </c>
      <c r="H339" s="3">
        <v>-15.733000000000001</v>
      </c>
      <c r="I339" s="3">
        <v>3373199.1290000002</v>
      </c>
      <c r="J339" s="3">
        <v>653693.924</v>
      </c>
      <c r="K339" s="3">
        <v>268.12100733877719</v>
      </c>
      <c r="L339" s="3">
        <v>268.86300733877721</v>
      </c>
      <c r="M339" s="3">
        <f t="shared" si="34"/>
        <v>-0.67262426122283614</v>
      </c>
      <c r="N339" s="3">
        <f t="shared" si="35"/>
        <v>0.75737573877717068</v>
      </c>
      <c r="O339" s="3">
        <v>-7.7056294999999997</v>
      </c>
      <c r="P339" s="3">
        <v>265.89600000000002</v>
      </c>
      <c r="Q339" s="3">
        <v>4.2941807000000001</v>
      </c>
      <c r="R339" s="3">
        <v>267.59072029999999</v>
      </c>
      <c r="S339" s="3">
        <v>266.82818200000003</v>
      </c>
      <c r="T339" s="3">
        <f t="shared" si="33"/>
        <v>1.2928253387771633</v>
      </c>
      <c r="U339" s="3">
        <f t="shared" si="20"/>
        <v>2.9670073387771936</v>
      </c>
      <c r="V339" s="3">
        <f t="shared" si="21"/>
        <v>1.2722870387772218</v>
      </c>
      <c r="W339" s="2">
        <f>VLOOKUP(B339,[1]CivilReport!$A$2:$E$342,5,FALSE)-H339</f>
        <v>0</v>
      </c>
    </row>
    <row r="340" spans="1:254" s="4" customFormat="1" ht="14.45" customHeight="1" x14ac:dyDescent="0.25">
      <c r="A340" s="2">
        <f t="shared" si="32"/>
        <v>97962.840357499997</v>
      </c>
      <c r="B340" s="3">
        <v>288960</v>
      </c>
      <c r="C340" s="3">
        <v>3373223.6546121999</v>
      </c>
      <c r="D340" s="3">
        <v>653687.12048040004</v>
      </c>
      <c r="E340" s="3">
        <v>268.779537</v>
      </c>
      <c r="F340" s="3">
        <f t="shared" si="19"/>
        <v>268.09153700000002</v>
      </c>
      <c r="G340" s="3">
        <v>97962.840357499997</v>
      </c>
      <c r="H340" s="3">
        <v>-15.651</v>
      </c>
      <c r="I340" s="3">
        <v>3373211.0440000002</v>
      </c>
      <c r="J340" s="3">
        <v>653677.85100000002</v>
      </c>
      <c r="K340" s="3">
        <v>268.09399999999999</v>
      </c>
      <c r="L340" s="3">
        <v>268.83600000000001</v>
      </c>
      <c r="M340" s="3">
        <f t="shared" si="34"/>
        <v>-0.68553700000001072</v>
      </c>
      <c r="N340" s="3">
        <f t="shared" si="35"/>
        <v>0.7444629999999961</v>
      </c>
      <c r="O340" s="3">
        <v>-7.7045269000000003</v>
      </c>
      <c r="P340" s="3">
        <v>265.83999999999997</v>
      </c>
      <c r="Q340" s="3">
        <v>4.3021284</v>
      </c>
      <c r="R340" s="3">
        <v>267.5546172</v>
      </c>
      <c r="S340" s="3">
        <v>266.26549720000003</v>
      </c>
      <c r="T340" s="3">
        <f t="shared" si="33"/>
        <v>1.828502799999967</v>
      </c>
      <c r="U340" s="3">
        <f t="shared" si="20"/>
        <v>2.9960000000000377</v>
      </c>
      <c r="V340" s="3">
        <f t="shared" si="21"/>
        <v>1.2813828000000171</v>
      </c>
      <c r="W340" s="2">
        <f>VLOOKUP(B340,[1]CivilReport!$A$2:$E$342,5,FALSE)-H340</f>
        <v>0</v>
      </c>
    </row>
    <row r="341" spans="1:254" s="4" customFormat="1" ht="14.45" customHeight="1" x14ac:dyDescent="0.25">
      <c r="A341" s="2">
        <f t="shared" si="32"/>
        <v>97982.841547999997</v>
      </c>
      <c r="B341" s="3">
        <v>288980</v>
      </c>
      <c r="C341" s="3">
        <v>3373235.4996720999</v>
      </c>
      <c r="D341" s="3">
        <v>653671.00543909997</v>
      </c>
      <c r="E341" s="3">
        <v>268.76409219999999</v>
      </c>
      <c r="F341" s="3">
        <f t="shared" si="19"/>
        <v>268.07609220000001</v>
      </c>
      <c r="G341" s="3">
        <v>97982.841547999997</v>
      </c>
      <c r="H341" s="3">
        <v>-15.436</v>
      </c>
      <c r="I341" s="3">
        <v>3373223.0619999999</v>
      </c>
      <c r="J341" s="3">
        <v>653661.86300000001</v>
      </c>
      <c r="K341" s="3">
        <v>268.09899999999999</v>
      </c>
      <c r="L341" s="3">
        <v>268.84100000000001</v>
      </c>
      <c r="M341" s="3">
        <f t="shared" si="34"/>
        <v>-0.66509220000000369</v>
      </c>
      <c r="N341" s="3">
        <f t="shared" si="35"/>
        <v>0.76490780000000314</v>
      </c>
      <c r="O341" s="3">
        <v>-7.2366172000000004</v>
      </c>
      <c r="P341" s="3">
        <v>266.05</v>
      </c>
      <c r="Q341" s="3">
        <v>3.8856801999999999</v>
      </c>
      <c r="R341" s="3">
        <v>267.78992360000001</v>
      </c>
      <c r="S341" s="3">
        <v>267.3020176</v>
      </c>
      <c r="T341" s="3">
        <f t="shared" si="33"/>
        <v>0.79698239999999032</v>
      </c>
      <c r="U341" s="3">
        <f t="shared" si="20"/>
        <v>2.7909999999999968</v>
      </c>
      <c r="V341" s="3">
        <f t="shared" si="21"/>
        <v>1.0510763999999995</v>
      </c>
      <c r="W341" s="2">
        <f>VLOOKUP(B341,[1]CivilReport!$A$2:$E$342,5,FALSE)-H341</f>
        <v>0</v>
      </c>
    </row>
    <row r="342" spans="1:254" s="4" customFormat="1" ht="14.45" customHeight="1" x14ac:dyDescent="0.25">
      <c r="A342" s="2">
        <f t="shared" si="32"/>
        <v>98002.835183100004</v>
      </c>
      <c r="B342" s="3">
        <v>289000</v>
      </c>
      <c r="C342" s="3">
        <v>3373247.3360203002</v>
      </c>
      <c r="D342" s="3">
        <v>653654.88399859995</v>
      </c>
      <c r="E342" s="3">
        <v>268.76106110000001</v>
      </c>
      <c r="F342" s="3">
        <f t="shared" si="19"/>
        <v>268.07306110000002</v>
      </c>
      <c r="G342" s="3">
        <v>98002.835183100004</v>
      </c>
      <c r="H342" s="3">
        <v>-15.08</v>
      </c>
      <c r="I342" s="3">
        <v>3373235.18</v>
      </c>
      <c r="J342" s="3">
        <v>653645.96100000001</v>
      </c>
      <c r="K342" s="3">
        <v>268.10599999999999</v>
      </c>
      <c r="L342" s="3">
        <v>268.90200000000004</v>
      </c>
      <c r="M342" s="3">
        <f t="shared" si="34"/>
        <v>-0.65506110000001172</v>
      </c>
      <c r="N342" s="3">
        <f t="shared" si="35"/>
        <v>0.82893890000002557</v>
      </c>
      <c r="O342" s="3">
        <v>-6.4897402</v>
      </c>
      <c r="P342" s="3">
        <v>266.41000000000003</v>
      </c>
      <c r="Q342" s="3">
        <v>4.1050503000000003</v>
      </c>
      <c r="R342" s="3">
        <v>267.6751845</v>
      </c>
      <c r="S342" s="3">
        <v>267.23052760000002</v>
      </c>
      <c r="T342" s="3">
        <f t="shared" si="33"/>
        <v>0.87547239999997828</v>
      </c>
      <c r="U342" s="3">
        <f t="shared" si="20"/>
        <v>2.4920000000000186</v>
      </c>
      <c r="V342" s="3">
        <f t="shared" si="21"/>
        <v>1.2268155000000434</v>
      </c>
      <c r="W342" s="2">
        <f>VLOOKUP(B342,[1]CivilReport!$A$2:$E$342,5,FALSE)-H342</f>
        <v>0</v>
      </c>
    </row>
    <row r="343" spans="1:254" s="4" customFormat="1" ht="14.45" customHeight="1" x14ac:dyDescent="0.25">
      <c r="A343" s="2">
        <f t="shared" si="32"/>
        <v>98022.94</v>
      </c>
      <c r="B343" s="3">
        <v>289020</v>
      </c>
      <c r="C343" s="3">
        <v>3373259.1718513998</v>
      </c>
      <c r="D343" s="3">
        <v>653638.76217939996</v>
      </c>
      <c r="E343" s="3">
        <v>268.76127789999998</v>
      </c>
      <c r="F343" s="3">
        <f t="shared" si="19"/>
        <v>268.07327789999999</v>
      </c>
      <c r="G343" s="3">
        <v>98022.94</v>
      </c>
      <c r="H343" s="3">
        <v>-14.628</v>
      </c>
      <c r="I343" s="3">
        <v>3373247.4</v>
      </c>
      <c r="J343" s="3">
        <v>653630.07900000003</v>
      </c>
      <c r="K343" s="3">
        <v>268.113</v>
      </c>
      <c r="L343" s="3">
        <v>268.85500000000002</v>
      </c>
      <c r="M343" s="3">
        <f t="shared" si="34"/>
        <v>-0.64827789999998231</v>
      </c>
      <c r="N343" s="3">
        <f t="shared" si="35"/>
        <v>0.78172210000002451</v>
      </c>
      <c r="O343" s="3">
        <v>-6.8324072999999999</v>
      </c>
      <c r="P343" s="3">
        <v>266.28699999999998</v>
      </c>
      <c r="Q343" s="3">
        <v>4.1260674999999996</v>
      </c>
      <c r="R343" s="3">
        <v>267.67656399999998</v>
      </c>
      <c r="S343" s="3">
        <v>267.13317569999998</v>
      </c>
      <c r="T343" s="3">
        <f t="shared" si="33"/>
        <v>0.97982430000001841</v>
      </c>
      <c r="U343" s="3">
        <f t="shared" si="20"/>
        <v>2.5680000000000405</v>
      </c>
      <c r="V343" s="3">
        <f t="shared" si="21"/>
        <v>1.1784360000000333</v>
      </c>
      <c r="W343" s="2">
        <f>VLOOKUP(B343,[1]CivilReport!$A$2:$E$342,5,FALSE)-H343</f>
        <v>0</v>
      </c>
    </row>
    <row r="344" spans="1:254" x14ac:dyDescent="0.25">
      <c r="A344" s="2">
        <f t="shared" si="32"/>
        <v>98042.94</v>
      </c>
      <c r="B344" s="3">
        <v>289037.92700000003</v>
      </c>
      <c r="C344" s="3">
        <v>3373269.6287058</v>
      </c>
      <c r="D344" s="3">
        <v>653624.58568130003</v>
      </c>
      <c r="E344" s="3">
        <v>268.81052540000002</v>
      </c>
      <c r="F344" s="3">
        <f t="shared" si="19"/>
        <v>268.12252540000003</v>
      </c>
      <c r="G344" s="3">
        <v>98042.94</v>
      </c>
      <c r="H344" s="3">
        <v>-14.236000000000001</v>
      </c>
      <c r="I344" s="3">
        <v>3373258.3569999998</v>
      </c>
      <c r="J344" s="3">
        <v>653615.88399999996</v>
      </c>
      <c r="K344" s="3">
        <v>268.11900000000003</v>
      </c>
      <c r="L344" s="3">
        <v>268.86100000000005</v>
      </c>
      <c r="M344" s="3">
        <f t="shared" si="34"/>
        <v>-0.69152539999998908</v>
      </c>
      <c r="N344" s="3">
        <f t="shared" si="35"/>
        <v>0.73847460000001774</v>
      </c>
      <c r="O344" s="3">
        <v>-7.7438376</v>
      </c>
      <c r="P344" s="3">
        <v>265.87796079999998</v>
      </c>
      <c r="Q344" s="3">
        <v>4.1278886999999997</v>
      </c>
      <c r="R344" s="3">
        <v>267.68593529999998</v>
      </c>
      <c r="S344" s="3">
        <v>266.41471309999997</v>
      </c>
      <c r="T344" s="3">
        <f t="shared" si="33"/>
        <v>1.7042869000000564</v>
      </c>
      <c r="U344" s="3">
        <f t="shared" si="20"/>
        <v>2.9830392000000643</v>
      </c>
      <c r="V344" s="3">
        <f t="shared" si="21"/>
        <v>1.175064700000064</v>
      </c>
      <c r="W344" s="2">
        <f>VLOOKUP(B344,[1]CivilReport!$A$2:$E$342,5,FALSE)-H344</f>
        <v>0</v>
      </c>
    </row>
    <row r="345" spans="1:254" s="52" customFormat="1" x14ac:dyDescent="0.25">
      <c r="B345" s="53"/>
      <c r="C345" s="53"/>
      <c r="D345" s="53"/>
      <c r="E345" s="53"/>
      <c r="F345" s="53"/>
      <c r="G345" s="53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4"/>
      <c r="U345" s="54"/>
      <c r="V345" s="54"/>
      <c r="W345" s="54"/>
      <c r="X345" s="54"/>
      <c r="Y345" s="54"/>
      <c r="Z345" s="54"/>
      <c r="AA345" s="54"/>
      <c r="AB345" s="54"/>
      <c r="AC345" s="54"/>
      <c r="AD345" s="54"/>
      <c r="AE345" s="54"/>
      <c r="AF345" s="54"/>
      <c r="AG345" s="54"/>
      <c r="AH345" s="54"/>
      <c r="AI345" s="54"/>
      <c r="AJ345" s="54"/>
      <c r="AK345" s="54"/>
      <c r="AL345" s="54"/>
      <c r="AM345" s="54"/>
      <c r="AN345" s="54"/>
      <c r="AO345" s="54"/>
      <c r="AP345" s="54"/>
      <c r="AQ345" s="54"/>
      <c r="AR345" s="54"/>
      <c r="AS345" s="54"/>
      <c r="AT345" s="54"/>
      <c r="AU345" s="54"/>
      <c r="AV345" s="54"/>
      <c r="AW345" s="54"/>
      <c r="AX345" s="54"/>
      <c r="AY345" s="54"/>
      <c r="AZ345" s="54"/>
      <c r="BA345" s="54"/>
      <c r="BB345" s="54"/>
      <c r="BC345" s="54"/>
      <c r="BD345" s="54"/>
      <c r="BE345" s="54"/>
      <c r="BF345" s="54"/>
      <c r="BG345" s="54"/>
      <c r="BH345" s="54"/>
      <c r="BI345" s="54"/>
      <c r="BJ345" s="54"/>
      <c r="BK345" s="54"/>
      <c r="BL345" s="54"/>
      <c r="BM345" s="54"/>
      <c r="BN345" s="54"/>
      <c r="BO345" s="54"/>
      <c r="BP345" s="54"/>
      <c r="BQ345" s="54"/>
      <c r="BR345" s="54"/>
      <c r="BS345" s="54"/>
      <c r="BT345" s="54"/>
      <c r="BU345" s="54"/>
      <c r="BV345" s="54"/>
      <c r="BW345" s="54"/>
      <c r="BX345" s="54"/>
      <c r="BY345" s="54"/>
      <c r="BZ345" s="54"/>
      <c r="CA345" s="54"/>
      <c r="CB345" s="54"/>
      <c r="CC345" s="54"/>
      <c r="CD345" s="54"/>
      <c r="CE345" s="54"/>
      <c r="CF345" s="54"/>
      <c r="CG345" s="54"/>
      <c r="CH345" s="54"/>
      <c r="CI345" s="54"/>
      <c r="CJ345" s="54"/>
      <c r="CK345" s="54"/>
      <c r="CL345" s="54"/>
      <c r="CM345" s="54"/>
      <c r="CN345" s="54"/>
      <c r="CO345" s="54"/>
      <c r="CP345" s="54"/>
      <c r="CQ345" s="54"/>
      <c r="CR345" s="54"/>
      <c r="CS345" s="54"/>
      <c r="CT345" s="54"/>
      <c r="CU345" s="54"/>
      <c r="CV345" s="54"/>
      <c r="CW345" s="54"/>
      <c r="CX345" s="54"/>
      <c r="CY345" s="54"/>
      <c r="CZ345" s="54"/>
      <c r="DA345" s="54"/>
      <c r="DB345" s="54"/>
      <c r="DC345" s="54"/>
      <c r="DD345" s="54"/>
      <c r="DE345" s="54"/>
      <c r="DF345" s="54"/>
      <c r="DG345" s="54"/>
      <c r="DH345" s="54"/>
      <c r="DI345" s="54"/>
      <c r="DJ345" s="54"/>
      <c r="DK345" s="54"/>
      <c r="DL345" s="54"/>
      <c r="DM345" s="54"/>
      <c r="DN345" s="54"/>
      <c r="DO345" s="54"/>
      <c r="DP345" s="54"/>
      <c r="DQ345" s="54"/>
      <c r="DR345" s="54"/>
      <c r="DS345" s="54"/>
      <c r="DT345" s="54"/>
      <c r="DU345" s="54"/>
      <c r="DV345" s="54"/>
      <c r="DW345" s="54"/>
      <c r="DX345" s="54"/>
      <c r="DY345" s="54"/>
      <c r="DZ345" s="54"/>
      <c r="EA345" s="54"/>
      <c r="EB345" s="54"/>
      <c r="EC345" s="54"/>
      <c r="ED345" s="54"/>
      <c r="EE345" s="54"/>
      <c r="EF345" s="54"/>
      <c r="EG345" s="54"/>
      <c r="EH345" s="54"/>
      <c r="EI345" s="54"/>
      <c r="EJ345" s="54"/>
      <c r="EK345" s="54"/>
      <c r="EL345" s="54"/>
      <c r="EM345" s="54"/>
      <c r="EN345" s="54"/>
      <c r="EO345" s="54"/>
      <c r="EP345" s="54"/>
      <c r="EQ345" s="54"/>
      <c r="ER345" s="54"/>
      <c r="ES345" s="54"/>
      <c r="ET345" s="54"/>
      <c r="EU345" s="54"/>
      <c r="EV345" s="54"/>
      <c r="EW345" s="54"/>
      <c r="EX345" s="54"/>
      <c r="EY345" s="54"/>
      <c r="EZ345" s="54"/>
      <c r="FA345" s="54"/>
      <c r="FB345" s="54"/>
      <c r="FC345" s="54"/>
      <c r="FD345" s="54"/>
      <c r="FE345" s="54"/>
      <c r="FF345" s="54"/>
      <c r="FG345" s="54"/>
      <c r="FH345" s="54"/>
      <c r="FI345" s="54"/>
      <c r="FJ345" s="54"/>
      <c r="FK345" s="54"/>
      <c r="FL345" s="54"/>
      <c r="FM345" s="54"/>
      <c r="FN345" s="54"/>
      <c r="FO345" s="54"/>
      <c r="FP345" s="54"/>
      <c r="FQ345" s="54"/>
      <c r="FR345" s="54"/>
      <c r="FS345" s="54"/>
      <c r="FT345" s="54"/>
      <c r="FU345" s="54"/>
      <c r="FV345" s="54"/>
      <c r="FW345" s="54"/>
      <c r="FX345" s="54"/>
      <c r="FY345" s="54"/>
      <c r="FZ345" s="54"/>
      <c r="GA345" s="54"/>
      <c r="GB345" s="54"/>
      <c r="GC345" s="54"/>
      <c r="GD345" s="54"/>
      <c r="GE345" s="54"/>
      <c r="GF345" s="54"/>
      <c r="GG345" s="54"/>
      <c r="GH345" s="54"/>
      <c r="GI345" s="54"/>
      <c r="GJ345" s="54"/>
      <c r="GK345" s="54"/>
      <c r="GL345" s="54"/>
      <c r="GM345" s="54"/>
      <c r="GN345" s="54"/>
      <c r="GO345" s="54"/>
      <c r="GP345" s="54"/>
      <c r="GQ345" s="54"/>
      <c r="GR345" s="54"/>
      <c r="GS345" s="54"/>
      <c r="GT345" s="54"/>
      <c r="GU345" s="54"/>
      <c r="GV345" s="54"/>
      <c r="GW345" s="54"/>
      <c r="GX345" s="54"/>
      <c r="GY345" s="54"/>
      <c r="GZ345" s="54"/>
      <c r="HA345" s="54"/>
      <c r="HB345" s="54"/>
      <c r="HC345" s="54"/>
      <c r="HD345" s="54"/>
      <c r="HE345" s="54"/>
      <c r="HF345" s="54"/>
      <c r="HG345" s="54"/>
      <c r="HH345" s="54"/>
      <c r="HI345" s="54"/>
      <c r="HJ345" s="54"/>
      <c r="HK345" s="54"/>
      <c r="HL345" s="54"/>
      <c r="HM345" s="54"/>
      <c r="HN345" s="54"/>
      <c r="HO345" s="54"/>
      <c r="HP345" s="54"/>
      <c r="HQ345" s="54"/>
      <c r="HR345" s="54"/>
      <c r="HS345" s="54"/>
      <c r="HT345" s="54"/>
      <c r="HU345" s="54"/>
      <c r="HV345" s="54"/>
      <c r="HW345" s="54"/>
      <c r="HX345" s="54"/>
      <c r="HY345" s="54"/>
      <c r="HZ345" s="54"/>
      <c r="IA345" s="54"/>
      <c r="IB345" s="54"/>
      <c r="IC345" s="54"/>
      <c r="ID345" s="54"/>
      <c r="IE345" s="54"/>
      <c r="IF345" s="54"/>
      <c r="IG345" s="54"/>
      <c r="IH345" s="54"/>
      <c r="II345" s="54"/>
      <c r="IJ345" s="54"/>
      <c r="IK345" s="54"/>
      <c r="IL345" s="54"/>
      <c r="IM345" s="54"/>
      <c r="IN345" s="54"/>
      <c r="IO345" s="54"/>
      <c r="IP345" s="54"/>
      <c r="IQ345" s="54"/>
      <c r="IR345" s="54"/>
      <c r="IS345" s="54"/>
      <c r="IT345" s="54"/>
    </row>
    <row r="346" spans="1:254" s="55" customFormat="1" x14ac:dyDescent="0.25">
      <c r="A346" s="79">
        <f>G346</f>
        <v>289037.59999999998</v>
      </c>
      <c r="B346" s="56">
        <v>289037.92700000003</v>
      </c>
      <c r="C346" s="56">
        <v>3373269.8133999999</v>
      </c>
      <c r="D346" s="56">
        <v>653624.33519999997</v>
      </c>
      <c r="E346" s="56">
        <v>268.81099999999998</v>
      </c>
      <c r="F346" s="57">
        <f t="shared" si="19"/>
        <v>268.12299999999999</v>
      </c>
      <c r="G346" s="59">
        <v>289037.59999999998</v>
      </c>
      <c r="H346" s="56">
        <v>14.236000000000001</v>
      </c>
      <c r="I346" s="56">
        <v>653615.88439999998</v>
      </c>
      <c r="J346" s="56">
        <v>3373258.3565000002</v>
      </c>
      <c r="K346" s="56">
        <v>268.11900000000003</v>
      </c>
      <c r="L346" s="56">
        <f>K346+0.638</f>
        <v>268.75700000000001</v>
      </c>
      <c r="M346" s="56">
        <f>ROUND((L346-E346),3)</f>
        <v>-5.3999999999999999E-2</v>
      </c>
      <c r="N346" s="56">
        <f>ROUND((K346-F346),3)</f>
        <v>-4.0000000000000001E-3</v>
      </c>
      <c r="O346" s="56"/>
      <c r="P346" s="56">
        <v>265.875</v>
      </c>
      <c r="Q346" s="56"/>
      <c r="R346" s="56"/>
      <c r="S346" s="56">
        <v>266.41500000000002</v>
      </c>
      <c r="T346" s="56">
        <f>ROUND(K346-S346,3)</f>
        <v>1.704</v>
      </c>
      <c r="U346" s="58"/>
      <c r="V346" s="58"/>
      <c r="W346" s="58"/>
      <c r="X346" s="58"/>
      <c r="Y346" s="58"/>
      <c r="Z346" s="58"/>
      <c r="AA346" s="58"/>
      <c r="AB346" s="58"/>
      <c r="AC346" s="58"/>
      <c r="AD346" s="58"/>
      <c r="AE346" s="58"/>
      <c r="AF346" s="58"/>
      <c r="AG346" s="58"/>
      <c r="AH346" s="58"/>
      <c r="AI346" s="58"/>
      <c r="AJ346" s="58"/>
      <c r="AK346" s="58"/>
      <c r="AL346" s="58"/>
      <c r="AM346" s="58"/>
      <c r="AN346" s="58"/>
      <c r="AO346" s="58"/>
      <c r="AP346" s="58"/>
      <c r="AQ346" s="58"/>
      <c r="AR346" s="58"/>
      <c r="AS346" s="58"/>
      <c r="AT346" s="58"/>
      <c r="AU346" s="58"/>
      <c r="AV346" s="58"/>
      <c r="AW346" s="58"/>
      <c r="AX346" s="58"/>
      <c r="AY346" s="58"/>
      <c r="AZ346" s="58"/>
      <c r="BA346" s="58"/>
      <c r="BB346" s="58"/>
      <c r="BC346" s="58"/>
      <c r="BD346" s="58"/>
      <c r="BE346" s="58"/>
      <c r="BF346" s="58"/>
      <c r="BG346" s="58"/>
      <c r="BH346" s="58"/>
      <c r="BI346" s="58"/>
      <c r="BJ346" s="58"/>
      <c r="BK346" s="58"/>
      <c r="BL346" s="58"/>
      <c r="BM346" s="58"/>
      <c r="BN346" s="58"/>
      <c r="BO346" s="58"/>
      <c r="BP346" s="58"/>
      <c r="BQ346" s="58"/>
      <c r="BR346" s="58"/>
      <c r="BS346" s="58"/>
      <c r="BT346" s="58"/>
      <c r="BU346" s="58"/>
      <c r="BV346" s="58"/>
      <c r="BW346" s="58"/>
      <c r="BX346" s="58"/>
      <c r="BY346" s="58"/>
      <c r="BZ346" s="58"/>
      <c r="CA346" s="58"/>
      <c r="CB346" s="58"/>
      <c r="CC346" s="58"/>
      <c r="CD346" s="58"/>
      <c r="CE346" s="58"/>
      <c r="CF346" s="58"/>
      <c r="CG346" s="58"/>
      <c r="CH346" s="58"/>
      <c r="CI346" s="58"/>
      <c r="CJ346" s="58"/>
      <c r="CK346" s="58"/>
      <c r="CL346" s="58"/>
      <c r="CM346" s="58"/>
      <c r="CN346" s="58"/>
      <c r="CO346" s="58"/>
      <c r="CP346" s="58"/>
      <c r="CQ346" s="58"/>
      <c r="CR346" s="58"/>
      <c r="CS346" s="58"/>
      <c r="CT346" s="58"/>
      <c r="CU346" s="58"/>
      <c r="CV346" s="58"/>
      <c r="CW346" s="58"/>
      <c r="CX346" s="58"/>
      <c r="CY346" s="58"/>
      <c r="CZ346" s="58"/>
      <c r="DA346" s="58"/>
      <c r="DB346" s="58"/>
      <c r="DC346" s="58"/>
      <c r="DD346" s="58"/>
      <c r="DE346" s="58"/>
      <c r="DF346" s="58"/>
      <c r="DG346" s="58"/>
      <c r="DH346" s="58"/>
      <c r="DI346" s="58"/>
      <c r="DJ346" s="58"/>
      <c r="DK346" s="58"/>
      <c r="DL346" s="58"/>
      <c r="DM346" s="58"/>
      <c r="DN346" s="58"/>
      <c r="DO346" s="58"/>
      <c r="DP346" s="58"/>
      <c r="DQ346" s="58"/>
      <c r="DR346" s="58"/>
      <c r="DS346" s="58"/>
      <c r="DT346" s="58"/>
      <c r="DU346" s="58"/>
      <c r="DV346" s="58"/>
      <c r="DW346" s="58"/>
      <c r="DX346" s="58"/>
      <c r="DY346" s="58"/>
      <c r="DZ346" s="58"/>
      <c r="EA346" s="58"/>
      <c r="EB346" s="58"/>
      <c r="EC346" s="58"/>
      <c r="ED346" s="58"/>
      <c r="EE346" s="58"/>
      <c r="EF346" s="58"/>
      <c r="EG346" s="58"/>
      <c r="EH346" s="58"/>
      <c r="EI346" s="58"/>
      <c r="EJ346" s="58"/>
      <c r="EK346" s="58"/>
      <c r="EL346" s="58"/>
      <c r="EM346" s="58"/>
      <c r="EN346" s="58"/>
      <c r="EO346" s="58"/>
      <c r="EP346" s="58"/>
      <c r="EQ346" s="58"/>
      <c r="ER346" s="58"/>
      <c r="ES346" s="58"/>
      <c r="ET346" s="58"/>
      <c r="EU346" s="58"/>
      <c r="EV346" s="58"/>
      <c r="EW346" s="58"/>
      <c r="EX346" s="58"/>
      <c r="EY346" s="58"/>
      <c r="EZ346" s="58"/>
      <c r="FA346" s="58"/>
      <c r="FB346" s="58"/>
      <c r="FC346" s="58"/>
      <c r="FD346" s="58"/>
      <c r="FE346" s="58"/>
      <c r="FF346" s="58"/>
      <c r="FG346" s="58"/>
      <c r="FH346" s="58"/>
      <c r="FI346" s="58"/>
      <c r="FJ346" s="58"/>
      <c r="FK346" s="58"/>
      <c r="FL346" s="58"/>
      <c r="FM346" s="58"/>
      <c r="FN346" s="58"/>
      <c r="FO346" s="58"/>
      <c r="FP346" s="58"/>
      <c r="FQ346" s="58"/>
      <c r="FR346" s="58"/>
      <c r="FS346" s="58"/>
      <c r="FT346" s="58"/>
      <c r="FU346" s="58"/>
      <c r="FV346" s="58"/>
      <c r="FW346" s="58"/>
      <c r="FX346" s="58"/>
      <c r="FY346" s="58"/>
      <c r="FZ346" s="58"/>
      <c r="GA346" s="58"/>
      <c r="GB346" s="58"/>
      <c r="GC346" s="58"/>
      <c r="GD346" s="58"/>
      <c r="GE346" s="58"/>
      <c r="GF346" s="58"/>
      <c r="GG346" s="58"/>
      <c r="GH346" s="58"/>
      <c r="GI346" s="58"/>
      <c r="GJ346" s="58"/>
      <c r="GK346" s="58"/>
      <c r="GL346" s="58"/>
      <c r="GM346" s="58"/>
      <c r="GN346" s="58"/>
      <c r="GO346" s="58"/>
      <c r="GP346" s="58"/>
      <c r="GQ346" s="58"/>
      <c r="GR346" s="58"/>
      <c r="GS346" s="58"/>
      <c r="GT346" s="58"/>
      <c r="GU346" s="58"/>
      <c r="GV346" s="58"/>
      <c r="GW346" s="58"/>
      <c r="GX346" s="58"/>
      <c r="GY346" s="58"/>
      <c r="GZ346" s="58"/>
      <c r="HA346" s="58"/>
      <c r="HB346" s="58"/>
      <c r="HC346" s="58"/>
      <c r="HD346" s="58"/>
      <c r="HE346" s="58"/>
      <c r="HF346" s="58"/>
      <c r="HG346" s="58"/>
      <c r="HH346" s="58"/>
      <c r="HI346" s="58"/>
      <c r="HJ346" s="58"/>
      <c r="HK346" s="58"/>
      <c r="HL346" s="58"/>
      <c r="HM346" s="58"/>
      <c r="HN346" s="58"/>
      <c r="HO346" s="58"/>
      <c r="HP346" s="58"/>
      <c r="HQ346" s="58"/>
      <c r="HR346" s="58"/>
      <c r="HS346" s="58"/>
      <c r="HT346" s="58"/>
      <c r="HU346" s="58"/>
      <c r="HV346" s="58"/>
      <c r="HW346" s="58"/>
      <c r="HX346" s="58"/>
      <c r="HY346" s="58"/>
      <c r="HZ346" s="58"/>
      <c r="IA346" s="58"/>
      <c r="IB346" s="58"/>
      <c r="IC346" s="58"/>
      <c r="ID346" s="58"/>
      <c r="IE346" s="58"/>
      <c r="IF346" s="58"/>
      <c r="IG346" s="58"/>
      <c r="IH346" s="58"/>
      <c r="II346" s="58"/>
      <c r="IJ346" s="58"/>
      <c r="IK346" s="58"/>
      <c r="IL346" s="58"/>
      <c r="IM346" s="58"/>
      <c r="IN346" s="58"/>
      <c r="IO346" s="58"/>
      <c r="IP346" s="58"/>
      <c r="IQ346" s="58"/>
      <c r="IR346" s="58"/>
      <c r="IS346" s="58"/>
      <c r="IT346" s="58"/>
    </row>
    <row r="347" spans="1:254" s="55" customFormat="1" x14ac:dyDescent="0.25">
      <c r="A347" s="79">
        <f t="shared" ref="A347:A397" si="36">G347</f>
        <v>289039.7</v>
      </c>
      <c r="B347" s="56">
        <v>289040</v>
      </c>
      <c r="C347" s="56">
        <v>3373271.1275999998</v>
      </c>
      <c r="D347" s="56">
        <v>653622.60439999995</v>
      </c>
      <c r="E347" s="56">
        <v>268.81700000000001</v>
      </c>
      <c r="F347" s="57">
        <f t="shared" si="19"/>
        <v>268.12900000000002</v>
      </c>
      <c r="G347" s="59">
        <v>289039.7</v>
      </c>
      <c r="H347" s="56">
        <v>14.191000000000001</v>
      </c>
      <c r="I347" s="56">
        <v>653613.26439999999</v>
      </c>
      <c r="J347" s="56">
        <v>3373260.3790000002</v>
      </c>
      <c r="K347" s="56">
        <v>268.12</v>
      </c>
      <c r="L347" s="56">
        <f t="shared" ref="L347:L397" si="37">K347+0.638</f>
        <v>268.75799999999998</v>
      </c>
      <c r="M347" s="56">
        <f t="shared" ref="M347:M397" si="38">ROUND((L347-E347),3)</f>
        <v>-5.8999999999999997E-2</v>
      </c>
      <c r="N347" s="56">
        <f t="shared" ref="N347:N397" si="39">ROUND((K347-F347),3)</f>
        <v>-8.9999999999999993E-3</v>
      </c>
      <c r="O347" s="56"/>
      <c r="P347" s="56">
        <v>265.96699999999998</v>
      </c>
      <c r="Q347" s="56"/>
      <c r="R347" s="56"/>
      <c r="S347" s="56">
        <v>266.47199999999998</v>
      </c>
      <c r="T347" s="56">
        <f t="shared" ref="T347:T397" si="40">ROUND(K347-S347,3)</f>
        <v>1.6479999999999999</v>
      </c>
      <c r="U347" s="58"/>
      <c r="V347" s="58"/>
      <c r="W347" s="58"/>
      <c r="X347" s="58"/>
      <c r="Y347" s="58"/>
      <c r="Z347" s="58"/>
      <c r="AA347" s="58"/>
      <c r="AB347" s="58"/>
      <c r="AC347" s="58"/>
      <c r="AD347" s="58"/>
      <c r="AE347" s="58"/>
      <c r="AF347" s="58"/>
      <c r="AG347" s="58"/>
      <c r="AH347" s="58"/>
      <c r="AI347" s="58"/>
      <c r="AJ347" s="58"/>
      <c r="AK347" s="58"/>
      <c r="AL347" s="58"/>
      <c r="AM347" s="58"/>
      <c r="AN347" s="58"/>
      <c r="AO347" s="58"/>
      <c r="AP347" s="58"/>
      <c r="AQ347" s="58"/>
      <c r="AR347" s="58"/>
      <c r="AS347" s="58"/>
      <c r="AT347" s="58"/>
      <c r="AU347" s="58"/>
      <c r="AV347" s="58"/>
      <c r="AW347" s="58"/>
      <c r="AX347" s="58"/>
      <c r="AY347" s="58"/>
      <c r="AZ347" s="58"/>
      <c r="BA347" s="58"/>
      <c r="BB347" s="58"/>
      <c r="BC347" s="58"/>
      <c r="BD347" s="58"/>
      <c r="BE347" s="58"/>
      <c r="BF347" s="58"/>
      <c r="BG347" s="58"/>
      <c r="BH347" s="58"/>
      <c r="BI347" s="58"/>
      <c r="BJ347" s="58"/>
      <c r="BK347" s="58"/>
      <c r="BL347" s="58"/>
      <c r="BM347" s="58"/>
      <c r="BN347" s="58"/>
      <c r="BO347" s="58"/>
      <c r="BP347" s="58"/>
      <c r="BQ347" s="58"/>
      <c r="BR347" s="58"/>
      <c r="BS347" s="58"/>
      <c r="BT347" s="58"/>
      <c r="BU347" s="58"/>
      <c r="BV347" s="58"/>
      <c r="BW347" s="58"/>
      <c r="BX347" s="58"/>
      <c r="BY347" s="58"/>
      <c r="BZ347" s="58"/>
      <c r="CA347" s="58"/>
      <c r="CB347" s="58"/>
      <c r="CC347" s="58"/>
      <c r="CD347" s="58"/>
      <c r="CE347" s="58"/>
      <c r="CF347" s="58"/>
      <c r="CG347" s="58"/>
      <c r="CH347" s="58"/>
      <c r="CI347" s="58"/>
      <c r="CJ347" s="58"/>
      <c r="CK347" s="58"/>
      <c r="CL347" s="58"/>
      <c r="CM347" s="58"/>
      <c r="CN347" s="58"/>
      <c r="CO347" s="58"/>
      <c r="CP347" s="58"/>
      <c r="CQ347" s="58"/>
      <c r="CR347" s="58"/>
      <c r="CS347" s="58"/>
      <c r="CT347" s="58"/>
      <c r="CU347" s="58"/>
      <c r="CV347" s="58"/>
      <c r="CW347" s="58"/>
      <c r="CX347" s="58"/>
      <c r="CY347" s="58"/>
      <c r="CZ347" s="58"/>
      <c r="DA347" s="58"/>
      <c r="DB347" s="58"/>
      <c r="DC347" s="58"/>
      <c r="DD347" s="58"/>
      <c r="DE347" s="58"/>
      <c r="DF347" s="58"/>
      <c r="DG347" s="58"/>
      <c r="DH347" s="58"/>
      <c r="DI347" s="58"/>
      <c r="DJ347" s="58"/>
      <c r="DK347" s="58"/>
      <c r="DL347" s="58"/>
      <c r="DM347" s="58"/>
      <c r="DN347" s="58"/>
      <c r="DO347" s="58"/>
      <c r="DP347" s="58"/>
      <c r="DQ347" s="58"/>
      <c r="DR347" s="58"/>
      <c r="DS347" s="58"/>
      <c r="DT347" s="58"/>
      <c r="DU347" s="58"/>
      <c r="DV347" s="58"/>
      <c r="DW347" s="58"/>
      <c r="DX347" s="58"/>
      <c r="DY347" s="58"/>
      <c r="DZ347" s="58"/>
      <c r="EA347" s="58"/>
      <c r="EB347" s="58"/>
      <c r="EC347" s="58"/>
      <c r="ED347" s="58"/>
      <c r="EE347" s="58"/>
      <c r="EF347" s="58"/>
      <c r="EG347" s="58"/>
      <c r="EH347" s="58"/>
      <c r="EI347" s="58"/>
      <c r="EJ347" s="58"/>
      <c r="EK347" s="58"/>
      <c r="EL347" s="58"/>
      <c r="EM347" s="58"/>
      <c r="EN347" s="58"/>
      <c r="EO347" s="58"/>
      <c r="EP347" s="58"/>
      <c r="EQ347" s="58"/>
      <c r="ER347" s="58"/>
      <c r="ES347" s="58"/>
      <c r="ET347" s="58"/>
      <c r="EU347" s="58"/>
      <c r="EV347" s="58"/>
      <c r="EW347" s="58"/>
      <c r="EX347" s="58"/>
      <c r="EY347" s="58"/>
      <c r="EZ347" s="58"/>
      <c r="FA347" s="58"/>
      <c r="FB347" s="58"/>
      <c r="FC347" s="58"/>
      <c r="FD347" s="58"/>
      <c r="FE347" s="58"/>
      <c r="FF347" s="58"/>
      <c r="FG347" s="58"/>
      <c r="FH347" s="58"/>
      <c r="FI347" s="58"/>
      <c r="FJ347" s="58"/>
      <c r="FK347" s="58"/>
      <c r="FL347" s="58"/>
      <c r="FM347" s="58"/>
      <c r="FN347" s="58"/>
      <c r="FO347" s="58"/>
      <c r="FP347" s="58"/>
      <c r="FQ347" s="58"/>
      <c r="FR347" s="58"/>
      <c r="FS347" s="58"/>
      <c r="FT347" s="58"/>
      <c r="FU347" s="58"/>
      <c r="FV347" s="58"/>
      <c r="FW347" s="58"/>
      <c r="FX347" s="58"/>
      <c r="FY347" s="58"/>
      <c r="FZ347" s="58"/>
      <c r="GA347" s="58"/>
      <c r="GB347" s="58"/>
      <c r="GC347" s="58"/>
      <c r="GD347" s="58"/>
      <c r="GE347" s="58"/>
      <c r="GF347" s="58"/>
      <c r="GG347" s="58"/>
      <c r="GH347" s="58"/>
      <c r="GI347" s="58"/>
      <c r="GJ347" s="58"/>
      <c r="GK347" s="58"/>
      <c r="GL347" s="58"/>
      <c r="GM347" s="58"/>
      <c r="GN347" s="58"/>
      <c r="GO347" s="58"/>
      <c r="GP347" s="58"/>
      <c r="GQ347" s="58"/>
      <c r="GR347" s="58"/>
      <c r="GS347" s="58"/>
      <c r="GT347" s="58"/>
      <c r="GU347" s="58"/>
      <c r="GV347" s="58"/>
      <c r="GW347" s="58"/>
      <c r="GX347" s="58"/>
      <c r="GY347" s="58"/>
      <c r="GZ347" s="58"/>
      <c r="HA347" s="58"/>
      <c r="HB347" s="58"/>
      <c r="HC347" s="58"/>
      <c r="HD347" s="58"/>
      <c r="HE347" s="58"/>
      <c r="HF347" s="58"/>
      <c r="HG347" s="58"/>
      <c r="HH347" s="58"/>
      <c r="HI347" s="58"/>
      <c r="HJ347" s="58"/>
      <c r="HK347" s="58"/>
      <c r="HL347" s="58"/>
      <c r="HM347" s="58"/>
      <c r="HN347" s="58"/>
      <c r="HO347" s="58"/>
      <c r="HP347" s="58"/>
      <c r="HQ347" s="58"/>
      <c r="HR347" s="58"/>
      <c r="HS347" s="58"/>
      <c r="HT347" s="58"/>
      <c r="HU347" s="58"/>
      <c r="HV347" s="58"/>
      <c r="HW347" s="58"/>
      <c r="HX347" s="58"/>
      <c r="HY347" s="58"/>
      <c r="HZ347" s="58"/>
      <c r="IA347" s="58"/>
      <c r="IB347" s="58"/>
      <c r="IC347" s="58"/>
      <c r="ID347" s="58"/>
      <c r="IE347" s="58"/>
      <c r="IF347" s="58"/>
      <c r="IG347" s="58"/>
      <c r="IH347" s="58"/>
      <c r="II347" s="58"/>
      <c r="IJ347" s="58"/>
      <c r="IK347" s="58"/>
      <c r="IL347" s="58"/>
      <c r="IM347" s="58"/>
      <c r="IN347" s="58"/>
      <c r="IO347" s="58"/>
      <c r="IP347" s="58"/>
      <c r="IQ347" s="58"/>
      <c r="IR347" s="58"/>
      <c r="IS347" s="58"/>
      <c r="IT347" s="58"/>
    </row>
    <row r="348" spans="1:254" s="55" customFormat="1" x14ac:dyDescent="0.25">
      <c r="A348" s="79">
        <f t="shared" si="36"/>
        <v>289059.7</v>
      </c>
      <c r="B348" s="56">
        <v>289060</v>
      </c>
      <c r="C348" s="56">
        <v>3373282.9835999999</v>
      </c>
      <c r="D348" s="56">
        <v>653606.49719999998</v>
      </c>
      <c r="E348" s="56">
        <v>268.86099999999999</v>
      </c>
      <c r="F348" s="57">
        <f t="shared" ref="F348:F391" si="41">E348-0.688</f>
        <v>268.173</v>
      </c>
      <c r="G348" s="59">
        <v>289059.7</v>
      </c>
      <c r="H348" s="56">
        <v>13.763</v>
      </c>
      <c r="I348" s="56">
        <v>653597.43259999994</v>
      </c>
      <c r="J348" s="56">
        <v>3373272.6</v>
      </c>
      <c r="K348" s="56">
        <v>268.12700000000001</v>
      </c>
      <c r="L348" s="56">
        <f t="shared" si="37"/>
        <v>268.76499999999999</v>
      </c>
      <c r="M348" s="56">
        <f t="shared" si="38"/>
        <v>-9.6000000000000002E-2</v>
      </c>
      <c r="N348" s="56">
        <f t="shared" si="39"/>
        <v>-4.5999999999999999E-2</v>
      </c>
      <c r="O348" s="56"/>
      <c r="P348" s="56">
        <v>266.74200000000002</v>
      </c>
      <c r="Q348" s="56"/>
      <c r="R348" s="56"/>
      <c r="S348" s="56">
        <v>266.94200000000001</v>
      </c>
      <c r="T348" s="56">
        <f t="shared" si="40"/>
        <v>1.1850000000000001</v>
      </c>
      <c r="U348" s="58"/>
      <c r="V348" s="58"/>
      <c r="W348" s="58"/>
      <c r="X348" s="58"/>
      <c r="Y348" s="58"/>
      <c r="Z348" s="58"/>
      <c r="AA348" s="58"/>
      <c r="AB348" s="58"/>
      <c r="AC348" s="58"/>
      <c r="AD348" s="58"/>
      <c r="AE348" s="58"/>
      <c r="AF348" s="58"/>
      <c r="AG348" s="58"/>
      <c r="AH348" s="58"/>
      <c r="AI348" s="58"/>
      <c r="AJ348" s="58"/>
      <c r="AK348" s="58"/>
      <c r="AL348" s="58"/>
      <c r="AM348" s="58"/>
      <c r="AN348" s="58"/>
      <c r="AO348" s="58"/>
      <c r="AP348" s="58"/>
      <c r="AQ348" s="58"/>
      <c r="AR348" s="58"/>
      <c r="AS348" s="58"/>
      <c r="AT348" s="58"/>
      <c r="AU348" s="58"/>
      <c r="AV348" s="58"/>
      <c r="AW348" s="58"/>
      <c r="AX348" s="58"/>
      <c r="AY348" s="58"/>
      <c r="AZ348" s="58"/>
      <c r="BA348" s="58"/>
      <c r="BB348" s="58"/>
      <c r="BC348" s="58"/>
      <c r="BD348" s="58"/>
      <c r="BE348" s="58"/>
      <c r="BF348" s="58"/>
      <c r="BG348" s="58"/>
      <c r="BH348" s="58"/>
      <c r="BI348" s="58"/>
      <c r="BJ348" s="58"/>
      <c r="BK348" s="58"/>
      <c r="BL348" s="58"/>
      <c r="BM348" s="58"/>
      <c r="BN348" s="58"/>
      <c r="BO348" s="58"/>
      <c r="BP348" s="58"/>
      <c r="BQ348" s="58"/>
      <c r="BR348" s="58"/>
      <c r="BS348" s="58"/>
      <c r="BT348" s="58"/>
      <c r="BU348" s="58"/>
      <c r="BV348" s="58"/>
      <c r="BW348" s="58"/>
      <c r="BX348" s="58"/>
      <c r="BY348" s="58"/>
      <c r="BZ348" s="58"/>
      <c r="CA348" s="58"/>
      <c r="CB348" s="58"/>
      <c r="CC348" s="58"/>
      <c r="CD348" s="58"/>
      <c r="CE348" s="58"/>
      <c r="CF348" s="58"/>
      <c r="CG348" s="58"/>
      <c r="CH348" s="58"/>
      <c r="CI348" s="58"/>
      <c r="CJ348" s="58"/>
      <c r="CK348" s="58"/>
      <c r="CL348" s="58"/>
      <c r="CM348" s="58"/>
      <c r="CN348" s="58"/>
      <c r="CO348" s="58"/>
      <c r="CP348" s="58"/>
      <c r="CQ348" s="58"/>
      <c r="CR348" s="58"/>
      <c r="CS348" s="58"/>
      <c r="CT348" s="58"/>
      <c r="CU348" s="58"/>
      <c r="CV348" s="58"/>
      <c r="CW348" s="58"/>
      <c r="CX348" s="58"/>
      <c r="CY348" s="58"/>
      <c r="CZ348" s="58"/>
      <c r="DA348" s="58"/>
      <c r="DB348" s="58"/>
      <c r="DC348" s="58"/>
      <c r="DD348" s="58"/>
      <c r="DE348" s="58"/>
      <c r="DF348" s="58"/>
      <c r="DG348" s="58"/>
      <c r="DH348" s="58"/>
      <c r="DI348" s="58"/>
      <c r="DJ348" s="58"/>
      <c r="DK348" s="58"/>
      <c r="DL348" s="58"/>
      <c r="DM348" s="58"/>
      <c r="DN348" s="58"/>
      <c r="DO348" s="58"/>
      <c r="DP348" s="58"/>
      <c r="DQ348" s="58"/>
      <c r="DR348" s="58"/>
      <c r="DS348" s="58"/>
      <c r="DT348" s="58"/>
      <c r="DU348" s="58"/>
      <c r="DV348" s="58"/>
      <c r="DW348" s="58"/>
      <c r="DX348" s="58"/>
      <c r="DY348" s="58"/>
      <c r="DZ348" s="58"/>
      <c r="EA348" s="58"/>
      <c r="EB348" s="58"/>
      <c r="EC348" s="58"/>
      <c r="ED348" s="58"/>
      <c r="EE348" s="58"/>
      <c r="EF348" s="58"/>
      <c r="EG348" s="58"/>
      <c r="EH348" s="58"/>
      <c r="EI348" s="58"/>
      <c r="EJ348" s="58"/>
      <c r="EK348" s="58"/>
      <c r="EL348" s="58"/>
      <c r="EM348" s="58"/>
      <c r="EN348" s="58"/>
      <c r="EO348" s="58"/>
      <c r="EP348" s="58"/>
      <c r="EQ348" s="58"/>
      <c r="ER348" s="58"/>
      <c r="ES348" s="58"/>
      <c r="ET348" s="58"/>
      <c r="EU348" s="58"/>
      <c r="EV348" s="58"/>
      <c r="EW348" s="58"/>
      <c r="EX348" s="58"/>
      <c r="EY348" s="58"/>
      <c r="EZ348" s="58"/>
      <c r="FA348" s="58"/>
      <c r="FB348" s="58"/>
      <c r="FC348" s="58"/>
      <c r="FD348" s="58"/>
      <c r="FE348" s="58"/>
      <c r="FF348" s="58"/>
      <c r="FG348" s="58"/>
      <c r="FH348" s="58"/>
      <c r="FI348" s="58"/>
      <c r="FJ348" s="58"/>
      <c r="FK348" s="58"/>
      <c r="FL348" s="58"/>
      <c r="FM348" s="58"/>
      <c r="FN348" s="58"/>
      <c r="FO348" s="58"/>
      <c r="FP348" s="58"/>
      <c r="FQ348" s="58"/>
      <c r="FR348" s="58"/>
      <c r="FS348" s="58"/>
      <c r="FT348" s="58"/>
      <c r="FU348" s="58"/>
      <c r="FV348" s="58"/>
      <c r="FW348" s="58"/>
      <c r="FX348" s="58"/>
      <c r="FY348" s="58"/>
      <c r="FZ348" s="58"/>
      <c r="GA348" s="58"/>
      <c r="GB348" s="58"/>
      <c r="GC348" s="58"/>
      <c r="GD348" s="58"/>
      <c r="GE348" s="58"/>
      <c r="GF348" s="58"/>
      <c r="GG348" s="58"/>
      <c r="GH348" s="58"/>
      <c r="GI348" s="58"/>
      <c r="GJ348" s="58"/>
      <c r="GK348" s="58"/>
      <c r="GL348" s="58"/>
      <c r="GM348" s="58"/>
      <c r="GN348" s="58"/>
      <c r="GO348" s="58"/>
      <c r="GP348" s="58"/>
      <c r="GQ348" s="58"/>
      <c r="GR348" s="58"/>
      <c r="GS348" s="58"/>
      <c r="GT348" s="58"/>
      <c r="GU348" s="58"/>
      <c r="GV348" s="58"/>
      <c r="GW348" s="58"/>
      <c r="GX348" s="58"/>
      <c r="GY348" s="58"/>
      <c r="GZ348" s="58"/>
      <c r="HA348" s="58"/>
      <c r="HB348" s="58"/>
      <c r="HC348" s="58"/>
      <c r="HD348" s="58"/>
      <c r="HE348" s="58"/>
      <c r="HF348" s="58"/>
      <c r="HG348" s="58"/>
      <c r="HH348" s="58"/>
      <c r="HI348" s="58"/>
      <c r="HJ348" s="58"/>
      <c r="HK348" s="58"/>
      <c r="HL348" s="58"/>
      <c r="HM348" s="58"/>
      <c r="HN348" s="58"/>
      <c r="HO348" s="58"/>
      <c r="HP348" s="58"/>
      <c r="HQ348" s="58"/>
      <c r="HR348" s="58"/>
      <c r="HS348" s="58"/>
      <c r="HT348" s="58"/>
      <c r="HU348" s="58"/>
      <c r="HV348" s="58"/>
      <c r="HW348" s="58"/>
      <c r="HX348" s="58"/>
      <c r="HY348" s="58"/>
      <c r="HZ348" s="58"/>
      <c r="IA348" s="58"/>
      <c r="IB348" s="58"/>
      <c r="IC348" s="58"/>
      <c r="ID348" s="58"/>
      <c r="IE348" s="58"/>
      <c r="IF348" s="58"/>
      <c r="IG348" s="58"/>
      <c r="IH348" s="58"/>
      <c r="II348" s="58"/>
      <c r="IJ348" s="58"/>
      <c r="IK348" s="58"/>
      <c r="IL348" s="58"/>
      <c r="IM348" s="58"/>
      <c r="IN348" s="58"/>
      <c r="IO348" s="58"/>
      <c r="IP348" s="58"/>
      <c r="IQ348" s="58"/>
      <c r="IR348" s="58"/>
      <c r="IS348" s="58"/>
      <c r="IT348" s="58"/>
    </row>
    <row r="349" spans="1:254" s="55" customFormat="1" x14ac:dyDescent="0.25">
      <c r="A349" s="79">
        <f t="shared" si="36"/>
        <v>289079.7</v>
      </c>
      <c r="B349" s="56">
        <v>289080</v>
      </c>
      <c r="C349" s="56">
        <v>3373294.8988000001</v>
      </c>
      <c r="D349" s="56">
        <v>653590.43400000001</v>
      </c>
      <c r="E349" s="56">
        <v>268.85300000000001</v>
      </c>
      <c r="F349" s="57">
        <f t="shared" si="41"/>
        <v>268.16500000000002</v>
      </c>
      <c r="G349" s="59">
        <v>289079.7</v>
      </c>
      <c r="H349" s="56">
        <v>13.379</v>
      </c>
      <c r="I349" s="56">
        <v>653581.60069999995</v>
      </c>
      <c r="J349" s="56">
        <v>3373284.821</v>
      </c>
      <c r="K349" s="56">
        <v>268.13299999999998</v>
      </c>
      <c r="L349" s="56">
        <f t="shared" si="37"/>
        <v>268.77099999999996</v>
      </c>
      <c r="M349" s="56">
        <f t="shared" si="38"/>
        <v>-8.2000000000000003E-2</v>
      </c>
      <c r="N349" s="56">
        <f t="shared" si="39"/>
        <v>-3.2000000000000001E-2</v>
      </c>
      <c r="O349" s="56"/>
      <c r="P349" s="56">
        <v>266.68799999999999</v>
      </c>
      <c r="Q349" s="56"/>
      <c r="R349" s="56"/>
      <c r="S349" s="56">
        <v>267.54199999999997</v>
      </c>
      <c r="T349" s="56">
        <f t="shared" si="40"/>
        <v>0.59099999999999997</v>
      </c>
      <c r="U349" s="58"/>
      <c r="V349" s="58"/>
      <c r="W349" s="58"/>
      <c r="X349" s="58"/>
      <c r="Y349" s="58"/>
      <c r="Z349" s="58"/>
      <c r="AA349" s="58"/>
      <c r="AB349" s="58"/>
      <c r="AC349" s="58"/>
      <c r="AD349" s="58"/>
      <c r="AE349" s="58"/>
      <c r="AF349" s="58"/>
      <c r="AG349" s="58"/>
      <c r="AH349" s="58"/>
      <c r="AI349" s="58"/>
      <c r="AJ349" s="58"/>
      <c r="AK349" s="58"/>
      <c r="AL349" s="58"/>
      <c r="AM349" s="58"/>
      <c r="AN349" s="58"/>
      <c r="AO349" s="58"/>
      <c r="AP349" s="58"/>
      <c r="AQ349" s="58"/>
      <c r="AR349" s="58"/>
      <c r="AS349" s="58"/>
      <c r="AT349" s="58"/>
      <c r="AU349" s="58"/>
      <c r="AV349" s="58"/>
      <c r="AW349" s="58"/>
      <c r="AX349" s="58"/>
      <c r="AY349" s="58"/>
      <c r="AZ349" s="58"/>
      <c r="BA349" s="58"/>
      <c r="BB349" s="58"/>
      <c r="BC349" s="58"/>
      <c r="BD349" s="58"/>
      <c r="BE349" s="58"/>
      <c r="BF349" s="58"/>
      <c r="BG349" s="58"/>
      <c r="BH349" s="58"/>
      <c r="BI349" s="58"/>
      <c r="BJ349" s="58"/>
      <c r="BK349" s="58"/>
      <c r="BL349" s="58"/>
      <c r="BM349" s="58"/>
      <c r="BN349" s="58"/>
      <c r="BO349" s="58"/>
      <c r="BP349" s="58"/>
      <c r="BQ349" s="58"/>
      <c r="BR349" s="58"/>
      <c r="BS349" s="58"/>
      <c r="BT349" s="58"/>
      <c r="BU349" s="58"/>
      <c r="BV349" s="58"/>
      <c r="BW349" s="58"/>
      <c r="BX349" s="58"/>
      <c r="BY349" s="58"/>
      <c r="BZ349" s="58"/>
      <c r="CA349" s="58"/>
      <c r="CB349" s="58"/>
      <c r="CC349" s="58"/>
      <c r="CD349" s="58"/>
      <c r="CE349" s="58"/>
      <c r="CF349" s="58"/>
      <c r="CG349" s="58"/>
      <c r="CH349" s="58"/>
      <c r="CI349" s="58"/>
      <c r="CJ349" s="58"/>
      <c r="CK349" s="58"/>
      <c r="CL349" s="58"/>
      <c r="CM349" s="58"/>
      <c r="CN349" s="58"/>
      <c r="CO349" s="58"/>
      <c r="CP349" s="58"/>
      <c r="CQ349" s="58"/>
      <c r="CR349" s="58"/>
      <c r="CS349" s="58"/>
      <c r="CT349" s="58"/>
      <c r="CU349" s="58"/>
      <c r="CV349" s="58"/>
      <c r="CW349" s="58"/>
      <c r="CX349" s="58"/>
      <c r="CY349" s="58"/>
      <c r="CZ349" s="58"/>
      <c r="DA349" s="58"/>
      <c r="DB349" s="58"/>
      <c r="DC349" s="58"/>
      <c r="DD349" s="58"/>
      <c r="DE349" s="58"/>
      <c r="DF349" s="58"/>
      <c r="DG349" s="58"/>
      <c r="DH349" s="58"/>
      <c r="DI349" s="58"/>
      <c r="DJ349" s="58"/>
      <c r="DK349" s="58"/>
      <c r="DL349" s="58"/>
      <c r="DM349" s="58"/>
      <c r="DN349" s="58"/>
      <c r="DO349" s="58"/>
      <c r="DP349" s="58"/>
      <c r="DQ349" s="58"/>
      <c r="DR349" s="58"/>
      <c r="DS349" s="58"/>
      <c r="DT349" s="58"/>
      <c r="DU349" s="58"/>
      <c r="DV349" s="58"/>
      <c r="DW349" s="58"/>
      <c r="DX349" s="58"/>
      <c r="DY349" s="58"/>
      <c r="DZ349" s="58"/>
      <c r="EA349" s="58"/>
      <c r="EB349" s="58"/>
      <c r="EC349" s="58"/>
      <c r="ED349" s="58"/>
      <c r="EE349" s="58"/>
      <c r="EF349" s="58"/>
      <c r="EG349" s="58"/>
      <c r="EH349" s="58"/>
      <c r="EI349" s="58"/>
      <c r="EJ349" s="58"/>
      <c r="EK349" s="58"/>
      <c r="EL349" s="58"/>
      <c r="EM349" s="58"/>
      <c r="EN349" s="58"/>
      <c r="EO349" s="58"/>
      <c r="EP349" s="58"/>
      <c r="EQ349" s="58"/>
      <c r="ER349" s="58"/>
      <c r="ES349" s="58"/>
      <c r="ET349" s="58"/>
      <c r="EU349" s="58"/>
      <c r="EV349" s="58"/>
      <c r="EW349" s="58"/>
      <c r="EX349" s="58"/>
      <c r="EY349" s="58"/>
      <c r="EZ349" s="58"/>
      <c r="FA349" s="58"/>
      <c r="FB349" s="58"/>
      <c r="FC349" s="58"/>
      <c r="FD349" s="58"/>
      <c r="FE349" s="58"/>
      <c r="FF349" s="58"/>
      <c r="FG349" s="58"/>
      <c r="FH349" s="58"/>
      <c r="FI349" s="58"/>
      <c r="FJ349" s="58"/>
      <c r="FK349" s="58"/>
      <c r="FL349" s="58"/>
      <c r="FM349" s="58"/>
      <c r="FN349" s="58"/>
      <c r="FO349" s="58"/>
      <c r="FP349" s="58"/>
      <c r="FQ349" s="58"/>
      <c r="FR349" s="58"/>
      <c r="FS349" s="58"/>
      <c r="FT349" s="58"/>
      <c r="FU349" s="58"/>
      <c r="FV349" s="58"/>
      <c r="FW349" s="58"/>
      <c r="FX349" s="58"/>
      <c r="FY349" s="58"/>
      <c r="FZ349" s="58"/>
      <c r="GA349" s="58"/>
      <c r="GB349" s="58"/>
      <c r="GC349" s="58"/>
      <c r="GD349" s="58"/>
      <c r="GE349" s="58"/>
      <c r="GF349" s="58"/>
      <c r="GG349" s="58"/>
      <c r="GH349" s="58"/>
      <c r="GI349" s="58"/>
      <c r="GJ349" s="58"/>
      <c r="GK349" s="58"/>
      <c r="GL349" s="58"/>
      <c r="GM349" s="58"/>
      <c r="GN349" s="58"/>
      <c r="GO349" s="58"/>
      <c r="GP349" s="58"/>
      <c r="GQ349" s="58"/>
      <c r="GR349" s="58"/>
      <c r="GS349" s="58"/>
      <c r="GT349" s="58"/>
      <c r="GU349" s="58"/>
      <c r="GV349" s="58"/>
      <c r="GW349" s="58"/>
      <c r="GX349" s="58"/>
      <c r="GY349" s="58"/>
      <c r="GZ349" s="58"/>
      <c r="HA349" s="58"/>
      <c r="HB349" s="58"/>
      <c r="HC349" s="58"/>
      <c r="HD349" s="58"/>
      <c r="HE349" s="58"/>
      <c r="HF349" s="58"/>
      <c r="HG349" s="58"/>
      <c r="HH349" s="58"/>
      <c r="HI349" s="58"/>
      <c r="HJ349" s="58"/>
      <c r="HK349" s="58"/>
      <c r="HL349" s="58"/>
      <c r="HM349" s="58"/>
      <c r="HN349" s="58"/>
      <c r="HO349" s="58"/>
      <c r="HP349" s="58"/>
      <c r="HQ349" s="58"/>
      <c r="HR349" s="58"/>
      <c r="HS349" s="58"/>
      <c r="HT349" s="58"/>
      <c r="HU349" s="58"/>
      <c r="HV349" s="58"/>
      <c r="HW349" s="58"/>
      <c r="HX349" s="58"/>
      <c r="HY349" s="58"/>
      <c r="HZ349" s="58"/>
      <c r="IA349" s="58"/>
      <c r="IB349" s="58"/>
      <c r="IC349" s="58"/>
      <c r="ID349" s="58"/>
      <c r="IE349" s="58"/>
      <c r="IF349" s="58"/>
      <c r="IG349" s="58"/>
      <c r="IH349" s="58"/>
      <c r="II349" s="58"/>
      <c r="IJ349" s="58"/>
      <c r="IK349" s="58"/>
      <c r="IL349" s="58"/>
      <c r="IM349" s="58"/>
      <c r="IN349" s="58"/>
      <c r="IO349" s="58"/>
      <c r="IP349" s="58"/>
      <c r="IQ349" s="58"/>
      <c r="IR349" s="58"/>
      <c r="IS349" s="58"/>
      <c r="IT349" s="58"/>
    </row>
    <row r="350" spans="1:254" s="55" customFormat="1" x14ac:dyDescent="0.25">
      <c r="A350" s="79">
        <f t="shared" si="36"/>
        <v>289100</v>
      </c>
      <c r="B350" s="56">
        <v>289100</v>
      </c>
      <c r="C350" s="56">
        <v>3373306.9408999998</v>
      </c>
      <c r="D350" s="56">
        <v>653574.46649999998</v>
      </c>
      <c r="E350" s="56">
        <v>268.83999999999997</v>
      </c>
      <c r="F350" s="57">
        <f t="shared" si="41"/>
        <v>268.15199999999999</v>
      </c>
      <c r="G350" s="59">
        <v>289100</v>
      </c>
      <c r="H350" s="56">
        <v>13.151</v>
      </c>
      <c r="I350" s="56">
        <v>653565.76890000002</v>
      </c>
      <c r="J350" s="56">
        <v>3373297.0419999999</v>
      </c>
      <c r="K350" s="56">
        <v>268.14</v>
      </c>
      <c r="L350" s="56">
        <f t="shared" si="37"/>
        <v>268.77799999999996</v>
      </c>
      <c r="M350" s="56">
        <f t="shared" si="38"/>
        <v>-6.2E-2</v>
      </c>
      <c r="N350" s="56">
        <f t="shared" si="39"/>
        <v>-1.2E-2</v>
      </c>
      <c r="O350" s="56"/>
      <c r="P350" s="56">
        <v>266.04000000000002</v>
      </c>
      <c r="Q350" s="56"/>
      <c r="R350" s="56"/>
      <c r="S350" s="56">
        <v>267.14</v>
      </c>
      <c r="T350" s="56">
        <f t="shared" si="40"/>
        <v>1</v>
      </c>
      <c r="U350" s="58"/>
      <c r="V350" s="58"/>
      <c r="W350" s="58"/>
      <c r="X350" s="58"/>
      <c r="Y350" s="58"/>
      <c r="Z350" s="58"/>
      <c r="AA350" s="58"/>
      <c r="AB350" s="58"/>
      <c r="AC350" s="58"/>
      <c r="AD350" s="58"/>
      <c r="AE350" s="58"/>
      <c r="AF350" s="58"/>
      <c r="AG350" s="58"/>
      <c r="AH350" s="58"/>
      <c r="AI350" s="58"/>
      <c r="AJ350" s="58"/>
      <c r="AK350" s="58"/>
      <c r="AL350" s="58"/>
      <c r="AM350" s="58"/>
      <c r="AN350" s="58"/>
      <c r="AO350" s="58"/>
      <c r="AP350" s="58"/>
      <c r="AQ350" s="58"/>
      <c r="AR350" s="58"/>
      <c r="AS350" s="58"/>
      <c r="AT350" s="58"/>
      <c r="AU350" s="58"/>
      <c r="AV350" s="58"/>
      <c r="AW350" s="58"/>
      <c r="AX350" s="58"/>
      <c r="AY350" s="58"/>
      <c r="AZ350" s="58"/>
      <c r="BA350" s="58"/>
      <c r="BB350" s="58"/>
      <c r="BC350" s="58"/>
      <c r="BD350" s="58"/>
      <c r="BE350" s="58"/>
      <c r="BF350" s="58"/>
      <c r="BG350" s="58"/>
      <c r="BH350" s="58"/>
      <c r="BI350" s="58"/>
      <c r="BJ350" s="58"/>
      <c r="BK350" s="58"/>
      <c r="BL350" s="58"/>
      <c r="BM350" s="58"/>
      <c r="BN350" s="58"/>
      <c r="BO350" s="58"/>
      <c r="BP350" s="58"/>
      <c r="BQ350" s="58"/>
      <c r="BR350" s="58"/>
      <c r="BS350" s="58"/>
      <c r="BT350" s="58"/>
      <c r="BU350" s="58"/>
      <c r="BV350" s="58"/>
      <c r="BW350" s="58"/>
      <c r="BX350" s="58"/>
      <c r="BY350" s="58"/>
      <c r="BZ350" s="58"/>
      <c r="CA350" s="58"/>
      <c r="CB350" s="58"/>
      <c r="CC350" s="58"/>
      <c r="CD350" s="58"/>
      <c r="CE350" s="58"/>
      <c r="CF350" s="58"/>
      <c r="CG350" s="58"/>
      <c r="CH350" s="58"/>
      <c r="CI350" s="58"/>
      <c r="CJ350" s="58"/>
      <c r="CK350" s="58"/>
      <c r="CL350" s="58"/>
      <c r="CM350" s="58"/>
      <c r="CN350" s="58"/>
      <c r="CO350" s="58"/>
      <c r="CP350" s="58"/>
      <c r="CQ350" s="58"/>
      <c r="CR350" s="58"/>
      <c r="CS350" s="58"/>
      <c r="CT350" s="58"/>
      <c r="CU350" s="58"/>
      <c r="CV350" s="58"/>
      <c r="CW350" s="58"/>
      <c r="CX350" s="58"/>
      <c r="CY350" s="58"/>
      <c r="CZ350" s="58"/>
      <c r="DA350" s="58"/>
      <c r="DB350" s="58"/>
      <c r="DC350" s="58"/>
      <c r="DD350" s="58"/>
      <c r="DE350" s="58"/>
      <c r="DF350" s="58"/>
      <c r="DG350" s="58"/>
      <c r="DH350" s="58"/>
      <c r="DI350" s="58"/>
      <c r="DJ350" s="58"/>
      <c r="DK350" s="58"/>
      <c r="DL350" s="58"/>
      <c r="DM350" s="58"/>
      <c r="DN350" s="58"/>
      <c r="DO350" s="58"/>
      <c r="DP350" s="58"/>
      <c r="DQ350" s="58"/>
      <c r="DR350" s="58"/>
      <c r="DS350" s="58"/>
      <c r="DT350" s="58"/>
      <c r="DU350" s="58"/>
      <c r="DV350" s="58"/>
      <c r="DW350" s="58"/>
      <c r="DX350" s="58"/>
      <c r="DY350" s="58"/>
      <c r="DZ350" s="58"/>
      <c r="EA350" s="58"/>
      <c r="EB350" s="58"/>
      <c r="EC350" s="58"/>
      <c r="ED350" s="58"/>
      <c r="EE350" s="58"/>
      <c r="EF350" s="58"/>
      <c r="EG350" s="58"/>
      <c r="EH350" s="58"/>
      <c r="EI350" s="58"/>
      <c r="EJ350" s="58"/>
      <c r="EK350" s="58"/>
      <c r="EL350" s="58"/>
      <c r="EM350" s="58"/>
      <c r="EN350" s="58"/>
      <c r="EO350" s="58"/>
      <c r="EP350" s="58"/>
      <c r="EQ350" s="58"/>
      <c r="ER350" s="58"/>
      <c r="ES350" s="58"/>
      <c r="ET350" s="58"/>
      <c r="EU350" s="58"/>
      <c r="EV350" s="58"/>
      <c r="EW350" s="58"/>
      <c r="EX350" s="58"/>
      <c r="EY350" s="58"/>
      <c r="EZ350" s="58"/>
      <c r="FA350" s="58"/>
      <c r="FB350" s="58"/>
      <c r="FC350" s="58"/>
      <c r="FD350" s="58"/>
      <c r="FE350" s="58"/>
      <c r="FF350" s="58"/>
      <c r="FG350" s="58"/>
      <c r="FH350" s="58"/>
      <c r="FI350" s="58"/>
      <c r="FJ350" s="58"/>
      <c r="FK350" s="58"/>
      <c r="FL350" s="58"/>
      <c r="FM350" s="58"/>
      <c r="FN350" s="58"/>
      <c r="FO350" s="58"/>
      <c r="FP350" s="58"/>
      <c r="FQ350" s="58"/>
      <c r="FR350" s="58"/>
      <c r="FS350" s="58"/>
      <c r="FT350" s="58"/>
      <c r="FU350" s="58"/>
      <c r="FV350" s="58"/>
      <c r="FW350" s="58"/>
      <c r="FX350" s="58"/>
      <c r="FY350" s="58"/>
      <c r="FZ350" s="58"/>
      <c r="GA350" s="58"/>
      <c r="GB350" s="58"/>
      <c r="GC350" s="58"/>
      <c r="GD350" s="58"/>
      <c r="GE350" s="58"/>
      <c r="GF350" s="58"/>
      <c r="GG350" s="58"/>
      <c r="GH350" s="58"/>
      <c r="GI350" s="58"/>
      <c r="GJ350" s="58"/>
      <c r="GK350" s="58"/>
      <c r="GL350" s="58"/>
      <c r="GM350" s="58"/>
      <c r="GN350" s="58"/>
      <c r="GO350" s="58"/>
      <c r="GP350" s="58"/>
      <c r="GQ350" s="58"/>
      <c r="GR350" s="58"/>
      <c r="GS350" s="58"/>
      <c r="GT350" s="58"/>
      <c r="GU350" s="58"/>
      <c r="GV350" s="58"/>
      <c r="GW350" s="58"/>
      <c r="GX350" s="58"/>
      <c r="GY350" s="58"/>
      <c r="GZ350" s="58"/>
      <c r="HA350" s="58"/>
      <c r="HB350" s="58"/>
      <c r="HC350" s="58"/>
      <c r="HD350" s="58"/>
      <c r="HE350" s="58"/>
      <c r="HF350" s="58"/>
      <c r="HG350" s="58"/>
      <c r="HH350" s="58"/>
      <c r="HI350" s="58"/>
      <c r="HJ350" s="58"/>
      <c r="HK350" s="58"/>
      <c r="HL350" s="58"/>
      <c r="HM350" s="58"/>
      <c r="HN350" s="58"/>
      <c r="HO350" s="58"/>
      <c r="HP350" s="58"/>
      <c r="HQ350" s="58"/>
      <c r="HR350" s="58"/>
      <c r="HS350" s="58"/>
      <c r="HT350" s="58"/>
      <c r="HU350" s="58"/>
      <c r="HV350" s="58"/>
      <c r="HW350" s="58"/>
      <c r="HX350" s="58"/>
      <c r="HY350" s="58"/>
      <c r="HZ350" s="58"/>
      <c r="IA350" s="58"/>
      <c r="IB350" s="58"/>
      <c r="IC350" s="58"/>
      <c r="ID350" s="58"/>
      <c r="IE350" s="58"/>
      <c r="IF350" s="58"/>
      <c r="IG350" s="58"/>
      <c r="IH350" s="58"/>
      <c r="II350" s="58"/>
      <c r="IJ350" s="58"/>
      <c r="IK350" s="58"/>
      <c r="IL350" s="58"/>
      <c r="IM350" s="58"/>
      <c r="IN350" s="58"/>
      <c r="IO350" s="58"/>
      <c r="IP350" s="58"/>
      <c r="IQ350" s="58"/>
      <c r="IR350" s="58"/>
      <c r="IS350" s="58"/>
      <c r="IT350" s="58"/>
    </row>
    <row r="351" spans="1:254" s="55" customFormat="1" x14ac:dyDescent="0.25">
      <c r="A351" s="79">
        <f t="shared" si="36"/>
        <v>289120</v>
      </c>
      <c r="B351" s="56">
        <v>289120</v>
      </c>
      <c r="C351" s="56">
        <v>3373319.1172000002</v>
      </c>
      <c r="D351" s="56">
        <v>653558.60030000005</v>
      </c>
      <c r="E351" s="56">
        <v>268.822</v>
      </c>
      <c r="F351" s="57">
        <f t="shared" si="41"/>
        <v>268.13400000000001</v>
      </c>
      <c r="G351" s="59">
        <v>289120</v>
      </c>
      <c r="H351" s="56">
        <v>13.095000000000001</v>
      </c>
      <c r="I351" s="56">
        <v>653549.93709999998</v>
      </c>
      <c r="J351" s="56">
        <v>3373309.2629999998</v>
      </c>
      <c r="K351" s="56">
        <v>268.14699999999999</v>
      </c>
      <c r="L351" s="56">
        <f t="shared" si="37"/>
        <v>268.78499999999997</v>
      </c>
      <c r="M351" s="56">
        <f t="shared" si="38"/>
        <v>-3.6999999999999998E-2</v>
      </c>
      <c r="N351" s="56">
        <f t="shared" si="39"/>
        <v>1.2999999999999999E-2</v>
      </c>
      <c r="O351" s="56"/>
      <c r="P351" s="56">
        <v>266.20999999999998</v>
      </c>
      <c r="Q351" s="56"/>
      <c r="R351" s="56"/>
      <c r="S351" s="56">
        <v>267.26900000000001</v>
      </c>
      <c r="T351" s="56">
        <f t="shared" si="40"/>
        <v>0.878</v>
      </c>
      <c r="U351" s="58"/>
      <c r="V351" s="58"/>
      <c r="W351" s="58"/>
      <c r="X351" s="58"/>
      <c r="Y351" s="58"/>
      <c r="Z351" s="58"/>
      <c r="AA351" s="58"/>
      <c r="AB351" s="58"/>
      <c r="AC351" s="58"/>
      <c r="AD351" s="58"/>
      <c r="AE351" s="58"/>
      <c r="AF351" s="58"/>
      <c r="AG351" s="58"/>
      <c r="AH351" s="58"/>
      <c r="AI351" s="58"/>
      <c r="AJ351" s="58"/>
      <c r="AK351" s="58"/>
      <c r="AL351" s="58"/>
      <c r="AM351" s="58"/>
      <c r="AN351" s="58"/>
      <c r="AO351" s="58"/>
      <c r="AP351" s="58"/>
      <c r="AQ351" s="58"/>
      <c r="AR351" s="58"/>
      <c r="AS351" s="58"/>
      <c r="AT351" s="58"/>
      <c r="AU351" s="58"/>
      <c r="AV351" s="58"/>
      <c r="AW351" s="58"/>
      <c r="AX351" s="58"/>
      <c r="AY351" s="58"/>
      <c r="AZ351" s="58"/>
      <c r="BA351" s="58"/>
      <c r="BB351" s="58"/>
      <c r="BC351" s="58"/>
      <c r="BD351" s="58"/>
      <c r="BE351" s="58"/>
      <c r="BF351" s="58"/>
      <c r="BG351" s="58"/>
      <c r="BH351" s="58"/>
      <c r="BI351" s="58"/>
      <c r="BJ351" s="58"/>
      <c r="BK351" s="58"/>
      <c r="BL351" s="58"/>
      <c r="BM351" s="58"/>
      <c r="BN351" s="58"/>
      <c r="BO351" s="58"/>
      <c r="BP351" s="58"/>
      <c r="BQ351" s="58"/>
      <c r="BR351" s="58"/>
      <c r="BS351" s="58"/>
      <c r="BT351" s="58"/>
      <c r="BU351" s="58"/>
      <c r="BV351" s="58"/>
      <c r="BW351" s="58"/>
      <c r="BX351" s="58"/>
      <c r="BY351" s="58"/>
      <c r="BZ351" s="58"/>
      <c r="CA351" s="58"/>
      <c r="CB351" s="58"/>
      <c r="CC351" s="58"/>
      <c r="CD351" s="58"/>
      <c r="CE351" s="58"/>
      <c r="CF351" s="58"/>
      <c r="CG351" s="58"/>
      <c r="CH351" s="58"/>
      <c r="CI351" s="58"/>
      <c r="CJ351" s="58"/>
      <c r="CK351" s="58"/>
      <c r="CL351" s="58"/>
      <c r="CM351" s="58"/>
      <c r="CN351" s="58"/>
      <c r="CO351" s="58"/>
      <c r="CP351" s="58"/>
      <c r="CQ351" s="58"/>
      <c r="CR351" s="58"/>
      <c r="CS351" s="58"/>
      <c r="CT351" s="58"/>
      <c r="CU351" s="58"/>
      <c r="CV351" s="58"/>
      <c r="CW351" s="58"/>
      <c r="CX351" s="58"/>
      <c r="CY351" s="58"/>
      <c r="CZ351" s="58"/>
      <c r="DA351" s="58"/>
      <c r="DB351" s="58"/>
      <c r="DC351" s="58"/>
      <c r="DD351" s="58"/>
      <c r="DE351" s="58"/>
      <c r="DF351" s="58"/>
      <c r="DG351" s="58"/>
      <c r="DH351" s="58"/>
      <c r="DI351" s="58"/>
      <c r="DJ351" s="58"/>
      <c r="DK351" s="58"/>
      <c r="DL351" s="58"/>
      <c r="DM351" s="58"/>
      <c r="DN351" s="58"/>
      <c r="DO351" s="58"/>
      <c r="DP351" s="58"/>
      <c r="DQ351" s="58"/>
      <c r="DR351" s="58"/>
      <c r="DS351" s="58"/>
      <c r="DT351" s="58"/>
      <c r="DU351" s="58"/>
      <c r="DV351" s="58"/>
      <c r="DW351" s="58"/>
      <c r="DX351" s="58"/>
      <c r="DY351" s="58"/>
      <c r="DZ351" s="58"/>
      <c r="EA351" s="58"/>
      <c r="EB351" s="58"/>
      <c r="EC351" s="58"/>
      <c r="ED351" s="58"/>
      <c r="EE351" s="58"/>
      <c r="EF351" s="58"/>
      <c r="EG351" s="58"/>
      <c r="EH351" s="58"/>
      <c r="EI351" s="58"/>
      <c r="EJ351" s="58"/>
      <c r="EK351" s="58"/>
      <c r="EL351" s="58"/>
      <c r="EM351" s="58"/>
      <c r="EN351" s="58"/>
      <c r="EO351" s="58"/>
      <c r="EP351" s="58"/>
      <c r="EQ351" s="58"/>
      <c r="ER351" s="58"/>
      <c r="ES351" s="58"/>
      <c r="ET351" s="58"/>
      <c r="EU351" s="58"/>
      <c r="EV351" s="58"/>
      <c r="EW351" s="58"/>
      <c r="EX351" s="58"/>
      <c r="EY351" s="58"/>
      <c r="EZ351" s="58"/>
      <c r="FA351" s="58"/>
      <c r="FB351" s="58"/>
      <c r="FC351" s="58"/>
      <c r="FD351" s="58"/>
      <c r="FE351" s="58"/>
      <c r="FF351" s="58"/>
      <c r="FG351" s="58"/>
      <c r="FH351" s="58"/>
      <c r="FI351" s="58"/>
      <c r="FJ351" s="58"/>
      <c r="FK351" s="58"/>
      <c r="FL351" s="58"/>
      <c r="FM351" s="58"/>
      <c r="FN351" s="58"/>
      <c r="FO351" s="58"/>
      <c r="FP351" s="58"/>
      <c r="FQ351" s="58"/>
      <c r="FR351" s="58"/>
      <c r="FS351" s="58"/>
      <c r="FT351" s="58"/>
      <c r="FU351" s="58"/>
      <c r="FV351" s="58"/>
      <c r="FW351" s="58"/>
      <c r="FX351" s="58"/>
      <c r="FY351" s="58"/>
      <c r="FZ351" s="58"/>
      <c r="GA351" s="58"/>
      <c r="GB351" s="58"/>
      <c r="GC351" s="58"/>
      <c r="GD351" s="58"/>
      <c r="GE351" s="58"/>
      <c r="GF351" s="58"/>
      <c r="GG351" s="58"/>
      <c r="GH351" s="58"/>
      <c r="GI351" s="58"/>
      <c r="GJ351" s="58"/>
      <c r="GK351" s="58"/>
      <c r="GL351" s="58"/>
      <c r="GM351" s="58"/>
      <c r="GN351" s="58"/>
      <c r="GO351" s="58"/>
      <c r="GP351" s="58"/>
      <c r="GQ351" s="58"/>
      <c r="GR351" s="58"/>
      <c r="GS351" s="58"/>
      <c r="GT351" s="58"/>
      <c r="GU351" s="58"/>
      <c r="GV351" s="58"/>
      <c r="GW351" s="58"/>
      <c r="GX351" s="58"/>
      <c r="GY351" s="58"/>
      <c r="GZ351" s="58"/>
      <c r="HA351" s="58"/>
      <c r="HB351" s="58"/>
      <c r="HC351" s="58"/>
      <c r="HD351" s="58"/>
      <c r="HE351" s="58"/>
      <c r="HF351" s="58"/>
      <c r="HG351" s="58"/>
      <c r="HH351" s="58"/>
      <c r="HI351" s="58"/>
      <c r="HJ351" s="58"/>
      <c r="HK351" s="58"/>
      <c r="HL351" s="58"/>
      <c r="HM351" s="58"/>
      <c r="HN351" s="58"/>
      <c r="HO351" s="58"/>
      <c r="HP351" s="58"/>
      <c r="HQ351" s="58"/>
      <c r="HR351" s="58"/>
      <c r="HS351" s="58"/>
      <c r="HT351" s="58"/>
      <c r="HU351" s="58"/>
      <c r="HV351" s="58"/>
      <c r="HW351" s="58"/>
      <c r="HX351" s="58"/>
      <c r="HY351" s="58"/>
      <c r="HZ351" s="58"/>
      <c r="IA351" s="58"/>
      <c r="IB351" s="58"/>
      <c r="IC351" s="58"/>
      <c r="ID351" s="58"/>
      <c r="IE351" s="58"/>
      <c r="IF351" s="58"/>
      <c r="IG351" s="58"/>
      <c r="IH351" s="58"/>
      <c r="II351" s="58"/>
      <c r="IJ351" s="58"/>
      <c r="IK351" s="58"/>
      <c r="IL351" s="58"/>
      <c r="IM351" s="58"/>
      <c r="IN351" s="58"/>
      <c r="IO351" s="58"/>
      <c r="IP351" s="58"/>
      <c r="IQ351" s="58"/>
      <c r="IR351" s="58"/>
      <c r="IS351" s="58"/>
      <c r="IT351" s="58"/>
    </row>
    <row r="352" spans="1:254" s="55" customFormat="1" x14ac:dyDescent="0.25">
      <c r="A352" s="79">
        <f t="shared" si="36"/>
        <v>289140</v>
      </c>
      <c r="B352" s="56">
        <v>289140</v>
      </c>
      <c r="C352" s="56">
        <v>3373331.2936</v>
      </c>
      <c r="D352" s="56">
        <v>653542.7341</v>
      </c>
      <c r="E352" s="56">
        <v>268.803</v>
      </c>
      <c r="F352" s="57">
        <f t="shared" si="41"/>
        <v>268.11500000000001</v>
      </c>
      <c r="G352" s="59">
        <v>289140</v>
      </c>
      <c r="H352" s="56">
        <v>13.038</v>
      </c>
      <c r="I352" s="56">
        <v>653534.10519999999</v>
      </c>
      <c r="J352" s="56">
        <v>3373321.4840000002</v>
      </c>
      <c r="K352" s="56">
        <v>268.154</v>
      </c>
      <c r="L352" s="56">
        <f t="shared" si="37"/>
        <v>268.79199999999997</v>
      </c>
      <c r="M352" s="56">
        <f t="shared" si="38"/>
        <v>-1.0999999999999999E-2</v>
      </c>
      <c r="N352" s="56">
        <f t="shared" si="39"/>
        <v>3.9E-2</v>
      </c>
      <c r="O352" s="56"/>
      <c r="P352" s="56">
        <v>267.07100000000003</v>
      </c>
      <c r="Q352" s="56"/>
      <c r="R352" s="56"/>
      <c r="S352" s="56">
        <v>267.55399999999997</v>
      </c>
      <c r="T352" s="56">
        <f t="shared" si="40"/>
        <v>0.6</v>
      </c>
      <c r="U352" s="58"/>
      <c r="V352" s="58"/>
      <c r="W352" s="58"/>
      <c r="X352" s="58"/>
      <c r="Y352" s="58"/>
      <c r="Z352" s="58"/>
      <c r="AA352" s="58"/>
      <c r="AB352" s="58"/>
      <c r="AC352" s="58"/>
      <c r="AD352" s="58"/>
      <c r="AE352" s="58"/>
      <c r="AF352" s="58"/>
      <c r="AG352" s="58"/>
      <c r="AH352" s="58"/>
      <c r="AI352" s="58"/>
      <c r="AJ352" s="58"/>
      <c r="AK352" s="58"/>
      <c r="AL352" s="58"/>
      <c r="AM352" s="58"/>
      <c r="AN352" s="58"/>
      <c r="AO352" s="58"/>
      <c r="AP352" s="58"/>
      <c r="AQ352" s="58"/>
      <c r="AR352" s="58"/>
      <c r="AS352" s="58"/>
      <c r="AT352" s="58"/>
      <c r="AU352" s="58"/>
      <c r="AV352" s="58"/>
      <c r="AW352" s="58"/>
      <c r="AX352" s="58"/>
      <c r="AY352" s="58"/>
      <c r="AZ352" s="58"/>
      <c r="BA352" s="58"/>
      <c r="BB352" s="58"/>
      <c r="BC352" s="58"/>
      <c r="BD352" s="58"/>
      <c r="BE352" s="58"/>
      <c r="BF352" s="58"/>
      <c r="BG352" s="58"/>
      <c r="BH352" s="58"/>
      <c r="BI352" s="58"/>
      <c r="BJ352" s="58"/>
      <c r="BK352" s="58"/>
      <c r="BL352" s="58"/>
      <c r="BM352" s="58"/>
      <c r="BN352" s="58"/>
      <c r="BO352" s="58"/>
      <c r="BP352" s="58"/>
      <c r="BQ352" s="58"/>
      <c r="BR352" s="58"/>
      <c r="BS352" s="58"/>
      <c r="BT352" s="58"/>
      <c r="BU352" s="58"/>
      <c r="BV352" s="58"/>
      <c r="BW352" s="58"/>
      <c r="BX352" s="58"/>
      <c r="BY352" s="58"/>
      <c r="BZ352" s="58"/>
      <c r="CA352" s="58"/>
      <c r="CB352" s="58"/>
      <c r="CC352" s="58"/>
      <c r="CD352" s="58"/>
      <c r="CE352" s="58"/>
      <c r="CF352" s="58"/>
      <c r="CG352" s="58"/>
      <c r="CH352" s="58"/>
      <c r="CI352" s="58"/>
      <c r="CJ352" s="58"/>
      <c r="CK352" s="58"/>
      <c r="CL352" s="58"/>
      <c r="CM352" s="58"/>
      <c r="CN352" s="58"/>
      <c r="CO352" s="58"/>
      <c r="CP352" s="58"/>
      <c r="CQ352" s="58"/>
      <c r="CR352" s="58"/>
      <c r="CS352" s="58"/>
      <c r="CT352" s="58"/>
      <c r="CU352" s="58"/>
      <c r="CV352" s="58"/>
      <c r="CW352" s="58"/>
      <c r="CX352" s="58"/>
      <c r="CY352" s="58"/>
      <c r="CZ352" s="58"/>
      <c r="DA352" s="58"/>
      <c r="DB352" s="58"/>
      <c r="DC352" s="58"/>
      <c r="DD352" s="58"/>
      <c r="DE352" s="58"/>
      <c r="DF352" s="58"/>
      <c r="DG352" s="58"/>
      <c r="DH352" s="58"/>
      <c r="DI352" s="58"/>
      <c r="DJ352" s="58"/>
      <c r="DK352" s="58"/>
      <c r="DL352" s="58"/>
      <c r="DM352" s="58"/>
      <c r="DN352" s="58"/>
      <c r="DO352" s="58"/>
      <c r="DP352" s="58"/>
      <c r="DQ352" s="58"/>
      <c r="DR352" s="58"/>
      <c r="DS352" s="58"/>
      <c r="DT352" s="58"/>
      <c r="DU352" s="58"/>
      <c r="DV352" s="58"/>
      <c r="DW352" s="58"/>
      <c r="DX352" s="58"/>
      <c r="DY352" s="58"/>
      <c r="DZ352" s="58"/>
      <c r="EA352" s="58"/>
      <c r="EB352" s="58"/>
      <c r="EC352" s="58"/>
      <c r="ED352" s="58"/>
      <c r="EE352" s="58"/>
      <c r="EF352" s="58"/>
      <c r="EG352" s="58"/>
      <c r="EH352" s="58"/>
      <c r="EI352" s="58"/>
      <c r="EJ352" s="58"/>
      <c r="EK352" s="58"/>
      <c r="EL352" s="58"/>
      <c r="EM352" s="58"/>
      <c r="EN352" s="58"/>
      <c r="EO352" s="58"/>
      <c r="EP352" s="58"/>
      <c r="EQ352" s="58"/>
      <c r="ER352" s="58"/>
      <c r="ES352" s="58"/>
      <c r="ET352" s="58"/>
      <c r="EU352" s="58"/>
      <c r="EV352" s="58"/>
      <c r="EW352" s="58"/>
      <c r="EX352" s="58"/>
      <c r="EY352" s="58"/>
      <c r="EZ352" s="58"/>
      <c r="FA352" s="58"/>
      <c r="FB352" s="58"/>
      <c r="FC352" s="58"/>
      <c r="FD352" s="58"/>
      <c r="FE352" s="58"/>
      <c r="FF352" s="58"/>
      <c r="FG352" s="58"/>
      <c r="FH352" s="58"/>
      <c r="FI352" s="58"/>
      <c r="FJ352" s="58"/>
      <c r="FK352" s="58"/>
      <c r="FL352" s="58"/>
      <c r="FM352" s="58"/>
      <c r="FN352" s="58"/>
      <c r="FO352" s="58"/>
      <c r="FP352" s="58"/>
      <c r="FQ352" s="58"/>
      <c r="FR352" s="58"/>
      <c r="FS352" s="58"/>
      <c r="FT352" s="58"/>
      <c r="FU352" s="58"/>
      <c r="FV352" s="58"/>
      <c r="FW352" s="58"/>
      <c r="FX352" s="58"/>
      <c r="FY352" s="58"/>
      <c r="FZ352" s="58"/>
      <c r="GA352" s="58"/>
      <c r="GB352" s="58"/>
      <c r="GC352" s="58"/>
      <c r="GD352" s="58"/>
      <c r="GE352" s="58"/>
      <c r="GF352" s="58"/>
      <c r="GG352" s="58"/>
      <c r="GH352" s="58"/>
      <c r="GI352" s="58"/>
      <c r="GJ352" s="58"/>
      <c r="GK352" s="58"/>
      <c r="GL352" s="58"/>
      <c r="GM352" s="58"/>
      <c r="GN352" s="58"/>
      <c r="GO352" s="58"/>
      <c r="GP352" s="58"/>
      <c r="GQ352" s="58"/>
      <c r="GR352" s="58"/>
      <c r="GS352" s="58"/>
      <c r="GT352" s="58"/>
      <c r="GU352" s="58"/>
      <c r="GV352" s="58"/>
      <c r="GW352" s="58"/>
      <c r="GX352" s="58"/>
      <c r="GY352" s="58"/>
      <c r="GZ352" s="58"/>
      <c r="HA352" s="58"/>
      <c r="HB352" s="58"/>
      <c r="HC352" s="58"/>
      <c r="HD352" s="58"/>
      <c r="HE352" s="58"/>
      <c r="HF352" s="58"/>
      <c r="HG352" s="58"/>
      <c r="HH352" s="58"/>
      <c r="HI352" s="58"/>
      <c r="HJ352" s="58"/>
      <c r="HK352" s="58"/>
      <c r="HL352" s="58"/>
      <c r="HM352" s="58"/>
      <c r="HN352" s="58"/>
      <c r="HO352" s="58"/>
      <c r="HP352" s="58"/>
      <c r="HQ352" s="58"/>
      <c r="HR352" s="58"/>
      <c r="HS352" s="58"/>
      <c r="HT352" s="58"/>
      <c r="HU352" s="58"/>
      <c r="HV352" s="58"/>
      <c r="HW352" s="58"/>
      <c r="HX352" s="58"/>
      <c r="HY352" s="58"/>
      <c r="HZ352" s="58"/>
      <c r="IA352" s="58"/>
      <c r="IB352" s="58"/>
      <c r="IC352" s="58"/>
      <c r="ID352" s="58"/>
      <c r="IE352" s="58"/>
      <c r="IF352" s="58"/>
      <c r="IG352" s="58"/>
      <c r="IH352" s="58"/>
      <c r="II352" s="58"/>
      <c r="IJ352" s="58"/>
      <c r="IK352" s="58"/>
      <c r="IL352" s="58"/>
      <c r="IM352" s="58"/>
      <c r="IN352" s="58"/>
      <c r="IO352" s="58"/>
      <c r="IP352" s="58"/>
      <c r="IQ352" s="58"/>
      <c r="IR352" s="58"/>
      <c r="IS352" s="58"/>
      <c r="IT352" s="58"/>
    </row>
    <row r="353" spans="1:254" s="55" customFormat="1" x14ac:dyDescent="0.25">
      <c r="A353" s="79">
        <f t="shared" si="36"/>
        <v>289160</v>
      </c>
      <c r="B353" s="56">
        <v>289160</v>
      </c>
      <c r="C353" s="56">
        <v>3373343.5183999999</v>
      </c>
      <c r="D353" s="56">
        <v>653526.90529999998</v>
      </c>
      <c r="E353" s="56">
        <v>268.79599999999999</v>
      </c>
      <c r="F353" s="57">
        <f t="shared" si="41"/>
        <v>268.108</v>
      </c>
      <c r="G353" s="59">
        <v>289160</v>
      </c>
      <c r="H353" s="56">
        <v>13.042</v>
      </c>
      <c r="I353" s="56">
        <v>653518.27339999995</v>
      </c>
      <c r="J353" s="56">
        <v>3373333.7050000001</v>
      </c>
      <c r="K353" s="56">
        <v>268.161</v>
      </c>
      <c r="L353" s="56">
        <f t="shared" si="37"/>
        <v>268.79899999999998</v>
      </c>
      <c r="M353" s="56">
        <f t="shared" si="38"/>
        <v>3.0000000000000001E-3</v>
      </c>
      <c r="N353" s="56">
        <f t="shared" si="39"/>
        <v>5.2999999999999999E-2</v>
      </c>
      <c r="O353" s="56"/>
      <c r="P353" s="56">
        <v>266.74799999999999</v>
      </c>
      <c r="Q353" s="56"/>
      <c r="R353" s="56"/>
      <c r="S353" s="56">
        <v>267.541</v>
      </c>
      <c r="T353" s="56">
        <f t="shared" si="40"/>
        <v>0.62</v>
      </c>
      <c r="U353" s="58"/>
      <c r="V353" s="58"/>
      <c r="W353" s="58"/>
      <c r="X353" s="58"/>
      <c r="Y353" s="58"/>
      <c r="Z353" s="58"/>
      <c r="AA353" s="58"/>
      <c r="AB353" s="58"/>
      <c r="AC353" s="58"/>
      <c r="AD353" s="58"/>
      <c r="AE353" s="58"/>
      <c r="AF353" s="58"/>
      <c r="AG353" s="58"/>
      <c r="AH353" s="58"/>
      <c r="AI353" s="58"/>
      <c r="AJ353" s="58"/>
      <c r="AK353" s="58"/>
      <c r="AL353" s="58"/>
      <c r="AM353" s="58"/>
      <c r="AN353" s="58"/>
      <c r="AO353" s="58"/>
      <c r="AP353" s="58"/>
      <c r="AQ353" s="58"/>
      <c r="AR353" s="58"/>
      <c r="AS353" s="58"/>
      <c r="AT353" s="58"/>
      <c r="AU353" s="58"/>
      <c r="AV353" s="58"/>
      <c r="AW353" s="58"/>
      <c r="AX353" s="58"/>
      <c r="AY353" s="58"/>
      <c r="AZ353" s="58"/>
      <c r="BA353" s="58"/>
      <c r="BB353" s="58"/>
      <c r="BC353" s="58"/>
      <c r="BD353" s="58"/>
      <c r="BE353" s="58"/>
      <c r="BF353" s="58"/>
      <c r="BG353" s="58"/>
      <c r="BH353" s="58"/>
      <c r="BI353" s="58"/>
      <c r="BJ353" s="58"/>
      <c r="BK353" s="58"/>
      <c r="BL353" s="58"/>
      <c r="BM353" s="58"/>
      <c r="BN353" s="58"/>
      <c r="BO353" s="58"/>
      <c r="BP353" s="58"/>
      <c r="BQ353" s="58"/>
      <c r="BR353" s="58"/>
      <c r="BS353" s="58"/>
      <c r="BT353" s="58"/>
      <c r="BU353" s="58"/>
      <c r="BV353" s="58"/>
      <c r="BW353" s="58"/>
      <c r="BX353" s="58"/>
      <c r="BY353" s="58"/>
      <c r="BZ353" s="58"/>
      <c r="CA353" s="58"/>
      <c r="CB353" s="58"/>
      <c r="CC353" s="58"/>
      <c r="CD353" s="58"/>
      <c r="CE353" s="58"/>
      <c r="CF353" s="58"/>
      <c r="CG353" s="58"/>
      <c r="CH353" s="58"/>
      <c r="CI353" s="58"/>
      <c r="CJ353" s="58"/>
      <c r="CK353" s="58"/>
      <c r="CL353" s="58"/>
      <c r="CM353" s="58"/>
      <c r="CN353" s="58"/>
      <c r="CO353" s="58"/>
      <c r="CP353" s="58"/>
      <c r="CQ353" s="58"/>
      <c r="CR353" s="58"/>
      <c r="CS353" s="58"/>
      <c r="CT353" s="58"/>
      <c r="CU353" s="58"/>
      <c r="CV353" s="58"/>
      <c r="CW353" s="58"/>
      <c r="CX353" s="58"/>
      <c r="CY353" s="58"/>
      <c r="CZ353" s="58"/>
      <c r="DA353" s="58"/>
      <c r="DB353" s="58"/>
      <c r="DC353" s="58"/>
      <c r="DD353" s="58"/>
      <c r="DE353" s="58"/>
      <c r="DF353" s="58"/>
      <c r="DG353" s="58"/>
      <c r="DH353" s="58"/>
      <c r="DI353" s="58"/>
      <c r="DJ353" s="58"/>
      <c r="DK353" s="58"/>
      <c r="DL353" s="58"/>
      <c r="DM353" s="58"/>
      <c r="DN353" s="58"/>
      <c r="DO353" s="58"/>
      <c r="DP353" s="58"/>
      <c r="DQ353" s="58"/>
      <c r="DR353" s="58"/>
      <c r="DS353" s="58"/>
      <c r="DT353" s="58"/>
      <c r="DU353" s="58"/>
      <c r="DV353" s="58"/>
      <c r="DW353" s="58"/>
      <c r="DX353" s="58"/>
      <c r="DY353" s="58"/>
      <c r="DZ353" s="58"/>
      <c r="EA353" s="58"/>
      <c r="EB353" s="58"/>
      <c r="EC353" s="58"/>
      <c r="ED353" s="58"/>
      <c r="EE353" s="58"/>
      <c r="EF353" s="58"/>
      <c r="EG353" s="58"/>
      <c r="EH353" s="58"/>
      <c r="EI353" s="58"/>
      <c r="EJ353" s="58"/>
      <c r="EK353" s="58"/>
      <c r="EL353" s="58"/>
      <c r="EM353" s="58"/>
      <c r="EN353" s="58"/>
      <c r="EO353" s="58"/>
      <c r="EP353" s="58"/>
      <c r="EQ353" s="58"/>
      <c r="ER353" s="58"/>
      <c r="ES353" s="58"/>
      <c r="ET353" s="58"/>
      <c r="EU353" s="58"/>
      <c r="EV353" s="58"/>
      <c r="EW353" s="58"/>
      <c r="EX353" s="58"/>
      <c r="EY353" s="58"/>
      <c r="EZ353" s="58"/>
      <c r="FA353" s="58"/>
      <c r="FB353" s="58"/>
      <c r="FC353" s="58"/>
      <c r="FD353" s="58"/>
      <c r="FE353" s="58"/>
      <c r="FF353" s="58"/>
      <c r="FG353" s="58"/>
      <c r="FH353" s="58"/>
      <c r="FI353" s="58"/>
      <c r="FJ353" s="58"/>
      <c r="FK353" s="58"/>
      <c r="FL353" s="58"/>
      <c r="FM353" s="58"/>
      <c r="FN353" s="58"/>
      <c r="FO353" s="58"/>
      <c r="FP353" s="58"/>
      <c r="FQ353" s="58"/>
      <c r="FR353" s="58"/>
      <c r="FS353" s="58"/>
      <c r="FT353" s="58"/>
      <c r="FU353" s="58"/>
      <c r="FV353" s="58"/>
      <c r="FW353" s="58"/>
      <c r="FX353" s="58"/>
      <c r="FY353" s="58"/>
      <c r="FZ353" s="58"/>
      <c r="GA353" s="58"/>
      <c r="GB353" s="58"/>
      <c r="GC353" s="58"/>
      <c r="GD353" s="58"/>
      <c r="GE353" s="58"/>
      <c r="GF353" s="58"/>
      <c r="GG353" s="58"/>
      <c r="GH353" s="58"/>
      <c r="GI353" s="58"/>
      <c r="GJ353" s="58"/>
      <c r="GK353" s="58"/>
      <c r="GL353" s="58"/>
      <c r="GM353" s="58"/>
      <c r="GN353" s="58"/>
      <c r="GO353" s="58"/>
      <c r="GP353" s="58"/>
      <c r="GQ353" s="58"/>
      <c r="GR353" s="58"/>
      <c r="GS353" s="58"/>
      <c r="GT353" s="58"/>
      <c r="GU353" s="58"/>
      <c r="GV353" s="58"/>
      <c r="GW353" s="58"/>
      <c r="GX353" s="58"/>
      <c r="GY353" s="58"/>
      <c r="GZ353" s="58"/>
      <c r="HA353" s="58"/>
      <c r="HB353" s="58"/>
      <c r="HC353" s="58"/>
      <c r="HD353" s="58"/>
      <c r="HE353" s="58"/>
      <c r="HF353" s="58"/>
      <c r="HG353" s="58"/>
      <c r="HH353" s="58"/>
      <c r="HI353" s="58"/>
      <c r="HJ353" s="58"/>
      <c r="HK353" s="58"/>
      <c r="HL353" s="58"/>
      <c r="HM353" s="58"/>
      <c r="HN353" s="58"/>
      <c r="HO353" s="58"/>
      <c r="HP353" s="58"/>
      <c r="HQ353" s="58"/>
      <c r="HR353" s="58"/>
      <c r="HS353" s="58"/>
      <c r="HT353" s="58"/>
      <c r="HU353" s="58"/>
      <c r="HV353" s="58"/>
      <c r="HW353" s="58"/>
      <c r="HX353" s="58"/>
      <c r="HY353" s="58"/>
      <c r="HZ353" s="58"/>
      <c r="IA353" s="58"/>
      <c r="IB353" s="58"/>
      <c r="IC353" s="58"/>
      <c r="ID353" s="58"/>
      <c r="IE353" s="58"/>
      <c r="IF353" s="58"/>
      <c r="IG353" s="58"/>
      <c r="IH353" s="58"/>
      <c r="II353" s="58"/>
      <c r="IJ353" s="58"/>
      <c r="IK353" s="58"/>
      <c r="IL353" s="58"/>
      <c r="IM353" s="58"/>
      <c r="IN353" s="58"/>
      <c r="IO353" s="58"/>
      <c r="IP353" s="58"/>
      <c r="IQ353" s="58"/>
      <c r="IR353" s="58"/>
      <c r="IS353" s="58"/>
      <c r="IT353" s="58"/>
    </row>
    <row r="354" spans="1:254" s="55" customFormat="1" x14ac:dyDescent="0.25">
      <c r="A354" s="79">
        <f t="shared" si="36"/>
        <v>289180</v>
      </c>
      <c r="B354" s="56">
        <v>289180</v>
      </c>
      <c r="C354" s="56">
        <v>3373355.7911999999</v>
      </c>
      <c r="D354" s="56">
        <v>653511.11360000004</v>
      </c>
      <c r="E354" s="56">
        <v>268.79899999999998</v>
      </c>
      <c r="F354" s="57">
        <f t="shared" si="41"/>
        <v>268.11099999999999</v>
      </c>
      <c r="G354" s="59">
        <v>289180</v>
      </c>
      <c r="H354" s="56">
        <v>13.108000000000001</v>
      </c>
      <c r="I354" s="56">
        <v>653502.44149999996</v>
      </c>
      <c r="J354" s="56">
        <v>3373345.926</v>
      </c>
      <c r="K354" s="56">
        <v>268.16800000000001</v>
      </c>
      <c r="L354" s="56">
        <f t="shared" si="37"/>
        <v>268.80599999999998</v>
      </c>
      <c r="M354" s="56">
        <f t="shared" si="38"/>
        <v>7.0000000000000001E-3</v>
      </c>
      <c r="N354" s="56">
        <f t="shared" si="39"/>
        <v>5.7000000000000002E-2</v>
      </c>
      <c r="O354" s="56"/>
      <c r="P354" s="56">
        <v>267.25599999999997</v>
      </c>
      <c r="Q354" s="56"/>
      <c r="R354" s="56"/>
      <c r="S354" s="56">
        <v>268.10599999999999</v>
      </c>
      <c r="T354" s="56">
        <f t="shared" si="40"/>
        <v>6.2E-2</v>
      </c>
      <c r="U354" s="58"/>
      <c r="V354" s="58"/>
      <c r="W354" s="58"/>
      <c r="X354" s="58"/>
      <c r="Y354" s="58"/>
      <c r="Z354" s="58"/>
      <c r="AA354" s="58"/>
      <c r="AB354" s="58"/>
      <c r="AC354" s="58"/>
      <c r="AD354" s="58"/>
      <c r="AE354" s="58"/>
      <c r="AF354" s="58"/>
      <c r="AG354" s="58"/>
      <c r="AH354" s="58"/>
      <c r="AI354" s="58"/>
      <c r="AJ354" s="58"/>
      <c r="AK354" s="58"/>
      <c r="AL354" s="58"/>
      <c r="AM354" s="58"/>
      <c r="AN354" s="58"/>
      <c r="AO354" s="58"/>
      <c r="AP354" s="58"/>
      <c r="AQ354" s="58"/>
      <c r="AR354" s="58"/>
      <c r="AS354" s="58"/>
      <c r="AT354" s="58"/>
      <c r="AU354" s="58"/>
      <c r="AV354" s="58"/>
      <c r="AW354" s="58"/>
      <c r="AX354" s="58"/>
      <c r="AY354" s="58"/>
      <c r="AZ354" s="58"/>
      <c r="BA354" s="58"/>
      <c r="BB354" s="58"/>
      <c r="BC354" s="58"/>
      <c r="BD354" s="58"/>
      <c r="BE354" s="58"/>
      <c r="BF354" s="58"/>
      <c r="BG354" s="58"/>
      <c r="BH354" s="58"/>
      <c r="BI354" s="58"/>
      <c r="BJ354" s="58"/>
      <c r="BK354" s="58"/>
      <c r="BL354" s="58"/>
      <c r="BM354" s="58"/>
      <c r="BN354" s="58"/>
      <c r="BO354" s="58"/>
      <c r="BP354" s="58"/>
      <c r="BQ354" s="58"/>
      <c r="BR354" s="58"/>
      <c r="BS354" s="58"/>
      <c r="BT354" s="58"/>
      <c r="BU354" s="58"/>
      <c r="BV354" s="58"/>
      <c r="BW354" s="58"/>
      <c r="BX354" s="58"/>
      <c r="BY354" s="58"/>
      <c r="BZ354" s="58"/>
      <c r="CA354" s="58"/>
      <c r="CB354" s="58"/>
      <c r="CC354" s="58"/>
      <c r="CD354" s="58"/>
      <c r="CE354" s="58"/>
      <c r="CF354" s="58"/>
      <c r="CG354" s="58"/>
      <c r="CH354" s="58"/>
      <c r="CI354" s="58"/>
      <c r="CJ354" s="58"/>
      <c r="CK354" s="58"/>
      <c r="CL354" s="58"/>
      <c r="CM354" s="58"/>
      <c r="CN354" s="58"/>
      <c r="CO354" s="58"/>
      <c r="CP354" s="58"/>
      <c r="CQ354" s="58"/>
      <c r="CR354" s="58"/>
      <c r="CS354" s="58"/>
      <c r="CT354" s="58"/>
      <c r="CU354" s="58"/>
      <c r="CV354" s="58"/>
      <c r="CW354" s="58"/>
      <c r="CX354" s="58"/>
      <c r="CY354" s="58"/>
      <c r="CZ354" s="58"/>
      <c r="DA354" s="58"/>
      <c r="DB354" s="58"/>
      <c r="DC354" s="58"/>
      <c r="DD354" s="58"/>
      <c r="DE354" s="58"/>
      <c r="DF354" s="58"/>
      <c r="DG354" s="58"/>
      <c r="DH354" s="58"/>
      <c r="DI354" s="58"/>
      <c r="DJ354" s="58"/>
      <c r="DK354" s="58"/>
      <c r="DL354" s="58"/>
      <c r="DM354" s="58"/>
      <c r="DN354" s="58"/>
      <c r="DO354" s="58"/>
      <c r="DP354" s="58"/>
      <c r="DQ354" s="58"/>
      <c r="DR354" s="58"/>
      <c r="DS354" s="58"/>
      <c r="DT354" s="58"/>
      <c r="DU354" s="58"/>
      <c r="DV354" s="58"/>
      <c r="DW354" s="58"/>
      <c r="DX354" s="58"/>
      <c r="DY354" s="58"/>
      <c r="DZ354" s="58"/>
      <c r="EA354" s="58"/>
      <c r="EB354" s="58"/>
      <c r="EC354" s="58"/>
      <c r="ED354" s="58"/>
      <c r="EE354" s="58"/>
      <c r="EF354" s="58"/>
      <c r="EG354" s="58"/>
      <c r="EH354" s="58"/>
      <c r="EI354" s="58"/>
      <c r="EJ354" s="58"/>
      <c r="EK354" s="58"/>
      <c r="EL354" s="58"/>
      <c r="EM354" s="58"/>
      <c r="EN354" s="58"/>
      <c r="EO354" s="58"/>
      <c r="EP354" s="58"/>
      <c r="EQ354" s="58"/>
      <c r="ER354" s="58"/>
      <c r="ES354" s="58"/>
      <c r="ET354" s="58"/>
      <c r="EU354" s="58"/>
      <c r="EV354" s="58"/>
      <c r="EW354" s="58"/>
      <c r="EX354" s="58"/>
      <c r="EY354" s="58"/>
      <c r="EZ354" s="58"/>
      <c r="FA354" s="58"/>
      <c r="FB354" s="58"/>
      <c r="FC354" s="58"/>
      <c r="FD354" s="58"/>
      <c r="FE354" s="58"/>
      <c r="FF354" s="58"/>
      <c r="FG354" s="58"/>
      <c r="FH354" s="58"/>
      <c r="FI354" s="58"/>
      <c r="FJ354" s="58"/>
      <c r="FK354" s="58"/>
      <c r="FL354" s="58"/>
      <c r="FM354" s="58"/>
      <c r="FN354" s="58"/>
      <c r="FO354" s="58"/>
      <c r="FP354" s="58"/>
      <c r="FQ354" s="58"/>
      <c r="FR354" s="58"/>
      <c r="FS354" s="58"/>
      <c r="FT354" s="58"/>
      <c r="FU354" s="58"/>
      <c r="FV354" s="58"/>
      <c r="FW354" s="58"/>
      <c r="FX354" s="58"/>
      <c r="FY354" s="58"/>
      <c r="FZ354" s="58"/>
      <c r="GA354" s="58"/>
      <c r="GB354" s="58"/>
      <c r="GC354" s="58"/>
      <c r="GD354" s="58"/>
      <c r="GE354" s="58"/>
      <c r="GF354" s="58"/>
      <c r="GG354" s="58"/>
      <c r="GH354" s="58"/>
      <c r="GI354" s="58"/>
      <c r="GJ354" s="58"/>
      <c r="GK354" s="58"/>
      <c r="GL354" s="58"/>
      <c r="GM354" s="58"/>
      <c r="GN354" s="58"/>
      <c r="GO354" s="58"/>
      <c r="GP354" s="58"/>
      <c r="GQ354" s="58"/>
      <c r="GR354" s="58"/>
      <c r="GS354" s="58"/>
      <c r="GT354" s="58"/>
      <c r="GU354" s="58"/>
      <c r="GV354" s="58"/>
      <c r="GW354" s="58"/>
      <c r="GX354" s="58"/>
      <c r="GY354" s="58"/>
      <c r="GZ354" s="58"/>
      <c r="HA354" s="58"/>
      <c r="HB354" s="58"/>
      <c r="HC354" s="58"/>
      <c r="HD354" s="58"/>
      <c r="HE354" s="58"/>
      <c r="HF354" s="58"/>
      <c r="HG354" s="58"/>
      <c r="HH354" s="58"/>
      <c r="HI354" s="58"/>
      <c r="HJ354" s="58"/>
      <c r="HK354" s="58"/>
      <c r="HL354" s="58"/>
      <c r="HM354" s="58"/>
      <c r="HN354" s="58"/>
      <c r="HO354" s="58"/>
      <c r="HP354" s="58"/>
      <c r="HQ354" s="58"/>
      <c r="HR354" s="58"/>
      <c r="HS354" s="58"/>
      <c r="HT354" s="58"/>
      <c r="HU354" s="58"/>
      <c r="HV354" s="58"/>
      <c r="HW354" s="58"/>
      <c r="HX354" s="58"/>
      <c r="HY354" s="58"/>
      <c r="HZ354" s="58"/>
      <c r="IA354" s="58"/>
      <c r="IB354" s="58"/>
      <c r="IC354" s="58"/>
      <c r="ID354" s="58"/>
      <c r="IE354" s="58"/>
      <c r="IF354" s="58"/>
      <c r="IG354" s="58"/>
      <c r="IH354" s="58"/>
      <c r="II354" s="58"/>
      <c r="IJ354" s="58"/>
      <c r="IK354" s="58"/>
      <c r="IL354" s="58"/>
      <c r="IM354" s="58"/>
      <c r="IN354" s="58"/>
      <c r="IO354" s="58"/>
      <c r="IP354" s="58"/>
      <c r="IQ354" s="58"/>
      <c r="IR354" s="58"/>
      <c r="IS354" s="58"/>
      <c r="IT354" s="58"/>
    </row>
    <row r="355" spans="1:254" s="55" customFormat="1" x14ac:dyDescent="0.25">
      <c r="A355" s="79">
        <f t="shared" si="36"/>
        <v>289200</v>
      </c>
      <c r="B355" s="56">
        <v>289200</v>
      </c>
      <c r="C355" s="56">
        <v>3373368.0548</v>
      </c>
      <c r="D355" s="56">
        <v>653495.31469999999</v>
      </c>
      <c r="E355" s="56">
        <v>268.84300000000002</v>
      </c>
      <c r="F355" s="57">
        <f t="shared" si="41"/>
        <v>268.15500000000003</v>
      </c>
      <c r="G355" s="59">
        <v>289200</v>
      </c>
      <c r="H355" s="56">
        <v>13.162000000000001</v>
      </c>
      <c r="I355" s="56">
        <v>653486.60970000003</v>
      </c>
      <c r="J355" s="56">
        <v>3373358.1469999999</v>
      </c>
      <c r="K355" s="56">
        <v>268.17500000000001</v>
      </c>
      <c r="L355" s="56">
        <f t="shared" si="37"/>
        <v>268.81299999999999</v>
      </c>
      <c r="M355" s="56">
        <f t="shared" si="38"/>
        <v>-0.03</v>
      </c>
      <c r="N355" s="56">
        <f t="shared" si="39"/>
        <v>0.02</v>
      </c>
      <c r="O355" s="56"/>
      <c r="P355" s="56">
        <v>266.86099999999999</v>
      </c>
      <c r="Q355" s="56"/>
      <c r="R355" s="56"/>
      <c r="S355" s="56">
        <v>268.00400000000002</v>
      </c>
      <c r="T355" s="56">
        <f t="shared" si="40"/>
        <v>0.17100000000000001</v>
      </c>
      <c r="U355" s="58"/>
      <c r="V355" s="58"/>
      <c r="W355" s="58"/>
      <c r="X355" s="58"/>
      <c r="Y355" s="58"/>
      <c r="Z355" s="58"/>
      <c r="AA355" s="58"/>
      <c r="AB355" s="58"/>
      <c r="AC355" s="58"/>
      <c r="AD355" s="58"/>
      <c r="AE355" s="58"/>
      <c r="AF355" s="58"/>
      <c r="AG355" s="58"/>
      <c r="AH355" s="58"/>
      <c r="AI355" s="58"/>
      <c r="AJ355" s="58"/>
      <c r="AK355" s="58"/>
      <c r="AL355" s="58"/>
      <c r="AM355" s="58"/>
      <c r="AN355" s="58"/>
      <c r="AO355" s="58"/>
      <c r="AP355" s="58"/>
      <c r="AQ355" s="58"/>
      <c r="AR355" s="58"/>
      <c r="AS355" s="58"/>
      <c r="AT355" s="58"/>
      <c r="AU355" s="58"/>
      <c r="AV355" s="58"/>
      <c r="AW355" s="58"/>
      <c r="AX355" s="58"/>
      <c r="AY355" s="58"/>
      <c r="AZ355" s="58"/>
      <c r="BA355" s="58"/>
      <c r="BB355" s="58"/>
      <c r="BC355" s="58"/>
      <c r="BD355" s="58"/>
      <c r="BE355" s="58"/>
      <c r="BF355" s="58"/>
      <c r="BG355" s="58"/>
      <c r="BH355" s="58"/>
      <c r="BI355" s="58"/>
      <c r="BJ355" s="58"/>
      <c r="BK355" s="58"/>
      <c r="BL355" s="58"/>
      <c r="BM355" s="58"/>
      <c r="BN355" s="58"/>
      <c r="BO355" s="58"/>
      <c r="BP355" s="58"/>
      <c r="BQ355" s="58"/>
      <c r="BR355" s="58"/>
      <c r="BS355" s="58"/>
      <c r="BT355" s="58"/>
      <c r="BU355" s="58"/>
      <c r="BV355" s="58"/>
      <c r="BW355" s="58"/>
      <c r="BX355" s="58"/>
      <c r="BY355" s="58"/>
      <c r="BZ355" s="58"/>
      <c r="CA355" s="58"/>
      <c r="CB355" s="58"/>
      <c r="CC355" s="58"/>
      <c r="CD355" s="58"/>
      <c r="CE355" s="58"/>
      <c r="CF355" s="58"/>
      <c r="CG355" s="58"/>
      <c r="CH355" s="58"/>
      <c r="CI355" s="58"/>
      <c r="CJ355" s="58"/>
      <c r="CK355" s="58"/>
      <c r="CL355" s="58"/>
      <c r="CM355" s="58"/>
      <c r="CN355" s="58"/>
      <c r="CO355" s="58"/>
      <c r="CP355" s="58"/>
      <c r="CQ355" s="58"/>
      <c r="CR355" s="58"/>
      <c r="CS355" s="58"/>
      <c r="CT355" s="58"/>
      <c r="CU355" s="58"/>
      <c r="CV355" s="58"/>
      <c r="CW355" s="58"/>
      <c r="CX355" s="58"/>
      <c r="CY355" s="58"/>
      <c r="CZ355" s="58"/>
      <c r="DA355" s="58"/>
      <c r="DB355" s="58"/>
      <c r="DC355" s="58"/>
      <c r="DD355" s="58"/>
      <c r="DE355" s="58"/>
      <c r="DF355" s="58"/>
      <c r="DG355" s="58"/>
      <c r="DH355" s="58"/>
      <c r="DI355" s="58"/>
      <c r="DJ355" s="58"/>
      <c r="DK355" s="58"/>
      <c r="DL355" s="58"/>
      <c r="DM355" s="58"/>
      <c r="DN355" s="58"/>
      <c r="DO355" s="58"/>
      <c r="DP355" s="58"/>
      <c r="DQ355" s="58"/>
      <c r="DR355" s="58"/>
      <c r="DS355" s="58"/>
      <c r="DT355" s="58"/>
      <c r="DU355" s="58"/>
      <c r="DV355" s="58"/>
      <c r="DW355" s="58"/>
      <c r="DX355" s="58"/>
      <c r="DY355" s="58"/>
      <c r="DZ355" s="58"/>
      <c r="EA355" s="58"/>
      <c r="EB355" s="58"/>
      <c r="EC355" s="58"/>
      <c r="ED355" s="58"/>
      <c r="EE355" s="58"/>
      <c r="EF355" s="58"/>
      <c r="EG355" s="58"/>
      <c r="EH355" s="58"/>
      <c r="EI355" s="58"/>
      <c r="EJ355" s="58"/>
      <c r="EK355" s="58"/>
      <c r="EL355" s="58"/>
      <c r="EM355" s="58"/>
      <c r="EN355" s="58"/>
      <c r="EO355" s="58"/>
      <c r="EP355" s="58"/>
      <c r="EQ355" s="58"/>
      <c r="ER355" s="58"/>
      <c r="ES355" s="58"/>
      <c r="ET355" s="58"/>
      <c r="EU355" s="58"/>
      <c r="EV355" s="58"/>
      <c r="EW355" s="58"/>
      <c r="EX355" s="58"/>
      <c r="EY355" s="58"/>
      <c r="EZ355" s="58"/>
      <c r="FA355" s="58"/>
      <c r="FB355" s="58"/>
      <c r="FC355" s="58"/>
      <c r="FD355" s="58"/>
      <c r="FE355" s="58"/>
      <c r="FF355" s="58"/>
      <c r="FG355" s="58"/>
      <c r="FH355" s="58"/>
      <c r="FI355" s="58"/>
      <c r="FJ355" s="58"/>
      <c r="FK355" s="58"/>
      <c r="FL355" s="58"/>
      <c r="FM355" s="58"/>
      <c r="FN355" s="58"/>
      <c r="FO355" s="58"/>
      <c r="FP355" s="58"/>
      <c r="FQ355" s="58"/>
      <c r="FR355" s="58"/>
      <c r="FS355" s="58"/>
      <c r="FT355" s="58"/>
      <c r="FU355" s="58"/>
      <c r="FV355" s="58"/>
      <c r="FW355" s="58"/>
      <c r="FX355" s="58"/>
      <c r="FY355" s="58"/>
      <c r="FZ355" s="58"/>
      <c r="GA355" s="58"/>
      <c r="GB355" s="58"/>
      <c r="GC355" s="58"/>
      <c r="GD355" s="58"/>
      <c r="GE355" s="58"/>
      <c r="GF355" s="58"/>
      <c r="GG355" s="58"/>
      <c r="GH355" s="58"/>
      <c r="GI355" s="58"/>
      <c r="GJ355" s="58"/>
      <c r="GK355" s="58"/>
      <c r="GL355" s="58"/>
      <c r="GM355" s="58"/>
      <c r="GN355" s="58"/>
      <c r="GO355" s="58"/>
      <c r="GP355" s="58"/>
      <c r="GQ355" s="58"/>
      <c r="GR355" s="58"/>
      <c r="GS355" s="58"/>
      <c r="GT355" s="58"/>
      <c r="GU355" s="58"/>
      <c r="GV355" s="58"/>
      <c r="GW355" s="58"/>
      <c r="GX355" s="58"/>
      <c r="GY355" s="58"/>
      <c r="GZ355" s="58"/>
      <c r="HA355" s="58"/>
      <c r="HB355" s="58"/>
      <c r="HC355" s="58"/>
      <c r="HD355" s="58"/>
      <c r="HE355" s="58"/>
      <c r="HF355" s="58"/>
      <c r="HG355" s="58"/>
      <c r="HH355" s="58"/>
      <c r="HI355" s="58"/>
      <c r="HJ355" s="58"/>
      <c r="HK355" s="58"/>
      <c r="HL355" s="58"/>
      <c r="HM355" s="58"/>
      <c r="HN355" s="58"/>
      <c r="HO355" s="58"/>
      <c r="HP355" s="58"/>
      <c r="HQ355" s="58"/>
      <c r="HR355" s="58"/>
      <c r="HS355" s="58"/>
      <c r="HT355" s="58"/>
      <c r="HU355" s="58"/>
      <c r="HV355" s="58"/>
      <c r="HW355" s="58"/>
      <c r="HX355" s="58"/>
      <c r="HY355" s="58"/>
      <c r="HZ355" s="58"/>
      <c r="IA355" s="58"/>
      <c r="IB355" s="58"/>
      <c r="IC355" s="58"/>
      <c r="ID355" s="58"/>
      <c r="IE355" s="58"/>
      <c r="IF355" s="58"/>
      <c r="IG355" s="58"/>
      <c r="IH355" s="58"/>
      <c r="II355" s="58"/>
      <c r="IJ355" s="58"/>
      <c r="IK355" s="58"/>
      <c r="IL355" s="58"/>
      <c r="IM355" s="58"/>
      <c r="IN355" s="58"/>
      <c r="IO355" s="58"/>
      <c r="IP355" s="58"/>
      <c r="IQ355" s="58"/>
      <c r="IR355" s="58"/>
      <c r="IS355" s="58"/>
      <c r="IT355" s="58"/>
    </row>
    <row r="356" spans="1:254" s="55" customFormat="1" x14ac:dyDescent="0.25">
      <c r="A356" s="79">
        <f t="shared" si="36"/>
        <v>289220</v>
      </c>
      <c r="B356" s="56">
        <v>289220</v>
      </c>
      <c r="C356" s="56">
        <v>3373380.2965000002</v>
      </c>
      <c r="D356" s="56">
        <v>653479.49890000001</v>
      </c>
      <c r="E356" s="56">
        <v>268.89699999999999</v>
      </c>
      <c r="F356" s="57">
        <f t="shared" si="41"/>
        <v>268.209</v>
      </c>
      <c r="G356" s="59">
        <v>289220</v>
      </c>
      <c r="H356" s="56">
        <v>13.189</v>
      </c>
      <c r="I356" s="56">
        <v>653470.77749999997</v>
      </c>
      <c r="J356" s="56">
        <v>3373370.3675000002</v>
      </c>
      <c r="K356" s="56">
        <v>268.18099999999998</v>
      </c>
      <c r="L356" s="56">
        <f t="shared" si="37"/>
        <v>268.81899999999996</v>
      </c>
      <c r="M356" s="56">
        <f t="shared" si="38"/>
        <v>-7.8E-2</v>
      </c>
      <c r="N356" s="56">
        <f t="shared" si="39"/>
        <v>-2.8000000000000001E-2</v>
      </c>
      <c r="O356" s="56"/>
      <c r="P356" s="56">
        <v>266.99299999999999</v>
      </c>
      <c r="Q356" s="56"/>
      <c r="R356" s="56"/>
      <c r="S356" s="56">
        <v>268.28300000000002</v>
      </c>
      <c r="T356" s="56">
        <f t="shared" si="40"/>
        <v>-0.10199999999999999</v>
      </c>
      <c r="U356" s="58"/>
      <c r="V356" s="58"/>
      <c r="W356" s="58"/>
      <c r="X356" s="58"/>
      <c r="Y356" s="58"/>
      <c r="Z356" s="58"/>
      <c r="AA356" s="58"/>
      <c r="AB356" s="58"/>
      <c r="AC356" s="58"/>
      <c r="AD356" s="58"/>
      <c r="AE356" s="58"/>
      <c r="AF356" s="58"/>
      <c r="AG356" s="58"/>
      <c r="AH356" s="58"/>
      <c r="AI356" s="58"/>
      <c r="AJ356" s="58"/>
      <c r="AK356" s="58"/>
      <c r="AL356" s="58"/>
      <c r="AM356" s="58"/>
      <c r="AN356" s="58"/>
      <c r="AO356" s="58"/>
      <c r="AP356" s="58"/>
      <c r="AQ356" s="58"/>
      <c r="AR356" s="58"/>
      <c r="AS356" s="58"/>
      <c r="AT356" s="58"/>
      <c r="AU356" s="58"/>
      <c r="AV356" s="58"/>
      <c r="AW356" s="58"/>
      <c r="AX356" s="58"/>
      <c r="AY356" s="58"/>
      <c r="AZ356" s="58"/>
      <c r="BA356" s="58"/>
      <c r="BB356" s="58"/>
      <c r="BC356" s="58"/>
      <c r="BD356" s="58"/>
      <c r="BE356" s="58"/>
      <c r="BF356" s="58"/>
      <c r="BG356" s="58"/>
      <c r="BH356" s="58"/>
      <c r="BI356" s="58"/>
      <c r="BJ356" s="58"/>
      <c r="BK356" s="58"/>
      <c r="BL356" s="58"/>
      <c r="BM356" s="58"/>
      <c r="BN356" s="58"/>
      <c r="BO356" s="58"/>
      <c r="BP356" s="58"/>
      <c r="BQ356" s="58"/>
      <c r="BR356" s="58"/>
      <c r="BS356" s="58"/>
      <c r="BT356" s="58"/>
      <c r="BU356" s="58"/>
      <c r="BV356" s="58"/>
      <c r="BW356" s="58"/>
      <c r="BX356" s="58"/>
      <c r="BY356" s="58"/>
      <c r="BZ356" s="58"/>
      <c r="CA356" s="58"/>
      <c r="CB356" s="58"/>
      <c r="CC356" s="58"/>
      <c r="CD356" s="58"/>
      <c r="CE356" s="58"/>
      <c r="CF356" s="58"/>
      <c r="CG356" s="58"/>
      <c r="CH356" s="58"/>
      <c r="CI356" s="58"/>
      <c r="CJ356" s="58"/>
      <c r="CK356" s="58"/>
      <c r="CL356" s="58"/>
      <c r="CM356" s="58"/>
      <c r="CN356" s="58"/>
      <c r="CO356" s="58"/>
      <c r="CP356" s="58"/>
      <c r="CQ356" s="58"/>
      <c r="CR356" s="58"/>
      <c r="CS356" s="58"/>
      <c r="CT356" s="58"/>
      <c r="CU356" s="58"/>
      <c r="CV356" s="58"/>
      <c r="CW356" s="58"/>
      <c r="CX356" s="58"/>
      <c r="CY356" s="58"/>
      <c r="CZ356" s="58"/>
      <c r="DA356" s="58"/>
      <c r="DB356" s="58"/>
      <c r="DC356" s="58"/>
      <c r="DD356" s="58"/>
      <c r="DE356" s="58"/>
      <c r="DF356" s="58"/>
      <c r="DG356" s="58"/>
      <c r="DH356" s="58"/>
      <c r="DI356" s="58"/>
      <c r="DJ356" s="58"/>
      <c r="DK356" s="58"/>
      <c r="DL356" s="58"/>
      <c r="DM356" s="58"/>
      <c r="DN356" s="58"/>
      <c r="DO356" s="58"/>
      <c r="DP356" s="58"/>
      <c r="DQ356" s="58"/>
      <c r="DR356" s="58"/>
      <c r="DS356" s="58"/>
      <c r="DT356" s="58"/>
      <c r="DU356" s="58"/>
      <c r="DV356" s="58"/>
      <c r="DW356" s="58"/>
      <c r="DX356" s="58"/>
      <c r="DY356" s="58"/>
      <c r="DZ356" s="58"/>
      <c r="EA356" s="58"/>
      <c r="EB356" s="58"/>
      <c r="EC356" s="58"/>
      <c r="ED356" s="58"/>
      <c r="EE356" s="58"/>
      <c r="EF356" s="58"/>
      <c r="EG356" s="58"/>
      <c r="EH356" s="58"/>
      <c r="EI356" s="58"/>
      <c r="EJ356" s="58"/>
      <c r="EK356" s="58"/>
      <c r="EL356" s="58"/>
      <c r="EM356" s="58"/>
      <c r="EN356" s="58"/>
      <c r="EO356" s="58"/>
      <c r="EP356" s="58"/>
      <c r="EQ356" s="58"/>
      <c r="ER356" s="58"/>
      <c r="ES356" s="58"/>
      <c r="ET356" s="58"/>
      <c r="EU356" s="58"/>
      <c r="EV356" s="58"/>
      <c r="EW356" s="58"/>
      <c r="EX356" s="58"/>
      <c r="EY356" s="58"/>
      <c r="EZ356" s="58"/>
      <c r="FA356" s="58"/>
      <c r="FB356" s="58"/>
      <c r="FC356" s="58"/>
      <c r="FD356" s="58"/>
      <c r="FE356" s="58"/>
      <c r="FF356" s="58"/>
      <c r="FG356" s="58"/>
      <c r="FH356" s="58"/>
      <c r="FI356" s="58"/>
      <c r="FJ356" s="58"/>
      <c r="FK356" s="58"/>
      <c r="FL356" s="58"/>
      <c r="FM356" s="58"/>
      <c r="FN356" s="58"/>
      <c r="FO356" s="58"/>
      <c r="FP356" s="58"/>
      <c r="FQ356" s="58"/>
      <c r="FR356" s="58"/>
      <c r="FS356" s="58"/>
      <c r="FT356" s="58"/>
      <c r="FU356" s="58"/>
      <c r="FV356" s="58"/>
      <c r="FW356" s="58"/>
      <c r="FX356" s="58"/>
      <c r="FY356" s="58"/>
      <c r="FZ356" s="58"/>
      <c r="GA356" s="58"/>
      <c r="GB356" s="58"/>
      <c r="GC356" s="58"/>
      <c r="GD356" s="58"/>
      <c r="GE356" s="58"/>
      <c r="GF356" s="58"/>
      <c r="GG356" s="58"/>
      <c r="GH356" s="58"/>
      <c r="GI356" s="58"/>
      <c r="GJ356" s="58"/>
      <c r="GK356" s="58"/>
      <c r="GL356" s="58"/>
      <c r="GM356" s="58"/>
      <c r="GN356" s="58"/>
      <c r="GO356" s="58"/>
      <c r="GP356" s="58"/>
      <c r="GQ356" s="58"/>
      <c r="GR356" s="58"/>
      <c r="GS356" s="58"/>
      <c r="GT356" s="58"/>
      <c r="GU356" s="58"/>
      <c r="GV356" s="58"/>
      <c r="GW356" s="58"/>
      <c r="GX356" s="58"/>
      <c r="GY356" s="58"/>
      <c r="GZ356" s="58"/>
      <c r="HA356" s="58"/>
      <c r="HB356" s="58"/>
      <c r="HC356" s="58"/>
      <c r="HD356" s="58"/>
      <c r="HE356" s="58"/>
      <c r="HF356" s="58"/>
      <c r="HG356" s="58"/>
      <c r="HH356" s="58"/>
      <c r="HI356" s="58"/>
      <c r="HJ356" s="58"/>
      <c r="HK356" s="58"/>
      <c r="HL356" s="58"/>
      <c r="HM356" s="58"/>
      <c r="HN356" s="58"/>
      <c r="HO356" s="58"/>
      <c r="HP356" s="58"/>
      <c r="HQ356" s="58"/>
      <c r="HR356" s="58"/>
      <c r="HS356" s="58"/>
      <c r="HT356" s="58"/>
      <c r="HU356" s="58"/>
      <c r="HV356" s="58"/>
      <c r="HW356" s="58"/>
      <c r="HX356" s="58"/>
      <c r="HY356" s="58"/>
      <c r="HZ356" s="58"/>
      <c r="IA356" s="58"/>
      <c r="IB356" s="58"/>
      <c r="IC356" s="58"/>
      <c r="ID356" s="58"/>
      <c r="IE356" s="58"/>
      <c r="IF356" s="58"/>
      <c r="IG356" s="58"/>
      <c r="IH356" s="58"/>
      <c r="II356" s="58"/>
      <c r="IJ356" s="58"/>
      <c r="IK356" s="58"/>
      <c r="IL356" s="58"/>
      <c r="IM356" s="58"/>
      <c r="IN356" s="58"/>
      <c r="IO356" s="58"/>
      <c r="IP356" s="58"/>
      <c r="IQ356" s="58"/>
      <c r="IR356" s="58"/>
      <c r="IS356" s="58"/>
      <c r="IT356" s="58"/>
    </row>
    <row r="357" spans="1:254" s="55" customFormat="1" x14ac:dyDescent="0.25">
      <c r="A357" s="79">
        <f t="shared" si="36"/>
        <v>289240</v>
      </c>
      <c r="B357" s="56">
        <v>289240</v>
      </c>
      <c r="C357" s="56">
        <v>3373392.5000999998</v>
      </c>
      <c r="D357" s="56">
        <v>653463.65359999996</v>
      </c>
      <c r="E357" s="56">
        <v>268.959</v>
      </c>
      <c r="F357" s="57">
        <f t="shared" si="41"/>
        <v>268.27100000000002</v>
      </c>
      <c r="G357" s="59">
        <v>289240</v>
      </c>
      <c r="H357" s="56">
        <v>13.202</v>
      </c>
      <c r="I357" s="56">
        <v>653454.9216</v>
      </c>
      <c r="J357" s="56">
        <v>3373382.5573</v>
      </c>
      <c r="K357" s="56">
        <v>268.18799999999999</v>
      </c>
      <c r="L357" s="56">
        <f t="shared" si="37"/>
        <v>268.82599999999996</v>
      </c>
      <c r="M357" s="56">
        <f t="shared" si="38"/>
        <v>-0.13300000000000001</v>
      </c>
      <c r="N357" s="56">
        <f t="shared" si="39"/>
        <v>-8.3000000000000004E-2</v>
      </c>
      <c r="O357" s="56"/>
      <c r="P357" s="56">
        <v>266.57</v>
      </c>
      <c r="Q357" s="56"/>
      <c r="R357" s="56"/>
      <c r="S357" s="56">
        <v>268.16899999999998</v>
      </c>
      <c r="T357" s="56">
        <f t="shared" si="40"/>
        <v>1.9E-2</v>
      </c>
      <c r="U357" s="58"/>
      <c r="V357" s="58"/>
      <c r="W357" s="58"/>
      <c r="X357" s="58"/>
      <c r="Y357" s="58"/>
      <c r="Z357" s="58"/>
      <c r="AA357" s="58"/>
      <c r="AB357" s="58"/>
      <c r="AC357" s="58"/>
      <c r="AD357" s="58"/>
      <c r="AE357" s="58"/>
      <c r="AF357" s="58"/>
      <c r="AG357" s="58"/>
      <c r="AH357" s="58"/>
      <c r="AI357" s="58"/>
      <c r="AJ357" s="58"/>
      <c r="AK357" s="58"/>
      <c r="AL357" s="58"/>
      <c r="AM357" s="58"/>
      <c r="AN357" s="58"/>
      <c r="AO357" s="58"/>
      <c r="AP357" s="58"/>
      <c r="AQ357" s="58"/>
      <c r="AR357" s="58"/>
      <c r="AS357" s="58"/>
      <c r="AT357" s="58"/>
      <c r="AU357" s="58"/>
      <c r="AV357" s="58"/>
      <c r="AW357" s="58"/>
      <c r="AX357" s="58"/>
      <c r="AY357" s="58"/>
      <c r="AZ357" s="58"/>
      <c r="BA357" s="58"/>
      <c r="BB357" s="58"/>
      <c r="BC357" s="58"/>
      <c r="BD357" s="58"/>
      <c r="BE357" s="58"/>
      <c r="BF357" s="58"/>
      <c r="BG357" s="58"/>
      <c r="BH357" s="58"/>
      <c r="BI357" s="58"/>
      <c r="BJ357" s="58"/>
      <c r="BK357" s="58"/>
      <c r="BL357" s="58"/>
      <c r="BM357" s="58"/>
      <c r="BN357" s="58"/>
      <c r="BO357" s="58"/>
      <c r="BP357" s="58"/>
      <c r="BQ357" s="58"/>
      <c r="BR357" s="58"/>
      <c r="BS357" s="58"/>
      <c r="BT357" s="58"/>
      <c r="BU357" s="58"/>
      <c r="BV357" s="58"/>
      <c r="BW357" s="58"/>
      <c r="BX357" s="58"/>
      <c r="BY357" s="58"/>
      <c r="BZ357" s="58"/>
      <c r="CA357" s="58"/>
      <c r="CB357" s="58"/>
      <c r="CC357" s="58"/>
      <c r="CD357" s="58"/>
      <c r="CE357" s="58"/>
      <c r="CF357" s="58"/>
      <c r="CG357" s="58"/>
      <c r="CH357" s="58"/>
      <c r="CI357" s="58"/>
      <c r="CJ357" s="58"/>
      <c r="CK357" s="58"/>
      <c r="CL357" s="58"/>
      <c r="CM357" s="58"/>
      <c r="CN357" s="58"/>
      <c r="CO357" s="58"/>
      <c r="CP357" s="58"/>
      <c r="CQ357" s="58"/>
      <c r="CR357" s="58"/>
      <c r="CS357" s="58"/>
      <c r="CT357" s="58"/>
      <c r="CU357" s="58"/>
      <c r="CV357" s="58"/>
      <c r="CW357" s="58"/>
      <c r="CX357" s="58"/>
      <c r="CY357" s="58"/>
      <c r="CZ357" s="58"/>
      <c r="DA357" s="58"/>
      <c r="DB357" s="58"/>
      <c r="DC357" s="58"/>
      <c r="DD357" s="58"/>
      <c r="DE357" s="58"/>
      <c r="DF357" s="58"/>
      <c r="DG357" s="58"/>
      <c r="DH357" s="58"/>
      <c r="DI357" s="58"/>
      <c r="DJ357" s="58"/>
      <c r="DK357" s="58"/>
      <c r="DL357" s="58"/>
      <c r="DM357" s="58"/>
      <c r="DN357" s="58"/>
      <c r="DO357" s="58"/>
      <c r="DP357" s="58"/>
      <c r="DQ357" s="58"/>
      <c r="DR357" s="58"/>
      <c r="DS357" s="58"/>
      <c r="DT357" s="58"/>
      <c r="DU357" s="58"/>
      <c r="DV357" s="58"/>
      <c r="DW357" s="58"/>
      <c r="DX357" s="58"/>
      <c r="DY357" s="58"/>
      <c r="DZ357" s="58"/>
      <c r="EA357" s="58"/>
      <c r="EB357" s="58"/>
      <c r="EC357" s="58"/>
      <c r="ED357" s="58"/>
      <c r="EE357" s="58"/>
      <c r="EF357" s="58"/>
      <c r="EG357" s="58"/>
      <c r="EH357" s="58"/>
      <c r="EI357" s="58"/>
      <c r="EJ357" s="58"/>
      <c r="EK357" s="58"/>
      <c r="EL357" s="58"/>
      <c r="EM357" s="58"/>
      <c r="EN357" s="58"/>
      <c r="EO357" s="58"/>
      <c r="EP357" s="58"/>
      <c r="EQ357" s="58"/>
      <c r="ER357" s="58"/>
      <c r="ES357" s="58"/>
      <c r="ET357" s="58"/>
      <c r="EU357" s="58"/>
      <c r="EV357" s="58"/>
      <c r="EW357" s="58"/>
      <c r="EX357" s="58"/>
      <c r="EY357" s="58"/>
      <c r="EZ357" s="58"/>
      <c r="FA357" s="58"/>
      <c r="FB357" s="58"/>
      <c r="FC357" s="58"/>
      <c r="FD357" s="58"/>
      <c r="FE357" s="58"/>
      <c r="FF357" s="58"/>
      <c r="FG357" s="58"/>
      <c r="FH357" s="58"/>
      <c r="FI357" s="58"/>
      <c r="FJ357" s="58"/>
      <c r="FK357" s="58"/>
      <c r="FL357" s="58"/>
      <c r="FM357" s="58"/>
      <c r="FN357" s="58"/>
      <c r="FO357" s="58"/>
      <c r="FP357" s="58"/>
      <c r="FQ357" s="58"/>
      <c r="FR357" s="58"/>
      <c r="FS357" s="58"/>
      <c r="FT357" s="58"/>
      <c r="FU357" s="58"/>
      <c r="FV357" s="58"/>
      <c r="FW357" s="58"/>
      <c r="FX357" s="58"/>
      <c r="FY357" s="58"/>
      <c r="FZ357" s="58"/>
      <c r="GA357" s="58"/>
      <c r="GB357" s="58"/>
      <c r="GC357" s="58"/>
      <c r="GD357" s="58"/>
      <c r="GE357" s="58"/>
      <c r="GF357" s="58"/>
      <c r="GG357" s="58"/>
      <c r="GH357" s="58"/>
      <c r="GI357" s="58"/>
      <c r="GJ357" s="58"/>
      <c r="GK357" s="58"/>
      <c r="GL357" s="58"/>
      <c r="GM357" s="58"/>
      <c r="GN357" s="58"/>
      <c r="GO357" s="58"/>
      <c r="GP357" s="58"/>
      <c r="GQ357" s="58"/>
      <c r="GR357" s="58"/>
      <c r="GS357" s="58"/>
      <c r="GT357" s="58"/>
      <c r="GU357" s="58"/>
      <c r="GV357" s="58"/>
      <c r="GW357" s="58"/>
      <c r="GX357" s="58"/>
      <c r="GY357" s="58"/>
      <c r="GZ357" s="58"/>
      <c r="HA357" s="58"/>
      <c r="HB357" s="58"/>
      <c r="HC357" s="58"/>
      <c r="HD357" s="58"/>
      <c r="HE357" s="58"/>
      <c r="HF357" s="58"/>
      <c r="HG357" s="58"/>
      <c r="HH357" s="58"/>
      <c r="HI357" s="58"/>
      <c r="HJ357" s="58"/>
      <c r="HK357" s="58"/>
      <c r="HL357" s="58"/>
      <c r="HM357" s="58"/>
      <c r="HN357" s="58"/>
      <c r="HO357" s="58"/>
      <c r="HP357" s="58"/>
      <c r="HQ357" s="58"/>
      <c r="HR357" s="58"/>
      <c r="HS357" s="58"/>
      <c r="HT357" s="58"/>
      <c r="HU357" s="58"/>
      <c r="HV357" s="58"/>
      <c r="HW357" s="58"/>
      <c r="HX357" s="58"/>
      <c r="HY357" s="58"/>
      <c r="HZ357" s="58"/>
      <c r="IA357" s="58"/>
      <c r="IB357" s="58"/>
      <c r="IC357" s="58"/>
      <c r="ID357" s="58"/>
      <c r="IE357" s="58"/>
      <c r="IF357" s="58"/>
      <c r="IG357" s="58"/>
      <c r="IH357" s="58"/>
      <c r="II357" s="58"/>
      <c r="IJ357" s="58"/>
      <c r="IK357" s="58"/>
      <c r="IL357" s="58"/>
      <c r="IM357" s="58"/>
      <c r="IN357" s="58"/>
      <c r="IO357" s="58"/>
      <c r="IP357" s="58"/>
      <c r="IQ357" s="58"/>
      <c r="IR357" s="58"/>
      <c r="IS357" s="58"/>
      <c r="IT357" s="58"/>
    </row>
    <row r="358" spans="1:254" s="55" customFormat="1" x14ac:dyDescent="0.25">
      <c r="A358" s="79">
        <f t="shared" si="36"/>
        <v>289259.8</v>
      </c>
      <c r="B358" s="56">
        <v>289260</v>
      </c>
      <c r="C358" s="56">
        <v>3373404.6416000002</v>
      </c>
      <c r="D358" s="56">
        <v>653447.7611</v>
      </c>
      <c r="E358" s="56">
        <v>269.01600000000002</v>
      </c>
      <c r="F358" s="57">
        <f t="shared" si="41"/>
        <v>268.32800000000003</v>
      </c>
      <c r="G358" s="59">
        <v>289259.8</v>
      </c>
      <c r="H358" s="56">
        <v>13.266999999999999</v>
      </c>
      <c r="I358" s="56">
        <v>653438.98490000004</v>
      </c>
      <c r="J358" s="56">
        <v>3373394.6411000001</v>
      </c>
      <c r="K358" s="56">
        <v>268.19499999999999</v>
      </c>
      <c r="L358" s="56">
        <f t="shared" si="37"/>
        <v>268.83299999999997</v>
      </c>
      <c r="M358" s="56">
        <f t="shared" si="38"/>
        <v>-0.183</v>
      </c>
      <c r="N358" s="56">
        <f t="shared" si="39"/>
        <v>-0.13300000000000001</v>
      </c>
      <c r="O358" s="56"/>
      <c r="P358" s="56">
        <v>267.37599999999998</v>
      </c>
      <c r="Q358" s="56"/>
      <c r="R358" s="56"/>
      <c r="S358" s="56">
        <v>268.05399999999997</v>
      </c>
      <c r="T358" s="56">
        <f t="shared" si="40"/>
        <v>0.14099999999999999</v>
      </c>
      <c r="U358" s="58"/>
      <c r="V358" s="58"/>
      <c r="W358" s="58"/>
      <c r="X358" s="58"/>
      <c r="Y358" s="58"/>
      <c r="Z358" s="58"/>
      <c r="AA358" s="58"/>
      <c r="AB358" s="58"/>
      <c r="AC358" s="58"/>
      <c r="AD358" s="58"/>
      <c r="AE358" s="58"/>
      <c r="AF358" s="58"/>
      <c r="AG358" s="58"/>
      <c r="AH358" s="58"/>
      <c r="AI358" s="58"/>
      <c r="AJ358" s="58"/>
      <c r="AK358" s="58"/>
      <c r="AL358" s="58"/>
      <c r="AM358" s="58"/>
      <c r="AN358" s="58"/>
      <c r="AO358" s="58"/>
      <c r="AP358" s="58"/>
      <c r="AQ358" s="58"/>
      <c r="AR358" s="58"/>
      <c r="AS358" s="58"/>
      <c r="AT358" s="58"/>
      <c r="AU358" s="58"/>
      <c r="AV358" s="58"/>
      <c r="AW358" s="58"/>
      <c r="AX358" s="58"/>
      <c r="AY358" s="58"/>
      <c r="AZ358" s="58"/>
      <c r="BA358" s="58"/>
      <c r="BB358" s="58"/>
      <c r="BC358" s="58"/>
      <c r="BD358" s="58"/>
      <c r="BE358" s="58"/>
      <c r="BF358" s="58"/>
      <c r="BG358" s="58"/>
      <c r="BH358" s="58"/>
      <c r="BI358" s="58"/>
      <c r="BJ358" s="58"/>
      <c r="BK358" s="58"/>
      <c r="BL358" s="58"/>
      <c r="BM358" s="58"/>
      <c r="BN358" s="58"/>
      <c r="BO358" s="58"/>
      <c r="BP358" s="58"/>
      <c r="BQ358" s="58"/>
      <c r="BR358" s="58"/>
      <c r="BS358" s="58"/>
      <c r="BT358" s="58"/>
      <c r="BU358" s="58"/>
      <c r="BV358" s="58"/>
      <c r="BW358" s="58"/>
      <c r="BX358" s="58"/>
      <c r="BY358" s="58"/>
      <c r="BZ358" s="58"/>
      <c r="CA358" s="58"/>
      <c r="CB358" s="58"/>
      <c r="CC358" s="58"/>
      <c r="CD358" s="58"/>
      <c r="CE358" s="58"/>
      <c r="CF358" s="58"/>
      <c r="CG358" s="58"/>
      <c r="CH358" s="58"/>
      <c r="CI358" s="58"/>
      <c r="CJ358" s="58"/>
      <c r="CK358" s="58"/>
      <c r="CL358" s="58"/>
      <c r="CM358" s="58"/>
      <c r="CN358" s="58"/>
      <c r="CO358" s="58"/>
      <c r="CP358" s="58"/>
      <c r="CQ358" s="58"/>
      <c r="CR358" s="58"/>
      <c r="CS358" s="58"/>
      <c r="CT358" s="58"/>
      <c r="CU358" s="58"/>
      <c r="CV358" s="58"/>
      <c r="CW358" s="58"/>
      <c r="CX358" s="58"/>
      <c r="CY358" s="58"/>
      <c r="CZ358" s="58"/>
      <c r="DA358" s="58"/>
      <c r="DB358" s="58"/>
      <c r="DC358" s="58"/>
      <c r="DD358" s="58"/>
      <c r="DE358" s="58"/>
      <c r="DF358" s="58"/>
      <c r="DG358" s="58"/>
      <c r="DH358" s="58"/>
      <c r="DI358" s="58"/>
      <c r="DJ358" s="58"/>
      <c r="DK358" s="58"/>
      <c r="DL358" s="58"/>
      <c r="DM358" s="58"/>
      <c r="DN358" s="58"/>
      <c r="DO358" s="58"/>
      <c r="DP358" s="58"/>
      <c r="DQ358" s="58"/>
      <c r="DR358" s="58"/>
      <c r="DS358" s="58"/>
      <c r="DT358" s="58"/>
      <c r="DU358" s="58"/>
      <c r="DV358" s="58"/>
      <c r="DW358" s="58"/>
      <c r="DX358" s="58"/>
      <c r="DY358" s="58"/>
      <c r="DZ358" s="58"/>
      <c r="EA358" s="58"/>
      <c r="EB358" s="58"/>
      <c r="EC358" s="58"/>
      <c r="ED358" s="58"/>
      <c r="EE358" s="58"/>
      <c r="EF358" s="58"/>
      <c r="EG358" s="58"/>
      <c r="EH358" s="58"/>
      <c r="EI358" s="58"/>
      <c r="EJ358" s="58"/>
      <c r="EK358" s="58"/>
      <c r="EL358" s="58"/>
      <c r="EM358" s="58"/>
      <c r="EN358" s="58"/>
      <c r="EO358" s="58"/>
      <c r="EP358" s="58"/>
      <c r="EQ358" s="58"/>
      <c r="ER358" s="58"/>
      <c r="ES358" s="58"/>
      <c r="ET358" s="58"/>
      <c r="EU358" s="58"/>
      <c r="EV358" s="58"/>
      <c r="EW358" s="58"/>
      <c r="EX358" s="58"/>
      <c r="EY358" s="58"/>
      <c r="EZ358" s="58"/>
      <c r="FA358" s="58"/>
      <c r="FB358" s="58"/>
      <c r="FC358" s="58"/>
      <c r="FD358" s="58"/>
      <c r="FE358" s="58"/>
      <c r="FF358" s="58"/>
      <c r="FG358" s="58"/>
      <c r="FH358" s="58"/>
      <c r="FI358" s="58"/>
      <c r="FJ358" s="58"/>
      <c r="FK358" s="58"/>
      <c r="FL358" s="58"/>
      <c r="FM358" s="58"/>
      <c r="FN358" s="58"/>
      <c r="FO358" s="58"/>
      <c r="FP358" s="58"/>
      <c r="FQ358" s="58"/>
      <c r="FR358" s="58"/>
      <c r="FS358" s="58"/>
      <c r="FT358" s="58"/>
      <c r="FU358" s="58"/>
      <c r="FV358" s="58"/>
      <c r="FW358" s="58"/>
      <c r="FX358" s="58"/>
      <c r="FY358" s="58"/>
      <c r="FZ358" s="58"/>
      <c r="GA358" s="58"/>
      <c r="GB358" s="58"/>
      <c r="GC358" s="58"/>
      <c r="GD358" s="58"/>
      <c r="GE358" s="58"/>
      <c r="GF358" s="58"/>
      <c r="GG358" s="58"/>
      <c r="GH358" s="58"/>
      <c r="GI358" s="58"/>
      <c r="GJ358" s="58"/>
      <c r="GK358" s="58"/>
      <c r="GL358" s="58"/>
      <c r="GM358" s="58"/>
      <c r="GN358" s="58"/>
      <c r="GO358" s="58"/>
      <c r="GP358" s="58"/>
      <c r="GQ358" s="58"/>
      <c r="GR358" s="58"/>
      <c r="GS358" s="58"/>
      <c r="GT358" s="58"/>
      <c r="GU358" s="58"/>
      <c r="GV358" s="58"/>
      <c r="GW358" s="58"/>
      <c r="GX358" s="58"/>
      <c r="GY358" s="58"/>
      <c r="GZ358" s="58"/>
      <c r="HA358" s="58"/>
      <c r="HB358" s="58"/>
      <c r="HC358" s="58"/>
      <c r="HD358" s="58"/>
      <c r="HE358" s="58"/>
      <c r="HF358" s="58"/>
      <c r="HG358" s="58"/>
      <c r="HH358" s="58"/>
      <c r="HI358" s="58"/>
      <c r="HJ358" s="58"/>
      <c r="HK358" s="58"/>
      <c r="HL358" s="58"/>
      <c r="HM358" s="58"/>
      <c r="HN358" s="58"/>
      <c r="HO358" s="58"/>
      <c r="HP358" s="58"/>
      <c r="HQ358" s="58"/>
      <c r="HR358" s="58"/>
      <c r="HS358" s="58"/>
      <c r="HT358" s="58"/>
      <c r="HU358" s="58"/>
      <c r="HV358" s="58"/>
      <c r="HW358" s="58"/>
      <c r="HX358" s="58"/>
      <c r="HY358" s="58"/>
      <c r="HZ358" s="58"/>
      <c r="IA358" s="58"/>
      <c r="IB358" s="58"/>
      <c r="IC358" s="58"/>
      <c r="ID358" s="58"/>
      <c r="IE358" s="58"/>
      <c r="IF358" s="58"/>
      <c r="IG358" s="58"/>
      <c r="IH358" s="58"/>
      <c r="II358" s="58"/>
      <c r="IJ358" s="58"/>
      <c r="IK358" s="58"/>
      <c r="IL358" s="58"/>
      <c r="IM358" s="58"/>
      <c r="IN358" s="58"/>
      <c r="IO358" s="58"/>
      <c r="IP358" s="58"/>
      <c r="IQ358" s="58"/>
      <c r="IR358" s="58"/>
      <c r="IS358" s="58"/>
      <c r="IT358" s="58"/>
    </row>
    <row r="359" spans="1:254" s="55" customFormat="1" x14ac:dyDescent="0.25">
      <c r="A359" s="79">
        <f t="shared" si="36"/>
        <v>289279.8</v>
      </c>
      <c r="B359" s="56">
        <v>289280</v>
      </c>
      <c r="C359" s="56">
        <v>3373416.6754000001</v>
      </c>
      <c r="D359" s="56">
        <v>653431.78650000005</v>
      </c>
      <c r="E359" s="56">
        <v>269.06099999999998</v>
      </c>
      <c r="F359" s="57">
        <f t="shared" si="41"/>
        <v>268.37299999999999</v>
      </c>
      <c r="G359" s="59">
        <v>289279.8</v>
      </c>
      <c r="H359" s="56">
        <v>13.388999999999999</v>
      </c>
      <c r="I359" s="56">
        <v>653422.93099999998</v>
      </c>
      <c r="J359" s="56">
        <v>3373406.5688</v>
      </c>
      <c r="K359" s="56">
        <v>268.202</v>
      </c>
      <c r="L359" s="56">
        <f t="shared" si="37"/>
        <v>268.83999999999997</v>
      </c>
      <c r="M359" s="56">
        <f t="shared" si="38"/>
        <v>-0.221</v>
      </c>
      <c r="N359" s="56">
        <f t="shared" si="39"/>
        <v>-0.17100000000000001</v>
      </c>
      <c r="O359" s="56"/>
      <c r="P359" s="56">
        <v>268.17899999999997</v>
      </c>
      <c r="Q359" s="56"/>
      <c r="R359" s="56"/>
      <c r="S359" s="56">
        <v>268.25900000000001</v>
      </c>
      <c r="T359" s="56">
        <f t="shared" si="40"/>
        <v>-5.7000000000000002E-2</v>
      </c>
      <c r="U359" s="58"/>
      <c r="V359" s="58"/>
      <c r="W359" s="58"/>
      <c r="X359" s="58"/>
      <c r="Y359" s="58"/>
      <c r="Z359" s="58"/>
      <c r="AA359" s="58"/>
      <c r="AB359" s="58"/>
      <c r="AC359" s="58"/>
      <c r="AD359" s="58"/>
      <c r="AE359" s="58"/>
      <c r="AF359" s="58"/>
      <c r="AG359" s="58"/>
      <c r="AH359" s="58"/>
      <c r="AI359" s="58"/>
      <c r="AJ359" s="58"/>
      <c r="AK359" s="58"/>
      <c r="AL359" s="58"/>
      <c r="AM359" s="58"/>
      <c r="AN359" s="58"/>
      <c r="AO359" s="58"/>
      <c r="AP359" s="58"/>
      <c r="AQ359" s="58"/>
      <c r="AR359" s="58"/>
      <c r="AS359" s="58"/>
      <c r="AT359" s="58"/>
      <c r="AU359" s="58"/>
      <c r="AV359" s="58"/>
      <c r="AW359" s="58"/>
      <c r="AX359" s="58"/>
      <c r="AY359" s="58"/>
      <c r="AZ359" s="58"/>
      <c r="BA359" s="58"/>
      <c r="BB359" s="58"/>
      <c r="BC359" s="58"/>
      <c r="BD359" s="58"/>
      <c r="BE359" s="58"/>
      <c r="BF359" s="58"/>
      <c r="BG359" s="58"/>
      <c r="BH359" s="58"/>
      <c r="BI359" s="58"/>
      <c r="BJ359" s="58"/>
      <c r="BK359" s="58"/>
      <c r="BL359" s="58"/>
      <c r="BM359" s="58"/>
      <c r="BN359" s="58"/>
      <c r="BO359" s="58"/>
      <c r="BP359" s="58"/>
      <c r="BQ359" s="58"/>
      <c r="BR359" s="58"/>
      <c r="BS359" s="58"/>
      <c r="BT359" s="58"/>
      <c r="BU359" s="58"/>
      <c r="BV359" s="58"/>
      <c r="BW359" s="58"/>
      <c r="BX359" s="58"/>
      <c r="BY359" s="58"/>
      <c r="BZ359" s="58"/>
      <c r="CA359" s="58"/>
      <c r="CB359" s="58"/>
      <c r="CC359" s="58"/>
      <c r="CD359" s="58"/>
      <c r="CE359" s="58"/>
      <c r="CF359" s="58"/>
      <c r="CG359" s="58"/>
      <c r="CH359" s="58"/>
      <c r="CI359" s="58"/>
      <c r="CJ359" s="58"/>
      <c r="CK359" s="58"/>
      <c r="CL359" s="58"/>
      <c r="CM359" s="58"/>
      <c r="CN359" s="58"/>
      <c r="CO359" s="58"/>
      <c r="CP359" s="58"/>
      <c r="CQ359" s="58"/>
      <c r="CR359" s="58"/>
      <c r="CS359" s="58"/>
      <c r="CT359" s="58"/>
      <c r="CU359" s="58"/>
      <c r="CV359" s="58"/>
      <c r="CW359" s="58"/>
      <c r="CX359" s="58"/>
      <c r="CY359" s="58"/>
      <c r="CZ359" s="58"/>
      <c r="DA359" s="58"/>
      <c r="DB359" s="58"/>
      <c r="DC359" s="58"/>
      <c r="DD359" s="58"/>
      <c r="DE359" s="58"/>
      <c r="DF359" s="58"/>
      <c r="DG359" s="58"/>
      <c r="DH359" s="58"/>
      <c r="DI359" s="58"/>
      <c r="DJ359" s="58"/>
      <c r="DK359" s="58"/>
      <c r="DL359" s="58"/>
      <c r="DM359" s="58"/>
      <c r="DN359" s="58"/>
      <c r="DO359" s="58"/>
      <c r="DP359" s="58"/>
      <c r="DQ359" s="58"/>
      <c r="DR359" s="58"/>
      <c r="DS359" s="58"/>
      <c r="DT359" s="58"/>
      <c r="DU359" s="58"/>
      <c r="DV359" s="58"/>
      <c r="DW359" s="58"/>
      <c r="DX359" s="58"/>
      <c r="DY359" s="58"/>
      <c r="DZ359" s="58"/>
      <c r="EA359" s="58"/>
      <c r="EB359" s="58"/>
      <c r="EC359" s="58"/>
      <c r="ED359" s="58"/>
      <c r="EE359" s="58"/>
      <c r="EF359" s="58"/>
      <c r="EG359" s="58"/>
      <c r="EH359" s="58"/>
      <c r="EI359" s="58"/>
      <c r="EJ359" s="58"/>
      <c r="EK359" s="58"/>
      <c r="EL359" s="58"/>
      <c r="EM359" s="58"/>
      <c r="EN359" s="58"/>
      <c r="EO359" s="58"/>
      <c r="EP359" s="58"/>
      <c r="EQ359" s="58"/>
      <c r="ER359" s="58"/>
      <c r="ES359" s="58"/>
      <c r="ET359" s="58"/>
      <c r="EU359" s="58"/>
      <c r="EV359" s="58"/>
      <c r="EW359" s="58"/>
      <c r="EX359" s="58"/>
      <c r="EY359" s="58"/>
      <c r="EZ359" s="58"/>
      <c r="FA359" s="58"/>
      <c r="FB359" s="58"/>
      <c r="FC359" s="58"/>
      <c r="FD359" s="58"/>
      <c r="FE359" s="58"/>
      <c r="FF359" s="58"/>
      <c r="FG359" s="58"/>
      <c r="FH359" s="58"/>
      <c r="FI359" s="58"/>
      <c r="FJ359" s="58"/>
      <c r="FK359" s="58"/>
      <c r="FL359" s="58"/>
      <c r="FM359" s="58"/>
      <c r="FN359" s="58"/>
      <c r="FO359" s="58"/>
      <c r="FP359" s="58"/>
      <c r="FQ359" s="58"/>
      <c r="FR359" s="58"/>
      <c r="FS359" s="58"/>
      <c r="FT359" s="58"/>
      <c r="FU359" s="58"/>
      <c r="FV359" s="58"/>
      <c r="FW359" s="58"/>
      <c r="FX359" s="58"/>
      <c r="FY359" s="58"/>
      <c r="FZ359" s="58"/>
      <c r="GA359" s="58"/>
      <c r="GB359" s="58"/>
      <c r="GC359" s="58"/>
      <c r="GD359" s="58"/>
      <c r="GE359" s="58"/>
      <c r="GF359" s="58"/>
      <c r="GG359" s="58"/>
      <c r="GH359" s="58"/>
      <c r="GI359" s="58"/>
      <c r="GJ359" s="58"/>
      <c r="GK359" s="58"/>
      <c r="GL359" s="58"/>
      <c r="GM359" s="58"/>
      <c r="GN359" s="58"/>
      <c r="GO359" s="58"/>
      <c r="GP359" s="58"/>
      <c r="GQ359" s="58"/>
      <c r="GR359" s="58"/>
      <c r="GS359" s="58"/>
      <c r="GT359" s="58"/>
      <c r="GU359" s="58"/>
      <c r="GV359" s="58"/>
      <c r="GW359" s="58"/>
      <c r="GX359" s="58"/>
      <c r="GY359" s="58"/>
      <c r="GZ359" s="58"/>
      <c r="HA359" s="58"/>
      <c r="HB359" s="58"/>
      <c r="HC359" s="58"/>
      <c r="HD359" s="58"/>
      <c r="HE359" s="58"/>
      <c r="HF359" s="58"/>
      <c r="HG359" s="58"/>
      <c r="HH359" s="58"/>
      <c r="HI359" s="58"/>
      <c r="HJ359" s="58"/>
      <c r="HK359" s="58"/>
      <c r="HL359" s="58"/>
      <c r="HM359" s="58"/>
      <c r="HN359" s="58"/>
      <c r="HO359" s="58"/>
      <c r="HP359" s="58"/>
      <c r="HQ359" s="58"/>
      <c r="HR359" s="58"/>
      <c r="HS359" s="58"/>
      <c r="HT359" s="58"/>
      <c r="HU359" s="58"/>
      <c r="HV359" s="58"/>
      <c r="HW359" s="58"/>
      <c r="HX359" s="58"/>
      <c r="HY359" s="58"/>
      <c r="HZ359" s="58"/>
      <c r="IA359" s="58"/>
      <c r="IB359" s="58"/>
      <c r="IC359" s="58"/>
      <c r="ID359" s="58"/>
      <c r="IE359" s="58"/>
      <c r="IF359" s="58"/>
      <c r="IG359" s="58"/>
      <c r="IH359" s="58"/>
      <c r="II359" s="58"/>
      <c r="IJ359" s="58"/>
      <c r="IK359" s="58"/>
      <c r="IL359" s="58"/>
      <c r="IM359" s="58"/>
      <c r="IN359" s="58"/>
      <c r="IO359" s="58"/>
      <c r="IP359" s="58"/>
      <c r="IQ359" s="58"/>
      <c r="IR359" s="58"/>
      <c r="IS359" s="58"/>
      <c r="IT359" s="58"/>
    </row>
    <row r="360" spans="1:254" s="55" customFormat="1" x14ac:dyDescent="0.25">
      <c r="A360" s="79">
        <f t="shared" si="36"/>
        <v>289299.8</v>
      </c>
      <c r="B360" s="56">
        <v>289300</v>
      </c>
      <c r="C360" s="56">
        <v>3373428.6630000002</v>
      </c>
      <c r="D360" s="56">
        <v>653415.77729999996</v>
      </c>
      <c r="E360" s="56">
        <v>269.07</v>
      </c>
      <c r="F360" s="57">
        <f t="shared" si="41"/>
        <v>268.38200000000001</v>
      </c>
      <c r="G360" s="59">
        <v>289299.8</v>
      </c>
      <c r="H360" s="56">
        <v>13.651</v>
      </c>
      <c r="I360" s="56">
        <v>653406.75859999994</v>
      </c>
      <c r="J360" s="56">
        <v>3373418.3352999999</v>
      </c>
      <c r="K360" s="56">
        <v>268.209</v>
      </c>
      <c r="L360" s="56">
        <f t="shared" si="37"/>
        <v>268.84699999999998</v>
      </c>
      <c r="M360" s="56">
        <f t="shared" si="38"/>
        <v>-0.223</v>
      </c>
      <c r="N360" s="56">
        <f t="shared" si="39"/>
        <v>-0.17299999999999999</v>
      </c>
      <c r="O360" s="56"/>
      <c r="P360" s="56">
        <v>268.38299999999998</v>
      </c>
      <c r="Q360" s="56"/>
      <c r="R360" s="56"/>
      <c r="S360" s="56">
        <v>268.48200000000003</v>
      </c>
      <c r="T360" s="56">
        <f t="shared" si="40"/>
        <v>-0.27300000000000002</v>
      </c>
      <c r="U360" s="58"/>
      <c r="V360" s="58"/>
      <c r="W360" s="58"/>
      <c r="X360" s="58"/>
      <c r="Y360" s="58"/>
      <c r="Z360" s="58"/>
      <c r="AA360" s="58"/>
      <c r="AB360" s="58"/>
      <c r="AC360" s="58"/>
      <c r="AD360" s="58"/>
      <c r="AE360" s="58"/>
      <c r="AF360" s="58"/>
      <c r="AG360" s="58"/>
      <c r="AH360" s="58"/>
      <c r="AI360" s="58"/>
      <c r="AJ360" s="58"/>
      <c r="AK360" s="58"/>
      <c r="AL360" s="58"/>
      <c r="AM360" s="58"/>
      <c r="AN360" s="58"/>
      <c r="AO360" s="58"/>
      <c r="AP360" s="58"/>
      <c r="AQ360" s="58"/>
      <c r="AR360" s="58"/>
      <c r="AS360" s="58"/>
      <c r="AT360" s="58"/>
      <c r="AU360" s="58"/>
      <c r="AV360" s="58"/>
      <c r="AW360" s="58"/>
      <c r="AX360" s="58"/>
      <c r="AY360" s="58"/>
      <c r="AZ360" s="58"/>
      <c r="BA360" s="58"/>
      <c r="BB360" s="58"/>
      <c r="BC360" s="58"/>
      <c r="BD360" s="58"/>
      <c r="BE360" s="58"/>
      <c r="BF360" s="58"/>
      <c r="BG360" s="58"/>
      <c r="BH360" s="58"/>
      <c r="BI360" s="58"/>
      <c r="BJ360" s="58"/>
      <c r="BK360" s="58"/>
      <c r="BL360" s="58"/>
      <c r="BM360" s="58"/>
      <c r="BN360" s="58"/>
      <c r="BO360" s="58"/>
      <c r="BP360" s="58"/>
      <c r="BQ360" s="58"/>
      <c r="BR360" s="58"/>
      <c r="BS360" s="58"/>
      <c r="BT360" s="58"/>
      <c r="BU360" s="58"/>
      <c r="BV360" s="58"/>
      <c r="BW360" s="58"/>
      <c r="BX360" s="58"/>
      <c r="BY360" s="58"/>
      <c r="BZ360" s="58"/>
      <c r="CA360" s="58"/>
      <c r="CB360" s="58"/>
      <c r="CC360" s="58"/>
      <c r="CD360" s="58"/>
      <c r="CE360" s="58"/>
      <c r="CF360" s="58"/>
      <c r="CG360" s="58"/>
      <c r="CH360" s="58"/>
      <c r="CI360" s="58"/>
      <c r="CJ360" s="58"/>
      <c r="CK360" s="58"/>
      <c r="CL360" s="58"/>
      <c r="CM360" s="58"/>
      <c r="CN360" s="58"/>
      <c r="CO360" s="58"/>
      <c r="CP360" s="58"/>
      <c r="CQ360" s="58"/>
      <c r="CR360" s="58"/>
      <c r="CS360" s="58"/>
      <c r="CT360" s="58"/>
      <c r="CU360" s="58"/>
      <c r="CV360" s="58"/>
      <c r="CW360" s="58"/>
      <c r="CX360" s="58"/>
      <c r="CY360" s="58"/>
      <c r="CZ360" s="58"/>
      <c r="DA360" s="58"/>
      <c r="DB360" s="58"/>
      <c r="DC360" s="58"/>
      <c r="DD360" s="58"/>
      <c r="DE360" s="58"/>
      <c r="DF360" s="58"/>
      <c r="DG360" s="58"/>
      <c r="DH360" s="58"/>
      <c r="DI360" s="58"/>
      <c r="DJ360" s="58"/>
      <c r="DK360" s="58"/>
      <c r="DL360" s="58"/>
      <c r="DM360" s="58"/>
      <c r="DN360" s="58"/>
      <c r="DO360" s="58"/>
      <c r="DP360" s="58"/>
      <c r="DQ360" s="58"/>
      <c r="DR360" s="58"/>
      <c r="DS360" s="58"/>
      <c r="DT360" s="58"/>
      <c r="DU360" s="58"/>
      <c r="DV360" s="58"/>
      <c r="DW360" s="58"/>
      <c r="DX360" s="58"/>
      <c r="DY360" s="58"/>
      <c r="DZ360" s="58"/>
      <c r="EA360" s="58"/>
      <c r="EB360" s="58"/>
      <c r="EC360" s="58"/>
      <c r="ED360" s="58"/>
      <c r="EE360" s="58"/>
      <c r="EF360" s="58"/>
      <c r="EG360" s="58"/>
      <c r="EH360" s="58"/>
      <c r="EI360" s="58"/>
      <c r="EJ360" s="58"/>
      <c r="EK360" s="58"/>
      <c r="EL360" s="58"/>
      <c r="EM360" s="58"/>
      <c r="EN360" s="58"/>
      <c r="EO360" s="58"/>
      <c r="EP360" s="58"/>
      <c r="EQ360" s="58"/>
      <c r="ER360" s="58"/>
      <c r="ES360" s="58"/>
      <c r="ET360" s="58"/>
      <c r="EU360" s="58"/>
      <c r="EV360" s="58"/>
      <c r="EW360" s="58"/>
      <c r="EX360" s="58"/>
      <c r="EY360" s="58"/>
      <c r="EZ360" s="58"/>
      <c r="FA360" s="58"/>
      <c r="FB360" s="58"/>
      <c r="FC360" s="58"/>
      <c r="FD360" s="58"/>
      <c r="FE360" s="58"/>
      <c r="FF360" s="58"/>
      <c r="FG360" s="58"/>
      <c r="FH360" s="58"/>
      <c r="FI360" s="58"/>
      <c r="FJ360" s="58"/>
      <c r="FK360" s="58"/>
      <c r="FL360" s="58"/>
      <c r="FM360" s="58"/>
      <c r="FN360" s="58"/>
      <c r="FO360" s="58"/>
      <c r="FP360" s="58"/>
      <c r="FQ360" s="58"/>
      <c r="FR360" s="58"/>
      <c r="FS360" s="58"/>
      <c r="FT360" s="58"/>
      <c r="FU360" s="58"/>
      <c r="FV360" s="58"/>
      <c r="FW360" s="58"/>
      <c r="FX360" s="58"/>
      <c r="FY360" s="58"/>
      <c r="FZ360" s="58"/>
      <c r="GA360" s="58"/>
      <c r="GB360" s="58"/>
      <c r="GC360" s="58"/>
      <c r="GD360" s="58"/>
      <c r="GE360" s="58"/>
      <c r="GF360" s="58"/>
      <c r="GG360" s="58"/>
      <c r="GH360" s="58"/>
      <c r="GI360" s="58"/>
      <c r="GJ360" s="58"/>
      <c r="GK360" s="58"/>
      <c r="GL360" s="58"/>
      <c r="GM360" s="58"/>
      <c r="GN360" s="58"/>
      <c r="GO360" s="58"/>
      <c r="GP360" s="58"/>
      <c r="GQ360" s="58"/>
      <c r="GR360" s="58"/>
      <c r="GS360" s="58"/>
      <c r="GT360" s="58"/>
      <c r="GU360" s="58"/>
      <c r="GV360" s="58"/>
      <c r="GW360" s="58"/>
      <c r="GX360" s="58"/>
      <c r="GY360" s="58"/>
      <c r="GZ360" s="58"/>
      <c r="HA360" s="58"/>
      <c r="HB360" s="58"/>
      <c r="HC360" s="58"/>
      <c r="HD360" s="58"/>
      <c r="HE360" s="58"/>
      <c r="HF360" s="58"/>
      <c r="HG360" s="58"/>
      <c r="HH360" s="58"/>
      <c r="HI360" s="58"/>
      <c r="HJ360" s="58"/>
      <c r="HK360" s="58"/>
      <c r="HL360" s="58"/>
      <c r="HM360" s="58"/>
      <c r="HN360" s="58"/>
      <c r="HO360" s="58"/>
      <c r="HP360" s="58"/>
      <c r="HQ360" s="58"/>
      <c r="HR360" s="58"/>
      <c r="HS360" s="58"/>
      <c r="HT360" s="58"/>
      <c r="HU360" s="58"/>
      <c r="HV360" s="58"/>
      <c r="HW360" s="58"/>
      <c r="HX360" s="58"/>
      <c r="HY360" s="58"/>
      <c r="HZ360" s="58"/>
      <c r="IA360" s="58"/>
      <c r="IB360" s="58"/>
      <c r="IC360" s="58"/>
      <c r="ID360" s="58"/>
      <c r="IE360" s="58"/>
      <c r="IF360" s="58"/>
      <c r="IG360" s="58"/>
      <c r="IH360" s="58"/>
      <c r="II360" s="58"/>
      <c r="IJ360" s="58"/>
      <c r="IK360" s="58"/>
      <c r="IL360" s="58"/>
      <c r="IM360" s="58"/>
      <c r="IN360" s="58"/>
      <c r="IO360" s="58"/>
      <c r="IP360" s="58"/>
      <c r="IQ360" s="58"/>
      <c r="IR360" s="58"/>
      <c r="IS360" s="58"/>
      <c r="IT360" s="58"/>
    </row>
    <row r="361" spans="1:254" s="55" customFormat="1" x14ac:dyDescent="0.25">
      <c r="A361" s="79">
        <f t="shared" si="36"/>
        <v>289319.8</v>
      </c>
      <c r="B361" s="56">
        <v>289320</v>
      </c>
      <c r="C361" s="56">
        <v>3373440.6154</v>
      </c>
      <c r="D361" s="56">
        <v>653399.74170000001</v>
      </c>
      <c r="E361" s="56">
        <v>269.05099999999999</v>
      </c>
      <c r="F361" s="57">
        <f t="shared" si="41"/>
        <v>268.363</v>
      </c>
      <c r="G361" s="59">
        <v>289319.8</v>
      </c>
      <c r="H361" s="56">
        <v>14.07</v>
      </c>
      <c r="I361" s="56">
        <v>653390.46939999994</v>
      </c>
      <c r="J361" s="56">
        <v>3373429.9396000002</v>
      </c>
      <c r="K361" s="56">
        <v>268.21600000000001</v>
      </c>
      <c r="L361" s="56">
        <f t="shared" si="37"/>
        <v>268.85399999999998</v>
      </c>
      <c r="M361" s="56">
        <f t="shared" si="38"/>
        <v>-0.19700000000000001</v>
      </c>
      <c r="N361" s="56">
        <f t="shared" si="39"/>
        <v>-0.14699999999999999</v>
      </c>
      <c r="O361" s="56"/>
      <c r="P361" s="56">
        <v>268.52999999999997</v>
      </c>
      <c r="Q361" s="56"/>
      <c r="R361" s="56"/>
      <c r="S361" s="56">
        <v>268.45800000000003</v>
      </c>
      <c r="T361" s="56">
        <f t="shared" si="40"/>
        <v>-0.24199999999999999</v>
      </c>
      <c r="U361" s="58"/>
      <c r="V361" s="58"/>
      <c r="W361" s="58"/>
      <c r="X361" s="58"/>
      <c r="Y361" s="58"/>
      <c r="Z361" s="58"/>
      <c r="AA361" s="58"/>
      <c r="AB361" s="58"/>
      <c r="AC361" s="58"/>
      <c r="AD361" s="58"/>
      <c r="AE361" s="58"/>
      <c r="AF361" s="58"/>
      <c r="AG361" s="58"/>
      <c r="AH361" s="58"/>
      <c r="AI361" s="58"/>
      <c r="AJ361" s="58"/>
      <c r="AK361" s="58"/>
      <c r="AL361" s="58"/>
      <c r="AM361" s="58"/>
      <c r="AN361" s="58"/>
      <c r="AO361" s="58"/>
      <c r="AP361" s="58"/>
      <c r="AQ361" s="58"/>
      <c r="AR361" s="58"/>
      <c r="AS361" s="58"/>
      <c r="AT361" s="58"/>
      <c r="AU361" s="58"/>
      <c r="AV361" s="58"/>
      <c r="AW361" s="58"/>
      <c r="AX361" s="58"/>
      <c r="AY361" s="58"/>
      <c r="AZ361" s="58"/>
      <c r="BA361" s="58"/>
      <c r="BB361" s="58"/>
      <c r="BC361" s="58"/>
      <c r="BD361" s="58"/>
      <c r="BE361" s="58"/>
      <c r="BF361" s="58"/>
      <c r="BG361" s="58"/>
      <c r="BH361" s="58"/>
      <c r="BI361" s="58"/>
      <c r="BJ361" s="58"/>
      <c r="BK361" s="58"/>
      <c r="BL361" s="58"/>
      <c r="BM361" s="58"/>
      <c r="BN361" s="58"/>
      <c r="BO361" s="58"/>
      <c r="BP361" s="58"/>
      <c r="BQ361" s="58"/>
      <c r="BR361" s="58"/>
      <c r="BS361" s="58"/>
      <c r="BT361" s="58"/>
      <c r="BU361" s="58"/>
      <c r="BV361" s="58"/>
      <c r="BW361" s="58"/>
      <c r="BX361" s="58"/>
      <c r="BY361" s="58"/>
      <c r="BZ361" s="58"/>
      <c r="CA361" s="58"/>
      <c r="CB361" s="58"/>
      <c r="CC361" s="58"/>
      <c r="CD361" s="58"/>
      <c r="CE361" s="58"/>
      <c r="CF361" s="58"/>
      <c r="CG361" s="58"/>
      <c r="CH361" s="58"/>
      <c r="CI361" s="58"/>
      <c r="CJ361" s="58"/>
      <c r="CK361" s="58"/>
      <c r="CL361" s="58"/>
      <c r="CM361" s="58"/>
      <c r="CN361" s="58"/>
      <c r="CO361" s="58"/>
      <c r="CP361" s="58"/>
      <c r="CQ361" s="58"/>
      <c r="CR361" s="58"/>
      <c r="CS361" s="58"/>
      <c r="CT361" s="58"/>
      <c r="CU361" s="58"/>
      <c r="CV361" s="58"/>
      <c r="CW361" s="58"/>
      <c r="CX361" s="58"/>
      <c r="CY361" s="58"/>
      <c r="CZ361" s="58"/>
      <c r="DA361" s="58"/>
      <c r="DB361" s="58"/>
      <c r="DC361" s="58"/>
      <c r="DD361" s="58"/>
      <c r="DE361" s="58"/>
      <c r="DF361" s="58"/>
      <c r="DG361" s="58"/>
      <c r="DH361" s="58"/>
      <c r="DI361" s="58"/>
      <c r="DJ361" s="58"/>
      <c r="DK361" s="58"/>
      <c r="DL361" s="58"/>
      <c r="DM361" s="58"/>
      <c r="DN361" s="58"/>
      <c r="DO361" s="58"/>
      <c r="DP361" s="58"/>
      <c r="DQ361" s="58"/>
      <c r="DR361" s="58"/>
      <c r="DS361" s="58"/>
      <c r="DT361" s="58"/>
      <c r="DU361" s="58"/>
      <c r="DV361" s="58"/>
      <c r="DW361" s="58"/>
      <c r="DX361" s="58"/>
      <c r="DY361" s="58"/>
      <c r="DZ361" s="58"/>
      <c r="EA361" s="58"/>
      <c r="EB361" s="58"/>
      <c r="EC361" s="58"/>
      <c r="ED361" s="58"/>
      <c r="EE361" s="58"/>
      <c r="EF361" s="58"/>
      <c r="EG361" s="58"/>
      <c r="EH361" s="58"/>
      <c r="EI361" s="58"/>
      <c r="EJ361" s="58"/>
      <c r="EK361" s="58"/>
      <c r="EL361" s="58"/>
      <c r="EM361" s="58"/>
      <c r="EN361" s="58"/>
      <c r="EO361" s="58"/>
      <c r="EP361" s="58"/>
      <c r="EQ361" s="58"/>
      <c r="ER361" s="58"/>
      <c r="ES361" s="58"/>
      <c r="ET361" s="58"/>
      <c r="EU361" s="58"/>
      <c r="EV361" s="58"/>
      <c r="EW361" s="58"/>
      <c r="EX361" s="58"/>
      <c r="EY361" s="58"/>
      <c r="EZ361" s="58"/>
      <c r="FA361" s="58"/>
      <c r="FB361" s="58"/>
      <c r="FC361" s="58"/>
      <c r="FD361" s="58"/>
      <c r="FE361" s="58"/>
      <c r="FF361" s="58"/>
      <c r="FG361" s="58"/>
      <c r="FH361" s="58"/>
      <c r="FI361" s="58"/>
      <c r="FJ361" s="58"/>
      <c r="FK361" s="58"/>
      <c r="FL361" s="58"/>
      <c r="FM361" s="58"/>
      <c r="FN361" s="58"/>
      <c r="FO361" s="58"/>
      <c r="FP361" s="58"/>
      <c r="FQ361" s="58"/>
      <c r="FR361" s="58"/>
      <c r="FS361" s="58"/>
      <c r="FT361" s="58"/>
      <c r="FU361" s="58"/>
      <c r="FV361" s="58"/>
      <c r="FW361" s="58"/>
      <c r="FX361" s="58"/>
      <c r="FY361" s="58"/>
      <c r="FZ361" s="58"/>
      <c r="GA361" s="58"/>
      <c r="GB361" s="58"/>
      <c r="GC361" s="58"/>
      <c r="GD361" s="58"/>
      <c r="GE361" s="58"/>
      <c r="GF361" s="58"/>
      <c r="GG361" s="58"/>
      <c r="GH361" s="58"/>
      <c r="GI361" s="58"/>
      <c r="GJ361" s="58"/>
      <c r="GK361" s="58"/>
      <c r="GL361" s="58"/>
      <c r="GM361" s="58"/>
      <c r="GN361" s="58"/>
      <c r="GO361" s="58"/>
      <c r="GP361" s="58"/>
      <c r="GQ361" s="58"/>
      <c r="GR361" s="58"/>
      <c r="GS361" s="58"/>
      <c r="GT361" s="58"/>
      <c r="GU361" s="58"/>
      <c r="GV361" s="58"/>
      <c r="GW361" s="58"/>
      <c r="GX361" s="58"/>
      <c r="GY361" s="58"/>
      <c r="GZ361" s="58"/>
      <c r="HA361" s="58"/>
      <c r="HB361" s="58"/>
      <c r="HC361" s="58"/>
      <c r="HD361" s="58"/>
      <c r="HE361" s="58"/>
      <c r="HF361" s="58"/>
      <c r="HG361" s="58"/>
      <c r="HH361" s="58"/>
      <c r="HI361" s="58"/>
      <c r="HJ361" s="58"/>
      <c r="HK361" s="58"/>
      <c r="HL361" s="58"/>
      <c r="HM361" s="58"/>
      <c r="HN361" s="58"/>
      <c r="HO361" s="58"/>
      <c r="HP361" s="58"/>
      <c r="HQ361" s="58"/>
      <c r="HR361" s="58"/>
      <c r="HS361" s="58"/>
      <c r="HT361" s="58"/>
      <c r="HU361" s="58"/>
      <c r="HV361" s="58"/>
      <c r="HW361" s="58"/>
      <c r="HX361" s="58"/>
      <c r="HY361" s="58"/>
      <c r="HZ361" s="58"/>
      <c r="IA361" s="58"/>
      <c r="IB361" s="58"/>
      <c r="IC361" s="58"/>
      <c r="ID361" s="58"/>
      <c r="IE361" s="58"/>
      <c r="IF361" s="58"/>
      <c r="IG361" s="58"/>
      <c r="IH361" s="58"/>
      <c r="II361" s="58"/>
      <c r="IJ361" s="58"/>
      <c r="IK361" s="58"/>
      <c r="IL361" s="58"/>
      <c r="IM361" s="58"/>
      <c r="IN361" s="58"/>
      <c r="IO361" s="58"/>
      <c r="IP361" s="58"/>
      <c r="IQ361" s="58"/>
      <c r="IR361" s="58"/>
      <c r="IS361" s="58"/>
      <c r="IT361" s="58"/>
    </row>
    <row r="362" spans="1:254" s="55" customFormat="1" x14ac:dyDescent="0.25">
      <c r="A362" s="79">
        <f t="shared" si="36"/>
        <v>289339.7</v>
      </c>
      <c r="B362" s="56">
        <v>289340</v>
      </c>
      <c r="C362" s="56">
        <v>3373452.5543</v>
      </c>
      <c r="D362" s="56">
        <v>653383.69609999994</v>
      </c>
      <c r="E362" s="56">
        <v>269.036</v>
      </c>
      <c r="F362" s="57">
        <f t="shared" si="41"/>
        <v>268.34800000000001</v>
      </c>
      <c r="G362" s="59">
        <v>289339.7</v>
      </c>
      <c r="H362" s="56">
        <v>14.651999999999999</v>
      </c>
      <c r="I362" s="56">
        <v>653374.07900000003</v>
      </c>
      <c r="J362" s="56">
        <v>3373441.4004000002</v>
      </c>
      <c r="K362" s="56">
        <v>268.22199999999998</v>
      </c>
      <c r="L362" s="56">
        <f t="shared" si="37"/>
        <v>268.85999999999996</v>
      </c>
      <c r="M362" s="56">
        <f t="shared" si="38"/>
        <v>-0.17599999999999999</v>
      </c>
      <c r="N362" s="56">
        <f t="shared" si="39"/>
        <v>-0.126</v>
      </c>
      <c r="O362" s="56"/>
      <c r="P362" s="56">
        <v>268.541</v>
      </c>
      <c r="Q362" s="56"/>
      <c r="R362" s="56"/>
      <c r="S362" s="56">
        <v>268.50900000000001</v>
      </c>
      <c r="T362" s="56">
        <f t="shared" si="40"/>
        <v>-0.28699999999999998</v>
      </c>
      <c r="U362" s="58"/>
      <c r="V362" s="58"/>
      <c r="W362" s="58"/>
      <c r="X362" s="58"/>
      <c r="Y362" s="58"/>
      <c r="Z362" s="58"/>
      <c r="AA362" s="58"/>
      <c r="AB362" s="58"/>
      <c r="AC362" s="58"/>
      <c r="AD362" s="58"/>
      <c r="AE362" s="58"/>
      <c r="AF362" s="58"/>
      <c r="AG362" s="58"/>
      <c r="AH362" s="58"/>
      <c r="AI362" s="58"/>
      <c r="AJ362" s="58"/>
      <c r="AK362" s="58"/>
      <c r="AL362" s="58"/>
      <c r="AM362" s="58"/>
      <c r="AN362" s="58"/>
      <c r="AO362" s="58"/>
      <c r="AP362" s="58"/>
      <c r="AQ362" s="58"/>
      <c r="AR362" s="58"/>
      <c r="AS362" s="58"/>
      <c r="AT362" s="58"/>
      <c r="AU362" s="58"/>
      <c r="AV362" s="58"/>
      <c r="AW362" s="58"/>
      <c r="AX362" s="58"/>
      <c r="AY362" s="58"/>
      <c r="AZ362" s="58"/>
      <c r="BA362" s="58"/>
      <c r="BB362" s="58"/>
      <c r="BC362" s="58"/>
      <c r="BD362" s="58"/>
      <c r="BE362" s="58"/>
      <c r="BF362" s="58"/>
      <c r="BG362" s="58"/>
      <c r="BH362" s="58"/>
      <c r="BI362" s="58"/>
      <c r="BJ362" s="58"/>
      <c r="BK362" s="58"/>
      <c r="BL362" s="58"/>
      <c r="BM362" s="58"/>
      <c r="BN362" s="58"/>
      <c r="BO362" s="58"/>
      <c r="BP362" s="58"/>
      <c r="BQ362" s="58"/>
      <c r="BR362" s="58"/>
      <c r="BS362" s="58"/>
      <c r="BT362" s="58"/>
      <c r="BU362" s="58"/>
      <c r="BV362" s="58"/>
      <c r="BW362" s="58"/>
      <c r="BX362" s="58"/>
      <c r="BY362" s="58"/>
      <c r="BZ362" s="58"/>
      <c r="CA362" s="58"/>
      <c r="CB362" s="58"/>
      <c r="CC362" s="58"/>
      <c r="CD362" s="58"/>
      <c r="CE362" s="58"/>
      <c r="CF362" s="58"/>
      <c r="CG362" s="58"/>
      <c r="CH362" s="58"/>
      <c r="CI362" s="58"/>
      <c r="CJ362" s="58"/>
      <c r="CK362" s="58"/>
      <c r="CL362" s="58"/>
      <c r="CM362" s="58"/>
      <c r="CN362" s="58"/>
      <c r="CO362" s="58"/>
      <c r="CP362" s="58"/>
      <c r="CQ362" s="58"/>
      <c r="CR362" s="58"/>
      <c r="CS362" s="58"/>
      <c r="CT362" s="58"/>
      <c r="CU362" s="58"/>
      <c r="CV362" s="58"/>
      <c r="CW362" s="58"/>
      <c r="CX362" s="58"/>
      <c r="CY362" s="58"/>
      <c r="CZ362" s="58"/>
      <c r="DA362" s="58"/>
      <c r="DB362" s="58"/>
      <c r="DC362" s="58"/>
      <c r="DD362" s="58"/>
      <c r="DE362" s="58"/>
      <c r="DF362" s="58"/>
      <c r="DG362" s="58"/>
      <c r="DH362" s="58"/>
      <c r="DI362" s="58"/>
      <c r="DJ362" s="58"/>
      <c r="DK362" s="58"/>
      <c r="DL362" s="58"/>
      <c r="DM362" s="58"/>
      <c r="DN362" s="58"/>
      <c r="DO362" s="58"/>
      <c r="DP362" s="58"/>
      <c r="DQ362" s="58"/>
      <c r="DR362" s="58"/>
      <c r="DS362" s="58"/>
      <c r="DT362" s="58"/>
      <c r="DU362" s="58"/>
      <c r="DV362" s="58"/>
      <c r="DW362" s="58"/>
      <c r="DX362" s="58"/>
      <c r="DY362" s="58"/>
      <c r="DZ362" s="58"/>
      <c r="EA362" s="58"/>
      <c r="EB362" s="58"/>
      <c r="EC362" s="58"/>
      <c r="ED362" s="58"/>
      <c r="EE362" s="58"/>
      <c r="EF362" s="58"/>
      <c r="EG362" s="58"/>
      <c r="EH362" s="58"/>
      <c r="EI362" s="58"/>
      <c r="EJ362" s="58"/>
      <c r="EK362" s="58"/>
      <c r="EL362" s="58"/>
      <c r="EM362" s="58"/>
      <c r="EN362" s="58"/>
      <c r="EO362" s="58"/>
      <c r="EP362" s="58"/>
      <c r="EQ362" s="58"/>
      <c r="ER362" s="58"/>
      <c r="ES362" s="58"/>
      <c r="ET362" s="58"/>
      <c r="EU362" s="58"/>
      <c r="EV362" s="58"/>
      <c r="EW362" s="58"/>
      <c r="EX362" s="58"/>
      <c r="EY362" s="58"/>
      <c r="EZ362" s="58"/>
      <c r="FA362" s="58"/>
      <c r="FB362" s="58"/>
      <c r="FC362" s="58"/>
      <c r="FD362" s="58"/>
      <c r="FE362" s="58"/>
      <c r="FF362" s="58"/>
      <c r="FG362" s="58"/>
      <c r="FH362" s="58"/>
      <c r="FI362" s="58"/>
      <c r="FJ362" s="58"/>
      <c r="FK362" s="58"/>
      <c r="FL362" s="58"/>
      <c r="FM362" s="58"/>
      <c r="FN362" s="58"/>
      <c r="FO362" s="58"/>
      <c r="FP362" s="58"/>
      <c r="FQ362" s="58"/>
      <c r="FR362" s="58"/>
      <c r="FS362" s="58"/>
      <c r="FT362" s="58"/>
      <c r="FU362" s="58"/>
      <c r="FV362" s="58"/>
      <c r="FW362" s="58"/>
      <c r="FX362" s="58"/>
      <c r="FY362" s="58"/>
      <c r="FZ362" s="58"/>
      <c r="GA362" s="58"/>
      <c r="GB362" s="58"/>
      <c r="GC362" s="58"/>
      <c r="GD362" s="58"/>
      <c r="GE362" s="58"/>
      <c r="GF362" s="58"/>
      <c r="GG362" s="58"/>
      <c r="GH362" s="58"/>
      <c r="GI362" s="58"/>
      <c r="GJ362" s="58"/>
      <c r="GK362" s="58"/>
      <c r="GL362" s="58"/>
      <c r="GM362" s="58"/>
      <c r="GN362" s="58"/>
      <c r="GO362" s="58"/>
      <c r="GP362" s="58"/>
      <c r="GQ362" s="58"/>
      <c r="GR362" s="58"/>
      <c r="GS362" s="58"/>
      <c r="GT362" s="58"/>
      <c r="GU362" s="58"/>
      <c r="GV362" s="58"/>
      <c r="GW362" s="58"/>
      <c r="GX362" s="58"/>
      <c r="GY362" s="58"/>
      <c r="GZ362" s="58"/>
      <c r="HA362" s="58"/>
      <c r="HB362" s="58"/>
      <c r="HC362" s="58"/>
      <c r="HD362" s="58"/>
      <c r="HE362" s="58"/>
      <c r="HF362" s="58"/>
      <c r="HG362" s="58"/>
      <c r="HH362" s="58"/>
      <c r="HI362" s="58"/>
      <c r="HJ362" s="58"/>
      <c r="HK362" s="58"/>
      <c r="HL362" s="58"/>
      <c r="HM362" s="58"/>
      <c r="HN362" s="58"/>
      <c r="HO362" s="58"/>
      <c r="HP362" s="58"/>
      <c r="HQ362" s="58"/>
      <c r="HR362" s="58"/>
      <c r="HS362" s="58"/>
      <c r="HT362" s="58"/>
      <c r="HU362" s="58"/>
      <c r="HV362" s="58"/>
      <c r="HW362" s="58"/>
      <c r="HX362" s="58"/>
      <c r="HY362" s="58"/>
      <c r="HZ362" s="58"/>
      <c r="IA362" s="58"/>
      <c r="IB362" s="58"/>
      <c r="IC362" s="58"/>
      <c r="ID362" s="58"/>
      <c r="IE362" s="58"/>
      <c r="IF362" s="58"/>
      <c r="IG362" s="58"/>
      <c r="IH362" s="58"/>
      <c r="II362" s="58"/>
      <c r="IJ362" s="58"/>
      <c r="IK362" s="58"/>
      <c r="IL362" s="58"/>
      <c r="IM362" s="58"/>
      <c r="IN362" s="58"/>
      <c r="IO362" s="58"/>
      <c r="IP362" s="58"/>
      <c r="IQ362" s="58"/>
      <c r="IR362" s="58"/>
      <c r="IS362" s="58"/>
      <c r="IT362" s="58"/>
    </row>
    <row r="363" spans="1:254" s="55" customFormat="1" x14ac:dyDescent="0.25">
      <c r="A363" s="79">
        <f t="shared" si="36"/>
        <v>289359.7</v>
      </c>
      <c r="B363" s="56">
        <v>289360</v>
      </c>
      <c r="C363" s="56">
        <v>3373464.4572999999</v>
      </c>
      <c r="D363" s="56">
        <v>653367.62379999994</v>
      </c>
      <c r="E363" s="56">
        <v>269.03399999999999</v>
      </c>
      <c r="F363" s="57">
        <f t="shared" si="41"/>
        <v>268.346</v>
      </c>
      <c r="G363" s="59">
        <v>289359.7</v>
      </c>
      <c r="H363" s="56">
        <v>15.27</v>
      </c>
      <c r="I363" s="56">
        <v>653357.63919999998</v>
      </c>
      <c r="J363" s="56">
        <v>3373452.7903999998</v>
      </c>
      <c r="K363" s="56">
        <v>268.22899999999998</v>
      </c>
      <c r="L363" s="56">
        <f t="shared" si="37"/>
        <v>268.86699999999996</v>
      </c>
      <c r="M363" s="56">
        <f t="shared" si="38"/>
        <v>-0.16700000000000001</v>
      </c>
      <c r="N363" s="56">
        <f t="shared" si="39"/>
        <v>-0.11700000000000001</v>
      </c>
      <c r="O363" s="56"/>
      <c r="P363" s="56">
        <v>268.60300000000001</v>
      </c>
      <c r="Q363" s="56"/>
      <c r="R363" s="56"/>
      <c r="S363" s="56">
        <v>268.57900000000001</v>
      </c>
      <c r="T363" s="56">
        <f t="shared" si="40"/>
        <v>-0.35</v>
      </c>
      <c r="U363" s="58"/>
      <c r="V363" s="58"/>
      <c r="W363" s="58"/>
      <c r="X363" s="58"/>
      <c r="Y363" s="58"/>
      <c r="Z363" s="58"/>
      <c r="AA363" s="58"/>
      <c r="AB363" s="58"/>
      <c r="AC363" s="58"/>
      <c r="AD363" s="58"/>
      <c r="AE363" s="58"/>
      <c r="AF363" s="58"/>
      <c r="AG363" s="58"/>
      <c r="AH363" s="58"/>
      <c r="AI363" s="58"/>
      <c r="AJ363" s="58"/>
      <c r="AK363" s="58"/>
      <c r="AL363" s="58"/>
      <c r="AM363" s="58"/>
      <c r="AN363" s="58"/>
      <c r="AO363" s="58"/>
      <c r="AP363" s="58"/>
      <c r="AQ363" s="58"/>
      <c r="AR363" s="58"/>
      <c r="AS363" s="58"/>
      <c r="AT363" s="58"/>
      <c r="AU363" s="58"/>
      <c r="AV363" s="58"/>
      <c r="AW363" s="58"/>
      <c r="AX363" s="58"/>
      <c r="AY363" s="58"/>
      <c r="AZ363" s="58"/>
      <c r="BA363" s="58"/>
      <c r="BB363" s="58"/>
      <c r="BC363" s="58"/>
      <c r="BD363" s="58"/>
      <c r="BE363" s="58"/>
      <c r="BF363" s="58"/>
      <c r="BG363" s="58"/>
      <c r="BH363" s="58"/>
      <c r="BI363" s="58"/>
      <c r="BJ363" s="58"/>
      <c r="BK363" s="58"/>
      <c r="BL363" s="58"/>
      <c r="BM363" s="58"/>
      <c r="BN363" s="58"/>
      <c r="BO363" s="58"/>
      <c r="BP363" s="58"/>
      <c r="BQ363" s="58"/>
      <c r="BR363" s="58"/>
      <c r="BS363" s="58"/>
      <c r="BT363" s="58"/>
      <c r="BU363" s="58"/>
      <c r="BV363" s="58"/>
      <c r="BW363" s="58"/>
      <c r="BX363" s="58"/>
      <c r="BY363" s="58"/>
      <c r="BZ363" s="58"/>
      <c r="CA363" s="58"/>
      <c r="CB363" s="58"/>
      <c r="CC363" s="58"/>
      <c r="CD363" s="58"/>
      <c r="CE363" s="58"/>
      <c r="CF363" s="58"/>
      <c r="CG363" s="58"/>
      <c r="CH363" s="58"/>
      <c r="CI363" s="58"/>
      <c r="CJ363" s="58"/>
      <c r="CK363" s="58"/>
      <c r="CL363" s="58"/>
      <c r="CM363" s="58"/>
      <c r="CN363" s="58"/>
      <c r="CO363" s="58"/>
      <c r="CP363" s="58"/>
      <c r="CQ363" s="58"/>
      <c r="CR363" s="58"/>
      <c r="CS363" s="58"/>
      <c r="CT363" s="58"/>
      <c r="CU363" s="58"/>
      <c r="CV363" s="58"/>
      <c r="CW363" s="58"/>
      <c r="CX363" s="58"/>
      <c r="CY363" s="58"/>
      <c r="CZ363" s="58"/>
      <c r="DA363" s="58"/>
      <c r="DB363" s="58"/>
      <c r="DC363" s="58"/>
      <c r="DD363" s="58"/>
      <c r="DE363" s="58"/>
      <c r="DF363" s="58"/>
      <c r="DG363" s="58"/>
      <c r="DH363" s="58"/>
      <c r="DI363" s="58"/>
      <c r="DJ363" s="58"/>
      <c r="DK363" s="58"/>
      <c r="DL363" s="58"/>
      <c r="DM363" s="58"/>
      <c r="DN363" s="58"/>
      <c r="DO363" s="58"/>
      <c r="DP363" s="58"/>
      <c r="DQ363" s="58"/>
      <c r="DR363" s="58"/>
      <c r="DS363" s="58"/>
      <c r="DT363" s="58"/>
      <c r="DU363" s="58"/>
      <c r="DV363" s="58"/>
      <c r="DW363" s="58"/>
      <c r="DX363" s="58"/>
      <c r="DY363" s="58"/>
      <c r="DZ363" s="58"/>
      <c r="EA363" s="58"/>
      <c r="EB363" s="58"/>
      <c r="EC363" s="58"/>
      <c r="ED363" s="58"/>
      <c r="EE363" s="58"/>
      <c r="EF363" s="58"/>
      <c r="EG363" s="58"/>
      <c r="EH363" s="58"/>
      <c r="EI363" s="58"/>
      <c r="EJ363" s="58"/>
      <c r="EK363" s="58"/>
      <c r="EL363" s="58"/>
      <c r="EM363" s="58"/>
      <c r="EN363" s="58"/>
      <c r="EO363" s="58"/>
      <c r="EP363" s="58"/>
      <c r="EQ363" s="58"/>
      <c r="ER363" s="58"/>
      <c r="ES363" s="58"/>
      <c r="ET363" s="58"/>
      <c r="EU363" s="58"/>
      <c r="EV363" s="58"/>
      <c r="EW363" s="58"/>
      <c r="EX363" s="58"/>
      <c r="EY363" s="58"/>
      <c r="EZ363" s="58"/>
      <c r="FA363" s="58"/>
      <c r="FB363" s="58"/>
      <c r="FC363" s="58"/>
      <c r="FD363" s="58"/>
      <c r="FE363" s="58"/>
      <c r="FF363" s="58"/>
      <c r="FG363" s="58"/>
      <c r="FH363" s="58"/>
      <c r="FI363" s="58"/>
      <c r="FJ363" s="58"/>
      <c r="FK363" s="58"/>
      <c r="FL363" s="58"/>
      <c r="FM363" s="58"/>
      <c r="FN363" s="58"/>
      <c r="FO363" s="58"/>
      <c r="FP363" s="58"/>
      <c r="FQ363" s="58"/>
      <c r="FR363" s="58"/>
      <c r="FS363" s="58"/>
      <c r="FT363" s="58"/>
      <c r="FU363" s="58"/>
      <c r="FV363" s="58"/>
      <c r="FW363" s="58"/>
      <c r="FX363" s="58"/>
      <c r="FY363" s="58"/>
      <c r="FZ363" s="58"/>
      <c r="GA363" s="58"/>
      <c r="GB363" s="58"/>
      <c r="GC363" s="58"/>
      <c r="GD363" s="58"/>
      <c r="GE363" s="58"/>
      <c r="GF363" s="58"/>
      <c r="GG363" s="58"/>
      <c r="GH363" s="58"/>
      <c r="GI363" s="58"/>
      <c r="GJ363" s="58"/>
      <c r="GK363" s="58"/>
      <c r="GL363" s="58"/>
      <c r="GM363" s="58"/>
      <c r="GN363" s="58"/>
      <c r="GO363" s="58"/>
      <c r="GP363" s="58"/>
      <c r="GQ363" s="58"/>
      <c r="GR363" s="58"/>
      <c r="GS363" s="58"/>
      <c r="GT363" s="58"/>
      <c r="GU363" s="58"/>
      <c r="GV363" s="58"/>
      <c r="GW363" s="58"/>
      <c r="GX363" s="58"/>
      <c r="GY363" s="58"/>
      <c r="GZ363" s="58"/>
      <c r="HA363" s="58"/>
      <c r="HB363" s="58"/>
      <c r="HC363" s="58"/>
      <c r="HD363" s="58"/>
      <c r="HE363" s="58"/>
      <c r="HF363" s="58"/>
      <c r="HG363" s="58"/>
      <c r="HH363" s="58"/>
      <c r="HI363" s="58"/>
      <c r="HJ363" s="58"/>
      <c r="HK363" s="58"/>
      <c r="HL363" s="58"/>
      <c r="HM363" s="58"/>
      <c r="HN363" s="58"/>
      <c r="HO363" s="58"/>
      <c r="HP363" s="58"/>
      <c r="HQ363" s="58"/>
      <c r="HR363" s="58"/>
      <c r="HS363" s="58"/>
      <c r="HT363" s="58"/>
      <c r="HU363" s="58"/>
      <c r="HV363" s="58"/>
      <c r="HW363" s="58"/>
      <c r="HX363" s="58"/>
      <c r="HY363" s="58"/>
      <c r="HZ363" s="58"/>
      <c r="IA363" s="58"/>
      <c r="IB363" s="58"/>
      <c r="IC363" s="58"/>
      <c r="ID363" s="58"/>
      <c r="IE363" s="58"/>
      <c r="IF363" s="58"/>
      <c r="IG363" s="58"/>
      <c r="IH363" s="58"/>
      <c r="II363" s="58"/>
      <c r="IJ363" s="58"/>
      <c r="IK363" s="58"/>
      <c r="IL363" s="58"/>
      <c r="IM363" s="58"/>
      <c r="IN363" s="58"/>
      <c r="IO363" s="58"/>
      <c r="IP363" s="58"/>
      <c r="IQ363" s="58"/>
      <c r="IR363" s="58"/>
      <c r="IS363" s="58"/>
      <c r="IT363" s="58"/>
    </row>
    <row r="364" spans="1:254" s="55" customFormat="1" x14ac:dyDescent="0.25">
      <c r="A364" s="79">
        <f t="shared" si="36"/>
        <v>289379.7</v>
      </c>
      <c r="B364" s="56">
        <v>289380</v>
      </c>
      <c r="C364" s="56">
        <v>3373476.3338000001</v>
      </c>
      <c r="D364" s="56">
        <v>653351.53189999994</v>
      </c>
      <c r="E364" s="56">
        <v>268.99700000000001</v>
      </c>
      <c r="F364" s="57">
        <f t="shared" si="41"/>
        <v>268.30900000000003</v>
      </c>
      <c r="G364" s="59">
        <v>289379.7</v>
      </c>
      <c r="H364" s="56">
        <v>15.878</v>
      </c>
      <c r="I364" s="56">
        <v>653341.19319999998</v>
      </c>
      <c r="J364" s="56">
        <v>3373464.1716</v>
      </c>
      <c r="K364" s="56">
        <v>268.23599999999999</v>
      </c>
      <c r="L364" s="56">
        <f t="shared" si="37"/>
        <v>268.87399999999997</v>
      </c>
      <c r="M364" s="56">
        <f t="shared" si="38"/>
        <v>-0.123</v>
      </c>
      <c r="N364" s="56">
        <f t="shared" si="39"/>
        <v>-7.2999999999999995E-2</v>
      </c>
      <c r="O364" s="56"/>
      <c r="P364" s="56">
        <v>268.50799999999998</v>
      </c>
      <c r="Q364" s="56"/>
      <c r="R364" s="56"/>
      <c r="S364" s="56">
        <v>268.47300000000001</v>
      </c>
      <c r="T364" s="56">
        <f t="shared" si="40"/>
        <v>-0.23699999999999999</v>
      </c>
      <c r="U364" s="58"/>
      <c r="V364" s="58"/>
      <c r="W364" s="58"/>
      <c r="X364" s="58"/>
      <c r="Y364" s="58"/>
      <c r="Z364" s="58"/>
      <c r="AA364" s="58"/>
      <c r="AB364" s="58"/>
      <c r="AC364" s="58"/>
      <c r="AD364" s="58"/>
      <c r="AE364" s="58"/>
      <c r="AF364" s="58"/>
      <c r="AG364" s="58"/>
      <c r="AH364" s="58"/>
      <c r="AI364" s="58"/>
      <c r="AJ364" s="58"/>
      <c r="AK364" s="58"/>
      <c r="AL364" s="58"/>
      <c r="AM364" s="58"/>
      <c r="AN364" s="58"/>
      <c r="AO364" s="58"/>
      <c r="AP364" s="58"/>
      <c r="AQ364" s="58"/>
      <c r="AR364" s="58"/>
      <c r="AS364" s="58"/>
      <c r="AT364" s="58"/>
      <c r="AU364" s="58"/>
      <c r="AV364" s="58"/>
      <c r="AW364" s="58"/>
      <c r="AX364" s="58"/>
      <c r="AY364" s="58"/>
      <c r="AZ364" s="58"/>
      <c r="BA364" s="58"/>
      <c r="BB364" s="58"/>
      <c r="BC364" s="58"/>
      <c r="BD364" s="58"/>
      <c r="BE364" s="58"/>
      <c r="BF364" s="58"/>
      <c r="BG364" s="58"/>
      <c r="BH364" s="58"/>
      <c r="BI364" s="58"/>
      <c r="BJ364" s="58"/>
      <c r="BK364" s="58"/>
      <c r="BL364" s="58"/>
      <c r="BM364" s="58"/>
      <c r="BN364" s="58"/>
      <c r="BO364" s="58"/>
      <c r="BP364" s="58"/>
      <c r="BQ364" s="58"/>
      <c r="BR364" s="58"/>
      <c r="BS364" s="58"/>
      <c r="BT364" s="58"/>
      <c r="BU364" s="58"/>
      <c r="BV364" s="58"/>
      <c r="BW364" s="58"/>
      <c r="BX364" s="58"/>
      <c r="BY364" s="58"/>
      <c r="BZ364" s="58"/>
      <c r="CA364" s="58"/>
      <c r="CB364" s="58"/>
      <c r="CC364" s="58"/>
      <c r="CD364" s="58"/>
      <c r="CE364" s="58"/>
      <c r="CF364" s="58"/>
      <c r="CG364" s="58"/>
      <c r="CH364" s="58"/>
      <c r="CI364" s="58"/>
      <c r="CJ364" s="58"/>
      <c r="CK364" s="58"/>
      <c r="CL364" s="58"/>
      <c r="CM364" s="58"/>
      <c r="CN364" s="58"/>
      <c r="CO364" s="58"/>
      <c r="CP364" s="58"/>
      <c r="CQ364" s="58"/>
      <c r="CR364" s="58"/>
      <c r="CS364" s="58"/>
      <c r="CT364" s="58"/>
      <c r="CU364" s="58"/>
      <c r="CV364" s="58"/>
      <c r="CW364" s="58"/>
      <c r="CX364" s="58"/>
      <c r="CY364" s="58"/>
      <c r="CZ364" s="58"/>
      <c r="DA364" s="58"/>
      <c r="DB364" s="58"/>
      <c r="DC364" s="58"/>
      <c r="DD364" s="58"/>
      <c r="DE364" s="58"/>
      <c r="DF364" s="58"/>
      <c r="DG364" s="58"/>
      <c r="DH364" s="58"/>
      <c r="DI364" s="58"/>
      <c r="DJ364" s="58"/>
      <c r="DK364" s="58"/>
      <c r="DL364" s="58"/>
      <c r="DM364" s="58"/>
      <c r="DN364" s="58"/>
      <c r="DO364" s="58"/>
      <c r="DP364" s="58"/>
      <c r="DQ364" s="58"/>
      <c r="DR364" s="58"/>
      <c r="DS364" s="58"/>
      <c r="DT364" s="58"/>
      <c r="DU364" s="58"/>
      <c r="DV364" s="58"/>
      <c r="DW364" s="58"/>
      <c r="DX364" s="58"/>
      <c r="DY364" s="58"/>
      <c r="DZ364" s="58"/>
      <c r="EA364" s="58"/>
      <c r="EB364" s="58"/>
      <c r="EC364" s="58"/>
      <c r="ED364" s="58"/>
      <c r="EE364" s="58"/>
      <c r="EF364" s="58"/>
      <c r="EG364" s="58"/>
      <c r="EH364" s="58"/>
      <c r="EI364" s="58"/>
      <c r="EJ364" s="58"/>
      <c r="EK364" s="58"/>
      <c r="EL364" s="58"/>
      <c r="EM364" s="58"/>
      <c r="EN364" s="58"/>
      <c r="EO364" s="58"/>
      <c r="EP364" s="58"/>
      <c r="EQ364" s="58"/>
      <c r="ER364" s="58"/>
      <c r="ES364" s="58"/>
      <c r="ET364" s="58"/>
      <c r="EU364" s="58"/>
      <c r="EV364" s="58"/>
      <c r="EW364" s="58"/>
      <c r="EX364" s="58"/>
      <c r="EY364" s="58"/>
      <c r="EZ364" s="58"/>
      <c r="FA364" s="58"/>
      <c r="FB364" s="58"/>
      <c r="FC364" s="58"/>
      <c r="FD364" s="58"/>
      <c r="FE364" s="58"/>
      <c r="FF364" s="58"/>
      <c r="FG364" s="58"/>
      <c r="FH364" s="58"/>
      <c r="FI364" s="58"/>
      <c r="FJ364" s="58"/>
      <c r="FK364" s="58"/>
      <c r="FL364" s="58"/>
      <c r="FM364" s="58"/>
      <c r="FN364" s="58"/>
      <c r="FO364" s="58"/>
      <c r="FP364" s="58"/>
      <c r="FQ364" s="58"/>
      <c r="FR364" s="58"/>
      <c r="FS364" s="58"/>
      <c r="FT364" s="58"/>
      <c r="FU364" s="58"/>
      <c r="FV364" s="58"/>
      <c r="FW364" s="58"/>
      <c r="FX364" s="58"/>
      <c r="FY364" s="58"/>
      <c r="FZ364" s="58"/>
      <c r="GA364" s="58"/>
      <c r="GB364" s="58"/>
      <c r="GC364" s="58"/>
      <c r="GD364" s="58"/>
      <c r="GE364" s="58"/>
      <c r="GF364" s="58"/>
      <c r="GG364" s="58"/>
      <c r="GH364" s="58"/>
      <c r="GI364" s="58"/>
      <c r="GJ364" s="58"/>
      <c r="GK364" s="58"/>
      <c r="GL364" s="58"/>
      <c r="GM364" s="58"/>
      <c r="GN364" s="58"/>
      <c r="GO364" s="58"/>
      <c r="GP364" s="58"/>
      <c r="GQ364" s="58"/>
      <c r="GR364" s="58"/>
      <c r="GS364" s="58"/>
      <c r="GT364" s="58"/>
      <c r="GU364" s="58"/>
      <c r="GV364" s="58"/>
      <c r="GW364" s="58"/>
      <c r="GX364" s="58"/>
      <c r="GY364" s="58"/>
      <c r="GZ364" s="58"/>
      <c r="HA364" s="58"/>
      <c r="HB364" s="58"/>
      <c r="HC364" s="58"/>
      <c r="HD364" s="58"/>
      <c r="HE364" s="58"/>
      <c r="HF364" s="58"/>
      <c r="HG364" s="58"/>
      <c r="HH364" s="58"/>
      <c r="HI364" s="58"/>
      <c r="HJ364" s="58"/>
      <c r="HK364" s="58"/>
      <c r="HL364" s="58"/>
      <c r="HM364" s="58"/>
      <c r="HN364" s="58"/>
      <c r="HO364" s="58"/>
      <c r="HP364" s="58"/>
      <c r="HQ364" s="58"/>
      <c r="HR364" s="58"/>
      <c r="HS364" s="58"/>
      <c r="HT364" s="58"/>
      <c r="HU364" s="58"/>
      <c r="HV364" s="58"/>
      <c r="HW364" s="58"/>
      <c r="HX364" s="58"/>
      <c r="HY364" s="58"/>
      <c r="HZ364" s="58"/>
      <c r="IA364" s="58"/>
      <c r="IB364" s="58"/>
      <c r="IC364" s="58"/>
      <c r="ID364" s="58"/>
      <c r="IE364" s="58"/>
      <c r="IF364" s="58"/>
      <c r="IG364" s="58"/>
      <c r="IH364" s="58"/>
      <c r="II364" s="58"/>
      <c r="IJ364" s="58"/>
      <c r="IK364" s="58"/>
      <c r="IL364" s="58"/>
      <c r="IM364" s="58"/>
      <c r="IN364" s="58"/>
      <c r="IO364" s="58"/>
      <c r="IP364" s="58"/>
      <c r="IQ364" s="58"/>
      <c r="IR364" s="58"/>
      <c r="IS364" s="58"/>
      <c r="IT364" s="58"/>
    </row>
    <row r="365" spans="1:254" s="55" customFormat="1" x14ac:dyDescent="0.25">
      <c r="A365" s="79">
        <f t="shared" si="36"/>
        <v>289399.7</v>
      </c>
      <c r="B365" s="56">
        <v>289400</v>
      </c>
      <c r="C365" s="56">
        <v>3373488.1787</v>
      </c>
      <c r="D365" s="56">
        <v>653335.41729999997</v>
      </c>
      <c r="E365" s="56">
        <v>268.98899999999998</v>
      </c>
      <c r="F365" s="57">
        <f t="shared" si="41"/>
        <v>268.30099999999999</v>
      </c>
      <c r="G365" s="59">
        <v>289399.7</v>
      </c>
      <c r="H365" s="56">
        <v>16.457999999999998</v>
      </c>
      <c r="I365" s="56">
        <v>653324.74730000005</v>
      </c>
      <c r="J365" s="56">
        <v>3373475.5528000002</v>
      </c>
      <c r="K365" s="56">
        <v>268.24299999999999</v>
      </c>
      <c r="L365" s="56">
        <f t="shared" si="37"/>
        <v>268.88099999999997</v>
      </c>
      <c r="M365" s="56">
        <f t="shared" si="38"/>
        <v>-0.108</v>
      </c>
      <c r="N365" s="56">
        <f t="shared" si="39"/>
        <v>-5.8000000000000003E-2</v>
      </c>
      <c r="O365" s="56"/>
      <c r="P365" s="56">
        <v>268.46600000000001</v>
      </c>
      <c r="Q365" s="56"/>
      <c r="R365" s="56"/>
      <c r="S365" s="56">
        <v>268.459</v>
      </c>
      <c r="T365" s="56">
        <f t="shared" si="40"/>
        <v>-0.216</v>
      </c>
      <c r="U365" s="58"/>
      <c r="V365" s="58"/>
      <c r="W365" s="58"/>
      <c r="X365" s="58"/>
      <c r="Y365" s="58"/>
      <c r="Z365" s="58"/>
      <c r="AA365" s="58"/>
      <c r="AB365" s="58"/>
      <c r="AC365" s="58"/>
      <c r="AD365" s="58"/>
      <c r="AE365" s="58"/>
      <c r="AF365" s="58"/>
      <c r="AG365" s="58"/>
      <c r="AH365" s="58"/>
      <c r="AI365" s="58"/>
      <c r="AJ365" s="58"/>
      <c r="AK365" s="58"/>
      <c r="AL365" s="58"/>
      <c r="AM365" s="58"/>
      <c r="AN365" s="58"/>
      <c r="AO365" s="58"/>
      <c r="AP365" s="58"/>
      <c r="AQ365" s="58"/>
      <c r="AR365" s="58"/>
      <c r="AS365" s="58"/>
      <c r="AT365" s="58"/>
      <c r="AU365" s="58"/>
      <c r="AV365" s="58"/>
      <c r="AW365" s="58"/>
      <c r="AX365" s="58"/>
      <c r="AY365" s="58"/>
      <c r="AZ365" s="58"/>
      <c r="BA365" s="58"/>
      <c r="BB365" s="58"/>
      <c r="BC365" s="58"/>
      <c r="BD365" s="58"/>
      <c r="BE365" s="58"/>
      <c r="BF365" s="58"/>
      <c r="BG365" s="58"/>
      <c r="BH365" s="58"/>
      <c r="BI365" s="58"/>
      <c r="BJ365" s="58"/>
      <c r="BK365" s="58"/>
      <c r="BL365" s="58"/>
      <c r="BM365" s="58"/>
      <c r="BN365" s="58"/>
      <c r="BO365" s="58"/>
      <c r="BP365" s="58"/>
      <c r="BQ365" s="58"/>
      <c r="BR365" s="58"/>
      <c r="BS365" s="58"/>
      <c r="BT365" s="58"/>
      <c r="BU365" s="58"/>
      <c r="BV365" s="58"/>
      <c r="BW365" s="58"/>
      <c r="BX365" s="58"/>
      <c r="BY365" s="58"/>
      <c r="BZ365" s="58"/>
      <c r="CA365" s="58"/>
      <c r="CB365" s="58"/>
      <c r="CC365" s="58"/>
      <c r="CD365" s="58"/>
      <c r="CE365" s="58"/>
      <c r="CF365" s="58"/>
      <c r="CG365" s="58"/>
      <c r="CH365" s="58"/>
      <c r="CI365" s="58"/>
      <c r="CJ365" s="58"/>
      <c r="CK365" s="58"/>
      <c r="CL365" s="58"/>
      <c r="CM365" s="58"/>
      <c r="CN365" s="58"/>
      <c r="CO365" s="58"/>
      <c r="CP365" s="58"/>
      <c r="CQ365" s="58"/>
      <c r="CR365" s="58"/>
      <c r="CS365" s="58"/>
      <c r="CT365" s="58"/>
      <c r="CU365" s="58"/>
      <c r="CV365" s="58"/>
      <c r="CW365" s="58"/>
      <c r="CX365" s="58"/>
      <c r="CY365" s="58"/>
      <c r="CZ365" s="58"/>
      <c r="DA365" s="58"/>
      <c r="DB365" s="58"/>
      <c r="DC365" s="58"/>
      <c r="DD365" s="58"/>
      <c r="DE365" s="58"/>
      <c r="DF365" s="58"/>
      <c r="DG365" s="58"/>
      <c r="DH365" s="58"/>
      <c r="DI365" s="58"/>
      <c r="DJ365" s="58"/>
      <c r="DK365" s="58"/>
      <c r="DL365" s="58"/>
      <c r="DM365" s="58"/>
      <c r="DN365" s="58"/>
      <c r="DO365" s="58"/>
      <c r="DP365" s="58"/>
      <c r="DQ365" s="58"/>
      <c r="DR365" s="58"/>
      <c r="DS365" s="58"/>
      <c r="DT365" s="58"/>
      <c r="DU365" s="58"/>
      <c r="DV365" s="58"/>
      <c r="DW365" s="58"/>
      <c r="DX365" s="58"/>
      <c r="DY365" s="58"/>
      <c r="DZ365" s="58"/>
      <c r="EA365" s="58"/>
      <c r="EB365" s="58"/>
      <c r="EC365" s="58"/>
      <c r="ED365" s="58"/>
      <c r="EE365" s="58"/>
      <c r="EF365" s="58"/>
      <c r="EG365" s="58"/>
      <c r="EH365" s="58"/>
      <c r="EI365" s="58"/>
      <c r="EJ365" s="58"/>
      <c r="EK365" s="58"/>
      <c r="EL365" s="58"/>
      <c r="EM365" s="58"/>
      <c r="EN365" s="58"/>
      <c r="EO365" s="58"/>
      <c r="EP365" s="58"/>
      <c r="EQ365" s="58"/>
      <c r="ER365" s="58"/>
      <c r="ES365" s="58"/>
      <c r="ET365" s="58"/>
      <c r="EU365" s="58"/>
      <c r="EV365" s="58"/>
      <c r="EW365" s="58"/>
      <c r="EX365" s="58"/>
      <c r="EY365" s="58"/>
      <c r="EZ365" s="58"/>
      <c r="FA365" s="58"/>
      <c r="FB365" s="58"/>
      <c r="FC365" s="58"/>
      <c r="FD365" s="58"/>
      <c r="FE365" s="58"/>
      <c r="FF365" s="58"/>
      <c r="FG365" s="58"/>
      <c r="FH365" s="58"/>
      <c r="FI365" s="58"/>
      <c r="FJ365" s="58"/>
      <c r="FK365" s="58"/>
      <c r="FL365" s="58"/>
      <c r="FM365" s="58"/>
      <c r="FN365" s="58"/>
      <c r="FO365" s="58"/>
      <c r="FP365" s="58"/>
      <c r="FQ365" s="58"/>
      <c r="FR365" s="58"/>
      <c r="FS365" s="58"/>
      <c r="FT365" s="58"/>
      <c r="FU365" s="58"/>
      <c r="FV365" s="58"/>
      <c r="FW365" s="58"/>
      <c r="FX365" s="58"/>
      <c r="FY365" s="58"/>
      <c r="FZ365" s="58"/>
      <c r="GA365" s="58"/>
      <c r="GB365" s="58"/>
      <c r="GC365" s="58"/>
      <c r="GD365" s="58"/>
      <c r="GE365" s="58"/>
      <c r="GF365" s="58"/>
      <c r="GG365" s="58"/>
      <c r="GH365" s="58"/>
      <c r="GI365" s="58"/>
      <c r="GJ365" s="58"/>
      <c r="GK365" s="58"/>
      <c r="GL365" s="58"/>
      <c r="GM365" s="58"/>
      <c r="GN365" s="58"/>
      <c r="GO365" s="58"/>
      <c r="GP365" s="58"/>
      <c r="GQ365" s="58"/>
      <c r="GR365" s="58"/>
      <c r="GS365" s="58"/>
      <c r="GT365" s="58"/>
      <c r="GU365" s="58"/>
      <c r="GV365" s="58"/>
      <c r="GW365" s="58"/>
      <c r="GX365" s="58"/>
      <c r="GY365" s="58"/>
      <c r="GZ365" s="58"/>
      <c r="HA365" s="58"/>
      <c r="HB365" s="58"/>
      <c r="HC365" s="58"/>
      <c r="HD365" s="58"/>
      <c r="HE365" s="58"/>
      <c r="HF365" s="58"/>
      <c r="HG365" s="58"/>
      <c r="HH365" s="58"/>
      <c r="HI365" s="58"/>
      <c r="HJ365" s="58"/>
      <c r="HK365" s="58"/>
      <c r="HL365" s="58"/>
      <c r="HM365" s="58"/>
      <c r="HN365" s="58"/>
      <c r="HO365" s="58"/>
      <c r="HP365" s="58"/>
      <c r="HQ365" s="58"/>
      <c r="HR365" s="58"/>
      <c r="HS365" s="58"/>
      <c r="HT365" s="58"/>
      <c r="HU365" s="58"/>
      <c r="HV365" s="58"/>
      <c r="HW365" s="58"/>
      <c r="HX365" s="58"/>
      <c r="HY365" s="58"/>
      <c r="HZ365" s="58"/>
      <c r="IA365" s="58"/>
      <c r="IB365" s="58"/>
      <c r="IC365" s="58"/>
      <c r="ID365" s="58"/>
      <c r="IE365" s="58"/>
      <c r="IF365" s="58"/>
      <c r="IG365" s="58"/>
      <c r="IH365" s="58"/>
      <c r="II365" s="58"/>
      <c r="IJ365" s="58"/>
      <c r="IK365" s="58"/>
      <c r="IL365" s="58"/>
      <c r="IM365" s="58"/>
      <c r="IN365" s="58"/>
      <c r="IO365" s="58"/>
      <c r="IP365" s="58"/>
      <c r="IQ365" s="58"/>
      <c r="IR365" s="58"/>
      <c r="IS365" s="58"/>
      <c r="IT365" s="58"/>
    </row>
    <row r="366" spans="1:254" s="55" customFormat="1" x14ac:dyDescent="0.25">
      <c r="A366" s="79">
        <f t="shared" si="36"/>
        <v>289419.7</v>
      </c>
      <c r="B366" s="56">
        <v>289420</v>
      </c>
      <c r="C366" s="56">
        <v>3373500.0449999999</v>
      </c>
      <c r="D366" s="56">
        <v>653319.31779999996</v>
      </c>
      <c r="E366" s="56">
        <v>269.017</v>
      </c>
      <c r="F366" s="57">
        <f t="shared" si="41"/>
        <v>268.32900000000001</v>
      </c>
      <c r="G366" s="59">
        <v>289419.7</v>
      </c>
      <c r="H366" s="56">
        <v>17.055</v>
      </c>
      <c r="I366" s="56">
        <v>653308.3014</v>
      </c>
      <c r="J366" s="56">
        <v>3373486.9339999999</v>
      </c>
      <c r="K366" s="56">
        <v>268.25</v>
      </c>
      <c r="L366" s="56">
        <f t="shared" si="37"/>
        <v>268.88799999999998</v>
      </c>
      <c r="M366" s="56">
        <f t="shared" si="38"/>
        <v>-0.129</v>
      </c>
      <c r="N366" s="56">
        <f t="shared" si="39"/>
        <v>-7.9000000000000001E-2</v>
      </c>
      <c r="O366" s="56"/>
      <c r="P366" s="56">
        <v>268.15600000000001</v>
      </c>
      <c r="Q366" s="56"/>
      <c r="R366" s="56"/>
      <c r="S366" s="56">
        <v>268.27</v>
      </c>
      <c r="T366" s="56">
        <f t="shared" si="40"/>
        <v>-0.02</v>
      </c>
      <c r="U366" s="58"/>
      <c r="V366" s="58"/>
      <c r="W366" s="58"/>
      <c r="X366" s="58"/>
      <c r="Y366" s="58"/>
      <c r="Z366" s="58"/>
      <c r="AA366" s="58"/>
      <c r="AB366" s="58"/>
      <c r="AC366" s="58"/>
      <c r="AD366" s="58"/>
      <c r="AE366" s="58"/>
      <c r="AF366" s="58"/>
      <c r="AG366" s="58"/>
      <c r="AH366" s="58"/>
      <c r="AI366" s="58"/>
      <c r="AJ366" s="58"/>
      <c r="AK366" s="58"/>
      <c r="AL366" s="58"/>
      <c r="AM366" s="58"/>
      <c r="AN366" s="58"/>
      <c r="AO366" s="58"/>
      <c r="AP366" s="58"/>
      <c r="AQ366" s="58"/>
      <c r="AR366" s="58"/>
      <c r="AS366" s="58"/>
      <c r="AT366" s="58"/>
      <c r="AU366" s="58"/>
      <c r="AV366" s="58"/>
      <c r="AW366" s="58"/>
      <c r="AX366" s="58"/>
      <c r="AY366" s="58"/>
      <c r="AZ366" s="58"/>
      <c r="BA366" s="58"/>
      <c r="BB366" s="58"/>
      <c r="BC366" s="58"/>
      <c r="BD366" s="58"/>
      <c r="BE366" s="58"/>
      <c r="BF366" s="58"/>
      <c r="BG366" s="58"/>
      <c r="BH366" s="58"/>
      <c r="BI366" s="58"/>
      <c r="BJ366" s="58"/>
      <c r="BK366" s="58"/>
      <c r="BL366" s="58"/>
      <c r="BM366" s="58"/>
      <c r="BN366" s="58"/>
      <c r="BO366" s="58"/>
      <c r="BP366" s="58"/>
      <c r="BQ366" s="58"/>
      <c r="BR366" s="58"/>
      <c r="BS366" s="58"/>
      <c r="BT366" s="58"/>
      <c r="BU366" s="58"/>
      <c r="BV366" s="58"/>
      <c r="BW366" s="58"/>
      <c r="BX366" s="58"/>
      <c r="BY366" s="58"/>
      <c r="BZ366" s="58"/>
      <c r="CA366" s="58"/>
      <c r="CB366" s="58"/>
      <c r="CC366" s="58"/>
      <c r="CD366" s="58"/>
      <c r="CE366" s="58"/>
      <c r="CF366" s="58"/>
      <c r="CG366" s="58"/>
      <c r="CH366" s="58"/>
      <c r="CI366" s="58"/>
      <c r="CJ366" s="58"/>
      <c r="CK366" s="58"/>
      <c r="CL366" s="58"/>
      <c r="CM366" s="58"/>
      <c r="CN366" s="58"/>
      <c r="CO366" s="58"/>
      <c r="CP366" s="58"/>
      <c r="CQ366" s="58"/>
      <c r="CR366" s="58"/>
      <c r="CS366" s="58"/>
      <c r="CT366" s="58"/>
      <c r="CU366" s="58"/>
      <c r="CV366" s="58"/>
      <c r="CW366" s="58"/>
      <c r="CX366" s="58"/>
      <c r="CY366" s="58"/>
      <c r="CZ366" s="58"/>
      <c r="DA366" s="58"/>
      <c r="DB366" s="58"/>
      <c r="DC366" s="58"/>
      <c r="DD366" s="58"/>
      <c r="DE366" s="58"/>
      <c r="DF366" s="58"/>
      <c r="DG366" s="58"/>
      <c r="DH366" s="58"/>
      <c r="DI366" s="58"/>
      <c r="DJ366" s="58"/>
      <c r="DK366" s="58"/>
      <c r="DL366" s="58"/>
      <c r="DM366" s="58"/>
      <c r="DN366" s="58"/>
      <c r="DO366" s="58"/>
      <c r="DP366" s="58"/>
      <c r="DQ366" s="58"/>
      <c r="DR366" s="58"/>
      <c r="DS366" s="58"/>
      <c r="DT366" s="58"/>
      <c r="DU366" s="58"/>
      <c r="DV366" s="58"/>
      <c r="DW366" s="58"/>
      <c r="DX366" s="58"/>
      <c r="DY366" s="58"/>
      <c r="DZ366" s="58"/>
      <c r="EA366" s="58"/>
      <c r="EB366" s="58"/>
      <c r="EC366" s="58"/>
      <c r="ED366" s="58"/>
      <c r="EE366" s="58"/>
      <c r="EF366" s="58"/>
      <c r="EG366" s="58"/>
      <c r="EH366" s="58"/>
      <c r="EI366" s="58"/>
      <c r="EJ366" s="58"/>
      <c r="EK366" s="58"/>
      <c r="EL366" s="58"/>
      <c r="EM366" s="58"/>
      <c r="EN366" s="58"/>
      <c r="EO366" s="58"/>
      <c r="EP366" s="58"/>
      <c r="EQ366" s="58"/>
      <c r="ER366" s="58"/>
      <c r="ES366" s="58"/>
      <c r="ET366" s="58"/>
      <c r="EU366" s="58"/>
      <c r="EV366" s="58"/>
      <c r="EW366" s="58"/>
      <c r="EX366" s="58"/>
      <c r="EY366" s="58"/>
      <c r="EZ366" s="58"/>
      <c r="FA366" s="58"/>
      <c r="FB366" s="58"/>
      <c r="FC366" s="58"/>
      <c r="FD366" s="58"/>
      <c r="FE366" s="58"/>
      <c r="FF366" s="58"/>
      <c r="FG366" s="58"/>
      <c r="FH366" s="58"/>
      <c r="FI366" s="58"/>
      <c r="FJ366" s="58"/>
      <c r="FK366" s="58"/>
      <c r="FL366" s="58"/>
      <c r="FM366" s="58"/>
      <c r="FN366" s="58"/>
      <c r="FO366" s="58"/>
      <c r="FP366" s="58"/>
      <c r="FQ366" s="58"/>
      <c r="FR366" s="58"/>
      <c r="FS366" s="58"/>
      <c r="FT366" s="58"/>
      <c r="FU366" s="58"/>
      <c r="FV366" s="58"/>
      <c r="FW366" s="58"/>
      <c r="FX366" s="58"/>
      <c r="FY366" s="58"/>
      <c r="FZ366" s="58"/>
      <c r="GA366" s="58"/>
      <c r="GB366" s="58"/>
      <c r="GC366" s="58"/>
      <c r="GD366" s="58"/>
      <c r="GE366" s="58"/>
      <c r="GF366" s="58"/>
      <c r="GG366" s="58"/>
      <c r="GH366" s="58"/>
      <c r="GI366" s="58"/>
      <c r="GJ366" s="58"/>
      <c r="GK366" s="58"/>
      <c r="GL366" s="58"/>
      <c r="GM366" s="58"/>
      <c r="GN366" s="58"/>
      <c r="GO366" s="58"/>
      <c r="GP366" s="58"/>
      <c r="GQ366" s="58"/>
      <c r="GR366" s="58"/>
      <c r="GS366" s="58"/>
      <c r="GT366" s="58"/>
      <c r="GU366" s="58"/>
      <c r="GV366" s="58"/>
      <c r="GW366" s="58"/>
      <c r="GX366" s="58"/>
      <c r="GY366" s="58"/>
      <c r="GZ366" s="58"/>
      <c r="HA366" s="58"/>
      <c r="HB366" s="58"/>
      <c r="HC366" s="58"/>
      <c r="HD366" s="58"/>
      <c r="HE366" s="58"/>
      <c r="HF366" s="58"/>
      <c r="HG366" s="58"/>
      <c r="HH366" s="58"/>
      <c r="HI366" s="58"/>
      <c r="HJ366" s="58"/>
      <c r="HK366" s="58"/>
      <c r="HL366" s="58"/>
      <c r="HM366" s="58"/>
      <c r="HN366" s="58"/>
      <c r="HO366" s="58"/>
      <c r="HP366" s="58"/>
      <c r="HQ366" s="58"/>
      <c r="HR366" s="58"/>
      <c r="HS366" s="58"/>
      <c r="HT366" s="58"/>
      <c r="HU366" s="58"/>
      <c r="HV366" s="58"/>
      <c r="HW366" s="58"/>
      <c r="HX366" s="58"/>
      <c r="HY366" s="58"/>
      <c r="HZ366" s="58"/>
      <c r="IA366" s="58"/>
      <c r="IB366" s="58"/>
      <c r="IC366" s="58"/>
      <c r="ID366" s="58"/>
      <c r="IE366" s="58"/>
      <c r="IF366" s="58"/>
      <c r="IG366" s="58"/>
      <c r="IH366" s="58"/>
      <c r="II366" s="58"/>
      <c r="IJ366" s="58"/>
      <c r="IK366" s="58"/>
      <c r="IL366" s="58"/>
      <c r="IM366" s="58"/>
      <c r="IN366" s="58"/>
      <c r="IO366" s="58"/>
      <c r="IP366" s="58"/>
      <c r="IQ366" s="58"/>
      <c r="IR366" s="58"/>
      <c r="IS366" s="58"/>
      <c r="IT366" s="58"/>
    </row>
    <row r="367" spans="1:254" s="55" customFormat="1" x14ac:dyDescent="0.25">
      <c r="A367" s="79">
        <f t="shared" si="36"/>
        <v>289439.8</v>
      </c>
      <c r="B367" s="56">
        <v>289440</v>
      </c>
      <c r="C367" s="56">
        <v>3373512.1357</v>
      </c>
      <c r="D367" s="56">
        <v>653302.90190000006</v>
      </c>
      <c r="E367" s="56">
        <v>269.03300000000002</v>
      </c>
      <c r="F367" s="57">
        <f t="shared" si="41"/>
        <v>268.34500000000003</v>
      </c>
      <c r="G367" s="59">
        <v>289439.8</v>
      </c>
      <c r="H367" s="56">
        <v>17.643000000000001</v>
      </c>
      <c r="I367" s="56">
        <v>653291.85549999995</v>
      </c>
      <c r="J367" s="56">
        <v>3373498.3152000001</v>
      </c>
      <c r="K367" s="56">
        <v>268.25700000000001</v>
      </c>
      <c r="L367" s="56">
        <f t="shared" si="37"/>
        <v>268.89499999999998</v>
      </c>
      <c r="M367" s="56">
        <f t="shared" si="38"/>
        <v>-0.13800000000000001</v>
      </c>
      <c r="N367" s="56">
        <f t="shared" si="39"/>
        <v>-8.7999999999999995E-2</v>
      </c>
      <c r="O367" s="56"/>
      <c r="P367" s="56">
        <v>267.72800000000001</v>
      </c>
      <c r="Q367" s="56"/>
      <c r="R367" s="56"/>
      <c r="S367" s="56">
        <v>267.91500000000002</v>
      </c>
      <c r="T367" s="56">
        <f t="shared" si="40"/>
        <v>0.34200000000000003</v>
      </c>
      <c r="U367" s="58"/>
      <c r="V367" s="58"/>
      <c r="W367" s="58"/>
      <c r="X367" s="58"/>
      <c r="Y367" s="58"/>
      <c r="Z367" s="58"/>
      <c r="AA367" s="58"/>
      <c r="AB367" s="58"/>
      <c r="AC367" s="58"/>
      <c r="AD367" s="58"/>
      <c r="AE367" s="58"/>
      <c r="AF367" s="58"/>
      <c r="AG367" s="58"/>
      <c r="AH367" s="58"/>
      <c r="AI367" s="58"/>
      <c r="AJ367" s="58"/>
      <c r="AK367" s="58"/>
      <c r="AL367" s="58"/>
      <c r="AM367" s="58"/>
      <c r="AN367" s="58"/>
      <c r="AO367" s="58"/>
      <c r="AP367" s="58"/>
      <c r="AQ367" s="58"/>
      <c r="AR367" s="58"/>
      <c r="AS367" s="58"/>
      <c r="AT367" s="58"/>
      <c r="AU367" s="58"/>
      <c r="AV367" s="58"/>
      <c r="AW367" s="58"/>
      <c r="AX367" s="58"/>
      <c r="AY367" s="58"/>
      <c r="AZ367" s="58"/>
      <c r="BA367" s="58"/>
      <c r="BB367" s="58"/>
      <c r="BC367" s="58"/>
      <c r="BD367" s="58"/>
      <c r="BE367" s="58"/>
      <c r="BF367" s="58"/>
      <c r="BG367" s="58"/>
      <c r="BH367" s="58"/>
      <c r="BI367" s="58"/>
      <c r="BJ367" s="58"/>
      <c r="BK367" s="58"/>
      <c r="BL367" s="58"/>
      <c r="BM367" s="58"/>
      <c r="BN367" s="58"/>
      <c r="BO367" s="58"/>
      <c r="BP367" s="58"/>
      <c r="BQ367" s="58"/>
      <c r="BR367" s="58"/>
      <c r="BS367" s="58"/>
      <c r="BT367" s="58"/>
      <c r="BU367" s="58"/>
      <c r="BV367" s="58"/>
      <c r="BW367" s="58"/>
      <c r="BX367" s="58"/>
      <c r="BY367" s="58"/>
      <c r="BZ367" s="58"/>
      <c r="CA367" s="58"/>
      <c r="CB367" s="58"/>
      <c r="CC367" s="58"/>
      <c r="CD367" s="58"/>
      <c r="CE367" s="58"/>
      <c r="CF367" s="58"/>
      <c r="CG367" s="58"/>
      <c r="CH367" s="58"/>
      <c r="CI367" s="58"/>
      <c r="CJ367" s="58"/>
      <c r="CK367" s="58"/>
      <c r="CL367" s="58"/>
      <c r="CM367" s="58"/>
      <c r="CN367" s="58"/>
      <c r="CO367" s="58"/>
      <c r="CP367" s="58"/>
      <c r="CQ367" s="58"/>
      <c r="CR367" s="58"/>
      <c r="CS367" s="58"/>
      <c r="CT367" s="58"/>
      <c r="CU367" s="58"/>
      <c r="CV367" s="58"/>
      <c r="CW367" s="58"/>
      <c r="CX367" s="58"/>
      <c r="CY367" s="58"/>
      <c r="CZ367" s="58"/>
      <c r="DA367" s="58"/>
      <c r="DB367" s="58"/>
      <c r="DC367" s="58"/>
      <c r="DD367" s="58"/>
      <c r="DE367" s="58"/>
      <c r="DF367" s="58"/>
      <c r="DG367" s="58"/>
      <c r="DH367" s="58"/>
      <c r="DI367" s="58"/>
      <c r="DJ367" s="58"/>
      <c r="DK367" s="58"/>
      <c r="DL367" s="58"/>
      <c r="DM367" s="58"/>
      <c r="DN367" s="58"/>
      <c r="DO367" s="58"/>
      <c r="DP367" s="58"/>
      <c r="DQ367" s="58"/>
      <c r="DR367" s="58"/>
      <c r="DS367" s="58"/>
      <c r="DT367" s="58"/>
      <c r="DU367" s="58"/>
      <c r="DV367" s="58"/>
      <c r="DW367" s="58"/>
      <c r="DX367" s="58"/>
      <c r="DY367" s="58"/>
      <c r="DZ367" s="58"/>
      <c r="EA367" s="58"/>
      <c r="EB367" s="58"/>
      <c r="EC367" s="58"/>
      <c r="ED367" s="58"/>
      <c r="EE367" s="58"/>
      <c r="EF367" s="58"/>
      <c r="EG367" s="58"/>
      <c r="EH367" s="58"/>
      <c r="EI367" s="58"/>
      <c r="EJ367" s="58"/>
      <c r="EK367" s="58"/>
      <c r="EL367" s="58"/>
      <c r="EM367" s="58"/>
      <c r="EN367" s="58"/>
      <c r="EO367" s="58"/>
      <c r="EP367" s="58"/>
      <c r="EQ367" s="58"/>
      <c r="ER367" s="58"/>
      <c r="ES367" s="58"/>
      <c r="ET367" s="58"/>
      <c r="EU367" s="58"/>
      <c r="EV367" s="58"/>
      <c r="EW367" s="58"/>
      <c r="EX367" s="58"/>
      <c r="EY367" s="58"/>
      <c r="EZ367" s="58"/>
      <c r="FA367" s="58"/>
      <c r="FB367" s="58"/>
      <c r="FC367" s="58"/>
      <c r="FD367" s="58"/>
      <c r="FE367" s="58"/>
      <c r="FF367" s="58"/>
      <c r="FG367" s="58"/>
      <c r="FH367" s="58"/>
      <c r="FI367" s="58"/>
      <c r="FJ367" s="58"/>
      <c r="FK367" s="58"/>
      <c r="FL367" s="58"/>
      <c r="FM367" s="58"/>
      <c r="FN367" s="58"/>
      <c r="FO367" s="58"/>
      <c r="FP367" s="58"/>
      <c r="FQ367" s="58"/>
      <c r="FR367" s="58"/>
      <c r="FS367" s="58"/>
      <c r="FT367" s="58"/>
      <c r="FU367" s="58"/>
      <c r="FV367" s="58"/>
      <c r="FW367" s="58"/>
      <c r="FX367" s="58"/>
      <c r="FY367" s="58"/>
      <c r="FZ367" s="58"/>
      <c r="GA367" s="58"/>
      <c r="GB367" s="58"/>
      <c r="GC367" s="58"/>
      <c r="GD367" s="58"/>
      <c r="GE367" s="58"/>
      <c r="GF367" s="58"/>
      <c r="GG367" s="58"/>
      <c r="GH367" s="58"/>
      <c r="GI367" s="58"/>
      <c r="GJ367" s="58"/>
      <c r="GK367" s="58"/>
      <c r="GL367" s="58"/>
      <c r="GM367" s="58"/>
      <c r="GN367" s="58"/>
      <c r="GO367" s="58"/>
      <c r="GP367" s="58"/>
      <c r="GQ367" s="58"/>
      <c r="GR367" s="58"/>
      <c r="GS367" s="58"/>
      <c r="GT367" s="58"/>
      <c r="GU367" s="58"/>
      <c r="GV367" s="58"/>
      <c r="GW367" s="58"/>
      <c r="GX367" s="58"/>
      <c r="GY367" s="58"/>
      <c r="GZ367" s="58"/>
      <c r="HA367" s="58"/>
      <c r="HB367" s="58"/>
      <c r="HC367" s="58"/>
      <c r="HD367" s="58"/>
      <c r="HE367" s="58"/>
      <c r="HF367" s="58"/>
      <c r="HG367" s="58"/>
      <c r="HH367" s="58"/>
      <c r="HI367" s="58"/>
      <c r="HJ367" s="58"/>
      <c r="HK367" s="58"/>
      <c r="HL367" s="58"/>
      <c r="HM367" s="58"/>
      <c r="HN367" s="58"/>
      <c r="HO367" s="58"/>
      <c r="HP367" s="58"/>
      <c r="HQ367" s="58"/>
      <c r="HR367" s="58"/>
      <c r="HS367" s="58"/>
      <c r="HT367" s="58"/>
      <c r="HU367" s="58"/>
      <c r="HV367" s="58"/>
      <c r="HW367" s="58"/>
      <c r="HX367" s="58"/>
      <c r="HY367" s="58"/>
      <c r="HZ367" s="58"/>
      <c r="IA367" s="58"/>
      <c r="IB367" s="58"/>
      <c r="IC367" s="58"/>
      <c r="ID367" s="58"/>
      <c r="IE367" s="58"/>
      <c r="IF367" s="58"/>
      <c r="IG367" s="58"/>
      <c r="IH367" s="58"/>
      <c r="II367" s="58"/>
      <c r="IJ367" s="58"/>
      <c r="IK367" s="58"/>
      <c r="IL367" s="58"/>
      <c r="IM367" s="58"/>
      <c r="IN367" s="58"/>
      <c r="IO367" s="58"/>
      <c r="IP367" s="58"/>
      <c r="IQ367" s="58"/>
      <c r="IR367" s="58"/>
      <c r="IS367" s="58"/>
      <c r="IT367" s="58"/>
    </row>
    <row r="368" spans="1:254" s="55" customFormat="1" x14ac:dyDescent="0.25">
      <c r="A368" s="79">
        <f t="shared" si="36"/>
        <v>289459.7</v>
      </c>
      <c r="B368" s="56">
        <v>289460</v>
      </c>
      <c r="C368" s="56">
        <v>3373523.8306</v>
      </c>
      <c r="D368" s="56">
        <v>653287.15850000002</v>
      </c>
      <c r="E368" s="56">
        <v>269.029</v>
      </c>
      <c r="F368" s="57">
        <f t="shared" si="41"/>
        <v>268.34100000000001</v>
      </c>
      <c r="G368" s="59">
        <v>289459.7</v>
      </c>
      <c r="H368" s="56">
        <v>18.312999999999999</v>
      </c>
      <c r="I368" s="56">
        <v>653275.40960000001</v>
      </c>
      <c r="J368" s="56">
        <v>3373509.6963999998</v>
      </c>
      <c r="K368" s="56">
        <v>268.26299999999998</v>
      </c>
      <c r="L368" s="56">
        <f t="shared" si="37"/>
        <v>268.90099999999995</v>
      </c>
      <c r="M368" s="56">
        <f t="shared" si="38"/>
        <v>-0.128</v>
      </c>
      <c r="N368" s="56">
        <f t="shared" si="39"/>
        <v>-7.8E-2</v>
      </c>
      <c r="O368" s="56"/>
      <c r="P368" s="56">
        <v>268.45</v>
      </c>
      <c r="Q368" s="56"/>
      <c r="R368" s="56"/>
      <c r="S368" s="56">
        <v>268.40600000000001</v>
      </c>
      <c r="T368" s="56">
        <f t="shared" si="40"/>
        <v>-0.14299999999999999</v>
      </c>
      <c r="U368" s="58"/>
      <c r="V368" s="58"/>
      <c r="W368" s="58"/>
      <c r="X368" s="58"/>
      <c r="Y368" s="58"/>
      <c r="Z368" s="58"/>
      <c r="AA368" s="58"/>
      <c r="AB368" s="58"/>
      <c r="AC368" s="58"/>
      <c r="AD368" s="58"/>
      <c r="AE368" s="58"/>
      <c r="AF368" s="58"/>
      <c r="AG368" s="58"/>
      <c r="AH368" s="58"/>
      <c r="AI368" s="58"/>
      <c r="AJ368" s="58"/>
      <c r="AK368" s="58"/>
      <c r="AL368" s="58"/>
      <c r="AM368" s="58"/>
      <c r="AN368" s="58"/>
      <c r="AO368" s="58"/>
      <c r="AP368" s="58"/>
      <c r="AQ368" s="58"/>
      <c r="AR368" s="58"/>
      <c r="AS368" s="58"/>
      <c r="AT368" s="58"/>
      <c r="AU368" s="58"/>
      <c r="AV368" s="58"/>
      <c r="AW368" s="58"/>
      <c r="AX368" s="58"/>
      <c r="AY368" s="58"/>
      <c r="AZ368" s="58"/>
      <c r="BA368" s="58"/>
      <c r="BB368" s="58"/>
      <c r="BC368" s="58"/>
      <c r="BD368" s="58"/>
      <c r="BE368" s="58"/>
      <c r="BF368" s="58"/>
      <c r="BG368" s="58"/>
      <c r="BH368" s="58"/>
      <c r="BI368" s="58"/>
      <c r="BJ368" s="58"/>
      <c r="BK368" s="58"/>
      <c r="BL368" s="58"/>
      <c r="BM368" s="58"/>
      <c r="BN368" s="58"/>
      <c r="BO368" s="58"/>
      <c r="BP368" s="58"/>
      <c r="BQ368" s="58"/>
      <c r="BR368" s="58"/>
      <c r="BS368" s="58"/>
      <c r="BT368" s="58"/>
      <c r="BU368" s="58"/>
      <c r="BV368" s="58"/>
      <c r="BW368" s="58"/>
      <c r="BX368" s="58"/>
      <c r="BY368" s="58"/>
      <c r="BZ368" s="58"/>
      <c r="CA368" s="58"/>
      <c r="CB368" s="58"/>
      <c r="CC368" s="58"/>
      <c r="CD368" s="58"/>
      <c r="CE368" s="58"/>
      <c r="CF368" s="58"/>
      <c r="CG368" s="58"/>
      <c r="CH368" s="58"/>
      <c r="CI368" s="58"/>
      <c r="CJ368" s="58"/>
      <c r="CK368" s="58"/>
      <c r="CL368" s="58"/>
      <c r="CM368" s="58"/>
      <c r="CN368" s="58"/>
      <c r="CO368" s="58"/>
      <c r="CP368" s="58"/>
      <c r="CQ368" s="58"/>
      <c r="CR368" s="58"/>
      <c r="CS368" s="58"/>
      <c r="CT368" s="58"/>
      <c r="CU368" s="58"/>
      <c r="CV368" s="58"/>
      <c r="CW368" s="58"/>
      <c r="CX368" s="58"/>
      <c r="CY368" s="58"/>
      <c r="CZ368" s="58"/>
      <c r="DA368" s="58"/>
      <c r="DB368" s="58"/>
      <c r="DC368" s="58"/>
      <c r="DD368" s="58"/>
      <c r="DE368" s="58"/>
      <c r="DF368" s="58"/>
      <c r="DG368" s="58"/>
      <c r="DH368" s="58"/>
      <c r="DI368" s="58"/>
      <c r="DJ368" s="58"/>
      <c r="DK368" s="58"/>
      <c r="DL368" s="58"/>
      <c r="DM368" s="58"/>
      <c r="DN368" s="58"/>
      <c r="DO368" s="58"/>
      <c r="DP368" s="58"/>
      <c r="DQ368" s="58"/>
      <c r="DR368" s="58"/>
      <c r="DS368" s="58"/>
      <c r="DT368" s="58"/>
      <c r="DU368" s="58"/>
      <c r="DV368" s="58"/>
      <c r="DW368" s="58"/>
      <c r="DX368" s="58"/>
      <c r="DY368" s="58"/>
      <c r="DZ368" s="58"/>
      <c r="EA368" s="58"/>
      <c r="EB368" s="58"/>
      <c r="EC368" s="58"/>
      <c r="ED368" s="58"/>
      <c r="EE368" s="58"/>
      <c r="EF368" s="58"/>
      <c r="EG368" s="58"/>
      <c r="EH368" s="58"/>
      <c r="EI368" s="58"/>
      <c r="EJ368" s="58"/>
      <c r="EK368" s="58"/>
      <c r="EL368" s="58"/>
      <c r="EM368" s="58"/>
      <c r="EN368" s="58"/>
      <c r="EO368" s="58"/>
      <c r="EP368" s="58"/>
      <c r="EQ368" s="58"/>
      <c r="ER368" s="58"/>
      <c r="ES368" s="58"/>
      <c r="ET368" s="58"/>
      <c r="EU368" s="58"/>
      <c r="EV368" s="58"/>
      <c r="EW368" s="58"/>
      <c r="EX368" s="58"/>
      <c r="EY368" s="58"/>
      <c r="EZ368" s="58"/>
      <c r="FA368" s="58"/>
      <c r="FB368" s="58"/>
      <c r="FC368" s="58"/>
      <c r="FD368" s="58"/>
      <c r="FE368" s="58"/>
      <c r="FF368" s="58"/>
      <c r="FG368" s="58"/>
      <c r="FH368" s="58"/>
      <c r="FI368" s="58"/>
      <c r="FJ368" s="58"/>
      <c r="FK368" s="58"/>
      <c r="FL368" s="58"/>
      <c r="FM368" s="58"/>
      <c r="FN368" s="58"/>
      <c r="FO368" s="58"/>
      <c r="FP368" s="58"/>
      <c r="FQ368" s="58"/>
      <c r="FR368" s="58"/>
      <c r="FS368" s="58"/>
      <c r="FT368" s="58"/>
      <c r="FU368" s="58"/>
      <c r="FV368" s="58"/>
      <c r="FW368" s="58"/>
      <c r="FX368" s="58"/>
      <c r="FY368" s="58"/>
      <c r="FZ368" s="58"/>
      <c r="GA368" s="58"/>
      <c r="GB368" s="58"/>
      <c r="GC368" s="58"/>
      <c r="GD368" s="58"/>
      <c r="GE368" s="58"/>
      <c r="GF368" s="58"/>
      <c r="GG368" s="58"/>
      <c r="GH368" s="58"/>
      <c r="GI368" s="58"/>
      <c r="GJ368" s="58"/>
      <c r="GK368" s="58"/>
      <c r="GL368" s="58"/>
      <c r="GM368" s="58"/>
      <c r="GN368" s="58"/>
      <c r="GO368" s="58"/>
      <c r="GP368" s="58"/>
      <c r="GQ368" s="58"/>
      <c r="GR368" s="58"/>
      <c r="GS368" s="58"/>
      <c r="GT368" s="58"/>
      <c r="GU368" s="58"/>
      <c r="GV368" s="58"/>
      <c r="GW368" s="58"/>
      <c r="GX368" s="58"/>
      <c r="GY368" s="58"/>
      <c r="GZ368" s="58"/>
      <c r="HA368" s="58"/>
      <c r="HB368" s="58"/>
      <c r="HC368" s="58"/>
      <c r="HD368" s="58"/>
      <c r="HE368" s="58"/>
      <c r="HF368" s="58"/>
      <c r="HG368" s="58"/>
      <c r="HH368" s="58"/>
      <c r="HI368" s="58"/>
      <c r="HJ368" s="58"/>
      <c r="HK368" s="58"/>
      <c r="HL368" s="58"/>
      <c r="HM368" s="58"/>
      <c r="HN368" s="58"/>
      <c r="HO368" s="58"/>
      <c r="HP368" s="58"/>
      <c r="HQ368" s="58"/>
      <c r="HR368" s="58"/>
      <c r="HS368" s="58"/>
      <c r="HT368" s="58"/>
      <c r="HU368" s="58"/>
      <c r="HV368" s="58"/>
      <c r="HW368" s="58"/>
      <c r="HX368" s="58"/>
      <c r="HY368" s="58"/>
      <c r="HZ368" s="58"/>
      <c r="IA368" s="58"/>
      <c r="IB368" s="58"/>
      <c r="IC368" s="58"/>
      <c r="ID368" s="58"/>
      <c r="IE368" s="58"/>
      <c r="IF368" s="58"/>
      <c r="IG368" s="58"/>
      <c r="IH368" s="58"/>
      <c r="II368" s="58"/>
      <c r="IJ368" s="58"/>
      <c r="IK368" s="58"/>
      <c r="IL368" s="58"/>
      <c r="IM368" s="58"/>
      <c r="IN368" s="58"/>
      <c r="IO368" s="58"/>
      <c r="IP368" s="58"/>
      <c r="IQ368" s="58"/>
      <c r="IR368" s="58"/>
      <c r="IS368" s="58"/>
      <c r="IT368" s="58"/>
    </row>
    <row r="369" spans="1:254" s="55" customFormat="1" x14ac:dyDescent="0.25">
      <c r="A369" s="79">
        <f t="shared" si="36"/>
        <v>289479.8</v>
      </c>
      <c r="B369" s="56">
        <v>289480</v>
      </c>
      <c r="C369" s="56">
        <v>3373535.6778000002</v>
      </c>
      <c r="D369" s="56">
        <v>653271.04509999999</v>
      </c>
      <c r="E369" s="56">
        <v>269.03800000000001</v>
      </c>
      <c r="F369" s="57">
        <f t="shared" si="41"/>
        <v>268.35000000000002</v>
      </c>
      <c r="G369" s="59">
        <v>289479.8</v>
      </c>
      <c r="H369" s="56">
        <v>18.885999999999999</v>
      </c>
      <c r="I369" s="56">
        <v>653258.96369999996</v>
      </c>
      <c r="J369" s="56">
        <v>3373521.0776</v>
      </c>
      <c r="K369" s="56">
        <v>268.27</v>
      </c>
      <c r="L369" s="56">
        <f t="shared" si="37"/>
        <v>268.90799999999996</v>
      </c>
      <c r="M369" s="56">
        <f t="shared" si="38"/>
        <v>-0.13</v>
      </c>
      <c r="N369" s="56">
        <f t="shared" si="39"/>
        <v>-0.08</v>
      </c>
      <c r="O369" s="56"/>
      <c r="P369" s="56">
        <v>268.22500000000002</v>
      </c>
      <c r="Q369" s="56"/>
      <c r="R369" s="56"/>
      <c r="S369" s="56">
        <v>268.15499999999997</v>
      </c>
      <c r="T369" s="56">
        <f t="shared" si="40"/>
        <v>0.115</v>
      </c>
      <c r="U369" s="58"/>
      <c r="V369" s="58"/>
      <c r="W369" s="58"/>
      <c r="X369" s="58"/>
      <c r="Y369" s="58"/>
      <c r="Z369" s="58"/>
      <c r="AA369" s="58"/>
      <c r="AB369" s="58"/>
      <c r="AC369" s="58"/>
      <c r="AD369" s="58"/>
      <c r="AE369" s="58"/>
      <c r="AF369" s="58"/>
      <c r="AG369" s="58"/>
      <c r="AH369" s="58"/>
      <c r="AI369" s="58"/>
      <c r="AJ369" s="58"/>
      <c r="AK369" s="58"/>
      <c r="AL369" s="58"/>
      <c r="AM369" s="58"/>
      <c r="AN369" s="58"/>
      <c r="AO369" s="58"/>
      <c r="AP369" s="58"/>
      <c r="AQ369" s="58"/>
      <c r="AR369" s="58"/>
      <c r="AS369" s="58"/>
      <c r="AT369" s="58"/>
      <c r="AU369" s="58"/>
      <c r="AV369" s="58"/>
      <c r="AW369" s="58"/>
      <c r="AX369" s="58"/>
      <c r="AY369" s="58"/>
      <c r="AZ369" s="58"/>
      <c r="BA369" s="58"/>
      <c r="BB369" s="58"/>
      <c r="BC369" s="58"/>
      <c r="BD369" s="58"/>
      <c r="BE369" s="58"/>
      <c r="BF369" s="58"/>
      <c r="BG369" s="58"/>
      <c r="BH369" s="58"/>
      <c r="BI369" s="58"/>
      <c r="BJ369" s="58"/>
      <c r="BK369" s="58"/>
      <c r="BL369" s="58"/>
      <c r="BM369" s="58"/>
      <c r="BN369" s="58"/>
      <c r="BO369" s="58"/>
      <c r="BP369" s="58"/>
      <c r="BQ369" s="58"/>
      <c r="BR369" s="58"/>
      <c r="BS369" s="58"/>
      <c r="BT369" s="58"/>
      <c r="BU369" s="58"/>
      <c r="BV369" s="58"/>
      <c r="BW369" s="58"/>
      <c r="BX369" s="58"/>
      <c r="BY369" s="58"/>
      <c r="BZ369" s="58"/>
      <c r="CA369" s="58"/>
      <c r="CB369" s="58"/>
      <c r="CC369" s="58"/>
      <c r="CD369" s="58"/>
      <c r="CE369" s="58"/>
      <c r="CF369" s="58"/>
      <c r="CG369" s="58"/>
      <c r="CH369" s="58"/>
      <c r="CI369" s="58"/>
      <c r="CJ369" s="58"/>
      <c r="CK369" s="58"/>
      <c r="CL369" s="58"/>
      <c r="CM369" s="58"/>
      <c r="CN369" s="58"/>
      <c r="CO369" s="58"/>
      <c r="CP369" s="58"/>
      <c r="CQ369" s="58"/>
      <c r="CR369" s="58"/>
      <c r="CS369" s="58"/>
      <c r="CT369" s="58"/>
      <c r="CU369" s="58"/>
      <c r="CV369" s="58"/>
      <c r="CW369" s="58"/>
      <c r="CX369" s="58"/>
      <c r="CY369" s="58"/>
      <c r="CZ369" s="58"/>
      <c r="DA369" s="58"/>
      <c r="DB369" s="58"/>
      <c r="DC369" s="58"/>
      <c r="DD369" s="58"/>
      <c r="DE369" s="58"/>
      <c r="DF369" s="58"/>
      <c r="DG369" s="58"/>
      <c r="DH369" s="58"/>
      <c r="DI369" s="58"/>
      <c r="DJ369" s="58"/>
      <c r="DK369" s="58"/>
      <c r="DL369" s="58"/>
      <c r="DM369" s="58"/>
      <c r="DN369" s="58"/>
      <c r="DO369" s="58"/>
      <c r="DP369" s="58"/>
      <c r="DQ369" s="58"/>
      <c r="DR369" s="58"/>
      <c r="DS369" s="58"/>
      <c r="DT369" s="58"/>
      <c r="DU369" s="58"/>
      <c r="DV369" s="58"/>
      <c r="DW369" s="58"/>
      <c r="DX369" s="58"/>
      <c r="DY369" s="58"/>
      <c r="DZ369" s="58"/>
      <c r="EA369" s="58"/>
      <c r="EB369" s="58"/>
      <c r="EC369" s="58"/>
      <c r="ED369" s="58"/>
      <c r="EE369" s="58"/>
      <c r="EF369" s="58"/>
      <c r="EG369" s="58"/>
      <c r="EH369" s="58"/>
      <c r="EI369" s="58"/>
      <c r="EJ369" s="58"/>
      <c r="EK369" s="58"/>
      <c r="EL369" s="58"/>
      <c r="EM369" s="58"/>
      <c r="EN369" s="58"/>
      <c r="EO369" s="58"/>
      <c r="EP369" s="58"/>
      <c r="EQ369" s="58"/>
      <c r="ER369" s="58"/>
      <c r="ES369" s="58"/>
      <c r="ET369" s="58"/>
      <c r="EU369" s="58"/>
      <c r="EV369" s="58"/>
      <c r="EW369" s="58"/>
      <c r="EX369" s="58"/>
      <c r="EY369" s="58"/>
      <c r="EZ369" s="58"/>
      <c r="FA369" s="58"/>
      <c r="FB369" s="58"/>
      <c r="FC369" s="58"/>
      <c r="FD369" s="58"/>
      <c r="FE369" s="58"/>
      <c r="FF369" s="58"/>
      <c r="FG369" s="58"/>
      <c r="FH369" s="58"/>
      <c r="FI369" s="58"/>
      <c r="FJ369" s="58"/>
      <c r="FK369" s="58"/>
      <c r="FL369" s="58"/>
      <c r="FM369" s="58"/>
      <c r="FN369" s="58"/>
      <c r="FO369" s="58"/>
      <c r="FP369" s="58"/>
      <c r="FQ369" s="58"/>
      <c r="FR369" s="58"/>
      <c r="FS369" s="58"/>
      <c r="FT369" s="58"/>
      <c r="FU369" s="58"/>
      <c r="FV369" s="58"/>
      <c r="FW369" s="58"/>
      <c r="FX369" s="58"/>
      <c r="FY369" s="58"/>
      <c r="FZ369" s="58"/>
      <c r="GA369" s="58"/>
      <c r="GB369" s="58"/>
      <c r="GC369" s="58"/>
      <c r="GD369" s="58"/>
      <c r="GE369" s="58"/>
      <c r="GF369" s="58"/>
      <c r="GG369" s="58"/>
      <c r="GH369" s="58"/>
      <c r="GI369" s="58"/>
      <c r="GJ369" s="58"/>
      <c r="GK369" s="58"/>
      <c r="GL369" s="58"/>
      <c r="GM369" s="58"/>
      <c r="GN369" s="58"/>
      <c r="GO369" s="58"/>
      <c r="GP369" s="58"/>
      <c r="GQ369" s="58"/>
      <c r="GR369" s="58"/>
      <c r="GS369" s="58"/>
      <c r="GT369" s="58"/>
      <c r="GU369" s="58"/>
      <c r="GV369" s="58"/>
      <c r="GW369" s="58"/>
      <c r="GX369" s="58"/>
      <c r="GY369" s="58"/>
      <c r="GZ369" s="58"/>
      <c r="HA369" s="58"/>
      <c r="HB369" s="58"/>
      <c r="HC369" s="58"/>
      <c r="HD369" s="58"/>
      <c r="HE369" s="58"/>
      <c r="HF369" s="58"/>
      <c r="HG369" s="58"/>
      <c r="HH369" s="58"/>
      <c r="HI369" s="58"/>
      <c r="HJ369" s="58"/>
      <c r="HK369" s="58"/>
      <c r="HL369" s="58"/>
      <c r="HM369" s="58"/>
      <c r="HN369" s="58"/>
      <c r="HO369" s="58"/>
      <c r="HP369" s="58"/>
      <c r="HQ369" s="58"/>
      <c r="HR369" s="58"/>
      <c r="HS369" s="58"/>
      <c r="HT369" s="58"/>
      <c r="HU369" s="58"/>
      <c r="HV369" s="58"/>
      <c r="HW369" s="58"/>
      <c r="HX369" s="58"/>
      <c r="HY369" s="58"/>
      <c r="HZ369" s="58"/>
      <c r="IA369" s="58"/>
      <c r="IB369" s="58"/>
      <c r="IC369" s="58"/>
      <c r="ID369" s="58"/>
      <c r="IE369" s="58"/>
      <c r="IF369" s="58"/>
      <c r="IG369" s="58"/>
      <c r="IH369" s="58"/>
      <c r="II369" s="58"/>
      <c r="IJ369" s="58"/>
      <c r="IK369" s="58"/>
      <c r="IL369" s="58"/>
      <c r="IM369" s="58"/>
      <c r="IN369" s="58"/>
      <c r="IO369" s="58"/>
      <c r="IP369" s="58"/>
      <c r="IQ369" s="58"/>
      <c r="IR369" s="58"/>
      <c r="IS369" s="58"/>
      <c r="IT369" s="58"/>
    </row>
    <row r="370" spans="1:254" s="55" customFormat="1" x14ac:dyDescent="0.25">
      <c r="A370" s="79">
        <f t="shared" si="36"/>
        <v>289499.8</v>
      </c>
      <c r="B370" s="56">
        <v>289500</v>
      </c>
      <c r="C370" s="56">
        <v>3373547.5460000001</v>
      </c>
      <c r="D370" s="56">
        <v>653254.94700000004</v>
      </c>
      <c r="E370" s="56">
        <v>269.041</v>
      </c>
      <c r="F370" s="57">
        <f t="shared" si="41"/>
        <v>268.35300000000001</v>
      </c>
      <c r="G370" s="59">
        <v>289499.8</v>
      </c>
      <c r="H370" s="56">
        <v>19.483000000000001</v>
      </c>
      <c r="I370" s="56">
        <v>653242.51899999997</v>
      </c>
      <c r="J370" s="56">
        <v>3373532.4607000002</v>
      </c>
      <c r="K370" s="56">
        <v>268.27699999999999</v>
      </c>
      <c r="L370" s="56">
        <f t="shared" si="37"/>
        <v>268.91499999999996</v>
      </c>
      <c r="M370" s="56">
        <f t="shared" si="38"/>
        <v>-0.126</v>
      </c>
      <c r="N370" s="56">
        <f t="shared" si="39"/>
        <v>-7.5999999999999998E-2</v>
      </c>
      <c r="O370" s="56"/>
      <c r="P370" s="56">
        <v>268.67399999999998</v>
      </c>
      <c r="Q370" s="56"/>
      <c r="R370" s="56"/>
      <c r="S370" s="56">
        <v>268.71699999999998</v>
      </c>
      <c r="T370" s="56">
        <f t="shared" si="40"/>
        <v>-0.44</v>
      </c>
      <c r="U370" s="58"/>
      <c r="V370" s="58"/>
      <c r="W370" s="58"/>
      <c r="X370" s="58"/>
      <c r="Y370" s="58"/>
      <c r="Z370" s="58"/>
      <c r="AA370" s="58"/>
      <c r="AB370" s="58"/>
      <c r="AC370" s="58"/>
      <c r="AD370" s="58"/>
      <c r="AE370" s="58"/>
      <c r="AF370" s="58"/>
      <c r="AG370" s="58"/>
      <c r="AH370" s="58"/>
      <c r="AI370" s="58"/>
      <c r="AJ370" s="58"/>
      <c r="AK370" s="58"/>
      <c r="AL370" s="58"/>
      <c r="AM370" s="58"/>
      <c r="AN370" s="58"/>
      <c r="AO370" s="58"/>
      <c r="AP370" s="58"/>
      <c r="AQ370" s="58"/>
      <c r="AR370" s="58"/>
      <c r="AS370" s="58"/>
      <c r="AT370" s="58"/>
      <c r="AU370" s="58"/>
      <c r="AV370" s="58"/>
      <c r="AW370" s="58"/>
      <c r="AX370" s="58"/>
      <c r="AY370" s="58"/>
      <c r="AZ370" s="58"/>
      <c r="BA370" s="58"/>
      <c r="BB370" s="58"/>
      <c r="BC370" s="58"/>
      <c r="BD370" s="58"/>
      <c r="BE370" s="58"/>
      <c r="BF370" s="58"/>
      <c r="BG370" s="58"/>
      <c r="BH370" s="58"/>
      <c r="BI370" s="58"/>
      <c r="BJ370" s="58"/>
      <c r="BK370" s="58"/>
      <c r="BL370" s="58"/>
      <c r="BM370" s="58"/>
      <c r="BN370" s="58"/>
      <c r="BO370" s="58"/>
      <c r="BP370" s="58"/>
      <c r="BQ370" s="58"/>
      <c r="BR370" s="58"/>
      <c r="BS370" s="58"/>
      <c r="BT370" s="58"/>
      <c r="BU370" s="58"/>
      <c r="BV370" s="58"/>
      <c r="BW370" s="58"/>
      <c r="BX370" s="58"/>
      <c r="BY370" s="58"/>
      <c r="BZ370" s="58"/>
      <c r="CA370" s="58"/>
      <c r="CB370" s="58"/>
      <c r="CC370" s="58"/>
      <c r="CD370" s="58"/>
      <c r="CE370" s="58"/>
      <c r="CF370" s="58"/>
      <c r="CG370" s="58"/>
      <c r="CH370" s="58"/>
      <c r="CI370" s="58"/>
      <c r="CJ370" s="58"/>
      <c r="CK370" s="58"/>
      <c r="CL370" s="58"/>
      <c r="CM370" s="58"/>
      <c r="CN370" s="58"/>
      <c r="CO370" s="58"/>
      <c r="CP370" s="58"/>
      <c r="CQ370" s="58"/>
      <c r="CR370" s="58"/>
      <c r="CS370" s="58"/>
      <c r="CT370" s="58"/>
      <c r="CU370" s="58"/>
      <c r="CV370" s="58"/>
      <c r="CW370" s="58"/>
      <c r="CX370" s="58"/>
      <c r="CY370" s="58"/>
      <c r="CZ370" s="58"/>
      <c r="DA370" s="58"/>
      <c r="DB370" s="58"/>
      <c r="DC370" s="58"/>
      <c r="DD370" s="58"/>
      <c r="DE370" s="58"/>
      <c r="DF370" s="58"/>
      <c r="DG370" s="58"/>
      <c r="DH370" s="58"/>
      <c r="DI370" s="58"/>
      <c r="DJ370" s="58"/>
      <c r="DK370" s="58"/>
      <c r="DL370" s="58"/>
      <c r="DM370" s="58"/>
      <c r="DN370" s="58"/>
      <c r="DO370" s="58"/>
      <c r="DP370" s="58"/>
      <c r="DQ370" s="58"/>
      <c r="DR370" s="58"/>
      <c r="DS370" s="58"/>
      <c r="DT370" s="58"/>
      <c r="DU370" s="58"/>
      <c r="DV370" s="58"/>
      <c r="DW370" s="58"/>
      <c r="DX370" s="58"/>
      <c r="DY370" s="58"/>
      <c r="DZ370" s="58"/>
      <c r="EA370" s="58"/>
      <c r="EB370" s="58"/>
      <c r="EC370" s="58"/>
      <c r="ED370" s="58"/>
      <c r="EE370" s="58"/>
      <c r="EF370" s="58"/>
      <c r="EG370" s="58"/>
      <c r="EH370" s="58"/>
      <c r="EI370" s="58"/>
      <c r="EJ370" s="58"/>
      <c r="EK370" s="58"/>
      <c r="EL370" s="58"/>
      <c r="EM370" s="58"/>
      <c r="EN370" s="58"/>
      <c r="EO370" s="58"/>
      <c r="EP370" s="58"/>
      <c r="EQ370" s="58"/>
      <c r="ER370" s="58"/>
      <c r="ES370" s="58"/>
      <c r="ET370" s="58"/>
      <c r="EU370" s="58"/>
      <c r="EV370" s="58"/>
      <c r="EW370" s="58"/>
      <c r="EX370" s="58"/>
      <c r="EY370" s="58"/>
      <c r="EZ370" s="58"/>
      <c r="FA370" s="58"/>
      <c r="FB370" s="58"/>
      <c r="FC370" s="58"/>
      <c r="FD370" s="58"/>
      <c r="FE370" s="58"/>
      <c r="FF370" s="58"/>
      <c r="FG370" s="58"/>
      <c r="FH370" s="58"/>
      <c r="FI370" s="58"/>
      <c r="FJ370" s="58"/>
      <c r="FK370" s="58"/>
      <c r="FL370" s="58"/>
      <c r="FM370" s="58"/>
      <c r="FN370" s="58"/>
      <c r="FO370" s="58"/>
      <c r="FP370" s="58"/>
      <c r="FQ370" s="58"/>
      <c r="FR370" s="58"/>
      <c r="FS370" s="58"/>
      <c r="FT370" s="58"/>
      <c r="FU370" s="58"/>
      <c r="FV370" s="58"/>
      <c r="FW370" s="58"/>
      <c r="FX370" s="58"/>
      <c r="FY370" s="58"/>
      <c r="FZ370" s="58"/>
      <c r="GA370" s="58"/>
      <c r="GB370" s="58"/>
      <c r="GC370" s="58"/>
      <c r="GD370" s="58"/>
      <c r="GE370" s="58"/>
      <c r="GF370" s="58"/>
      <c r="GG370" s="58"/>
      <c r="GH370" s="58"/>
      <c r="GI370" s="58"/>
      <c r="GJ370" s="58"/>
      <c r="GK370" s="58"/>
      <c r="GL370" s="58"/>
      <c r="GM370" s="58"/>
      <c r="GN370" s="58"/>
      <c r="GO370" s="58"/>
      <c r="GP370" s="58"/>
      <c r="GQ370" s="58"/>
      <c r="GR370" s="58"/>
      <c r="GS370" s="58"/>
      <c r="GT370" s="58"/>
      <c r="GU370" s="58"/>
      <c r="GV370" s="58"/>
      <c r="GW370" s="58"/>
      <c r="GX370" s="58"/>
      <c r="GY370" s="58"/>
      <c r="GZ370" s="58"/>
      <c r="HA370" s="58"/>
      <c r="HB370" s="58"/>
      <c r="HC370" s="58"/>
      <c r="HD370" s="58"/>
      <c r="HE370" s="58"/>
      <c r="HF370" s="58"/>
      <c r="HG370" s="58"/>
      <c r="HH370" s="58"/>
      <c r="HI370" s="58"/>
      <c r="HJ370" s="58"/>
      <c r="HK370" s="58"/>
      <c r="HL370" s="58"/>
      <c r="HM370" s="58"/>
      <c r="HN370" s="58"/>
      <c r="HO370" s="58"/>
      <c r="HP370" s="58"/>
      <c r="HQ370" s="58"/>
      <c r="HR370" s="58"/>
      <c r="HS370" s="58"/>
      <c r="HT370" s="58"/>
      <c r="HU370" s="58"/>
      <c r="HV370" s="58"/>
      <c r="HW370" s="58"/>
      <c r="HX370" s="58"/>
      <c r="HY370" s="58"/>
      <c r="HZ370" s="58"/>
      <c r="IA370" s="58"/>
      <c r="IB370" s="58"/>
      <c r="IC370" s="58"/>
      <c r="ID370" s="58"/>
      <c r="IE370" s="58"/>
      <c r="IF370" s="58"/>
      <c r="IG370" s="58"/>
      <c r="IH370" s="58"/>
      <c r="II370" s="58"/>
      <c r="IJ370" s="58"/>
      <c r="IK370" s="58"/>
      <c r="IL370" s="58"/>
      <c r="IM370" s="58"/>
      <c r="IN370" s="58"/>
      <c r="IO370" s="58"/>
      <c r="IP370" s="58"/>
      <c r="IQ370" s="58"/>
      <c r="IR370" s="58"/>
      <c r="IS370" s="58"/>
      <c r="IT370" s="58"/>
    </row>
    <row r="371" spans="1:254" s="55" customFormat="1" x14ac:dyDescent="0.25">
      <c r="A371" s="79">
        <f t="shared" si="36"/>
        <v>289499.8</v>
      </c>
      <c r="B371" s="56">
        <v>289500</v>
      </c>
      <c r="C371" s="56">
        <v>3373547.5460000001</v>
      </c>
      <c r="D371" s="56">
        <v>653254.94700000004</v>
      </c>
      <c r="E371" s="56">
        <v>269.041</v>
      </c>
      <c r="F371" s="57">
        <f t="shared" si="41"/>
        <v>268.35300000000001</v>
      </c>
      <c r="G371" s="59">
        <v>289499.8</v>
      </c>
      <c r="H371" s="56">
        <v>19.478000000000002</v>
      </c>
      <c r="I371" s="56">
        <v>653243.27099999995</v>
      </c>
      <c r="J371" s="56">
        <v>3373531.9210000001</v>
      </c>
      <c r="K371" s="56">
        <v>268.27699999999999</v>
      </c>
      <c r="L371" s="56">
        <f>K371+0.638+0.029</f>
        <v>268.94399999999996</v>
      </c>
      <c r="M371" s="56">
        <f t="shared" si="38"/>
        <v>-9.7000000000000003E-2</v>
      </c>
      <c r="N371" s="56">
        <f t="shared" si="39"/>
        <v>-7.5999999999999998E-2</v>
      </c>
      <c r="O371" s="56"/>
      <c r="P371" s="56">
        <v>268.67399999999998</v>
      </c>
      <c r="Q371" s="56"/>
      <c r="R371" s="56"/>
      <c r="S371" s="56">
        <v>268.71699999999998</v>
      </c>
      <c r="T371" s="56">
        <f t="shared" si="40"/>
        <v>-0.44</v>
      </c>
      <c r="U371" s="58"/>
      <c r="V371" s="58"/>
      <c r="W371" s="58"/>
      <c r="X371" s="58"/>
      <c r="Y371" s="58"/>
      <c r="Z371" s="58"/>
      <c r="AA371" s="58"/>
      <c r="AB371" s="58"/>
      <c r="AC371" s="58"/>
      <c r="AD371" s="58"/>
      <c r="AE371" s="58"/>
      <c r="AF371" s="58"/>
      <c r="AG371" s="58"/>
      <c r="AH371" s="58"/>
      <c r="AI371" s="58"/>
      <c r="AJ371" s="58"/>
      <c r="AK371" s="58"/>
      <c r="AL371" s="58"/>
      <c r="AM371" s="58"/>
      <c r="AN371" s="58"/>
      <c r="AO371" s="58"/>
      <c r="AP371" s="58"/>
      <c r="AQ371" s="58"/>
      <c r="AR371" s="58"/>
      <c r="AS371" s="58"/>
      <c r="AT371" s="58"/>
      <c r="AU371" s="58"/>
      <c r="AV371" s="58"/>
      <c r="AW371" s="58"/>
      <c r="AX371" s="58"/>
      <c r="AY371" s="58"/>
      <c r="AZ371" s="58"/>
      <c r="BA371" s="58"/>
      <c r="BB371" s="58"/>
      <c r="BC371" s="58"/>
      <c r="BD371" s="58"/>
      <c r="BE371" s="58"/>
      <c r="BF371" s="58"/>
      <c r="BG371" s="58"/>
      <c r="BH371" s="58"/>
      <c r="BI371" s="58"/>
      <c r="BJ371" s="58"/>
      <c r="BK371" s="58"/>
      <c r="BL371" s="58"/>
      <c r="BM371" s="58"/>
      <c r="BN371" s="58"/>
      <c r="BO371" s="58"/>
      <c r="BP371" s="58"/>
      <c r="BQ371" s="58"/>
      <c r="BR371" s="58"/>
      <c r="BS371" s="58"/>
      <c r="BT371" s="58"/>
      <c r="BU371" s="58"/>
      <c r="BV371" s="58"/>
      <c r="BW371" s="58"/>
      <c r="BX371" s="58"/>
      <c r="BY371" s="58"/>
      <c r="BZ371" s="58"/>
      <c r="CA371" s="58"/>
      <c r="CB371" s="58"/>
      <c r="CC371" s="58"/>
      <c r="CD371" s="58"/>
      <c r="CE371" s="58"/>
      <c r="CF371" s="58"/>
      <c r="CG371" s="58"/>
      <c r="CH371" s="58"/>
      <c r="CI371" s="58"/>
      <c r="CJ371" s="58"/>
      <c r="CK371" s="58"/>
      <c r="CL371" s="58"/>
      <c r="CM371" s="58"/>
      <c r="CN371" s="58"/>
      <c r="CO371" s="58"/>
      <c r="CP371" s="58"/>
      <c r="CQ371" s="58"/>
      <c r="CR371" s="58"/>
      <c r="CS371" s="58"/>
      <c r="CT371" s="58"/>
      <c r="CU371" s="58"/>
      <c r="CV371" s="58"/>
      <c r="CW371" s="58"/>
      <c r="CX371" s="58"/>
      <c r="CY371" s="58"/>
      <c r="CZ371" s="58"/>
      <c r="DA371" s="58"/>
      <c r="DB371" s="58"/>
      <c r="DC371" s="58"/>
      <c r="DD371" s="58"/>
      <c r="DE371" s="58"/>
      <c r="DF371" s="58"/>
      <c r="DG371" s="58"/>
      <c r="DH371" s="58"/>
      <c r="DI371" s="58"/>
      <c r="DJ371" s="58"/>
      <c r="DK371" s="58"/>
      <c r="DL371" s="58"/>
      <c r="DM371" s="58"/>
      <c r="DN371" s="58"/>
      <c r="DO371" s="58"/>
      <c r="DP371" s="58"/>
      <c r="DQ371" s="58"/>
      <c r="DR371" s="58"/>
      <c r="DS371" s="58"/>
      <c r="DT371" s="58"/>
      <c r="DU371" s="58"/>
      <c r="DV371" s="58"/>
      <c r="DW371" s="58"/>
      <c r="DX371" s="58"/>
      <c r="DY371" s="58"/>
      <c r="DZ371" s="58"/>
      <c r="EA371" s="58"/>
      <c r="EB371" s="58"/>
      <c r="EC371" s="58"/>
      <c r="ED371" s="58"/>
      <c r="EE371" s="58"/>
      <c r="EF371" s="58"/>
      <c r="EG371" s="58"/>
      <c r="EH371" s="58"/>
      <c r="EI371" s="58"/>
      <c r="EJ371" s="58"/>
      <c r="EK371" s="58"/>
      <c r="EL371" s="58"/>
      <c r="EM371" s="58"/>
      <c r="EN371" s="58"/>
      <c r="EO371" s="58"/>
      <c r="EP371" s="58"/>
      <c r="EQ371" s="58"/>
      <c r="ER371" s="58"/>
      <c r="ES371" s="58"/>
      <c r="ET371" s="58"/>
      <c r="EU371" s="58"/>
      <c r="EV371" s="58"/>
      <c r="EW371" s="58"/>
      <c r="EX371" s="58"/>
      <c r="EY371" s="58"/>
      <c r="EZ371" s="58"/>
      <c r="FA371" s="58"/>
      <c r="FB371" s="58"/>
      <c r="FC371" s="58"/>
      <c r="FD371" s="58"/>
      <c r="FE371" s="58"/>
      <c r="FF371" s="58"/>
      <c r="FG371" s="58"/>
      <c r="FH371" s="58"/>
      <c r="FI371" s="58"/>
      <c r="FJ371" s="58"/>
      <c r="FK371" s="58"/>
      <c r="FL371" s="58"/>
      <c r="FM371" s="58"/>
      <c r="FN371" s="58"/>
      <c r="FO371" s="58"/>
      <c r="FP371" s="58"/>
      <c r="FQ371" s="58"/>
      <c r="FR371" s="58"/>
      <c r="FS371" s="58"/>
      <c r="FT371" s="58"/>
      <c r="FU371" s="58"/>
      <c r="FV371" s="58"/>
      <c r="FW371" s="58"/>
      <c r="FX371" s="58"/>
      <c r="FY371" s="58"/>
      <c r="FZ371" s="58"/>
      <c r="GA371" s="58"/>
      <c r="GB371" s="58"/>
      <c r="GC371" s="58"/>
      <c r="GD371" s="58"/>
      <c r="GE371" s="58"/>
      <c r="GF371" s="58"/>
      <c r="GG371" s="58"/>
      <c r="GH371" s="58"/>
      <c r="GI371" s="58"/>
      <c r="GJ371" s="58"/>
      <c r="GK371" s="58"/>
      <c r="GL371" s="58"/>
      <c r="GM371" s="58"/>
      <c r="GN371" s="58"/>
      <c r="GO371" s="58"/>
      <c r="GP371" s="58"/>
      <c r="GQ371" s="58"/>
      <c r="GR371" s="58"/>
      <c r="GS371" s="58"/>
      <c r="GT371" s="58"/>
      <c r="GU371" s="58"/>
      <c r="GV371" s="58"/>
      <c r="GW371" s="58"/>
      <c r="GX371" s="58"/>
      <c r="GY371" s="58"/>
      <c r="GZ371" s="58"/>
      <c r="HA371" s="58"/>
      <c r="HB371" s="58"/>
      <c r="HC371" s="58"/>
      <c r="HD371" s="58"/>
      <c r="HE371" s="58"/>
      <c r="HF371" s="58"/>
      <c r="HG371" s="58"/>
      <c r="HH371" s="58"/>
      <c r="HI371" s="58"/>
      <c r="HJ371" s="58"/>
      <c r="HK371" s="58"/>
      <c r="HL371" s="58"/>
      <c r="HM371" s="58"/>
      <c r="HN371" s="58"/>
      <c r="HO371" s="58"/>
      <c r="HP371" s="58"/>
      <c r="HQ371" s="58"/>
      <c r="HR371" s="58"/>
      <c r="HS371" s="58"/>
      <c r="HT371" s="58"/>
      <c r="HU371" s="58"/>
      <c r="HV371" s="58"/>
      <c r="HW371" s="58"/>
      <c r="HX371" s="58"/>
      <c r="HY371" s="58"/>
      <c r="HZ371" s="58"/>
      <c r="IA371" s="58"/>
      <c r="IB371" s="58"/>
      <c r="IC371" s="58"/>
      <c r="ID371" s="58"/>
      <c r="IE371" s="58"/>
      <c r="IF371" s="58"/>
      <c r="IG371" s="58"/>
      <c r="IH371" s="58"/>
      <c r="II371" s="58"/>
      <c r="IJ371" s="58"/>
      <c r="IK371" s="58"/>
      <c r="IL371" s="58"/>
      <c r="IM371" s="58"/>
      <c r="IN371" s="58"/>
      <c r="IO371" s="58"/>
      <c r="IP371" s="58"/>
      <c r="IQ371" s="58"/>
      <c r="IR371" s="58"/>
      <c r="IS371" s="58"/>
      <c r="IT371" s="58"/>
    </row>
    <row r="372" spans="1:254" s="55" customFormat="1" x14ac:dyDescent="0.25">
      <c r="A372" s="79">
        <f t="shared" si="36"/>
        <v>289519.8</v>
      </c>
      <c r="B372" s="56">
        <v>289520</v>
      </c>
      <c r="C372" s="56">
        <v>3373559.4029999999</v>
      </c>
      <c r="D372" s="56">
        <v>653238.84100000001</v>
      </c>
      <c r="E372" s="56">
        <v>268.97300000000001</v>
      </c>
      <c r="F372" s="57">
        <f t="shared" si="41"/>
        <v>268.28500000000003</v>
      </c>
      <c r="G372" s="59">
        <v>289519.8</v>
      </c>
      <c r="H372" s="56">
        <v>20.048999999999999</v>
      </c>
      <c r="I372" s="56">
        <v>653226.83600000001</v>
      </c>
      <c r="J372" s="56">
        <v>3373543.318</v>
      </c>
      <c r="K372" s="56">
        <v>268.28399999999999</v>
      </c>
      <c r="L372" s="56">
        <f t="shared" ref="L372:L397" si="42">K372+0.638+0.029</f>
        <v>268.95099999999996</v>
      </c>
      <c r="M372" s="56">
        <f t="shared" si="38"/>
        <v>-2.1999999999999999E-2</v>
      </c>
      <c r="N372" s="56">
        <f t="shared" si="39"/>
        <v>-1E-3</v>
      </c>
      <c r="O372" s="56"/>
      <c r="P372" s="56">
        <v>268.52800000000002</v>
      </c>
      <c r="Q372" s="56"/>
      <c r="R372" s="56"/>
      <c r="S372" s="56">
        <v>268.58600000000001</v>
      </c>
      <c r="T372" s="56">
        <f t="shared" si="40"/>
        <v>-0.30199999999999999</v>
      </c>
      <c r="U372" s="58"/>
      <c r="V372" s="58"/>
      <c r="W372" s="58"/>
      <c r="X372" s="58"/>
      <c r="Y372" s="58"/>
      <c r="Z372" s="58"/>
      <c r="AA372" s="58"/>
      <c r="AB372" s="58"/>
      <c r="AC372" s="58"/>
      <c r="AD372" s="58"/>
      <c r="AE372" s="58"/>
      <c r="AF372" s="58"/>
      <c r="AG372" s="58"/>
      <c r="AH372" s="58"/>
      <c r="AI372" s="58"/>
      <c r="AJ372" s="58"/>
      <c r="AK372" s="58"/>
      <c r="AL372" s="58"/>
      <c r="AM372" s="58"/>
      <c r="AN372" s="58"/>
      <c r="AO372" s="58"/>
      <c r="AP372" s="58"/>
      <c r="AQ372" s="58"/>
      <c r="AR372" s="58"/>
      <c r="AS372" s="58"/>
      <c r="AT372" s="58"/>
      <c r="AU372" s="58"/>
      <c r="AV372" s="58"/>
      <c r="AW372" s="58"/>
      <c r="AX372" s="58"/>
      <c r="AY372" s="58"/>
      <c r="AZ372" s="58"/>
      <c r="BA372" s="58"/>
      <c r="BB372" s="58"/>
      <c r="BC372" s="58"/>
      <c r="BD372" s="58"/>
      <c r="BE372" s="58"/>
      <c r="BF372" s="58"/>
      <c r="BG372" s="58"/>
      <c r="BH372" s="58"/>
      <c r="BI372" s="58"/>
      <c r="BJ372" s="58"/>
      <c r="BK372" s="58"/>
      <c r="BL372" s="58"/>
      <c r="BM372" s="58"/>
      <c r="BN372" s="58"/>
      <c r="BO372" s="58"/>
      <c r="BP372" s="58"/>
      <c r="BQ372" s="58"/>
      <c r="BR372" s="58"/>
      <c r="BS372" s="58"/>
      <c r="BT372" s="58"/>
      <c r="BU372" s="58"/>
      <c r="BV372" s="58"/>
      <c r="BW372" s="58"/>
      <c r="BX372" s="58"/>
      <c r="BY372" s="58"/>
      <c r="BZ372" s="58"/>
      <c r="CA372" s="58"/>
      <c r="CB372" s="58"/>
      <c r="CC372" s="58"/>
      <c r="CD372" s="58"/>
      <c r="CE372" s="58"/>
      <c r="CF372" s="58"/>
      <c r="CG372" s="58"/>
      <c r="CH372" s="58"/>
      <c r="CI372" s="58"/>
      <c r="CJ372" s="58"/>
      <c r="CK372" s="58"/>
      <c r="CL372" s="58"/>
      <c r="CM372" s="58"/>
      <c r="CN372" s="58"/>
      <c r="CO372" s="58"/>
      <c r="CP372" s="58"/>
      <c r="CQ372" s="58"/>
      <c r="CR372" s="58"/>
      <c r="CS372" s="58"/>
      <c r="CT372" s="58"/>
      <c r="CU372" s="58"/>
      <c r="CV372" s="58"/>
      <c r="CW372" s="58"/>
      <c r="CX372" s="58"/>
      <c r="CY372" s="58"/>
      <c r="CZ372" s="58"/>
      <c r="DA372" s="58"/>
      <c r="DB372" s="58"/>
      <c r="DC372" s="58"/>
      <c r="DD372" s="58"/>
      <c r="DE372" s="58"/>
      <c r="DF372" s="58"/>
      <c r="DG372" s="58"/>
      <c r="DH372" s="58"/>
      <c r="DI372" s="58"/>
      <c r="DJ372" s="58"/>
      <c r="DK372" s="58"/>
      <c r="DL372" s="58"/>
      <c r="DM372" s="58"/>
      <c r="DN372" s="58"/>
      <c r="DO372" s="58"/>
      <c r="DP372" s="58"/>
      <c r="DQ372" s="58"/>
      <c r="DR372" s="58"/>
      <c r="DS372" s="58"/>
      <c r="DT372" s="58"/>
      <c r="DU372" s="58"/>
      <c r="DV372" s="58"/>
      <c r="DW372" s="58"/>
      <c r="DX372" s="58"/>
      <c r="DY372" s="58"/>
      <c r="DZ372" s="58"/>
      <c r="EA372" s="58"/>
      <c r="EB372" s="58"/>
      <c r="EC372" s="58"/>
      <c r="ED372" s="58"/>
      <c r="EE372" s="58"/>
      <c r="EF372" s="58"/>
      <c r="EG372" s="58"/>
      <c r="EH372" s="58"/>
      <c r="EI372" s="58"/>
      <c r="EJ372" s="58"/>
      <c r="EK372" s="58"/>
      <c r="EL372" s="58"/>
      <c r="EM372" s="58"/>
      <c r="EN372" s="58"/>
      <c r="EO372" s="58"/>
      <c r="EP372" s="58"/>
      <c r="EQ372" s="58"/>
      <c r="ER372" s="58"/>
      <c r="ES372" s="58"/>
      <c r="ET372" s="58"/>
      <c r="EU372" s="58"/>
      <c r="EV372" s="58"/>
      <c r="EW372" s="58"/>
      <c r="EX372" s="58"/>
      <c r="EY372" s="58"/>
      <c r="EZ372" s="58"/>
      <c r="FA372" s="58"/>
      <c r="FB372" s="58"/>
      <c r="FC372" s="58"/>
      <c r="FD372" s="58"/>
      <c r="FE372" s="58"/>
      <c r="FF372" s="58"/>
      <c r="FG372" s="58"/>
      <c r="FH372" s="58"/>
      <c r="FI372" s="58"/>
      <c r="FJ372" s="58"/>
      <c r="FK372" s="58"/>
      <c r="FL372" s="58"/>
      <c r="FM372" s="58"/>
      <c r="FN372" s="58"/>
      <c r="FO372" s="58"/>
      <c r="FP372" s="58"/>
      <c r="FQ372" s="58"/>
      <c r="FR372" s="58"/>
      <c r="FS372" s="58"/>
      <c r="FT372" s="58"/>
      <c r="FU372" s="58"/>
      <c r="FV372" s="58"/>
      <c r="FW372" s="58"/>
      <c r="FX372" s="58"/>
      <c r="FY372" s="58"/>
      <c r="FZ372" s="58"/>
      <c r="GA372" s="58"/>
      <c r="GB372" s="58"/>
      <c r="GC372" s="58"/>
      <c r="GD372" s="58"/>
      <c r="GE372" s="58"/>
      <c r="GF372" s="58"/>
      <c r="GG372" s="58"/>
      <c r="GH372" s="58"/>
      <c r="GI372" s="58"/>
      <c r="GJ372" s="58"/>
      <c r="GK372" s="58"/>
      <c r="GL372" s="58"/>
      <c r="GM372" s="58"/>
      <c r="GN372" s="58"/>
      <c r="GO372" s="58"/>
      <c r="GP372" s="58"/>
      <c r="GQ372" s="58"/>
      <c r="GR372" s="58"/>
      <c r="GS372" s="58"/>
      <c r="GT372" s="58"/>
      <c r="GU372" s="58"/>
      <c r="GV372" s="58"/>
      <c r="GW372" s="58"/>
      <c r="GX372" s="58"/>
      <c r="GY372" s="58"/>
      <c r="GZ372" s="58"/>
      <c r="HA372" s="58"/>
      <c r="HB372" s="58"/>
      <c r="HC372" s="58"/>
      <c r="HD372" s="58"/>
      <c r="HE372" s="58"/>
      <c r="HF372" s="58"/>
      <c r="HG372" s="58"/>
      <c r="HH372" s="58"/>
      <c r="HI372" s="58"/>
      <c r="HJ372" s="58"/>
      <c r="HK372" s="58"/>
      <c r="HL372" s="58"/>
      <c r="HM372" s="58"/>
      <c r="HN372" s="58"/>
      <c r="HO372" s="58"/>
      <c r="HP372" s="58"/>
      <c r="HQ372" s="58"/>
      <c r="HR372" s="58"/>
      <c r="HS372" s="58"/>
      <c r="HT372" s="58"/>
      <c r="HU372" s="58"/>
      <c r="HV372" s="58"/>
      <c r="HW372" s="58"/>
      <c r="HX372" s="58"/>
      <c r="HY372" s="58"/>
      <c r="HZ372" s="58"/>
      <c r="IA372" s="58"/>
      <c r="IB372" s="58"/>
      <c r="IC372" s="58"/>
      <c r="ID372" s="58"/>
      <c r="IE372" s="58"/>
      <c r="IF372" s="58"/>
      <c r="IG372" s="58"/>
      <c r="IH372" s="58"/>
      <c r="II372" s="58"/>
      <c r="IJ372" s="58"/>
      <c r="IK372" s="58"/>
      <c r="IL372" s="58"/>
      <c r="IM372" s="58"/>
      <c r="IN372" s="58"/>
      <c r="IO372" s="58"/>
      <c r="IP372" s="58"/>
      <c r="IQ372" s="58"/>
      <c r="IR372" s="58"/>
      <c r="IS372" s="58"/>
      <c r="IT372" s="58"/>
    </row>
    <row r="373" spans="1:254" s="55" customFormat="1" x14ac:dyDescent="0.25">
      <c r="A373" s="79">
        <f t="shared" si="36"/>
        <v>289539.8</v>
      </c>
      <c r="B373" s="56">
        <v>289540</v>
      </c>
      <c r="C373" s="56">
        <v>3373571.2760000001</v>
      </c>
      <c r="D373" s="56">
        <v>653222.74620000005</v>
      </c>
      <c r="E373" s="56">
        <v>268.92</v>
      </c>
      <c r="F373" s="57">
        <f t="shared" si="41"/>
        <v>268.23200000000003</v>
      </c>
      <c r="G373" s="59">
        <v>289539.8</v>
      </c>
      <c r="H373" s="56">
        <v>20.62</v>
      </c>
      <c r="I373" s="56">
        <v>653210.41200000001</v>
      </c>
      <c r="J373" s="56">
        <v>3373554.7310000001</v>
      </c>
      <c r="K373" s="56">
        <v>268.291</v>
      </c>
      <c r="L373" s="56">
        <f t="shared" si="42"/>
        <v>268.95799999999997</v>
      </c>
      <c r="M373" s="56">
        <f t="shared" si="38"/>
        <v>3.7999999999999999E-2</v>
      </c>
      <c r="N373" s="56">
        <f t="shared" si="39"/>
        <v>5.8999999999999997E-2</v>
      </c>
      <c r="O373" s="56"/>
      <c r="P373" s="56">
        <v>268.65100000000001</v>
      </c>
      <c r="Q373" s="56"/>
      <c r="R373" s="56"/>
      <c r="S373" s="56">
        <v>268.40499999999997</v>
      </c>
      <c r="T373" s="56">
        <f t="shared" si="40"/>
        <v>-0.114</v>
      </c>
      <c r="U373" s="58"/>
      <c r="V373" s="58"/>
      <c r="W373" s="58"/>
      <c r="X373" s="58"/>
      <c r="Y373" s="58"/>
      <c r="Z373" s="58"/>
      <c r="AA373" s="58"/>
      <c r="AB373" s="58"/>
      <c r="AC373" s="58"/>
      <c r="AD373" s="58"/>
      <c r="AE373" s="58"/>
      <c r="AF373" s="58"/>
      <c r="AG373" s="58"/>
      <c r="AH373" s="58"/>
      <c r="AI373" s="58"/>
      <c r="AJ373" s="58"/>
      <c r="AK373" s="58"/>
      <c r="AL373" s="58"/>
      <c r="AM373" s="58"/>
      <c r="AN373" s="58"/>
      <c r="AO373" s="58"/>
      <c r="AP373" s="58"/>
      <c r="AQ373" s="58"/>
      <c r="AR373" s="58"/>
      <c r="AS373" s="58"/>
      <c r="AT373" s="58"/>
      <c r="AU373" s="58"/>
      <c r="AV373" s="58"/>
      <c r="AW373" s="58"/>
      <c r="AX373" s="58"/>
      <c r="AY373" s="58"/>
      <c r="AZ373" s="58"/>
      <c r="BA373" s="58"/>
      <c r="BB373" s="58"/>
      <c r="BC373" s="58"/>
      <c r="BD373" s="58"/>
      <c r="BE373" s="58"/>
      <c r="BF373" s="58"/>
      <c r="BG373" s="58"/>
      <c r="BH373" s="58"/>
      <c r="BI373" s="58"/>
      <c r="BJ373" s="58"/>
      <c r="BK373" s="58"/>
      <c r="BL373" s="58"/>
      <c r="BM373" s="58"/>
      <c r="BN373" s="58"/>
      <c r="BO373" s="58"/>
      <c r="BP373" s="58"/>
      <c r="BQ373" s="58"/>
      <c r="BR373" s="58"/>
      <c r="BS373" s="58"/>
      <c r="BT373" s="58"/>
      <c r="BU373" s="58"/>
      <c r="BV373" s="58"/>
      <c r="BW373" s="58"/>
      <c r="BX373" s="58"/>
      <c r="BY373" s="58"/>
      <c r="BZ373" s="58"/>
      <c r="CA373" s="58"/>
      <c r="CB373" s="58"/>
      <c r="CC373" s="58"/>
      <c r="CD373" s="58"/>
      <c r="CE373" s="58"/>
      <c r="CF373" s="58"/>
      <c r="CG373" s="58"/>
      <c r="CH373" s="58"/>
      <c r="CI373" s="58"/>
      <c r="CJ373" s="58"/>
      <c r="CK373" s="58"/>
      <c r="CL373" s="58"/>
      <c r="CM373" s="58"/>
      <c r="CN373" s="58"/>
      <c r="CO373" s="58"/>
      <c r="CP373" s="58"/>
      <c r="CQ373" s="58"/>
      <c r="CR373" s="58"/>
      <c r="CS373" s="58"/>
      <c r="CT373" s="58"/>
      <c r="CU373" s="58"/>
      <c r="CV373" s="58"/>
      <c r="CW373" s="58"/>
      <c r="CX373" s="58"/>
      <c r="CY373" s="58"/>
      <c r="CZ373" s="58"/>
      <c r="DA373" s="58"/>
      <c r="DB373" s="58"/>
      <c r="DC373" s="58"/>
      <c r="DD373" s="58"/>
      <c r="DE373" s="58"/>
      <c r="DF373" s="58"/>
      <c r="DG373" s="58"/>
      <c r="DH373" s="58"/>
      <c r="DI373" s="58"/>
      <c r="DJ373" s="58"/>
      <c r="DK373" s="58"/>
      <c r="DL373" s="58"/>
      <c r="DM373" s="58"/>
      <c r="DN373" s="58"/>
      <c r="DO373" s="58"/>
      <c r="DP373" s="58"/>
      <c r="DQ373" s="58"/>
      <c r="DR373" s="58"/>
      <c r="DS373" s="58"/>
      <c r="DT373" s="58"/>
      <c r="DU373" s="58"/>
      <c r="DV373" s="58"/>
      <c r="DW373" s="58"/>
      <c r="DX373" s="58"/>
      <c r="DY373" s="58"/>
      <c r="DZ373" s="58"/>
      <c r="EA373" s="58"/>
      <c r="EB373" s="58"/>
      <c r="EC373" s="58"/>
      <c r="ED373" s="58"/>
      <c r="EE373" s="58"/>
      <c r="EF373" s="58"/>
      <c r="EG373" s="58"/>
      <c r="EH373" s="58"/>
      <c r="EI373" s="58"/>
      <c r="EJ373" s="58"/>
      <c r="EK373" s="58"/>
      <c r="EL373" s="58"/>
      <c r="EM373" s="58"/>
      <c r="EN373" s="58"/>
      <c r="EO373" s="58"/>
      <c r="EP373" s="58"/>
      <c r="EQ373" s="58"/>
      <c r="ER373" s="58"/>
      <c r="ES373" s="58"/>
      <c r="ET373" s="58"/>
      <c r="EU373" s="58"/>
      <c r="EV373" s="58"/>
      <c r="EW373" s="58"/>
      <c r="EX373" s="58"/>
      <c r="EY373" s="58"/>
      <c r="EZ373" s="58"/>
      <c r="FA373" s="58"/>
      <c r="FB373" s="58"/>
      <c r="FC373" s="58"/>
      <c r="FD373" s="58"/>
      <c r="FE373" s="58"/>
      <c r="FF373" s="58"/>
      <c r="FG373" s="58"/>
      <c r="FH373" s="58"/>
      <c r="FI373" s="58"/>
      <c r="FJ373" s="58"/>
      <c r="FK373" s="58"/>
      <c r="FL373" s="58"/>
      <c r="FM373" s="58"/>
      <c r="FN373" s="58"/>
      <c r="FO373" s="58"/>
      <c r="FP373" s="58"/>
      <c r="FQ373" s="58"/>
      <c r="FR373" s="58"/>
      <c r="FS373" s="58"/>
      <c r="FT373" s="58"/>
      <c r="FU373" s="58"/>
      <c r="FV373" s="58"/>
      <c r="FW373" s="58"/>
      <c r="FX373" s="58"/>
      <c r="FY373" s="58"/>
      <c r="FZ373" s="58"/>
      <c r="GA373" s="58"/>
      <c r="GB373" s="58"/>
      <c r="GC373" s="58"/>
      <c r="GD373" s="58"/>
      <c r="GE373" s="58"/>
      <c r="GF373" s="58"/>
      <c r="GG373" s="58"/>
      <c r="GH373" s="58"/>
      <c r="GI373" s="58"/>
      <c r="GJ373" s="58"/>
      <c r="GK373" s="58"/>
      <c r="GL373" s="58"/>
      <c r="GM373" s="58"/>
      <c r="GN373" s="58"/>
      <c r="GO373" s="58"/>
      <c r="GP373" s="58"/>
      <c r="GQ373" s="58"/>
      <c r="GR373" s="58"/>
      <c r="GS373" s="58"/>
      <c r="GT373" s="58"/>
      <c r="GU373" s="58"/>
      <c r="GV373" s="58"/>
      <c r="GW373" s="58"/>
      <c r="GX373" s="58"/>
      <c r="GY373" s="58"/>
      <c r="GZ373" s="58"/>
      <c r="HA373" s="58"/>
      <c r="HB373" s="58"/>
      <c r="HC373" s="58"/>
      <c r="HD373" s="58"/>
      <c r="HE373" s="58"/>
      <c r="HF373" s="58"/>
      <c r="HG373" s="58"/>
      <c r="HH373" s="58"/>
      <c r="HI373" s="58"/>
      <c r="HJ373" s="58"/>
      <c r="HK373" s="58"/>
      <c r="HL373" s="58"/>
      <c r="HM373" s="58"/>
      <c r="HN373" s="58"/>
      <c r="HO373" s="58"/>
      <c r="HP373" s="58"/>
      <c r="HQ373" s="58"/>
      <c r="HR373" s="58"/>
      <c r="HS373" s="58"/>
      <c r="HT373" s="58"/>
      <c r="HU373" s="58"/>
      <c r="HV373" s="58"/>
      <c r="HW373" s="58"/>
      <c r="HX373" s="58"/>
      <c r="HY373" s="58"/>
      <c r="HZ373" s="58"/>
      <c r="IA373" s="58"/>
      <c r="IB373" s="58"/>
      <c r="IC373" s="58"/>
      <c r="ID373" s="58"/>
      <c r="IE373" s="58"/>
      <c r="IF373" s="58"/>
      <c r="IG373" s="58"/>
      <c r="IH373" s="58"/>
      <c r="II373" s="58"/>
      <c r="IJ373" s="58"/>
      <c r="IK373" s="58"/>
      <c r="IL373" s="58"/>
      <c r="IM373" s="58"/>
      <c r="IN373" s="58"/>
      <c r="IO373" s="58"/>
      <c r="IP373" s="58"/>
      <c r="IQ373" s="58"/>
      <c r="IR373" s="58"/>
      <c r="IS373" s="58"/>
      <c r="IT373" s="58"/>
    </row>
    <row r="374" spans="1:254" s="55" customFormat="1" x14ac:dyDescent="0.25">
      <c r="A374" s="79">
        <f t="shared" si="36"/>
        <v>289559.8</v>
      </c>
      <c r="B374" s="56">
        <v>289560</v>
      </c>
      <c r="C374" s="56">
        <v>3373583.1749999998</v>
      </c>
      <c r="D374" s="56">
        <v>653206.67130000005</v>
      </c>
      <c r="E374" s="56">
        <v>268.89499999999998</v>
      </c>
      <c r="F374" s="57">
        <f t="shared" si="41"/>
        <v>268.20699999999999</v>
      </c>
      <c r="G374" s="59">
        <v>289559.8</v>
      </c>
      <c r="H374" s="56">
        <v>21.204000000000001</v>
      </c>
      <c r="I374" s="56">
        <v>653194</v>
      </c>
      <c r="J374" s="56">
        <v>3373566.16</v>
      </c>
      <c r="K374" s="56">
        <v>268.298</v>
      </c>
      <c r="L374" s="56">
        <f t="shared" si="42"/>
        <v>268.96499999999997</v>
      </c>
      <c r="M374" s="56">
        <f t="shared" si="38"/>
        <v>7.0000000000000007E-2</v>
      </c>
      <c r="N374" s="56">
        <f t="shared" si="39"/>
        <v>9.0999999999999998E-2</v>
      </c>
      <c r="O374" s="56"/>
      <c r="P374" s="56">
        <v>268.779</v>
      </c>
      <c r="Q374" s="56"/>
      <c r="R374" s="56"/>
      <c r="S374" s="56">
        <v>268.45400000000001</v>
      </c>
      <c r="T374" s="56">
        <f t="shared" si="40"/>
        <v>-0.156</v>
      </c>
      <c r="U374" s="58"/>
      <c r="V374" s="58"/>
      <c r="W374" s="58"/>
      <c r="X374" s="58"/>
      <c r="Y374" s="58"/>
      <c r="Z374" s="58"/>
      <c r="AA374" s="58"/>
      <c r="AB374" s="58"/>
      <c r="AC374" s="58"/>
      <c r="AD374" s="58"/>
      <c r="AE374" s="58"/>
      <c r="AF374" s="58"/>
      <c r="AG374" s="58"/>
      <c r="AH374" s="58"/>
      <c r="AI374" s="58"/>
      <c r="AJ374" s="58"/>
      <c r="AK374" s="58"/>
      <c r="AL374" s="58"/>
      <c r="AM374" s="58"/>
      <c r="AN374" s="58"/>
      <c r="AO374" s="58"/>
      <c r="AP374" s="58"/>
      <c r="AQ374" s="58"/>
      <c r="AR374" s="58"/>
      <c r="AS374" s="58"/>
      <c r="AT374" s="58"/>
      <c r="AU374" s="58"/>
      <c r="AV374" s="58"/>
      <c r="AW374" s="58"/>
      <c r="AX374" s="58"/>
      <c r="AY374" s="58"/>
      <c r="AZ374" s="58"/>
      <c r="BA374" s="58"/>
      <c r="BB374" s="58"/>
      <c r="BC374" s="58"/>
      <c r="BD374" s="58"/>
      <c r="BE374" s="58"/>
      <c r="BF374" s="58"/>
      <c r="BG374" s="58"/>
      <c r="BH374" s="58"/>
      <c r="BI374" s="58"/>
      <c r="BJ374" s="58"/>
      <c r="BK374" s="58"/>
      <c r="BL374" s="58"/>
      <c r="BM374" s="58"/>
      <c r="BN374" s="58"/>
      <c r="BO374" s="58"/>
      <c r="BP374" s="58"/>
      <c r="BQ374" s="58"/>
      <c r="BR374" s="58"/>
      <c r="BS374" s="58"/>
      <c r="BT374" s="58"/>
      <c r="BU374" s="58"/>
      <c r="BV374" s="58"/>
      <c r="BW374" s="58"/>
      <c r="BX374" s="58"/>
      <c r="BY374" s="58"/>
      <c r="BZ374" s="58"/>
      <c r="CA374" s="58"/>
      <c r="CB374" s="58"/>
      <c r="CC374" s="58"/>
      <c r="CD374" s="58"/>
      <c r="CE374" s="58"/>
      <c r="CF374" s="58"/>
      <c r="CG374" s="58"/>
      <c r="CH374" s="58"/>
      <c r="CI374" s="58"/>
      <c r="CJ374" s="58"/>
      <c r="CK374" s="58"/>
      <c r="CL374" s="58"/>
      <c r="CM374" s="58"/>
      <c r="CN374" s="58"/>
      <c r="CO374" s="58"/>
      <c r="CP374" s="58"/>
      <c r="CQ374" s="58"/>
      <c r="CR374" s="58"/>
      <c r="CS374" s="58"/>
      <c r="CT374" s="58"/>
      <c r="CU374" s="58"/>
      <c r="CV374" s="58"/>
      <c r="CW374" s="58"/>
      <c r="CX374" s="58"/>
      <c r="CY374" s="58"/>
      <c r="CZ374" s="58"/>
      <c r="DA374" s="58"/>
      <c r="DB374" s="58"/>
      <c r="DC374" s="58"/>
      <c r="DD374" s="58"/>
      <c r="DE374" s="58"/>
      <c r="DF374" s="58"/>
      <c r="DG374" s="58"/>
      <c r="DH374" s="58"/>
      <c r="DI374" s="58"/>
      <c r="DJ374" s="58"/>
      <c r="DK374" s="58"/>
      <c r="DL374" s="58"/>
      <c r="DM374" s="58"/>
      <c r="DN374" s="58"/>
      <c r="DO374" s="58"/>
      <c r="DP374" s="58"/>
      <c r="DQ374" s="58"/>
      <c r="DR374" s="58"/>
      <c r="DS374" s="58"/>
      <c r="DT374" s="58"/>
      <c r="DU374" s="58"/>
      <c r="DV374" s="58"/>
      <c r="DW374" s="58"/>
      <c r="DX374" s="58"/>
      <c r="DY374" s="58"/>
      <c r="DZ374" s="58"/>
      <c r="EA374" s="58"/>
      <c r="EB374" s="58"/>
      <c r="EC374" s="58"/>
      <c r="ED374" s="58"/>
      <c r="EE374" s="58"/>
      <c r="EF374" s="58"/>
      <c r="EG374" s="58"/>
      <c r="EH374" s="58"/>
      <c r="EI374" s="58"/>
      <c r="EJ374" s="58"/>
      <c r="EK374" s="58"/>
      <c r="EL374" s="58"/>
      <c r="EM374" s="58"/>
      <c r="EN374" s="58"/>
      <c r="EO374" s="58"/>
      <c r="EP374" s="58"/>
      <c r="EQ374" s="58"/>
      <c r="ER374" s="58"/>
      <c r="ES374" s="58"/>
      <c r="ET374" s="58"/>
      <c r="EU374" s="58"/>
      <c r="EV374" s="58"/>
      <c r="EW374" s="58"/>
      <c r="EX374" s="58"/>
      <c r="EY374" s="58"/>
      <c r="EZ374" s="58"/>
      <c r="FA374" s="58"/>
      <c r="FB374" s="58"/>
      <c r="FC374" s="58"/>
      <c r="FD374" s="58"/>
      <c r="FE374" s="58"/>
      <c r="FF374" s="58"/>
      <c r="FG374" s="58"/>
      <c r="FH374" s="58"/>
      <c r="FI374" s="58"/>
      <c r="FJ374" s="58"/>
      <c r="FK374" s="58"/>
      <c r="FL374" s="58"/>
      <c r="FM374" s="58"/>
      <c r="FN374" s="58"/>
      <c r="FO374" s="58"/>
      <c r="FP374" s="58"/>
      <c r="FQ374" s="58"/>
      <c r="FR374" s="58"/>
      <c r="FS374" s="58"/>
      <c r="FT374" s="58"/>
      <c r="FU374" s="58"/>
      <c r="FV374" s="58"/>
      <c r="FW374" s="58"/>
      <c r="FX374" s="58"/>
      <c r="FY374" s="58"/>
      <c r="FZ374" s="58"/>
      <c r="GA374" s="58"/>
      <c r="GB374" s="58"/>
      <c r="GC374" s="58"/>
      <c r="GD374" s="58"/>
      <c r="GE374" s="58"/>
      <c r="GF374" s="58"/>
      <c r="GG374" s="58"/>
      <c r="GH374" s="58"/>
      <c r="GI374" s="58"/>
      <c r="GJ374" s="58"/>
      <c r="GK374" s="58"/>
      <c r="GL374" s="58"/>
      <c r="GM374" s="58"/>
      <c r="GN374" s="58"/>
      <c r="GO374" s="58"/>
      <c r="GP374" s="58"/>
      <c r="GQ374" s="58"/>
      <c r="GR374" s="58"/>
      <c r="GS374" s="58"/>
      <c r="GT374" s="58"/>
      <c r="GU374" s="58"/>
      <c r="GV374" s="58"/>
      <c r="GW374" s="58"/>
      <c r="GX374" s="58"/>
      <c r="GY374" s="58"/>
      <c r="GZ374" s="58"/>
      <c r="HA374" s="58"/>
      <c r="HB374" s="58"/>
      <c r="HC374" s="58"/>
      <c r="HD374" s="58"/>
      <c r="HE374" s="58"/>
      <c r="HF374" s="58"/>
      <c r="HG374" s="58"/>
      <c r="HH374" s="58"/>
      <c r="HI374" s="58"/>
      <c r="HJ374" s="58"/>
      <c r="HK374" s="58"/>
      <c r="HL374" s="58"/>
      <c r="HM374" s="58"/>
      <c r="HN374" s="58"/>
      <c r="HO374" s="58"/>
      <c r="HP374" s="58"/>
      <c r="HQ374" s="58"/>
      <c r="HR374" s="58"/>
      <c r="HS374" s="58"/>
      <c r="HT374" s="58"/>
      <c r="HU374" s="58"/>
      <c r="HV374" s="58"/>
      <c r="HW374" s="58"/>
      <c r="HX374" s="58"/>
      <c r="HY374" s="58"/>
      <c r="HZ374" s="58"/>
      <c r="IA374" s="58"/>
      <c r="IB374" s="58"/>
      <c r="IC374" s="58"/>
      <c r="ID374" s="58"/>
      <c r="IE374" s="58"/>
      <c r="IF374" s="58"/>
      <c r="IG374" s="58"/>
      <c r="IH374" s="58"/>
      <c r="II374" s="58"/>
      <c r="IJ374" s="58"/>
      <c r="IK374" s="58"/>
      <c r="IL374" s="58"/>
      <c r="IM374" s="58"/>
      <c r="IN374" s="58"/>
      <c r="IO374" s="58"/>
      <c r="IP374" s="58"/>
      <c r="IQ374" s="58"/>
      <c r="IR374" s="58"/>
      <c r="IS374" s="58"/>
      <c r="IT374" s="58"/>
    </row>
    <row r="375" spans="1:254" s="55" customFormat="1" x14ac:dyDescent="0.25">
      <c r="A375" s="79">
        <f t="shared" si="36"/>
        <v>289579.8</v>
      </c>
      <c r="B375" s="56">
        <v>289580</v>
      </c>
      <c r="C375" s="56">
        <v>3373595.0729999999</v>
      </c>
      <c r="D375" s="56">
        <v>653190.59510000004</v>
      </c>
      <c r="E375" s="56">
        <v>268.89499999999998</v>
      </c>
      <c r="F375" s="57">
        <f t="shared" si="41"/>
        <v>268.20699999999999</v>
      </c>
      <c r="G375" s="59">
        <v>289579.8</v>
      </c>
      <c r="H375" s="56">
        <v>21.77</v>
      </c>
      <c r="I375" s="56">
        <v>653177.59400000004</v>
      </c>
      <c r="J375" s="56">
        <v>3373577.5989999999</v>
      </c>
      <c r="K375" s="56">
        <v>268.30500000000001</v>
      </c>
      <c r="L375" s="56">
        <f t="shared" si="42"/>
        <v>268.97199999999998</v>
      </c>
      <c r="M375" s="56">
        <f t="shared" si="38"/>
        <v>7.6999999999999999E-2</v>
      </c>
      <c r="N375" s="56">
        <f t="shared" si="39"/>
        <v>9.8000000000000004E-2</v>
      </c>
      <c r="O375" s="56"/>
      <c r="P375" s="56">
        <v>268.70100000000002</v>
      </c>
      <c r="Q375" s="56"/>
      <c r="R375" s="56"/>
      <c r="S375" s="56">
        <v>268.64400000000001</v>
      </c>
      <c r="T375" s="56">
        <f t="shared" si="40"/>
        <v>-0.33900000000000002</v>
      </c>
      <c r="U375" s="58"/>
      <c r="V375" s="58"/>
      <c r="W375" s="58"/>
      <c r="X375" s="58"/>
      <c r="Y375" s="58"/>
      <c r="Z375" s="58"/>
      <c r="AA375" s="58"/>
      <c r="AB375" s="58"/>
      <c r="AC375" s="58"/>
      <c r="AD375" s="58"/>
      <c r="AE375" s="58"/>
      <c r="AF375" s="58"/>
      <c r="AG375" s="58"/>
      <c r="AH375" s="58"/>
      <c r="AI375" s="58"/>
      <c r="AJ375" s="58"/>
      <c r="AK375" s="58"/>
      <c r="AL375" s="58"/>
      <c r="AM375" s="58"/>
      <c r="AN375" s="58"/>
      <c r="AO375" s="58"/>
      <c r="AP375" s="58"/>
      <c r="AQ375" s="58"/>
      <c r="AR375" s="58"/>
      <c r="AS375" s="58"/>
      <c r="AT375" s="58"/>
      <c r="AU375" s="58"/>
      <c r="AV375" s="58"/>
      <c r="AW375" s="58"/>
      <c r="AX375" s="58"/>
      <c r="AY375" s="58"/>
      <c r="AZ375" s="58"/>
      <c r="BA375" s="58"/>
      <c r="BB375" s="58"/>
      <c r="BC375" s="58"/>
      <c r="BD375" s="58"/>
      <c r="BE375" s="58"/>
      <c r="BF375" s="58"/>
      <c r="BG375" s="58"/>
      <c r="BH375" s="58"/>
      <c r="BI375" s="58"/>
      <c r="BJ375" s="58"/>
      <c r="BK375" s="58"/>
      <c r="BL375" s="58"/>
      <c r="BM375" s="58"/>
      <c r="BN375" s="58"/>
      <c r="BO375" s="58"/>
      <c r="BP375" s="58"/>
      <c r="BQ375" s="58"/>
      <c r="BR375" s="58"/>
      <c r="BS375" s="58"/>
      <c r="BT375" s="58"/>
      <c r="BU375" s="58"/>
      <c r="BV375" s="58"/>
      <c r="BW375" s="58"/>
      <c r="BX375" s="58"/>
      <c r="BY375" s="58"/>
      <c r="BZ375" s="58"/>
      <c r="CA375" s="58"/>
      <c r="CB375" s="58"/>
      <c r="CC375" s="58"/>
      <c r="CD375" s="58"/>
      <c r="CE375" s="58"/>
      <c r="CF375" s="58"/>
      <c r="CG375" s="58"/>
      <c r="CH375" s="58"/>
      <c r="CI375" s="58"/>
      <c r="CJ375" s="58"/>
      <c r="CK375" s="58"/>
      <c r="CL375" s="58"/>
      <c r="CM375" s="58"/>
      <c r="CN375" s="58"/>
      <c r="CO375" s="58"/>
      <c r="CP375" s="58"/>
      <c r="CQ375" s="58"/>
      <c r="CR375" s="58"/>
      <c r="CS375" s="58"/>
      <c r="CT375" s="58"/>
      <c r="CU375" s="58"/>
      <c r="CV375" s="58"/>
      <c r="CW375" s="58"/>
      <c r="CX375" s="58"/>
      <c r="CY375" s="58"/>
      <c r="CZ375" s="58"/>
      <c r="DA375" s="58"/>
      <c r="DB375" s="58"/>
      <c r="DC375" s="58"/>
      <c r="DD375" s="58"/>
      <c r="DE375" s="58"/>
      <c r="DF375" s="58"/>
      <c r="DG375" s="58"/>
      <c r="DH375" s="58"/>
      <c r="DI375" s="58"/>
      <c r="DJ375" s="58"/>
      <c r="DK375" s="58"/>
      <c r="DL375" s="58"/>
      <c r="DM375" s="58"/>
      <c r="DN375" s="58"/>
      <c r="DO375" s="58"/>
      <c r="DP375" s="58"/>
      <c r="DQ375" s="58"/>
      <c r="DR375" s="58"/>
      <c r="DS375" s="58"/>
      <c r="DT375" s="58"/>
      <c r="DU375" s="58"/>
      <c r="DV375" s="58"/>
      <c r="DW375" s="58"/>
      <c r="DX375" s="58"/>
      <c r="DY375" s="58"/>
      <c r="DZ375" s="58"/>
      <c r="EA375" s="58"/>
      <c r="EB375" s="58"/>
      <c r="EC375" s="58"/>
      <c r="ED375" s="58"/>
      <c r="EE375" s="58"/>
      <c r="EF375" s="58"/>
      <c r="EG375" s="58"/>
      <c r="EH375" s="58"/>
      <c r="EI375" s="58"/>
      <c r="EJ375" s="58"/>
      <c r="EK375" s="58"/>
      <c r="EL375" s="58"/>
      <c r="EM375" s="58"/>
      <c r="EN375" s="58"/>
      <c r="EO375" s="58"/>
      <c r="EP375" s="58"/>
      <c r="EQ375" s="58"/>
      <c r="ER375" s="58"/>
      <c r="ES375" s="58"/>
      <c r="ET375" s="58"/>
      <c r="EU375" s="58"/>
      <c r="EV375" s="58"/>
      <c r="EW375" s="58"/>
      <c r="EX375" s="58"/>
      <c r="EY375" s="58"/>
      <c r="EZ375" s="58"/>
      <c r="FA375" s="58"/>
      <c r="FB375" s="58"/>
      <c r="FC375" s="58"/>
      <c r="FD375" s="58"/>
      <c r="FE375" s="58"/>
      <c r="FF375" s="58"/>
      <c r="FG375" s="58"/>
      <c r="FH375" s="58"/>
      <c r="FI375" s="58"/>
      <c r="FJ375" s="58"/>
      <c r="FK375" s="58"/>
      <c r="FL375" s="58"/>
      <c r="FM375" s="58"/>
      <c r="FN375" s="58"/>
      <c r="FO375" s="58"/>
      <c r="FP375" s="58"/>
      <c r="FQ375" s="58"/>
      <c r="FR375" s="58"/>
      <c r="FS375" s="58"/>
      <c r="FT375" s="58"/>
      <c r="FU375" s="58"/>
      <c r="FV375" s="58"/>
      <c r="FW375" s="58"/>
      <c r="FX375" s="58"/>
      <c r="FY375" s="58"/>
      <c r="FZ375" s="58"/>
      <c r="GA375" s="58"/>
      <c r="GB375" s="58"/>
      <c r="GC375" s="58"/>
      <c r="GD375" s="58"/>
      <c r="GE375" s="58"/>
      <c r="GF375" s="58"/>
      <c r="GG375" s="58"/>
      <c r="GH375" s="58"/>
      <c r="GI375" s="58"/>
      <c r="GJ375" s="58"/>
      <c r="GK375" s="58"/>
      <c r="GL375" s="58"/>
      <c r="GM375" s="58"/>
      <c r="GN375" s="58"/>
      <c r="GO375" s="58"/>
      <c r="GP375" s="58"/>
      <c r="GQ375" s="58"/>
      <c r="GR375" s="58"/>
      <c r="GS375" s="58"/>
      <c r="GT375" s="58"/>
      <c r="GU375" s="58"/>
      <c r="GV375" s="58"/>
      <c r="GW375" s="58"/>
      <c r="GX375" s="58"/>
      <c r="GY375" s="58"/>
      <c r="GZ375" s="58"/>
      <c r="HA375" s="58"/>
      <c r="HB375" s="58"/>
      <c r="HC375" s="58"/>
      <c r="HD375" s="58"/>
      <c r="HE375" s="58"/>
      <c r="HF375" s="58"/>
      <c r="HG375" s="58"/>
      <c r="HH375" s="58"/>
      <c r="HI375" s="58"/>
      <c r="HJ375" s="58"/>
      <c r="HK375" s="58"/>
      <c r="HL375" s="58"/>
      <c r="HM375" s="58"/>
      <c r="HN375" s="58"/>
      <c r="HO375" s="58"/>
      <c r="HP375" s="58"/>
      <c r="HQ375" s="58"/>
      <c r="HR375" s="58"/>
      <c r="HS375" s="58"/>
      <c r="HT375" s="58"/>
      <c r="HU375" s="58"/>
      <c r="HV375" s="58"/>
      <c r="HW375" s="58"/>
      <c r="HX375" s="58"/>
      <c r="HY375" s="58"/>
      <c r="HZ375" s="58"/>
      <c r="IA375" s="58"/>
      <c r="IB375" s="58"/>
      <c r="IC375" s="58"/>
      <c r="ID375" s="58"/>
      <c r="IE375" s="58"/>
      <c r="IF375" s="58"/>
      <c r="IG375" s="58"/>
      <c r="IH375" s="58"/>
      <c r="II375" s="58"/>
      <c r="IJ375" s="58"/>
      <c r="IK375" s="58"/>
      <c r="IL375" s="58"/>
      <c r="IM375" s="58"/>
      <c r="IN375" s="58"/>
      <c r="IO375" s="58"/>
      <c r="IP375" s="58"/>
      <c r="IQ375" s="58"/>
      <c r="IR375" s="58"/>
      <c r="IS375" s="58"/>
      <c r="IT375" s="58"/>
    </row>
    <row r="376" spans="1:254" s="55" customFormat="1" x14ac:dyDescent="0.25">
      <c r="A376" s="79">
        <f t="shared" si="36"/>
        <v>289599.90000000002</v>
      </c>
      <c r="B376" s="56">
        <v>289600</v>
      </c>
      <c r="C376" s="56">
        <v>3373606.9709999999</v>
      </c>
      <c r="D376" s="56">
        <v>653174.51870000002</v>
      </c>
      <c r="E376" s="56">
        <v>268.89600000000002</v>
      </c>
      <c r="F376" s="57">
        <f t="shared" si="41"/>
        <v>268.20800000000003</v>
      </c>
      <c r="G376" s="59">
        <v>289599.90000000002</v>
      </c>
      <c r="H376" s="56">
        <v>22.332999999999998</v>
      </c>
      <c r="I376" s="56">
        <v>653161.18999999994</v>
      </c>
      <c r="J376" s="56">
        <v>3373589.04</v>
      </c>
      <c r="K376" s="56">
        <v>268.31099999999998</v>
      </c>
      <c r="L376" s="56">
        <f t="shared" si="42"/>
        <v>268.97799999999995</v>
      </c>
      <c r="M376" s="56">
        <f t="shared" si="38"/>
        <v>8.2000000000000003E-2</v>
      </c>
      <c r="N376" s="56">
        <f t="shared" si="39"/>
        <v>0.10299999999999999</v>
      </c>
      <c r="O376" s="56"/>
      <c r="P376" s="56">
        <v>268.62200000000001</v>
      </c>
      <c r="Q376" s="56"/>
      <c r="R376" s="56"/>
      <c r="S376" s="56">
        <v>268.65499999999997</v>
      </c>
      <c r="T376" s="56">
        <f t="shared" si="40"/>
        <v>-0.34399999999999997</v>
      </c>
      <c r="U376" s="58"/>
      <c r="V376" s="58"/>
      <c r="W376" s="58"/>
      <c r="X376" s="58"/>
      <c r="Y376" s="58"/>
      <c r="Z376" s="58"/>
      <c r="AA376" s="58"/>
      <c r="AB376" s="58"/>
      <c r="AC376" s="58"/>
      <c r="AD376" s="58"/>
      <c r="AE376" s="58"/>
      <c r="AF376" s="58"/>
      <c r="AG376" s="58"/>
      <c r="AH376" s="58"/>
      <c r="AI376" s="58"/>
      <c r="AJ376" s="58"/>
      <c r="AK376" s="58"/>
      <c r="AL376" s="58"/>
      <c r="AM376" s="58"/>
      <c r="AN376" s="58"/>
      <c r="AO376" s="58"/>
      <c r="AP376" s="58"/>
      <c r="AQ376" s="58"/>
      <c r="AR376" s="58"/>
      <c r="AS376" s="58"/>
      <c r="AT376" s="58"/>
      <c r="AU376" s="58"/>
      <c r="AV376" s="58"/>
      <c r="AW376" s="58"/>
      <c r="AX376" s="58"/>
      <c r="AY376" s="58"/>
      <c r="AZ376" s="58"/>
      <c r="BA376" s="58"/>
      <c r="BB376" s="58"/>
      <c r="BC376" s="58"/>
      <c r="BD376" s="58"/>
      <c r="BE376" s="58"/>
      <c r="BF376" s="58"/>
      <c r="BG376" s="58"/>
      <c r="BH376" s="58"/>
      <c r="BI376" s="58"/>
      <c r="BJ376" s="58"/>
      <c r="BK376" s="58"/>
      <c r="BL376" s="58"/>
      <c r="BM376" s="58"/>
      <c r="BN376" s="58"/>
      <c r="BO376" s="58"/>
      <c r="BP376" s="58"/>
      <c r="BQ376" s="58"/>
      <c r="BR376" s="58"/>
      <c r="BS376" s="58"/>
      <c r="BT376" s="58"/>
      <c r="BU376" s="58"/>
      <c r="BV376" s="58"/>
      <c r="BW376" s="58"/>
      <c r="BX376" s="58"/>
      <c r="BY376" s="58"/>
      <c r="BZ376" s="58"/>
      <c r="CA376" s="58"/>
      <c r="CB376" s="58"/>
      <c r="CC376" s="58"/>
      <c r="CD376" s="58"/>
      <c r="CE376" s="58"/>
      <c r="CF376" s="58"/>
      <c r="CG376" s="58"/>
      <c r="CH376" s="58"/>
      <c r="CI376" s="58"/>
      <c r="CJ376" s="58"/>
      <c r="CK376" s="58"/>
      <c r="CL376" s="58"/>
      <c r="CM376" s="58"/>
      <c r="CN376" s="58"/>
      <c r="CO376" s="58"/>
      <c r="CP376" s="58"/>
      <c r="CQ376" s="58"/>
      <c r="CR376" s="58"/>
      <c r="CS376" s="58"/>
      <c r="CT376" s="58"/>
      <c r="CU376" s="58"/>
      <c r="CV376" s="58"/>
      <c r="CW376" s="58"/>
      <c r="CX376" s="58"/>
      <c r="CY376" s="58"/>
      <c r="CZ376" s="58"/>
      <c r="DA376" s="58"/>
      <c r="DB376" s="58"/>
      <c r="DC376" s="58"/>
      <c r="DD376" s="58"/>
      <c r="DE376" s="58"/>
      <c r="DF376" s="58"/>
      <c r="DG376" s="58"/>
      <c r="DH376" s="58"/>
      <c r="DI376" s="58"/>
      <c r="DJ376" s="58"/>
      <c r="DK376" s="58"/>
      <c r="DL376" s="58"/>
      <c r="DM376" s="58"/>
      <c r="DN376" s="58"/>
      <c r="DO376" s="58"/>
      <c r="DP376" s="58"/>
      <c r="DQ376" s="58"/>
      <c r="DR376" s="58"/>
      <c r="DS376" s="58"/>
      <c r="DT376" s="58"/>
      <c r="DU376" s="58"/>
      <c r="DV376" s="58"/>
      <c r="DW376" s="58"/>
      <c r="DX376" s="58"/>
      <c r="DY376" s="58"/>
      <c r="DZ376" s="58"/>
      <c r="EA376" s="58"/>
      <c r="EB376" s="58"/>
      <c r="EC376" s="58"/>
      <c r="ED376" s="58"/>
      <c r="EE376" s="58"/>
      <c r="EF376" s="58"/>
      <c r="EG376" s="58"/>
      <c r="EH376" s="58"/>
      <c r="EI376" s="58"/>
      <c r="EJ376" s="58"/>
      <c r="EK376" s="58"/>
      <c r="EL376" s="58"/>
      <c r="EM376" s="58"/>
      <c r="EN376" s="58"/>
      <c r="EO376" s="58"/>
      <c r="EP376" s="58"/>
      <c r="EQ376" s="58"/>
      <c r="ER376" s="58"/>
      <c r="ES376" s="58"/>
      <c r="ET376" s="58"/>
      <c r="EU376" s="58"/>
      <c r="EV376" s="58"/>
      <c r="EW376" s="58"/>
      <c r="EX376" s="58"/>
      <c r="EY376" s="58"/>
      <c r="EZ376" s="58"/>
      <c r="FA376" s="58"/>
      <c r="FB376" s="58"/>
      <c r="FC376" s="58"/>
      <c r="FD376" s="58"/>
      <c r="FE376" s="58"/>
      <c r="FF376" s="58"/>
      <c r="FG376" s="58"/>
      <c r="FH376" s="58"/>
      <c r="FI376" s="58"/>
      <c r="FJ376" s="58"/>
      <c r="FK376" s="58"/>
      <c r="FL376" s="58"/>
      <c r="FM376" s="58"/>
      <c r="FN376" s="58"/>
      <c r="FO376" s="58"/>
      <c r="FP376" s="58"/>
      <c r="FQ376" s="58"/>
      <c r="FR376" s="58"/>
      <c r="FS376" s="58"/>
      <c r="FT376" s="58"/>
      <c r="FU376" s="58"/>
      <c r="FV376" s="58"/>
      <c r="FW376" s="58"/>
      <c r="FX376" s="58"/>
      <c r="FY376" s="58"/>
      <c r="FZ376" s="58"/>
      <c r="GA376" s="58"/>
      <c r="GB376" s="58"/>
      <c r="GC376" s="58"/>
      <c r="GD376" s="58"/>
      <c r="GE376" s="58"/>
      <c r="GF376" s="58"/>
      <c r="GG376" s="58"/>
      <c r="GH376" s="58"/>
      <c r="GI376" s="58"/>
      <c r="GJ376" s="58"/>
      <c r="GK376" s="58"/>
      <c r="GL376" s="58"/>
      <c r="GM376" s="58"/>
      <c r="GN376" s="58"/>
      <c r="GO376" s="58"/>
      <c r="GP376" s="58"/>
      <c r="GQ376" s="58"/>
      <c r="GR376" s="58"/>
      <c r="GS376" s="58"/>
      <c r="GT376" s="58"/>
      <c r="GU376" s="58"/>
      <c r="GV376" s="58"/>
      <c r="GW376" s="58"/>
      <c r="GX376" s="58"/>
      <c r="GY376" s="58"/>
      <c r="GZ376" s="58"/>
      <c r="HA376" s="58"/>
      <c r="HB376" s="58"/>
      <c r="HC376" s="58"/>
      <c r="HD376" s="58"/>
      <c r="HE376" s="58"/>
      <c r="HF376" s="58"/>
      <c r="HG376" s="58"/>
      <c r="HH376" s="58"/>
      <c r="HI376" s="58"/>
      <c r="HJ376" s="58"/>
      <c r="HK376" s="58"/>
      <c r="HL376" s="58"/>
      <c r="HM376" s="58"/>
      <c r="HN376" s="58"/>
      <c r="HO376" s="58"/>
      <c r="HP376" s="58"/>
      <c r="HQ376" s="58"/>
      <c r="HR376" s="58"/>
      <c r="HS376" s="58"/>
      <c r="HT376" s="58"/>
      <c r="HU376" s="58"/>
      <c r="HV376" s="58"/>
      <c r="HW376" s="58"/>
      <c r="HX376" s="58"/>
      <c r="HY376" s="58"/>
      <c r="HZ376" s="58"/>
      <c r="IA376" s="58"/>
      <c r="IB376" s="58"/>
      <c r="IC376" s="58"/>
      <c r="ID376" s="58"/>
      <c r="IE376" s="58"/>
      <c r="IF376" s="58"/>
      <c r="IG376" s="58"/>
      <c r="IH376" s="58"/>
      <c r="II376" s="58"/>
      <c r="IJ376" s="58"/>
      <c r="IK376" s="58"/>
      <c r="IL376" s="58"/>
      <c r="IM376" s="58"/>
      <c r="IN376" s="58"/>
      <c r="IO376" s="58"/>
      <c r="IP376" s="58"/>
      <c r="IQ376" s="58"/>
      <c r="IR376" s="58"/>
      <c r="IS376" s="58"/>
      <c r="IT376" s="58"/>
    </row>
    <row r="377" spans="1:254" s="55" customFormat="1" x14ac:dyDescent="0.25">
      <c r="A377" s="79">
        <f t="shared" si="36"/>
        <v>289619.90000000002</v>
      </c>
      <c r="B377" s="56">
        <v>289620</v>
      </c>
      <c r="C377" s="56">
        <v>3373618.8689999999</v>
      </c>
      <c r="D377" s="56">
        <v>653158.44330000004</v>
      </c>
      <c r="E377" s="56">
        <v>268.87400000000002</v>
      </c>
      <c r="F377" s="57">
        <f t="shared" si="41"/>
        <v>268.18600000000004</v>
      </c>
      <c r="G377" s="59">
        <v>289619.90000000002</v>
      </c>
      <c r="H377" s="56">
        <v>22.896999999999998</v>
      </c>
      <c r="I377" s="56">
        <v>653144.78500000003</v>
      </c>
      <c r="J377" s="56">
        <v>3373600.4810000001</v>
      </c>
      <c r="K377" s="56">
        <v>268.32900000000001</v>
      </c>
      <c r="L377" s="56">
        <f t="shared" si="42"/>
        <v>268.99599999999998</v>
      </c>
      <c r="M377" s="56">
        <f t="shared" si="38"/>
        <v>0.122</v>
      </c>
      <c r="N377" s="56">
        <f t="shared" si="39"/>
        <v>0.14299999999999999</v>
      </c>
      <c r="O377" s="56"/>
      <c r="P377" s="56">
        <v>268.76600000000002</v>
      </c>
      <c r="Q377" s="56"/>
      <c r="R377" s="56"/>
      <c r="S377" s="56">
        <v>268.84399999999999</v>
      </c>
      <c r="T377" s="56">
        <f t="shared" si="40"/>
        <v>-0.51500000000000001</v>
      </c>
      <c r="U377" s="58"/>
      <c r="V377" s="58"/>
      <c r="W377" s="58"/>
      <c r="X377" s="58"/>
      <c r="Y377" s="58"/>
      <c r="Z377" s="58"/>
      <c r="AA377" s="58"/>
      <c r="AB377" s="58"/>
      <c r="AC377" s="58"/>
      <c r="AD377" s="58"/>
      <c r="AE377" s="58"/>
      <c r="AF377" s="58"/>
      <c r="AG377" s="58"/>
      <c r="AH377" s="58"/>
      <c r="AI377" s="58"/>
      <c r="AJ377" s="58"/>
      <c r="AK377" s="58"/>
      <c r="AL377" s="58"/>
      <c r="AM377" s="58"/>
      <c r="AN377" s="58"/>
      <c r="AO377" s="58"/>
      <c r="AP377" s="58"/>
      <c r="AQ377" s="58"/>
      <c r="AR377" s="58"/>
      <c r="AS377" s="58"/>
      <c r="AT377" s="58"/>
      <c r="AU377" s="58"/>
      <c r="AV377" s="58"/>
      <c r="AW377" s="58"/>
      <c r="AX377" s="58"/>
      <c r="AY377" s="58"/>
      <c r="AZ377" s="58"/>
      <c r="BA377" s="58"/>
      <c r="BB377" s="58"/>
      <c r="BC377" s="58"/>
      <c r="BD377" s="58"/>
      <c r="BE377" s="58"/>
      <c r="BF377" s="58"/>
      <c r="BG377" s="58"/>
      <c r="BH377" s="58"/>
      <c r="BI377" s="58"/>
      <c r="BJ377" s="58"/>
      <c r="BK377" s="58"/>
      <c r="BL377" s="58"/>
      <c r="BM377" s="58"/>
      <c r="BN377" s="58"/>
      <c r="BO377" s="58"/>
      <c r="BP377" s="58"/>
      <c r="BQ377" s="58"/>
      <c r="BR377" s="58"/>
      <c r="BS377" s="58"/>
      <c r="BT377" s="58"/>
      <c r="BU377" s="58"/>
      <c r="BV377" s="58"/>
      <c r="BW377" s="58"/>
      <c r="BX377" s="58"/>
      <c r="BY377" s="58"/>
      <c r="BZ377" s="58"/>
      <c r="CA377" s="58"/>
      <c r="CB377" s="58"/>
      <c r="CC377" s="58"/>
      <c r="CD377" s="58"/>
      <c r="CE377" s="58"/>
      <c r="CF377" s="58"/>
      <c r="CG377" s="58"/>
      <c r="CH377" s="58"/>
      <c r="CI377" s="58"/>
      <c r="CJ377" s="58"/>
      <c r="CK377" s="58"/>
      <c r="CL377" s="58"/>
      <c r="CM377" s="58"/>
      <c r="CN377" s="58"/>
      <c r="CO377" s="58"/>
      <c r="CP377" s="58"/>
      <c r="CQ377" s="58"/>
      <c r="CR377" s="58"/>
      <c r="CS377" s="58"/>
      <c r="CT377" s="58"/>
      <c r="CU377" s="58"/>
      <c r="CV377" s="58"/>
      <c r="CW377" s="58"/>
      <c r="CX377" s="58"/>
      <c r="CY377" s="58"/>
      <c r="CZ377" s="58"/>
      <c r="DA377" s="58"/>
      <c r="DB377" s="58"/>
      <c r="DC377" s="58"/>
      <c r="DD377" s="58"/>
      <c r="DE377" s="58"/>
      <c r="DF377" s="58"/>
      <c r="DG377" s="58"/>
      <c r="DH377" s="58"/>
      <c r="DI377" s="58"/>
      <c r="DJ377" s="58"/>
      <c r="DK377" s="58"/>
      <c r="DL377" s="58"/>
      <c r="DM377" s="58"/>
      <c r="DN377" s="58"/>
      <c r="DO377" s="58"/>
      <c r="DP377" s="58"/>
      <c r="DQ377" s="58"/>
      <c r="DR377" s="58"/>
      <c r="DS377" s="58"/>
      <c r="DT377" s="58"/>
      <c r="DU377" s="58"/>
      <c r="DV377" s="58"/>
      <c r="DW377" s="58"/>
      <c r="DX377" s="58"/>
      <c r="DY377" s="58"/>
      <c r="DZ377" s="58"/>
      <c r="EA377" s="58"/>
      <c r="EB377" s="58"/>
      <c r="EC377" s="58"/>
      <c r="ED377" s="58"/>
      <c r="EE377" s="58"/>
      <c r="EF377" s="58"/>
      <c r="EG377" s="58"/>
      <c r="EH377" s="58"/>
      <c r="EI377" s="58"/>
      <c r="EJ377" s="58"/>
      <c r="EK377" s="58"/>
      <c r="EL377" s="58"/>
      <c r="EM377" s="58"/>
      <c r="EN377" s="58"/>
      <c r="EO377" s="58"/>
      <c r="EP377" s="58"/>
      <c r="EQ377" s="58"/>
      <c r="ER377" s="58"/>
      <c r="ES377" s="58"/>
      <c r="ET377" s="58"/>
      <c r="EU377" s="58"/>
      <c r="EV377" s="58"/>
      <c r="EW377" s="58"/>
      <c r="EX377" s="58"/>
      <c r="EY377" s="58"/>
      <c r="EZ377" s="58"/>
      <c r="FA377" s="58"/>
      <c r="FB377" s="58"/>
      <c r="FC377" s="58"/>
      <c r="FD377" s="58"/>
      <c r="FE377" s="58"/>
      <c r="FF377" s="58"/>
      <c r="FG377" s="58"/>
      <c r="FH377" s="58"/>
      <c r="FI377" s="58"/>
      <c r="FJ377" s="58"/>
      <c r="FK377" s="58"/>
      <c r="FL377" s="58"/>
      <c r="FM377" s="58"/>
      <c r="FN377" s="58"/>
      <c r="FO377" s="58"/>
      <c r="FP377" s="58"/>
      <c r="FQ377" s="58"/>
      <c r="FR377" s="58"/>
      <c r="FS377" s="58"/>
      <c r="FT377" s="58"/>
      <c r="FU377" s="58"/>
      <c r="FV377" s="58"/>
      <c r="FW377" s="58"/>
      <c r="FX377" s="58"/>
      <c r="FY377" s="58"/>
      <c r="FZ377" s="58"/>
      <c r="GA377" s="58"/>
      <c r="GB377" s="58"/>
      <c r="GC377" s="58"/>
      <c r="GD377" s="58"/>
      <c r="GE377" s="58"/>
      <c r="GF377" s="58"/>
      <c r="GG377" s="58"/>
      <c r="GH377" s="58"/>
      <c r="GI377" s="58"/>
      <c r="GJ377" s="58"/>
      <c r="GK377" s="58"/>
      <c r="GL377" s="58"/>
      <c r="GM377" s="58"/>
      <c r="GN377" s="58"/>
      <c r="GO377" s="58"/>
      <c r="GP377" s="58"/>
      <c r="GQ377" s="58"/>
      <c r="GR377" s="58"/>
      <c r="GS377" s="58"/>
      <c r="GT377" s="58"/>
      <c r="GU377" s="58"/>
      <c r="GV377" s="58"/>
      <c r="GW377" s="58"/>
      <c r="GX377" s="58"/>
      <c r="GY377" s="58"/>
      <c r="GZ377" s="58"/>
      <c r="HA377" s="58"/>
      <c r="HB377" s="58"/>
      <c r="HC377" s="58"/>
      <c r="HD377" s="58"/>
      <c r="HE377" s="58"/>
      <c r="HF377" s="58"/>
      <c r="HG377" s="58"/>
      <c r="HH377" s="58"/>
      <c r="HI377" s="58"/>
      <c r="HJ377" s="58"/>
      <c r="HK377" s="58"/>
      <c r="HL377" s="58"/>
      <c r="HM377" s="58"/>
      <c r="HN377" s="58"/>
      <c r="HO377" s="58"/>
      <c r="HP377" s="58"/>
      <c r="HQ377" s="58"/>
      <c r="HR377" s="58"/>
      <c r="HS377" s="58"/>
      <c r="HT377" s="58"/>
      <c r="HU377" s="58"/>
      <c r="HV377" s="58"/>
      <c r="HW377" s="58"/>
      <c r="HX377" s="58"/>
      <c r="HY377" s="58"/>
      <c r="HZ377" s="58"/>
      <c r="IA377" s="58"/>
      <c r="IB377" s="58"/>
      <c r="IC377" s="58"/>
      <c r="ID377" s="58"/>
      <c r="IE377" s="58"/>
      <c r="IF377" s="58"/>
      <c r="IG377" s="58"/>
      <c r="IH377" s="58"/>
      <c r="II377" s="58"/>
      <c r="IJ377" s="58"/>
      <c r="IK377" s="58"/>
      <c r="IL377" s="58"/>
      <c r="IM377" s="58"/>
      <c r="IN377" s="58"/>
      <c r="IO377" s="58"/>
      <c r="IP377" s="58"/>
      <c r="IQ377" s="58"/>
      <c r="IR377" s="58"/>
      <c r="IS377" s="58"/>
      <c r="IT377" s="58"/>
    </row>
    <row r="378" spans="1:254" s="55" customFormat="1" x14ac:dyDescent="0.25">
      <c r="A378" s="79">
        <f t="shared" si="36"/>
        <v>289639.8</v>
      </c>
      <c r="B378" s="56">
        <v>289640</v>
      </c>
      <c r="C378" s="56">
        <v>3373630.71</v>
      </c>
      <c r="D378" s="56">
        <v>653142.32499999995</v>
      </c>
      <c r="E378" s="56">
        <v>268.892</v>
      </c>
      <c r="F378" s="57">
        <f t="shared" si="41"/>
        <v>268.20400000000001</v>
      </c>
      <c r="G378" s="59">
        <v>289639.8</v>
      </c>
      <c r="H378" s="56">
        <v>23.387</v>
      </c>
      <c r="I378" s="56">
        <v>653128.38</v>
      </c>
      <c r="J378" s="56">
        <v>3373611.9219999998</v>
      </c>
      <c r="K378" s="56">
        <v>268.358</v>
      </c>
      <c r="L378" s="56">
        <f t="shared" si="42"/>
        <v>269.02499999999998</v>
      </c>
      <c r="M378" s="56">
        <f t="shared" si="38"/>
        <v>0.13300000000000001</v>
      </c>
      <c r="N378" s="56">
        <f t="shared" si="39"/>
        <v>0.154</v>
      </c>
      <c r="O378" s="56"/>
      <c r="P378" s="56">
        <v>268.89100000000002</v>
      </c>
      <c r="Q378" s="56"/>
      <c r="R378" s="56"/>
      <c r="S378" s="56">
        <v>268.91000000000003</v>
      </c>
      <c r="T378" s="56">
        <f t="shared" si="40"/>
        <v>-0.55200000000000005</v>
      </c>
      <c r="U378" s="58"/>
      <c r="V378" s="58"/>
      <c r="W378" s="58"/>
      <c r="X378" s="58"/>
      <c r="Y378" s="58"/>
      <c r="Z378" s="58"/>
      <c r="AA378" s="58"/>
      <c r="AB378" s="58"/>
      <c r="AC378" s="58"/>
      <c r="AD378" s="58"/>
      <c r="AE378" s="58"/>
      <c r="AF378" s="58"/>
      <c r="AG378" s="58"/>
      <c r="AH378" s="58"/>
      <c r="AI378" s="58"/>
      <c r="AJ378" s="58"/>
      <c r="AK378" s="58"/>
      <c r="AL378" s="58"/>
      <c r="AM378" s="58"/>
      <c r="AN378" s="58"/>
      <c r="AO378" s="58"/>
      <c r="AP378" s="58"/>
      <c r="AQ378" s="58"/>
      <c r="AR378" s="58"/>
      <c r="AS378" s="58"/>
      <c r="AT378" s="58"/>
      <c r="AU378" s="58"/>
      <c r="AV378" s="58"/>
      <c r="AW378" s="58"/>
      <c r="AX378" s="58"/>
      <c r="AY378" s="58"/>
      <c r="AZ378" s="58"/>
      <c r="BA378" s="58"/>
      <c r="BB378" s="58"/>
      <c r="BC378" s="58"/>
      <c r="BD378" s="58"/>
      <c r="BE378" s="58"/>
      <c r="BF378" s="58"/>
      <c r="BG378" s="58"/>
      <c r="BH378" s="58"/>
      <c r="BI378" s="58"/>
      <c r="BJ378" s="58"/>
      <c r="BK378" s="58"/>
      <c r="BL378" s="58"/>
      <c r="BM378" s="58"/>
      <c r="BN378" s="58"/>
      <c r="BO378" s="58"/>
      <c r="BP378" s="58"/>
      <c r="BQ378" s="58"/>
      <c r="BR378" s="58"/>
      <c r="BS378" s="58"/>
      <c r="BT378" s="58"/>
      <c r="BU378" s="58"/>
      <c r="BV378" s="58"/>
      <c r="BW378" s="58"/>
      <c r="BX378" s="58"/>
      <c r="BY378" s="58"/>
      <c r="BZ378" s="58"/>
      <c r="CA378" s="58"/>
      <c r="CB378" s="58"/>
      <c r="CC378" s="58"/>
      <c r="CD378" s="58"/>
      <c r="CE378" s="58"/>
      <c r="CF378" s="58"/>
      <c r="CG378" s="58"/>
      <c r="CH378" s="58"/>
      <c r="CI378" s="58"/>
      <c r="CJ378" s="58"/>
      <c r="CK378" s="58"/>
      <c r="CL378" s="58"/>
      <c r="CM378" s="58"/>
      <c r="CN378" s="58"/>
      <c r="CO378" s="58"/>
      <c r="CP378" s="58"/>
      <c r="CQ378" s="58"/>
      <c r="CR378" s="58"/>
      <c r="CS378" s="58"/>
      <c r="CT378" s="58"/>
      <c r="CU378" s="58"/>
      <c r="CV378" s="58"/>
      <c r="CW378" s="58"/>
      <c r="CX378" s="58"/>
      <c r="CY378" s="58"/>
      <c r="CZ378" s="58"/>
      <c r="DA378" s="58"/>
      <c r="DB378" s="58"/>
      <c r="DC378" s="58"/>
      <c r="DD378" s="58"/>
      <c r="DE378" s="58"/>
      <c r="DF378" s="58"/>
      <c r="DG378" s="58"/>
      <c r="DH378" s="58"/>
      <c r="DI378" s="58"/>
      <c r="DJ378" s="58"/>
      <c r="DK378" s="58"/>
      <c r="DL378" s="58"/>
      <c r="DM378" s="58"/>
      <c r="DN378" s="58"/>
      <c r="DO378" s="58"/>
      <c r="DP378" s="58"/>
      <c r="DQ378" s="58"/>
      <c r="DR378" s="58"/>
      <c r="DS378" s="58"/>
      <c r="DT378" s="58"/>
      <c r="DU378" s="58"/>
      <c r="DV378" s="58"/>
      <c r="DW378" s="58"/>
      <c r="DX378" s="58"/>
      <c r="DY378" s="58"/>
      <c r="DZ378" s="58"/>
      <c r="EA378" s="58"/>
      <c r="EB378" s="58"/>
      <c r="EC378" s="58"/>
      <c r="ED378" s="58"/>
      <c r="EE378" s="58"/>
      <c r="EF378" s="58"/>
      <c r="EG378" s="58"/>
      <c r="EH378" s="58"/>
      <c r="EI378" s="58"/>
      <c r="EJ378" s="58"/>
      <c r="EK378" s="58"/>
      <c r="EL378" s="58"/>
      <c r="EM378" s="58"/>
      <c r="EN378" s="58"/>
      <c r="EO378" s="58"/>
      <c r="EP378" s="58"/>
      <c r="EQ378" s="58"/>
      <c r="ER378" s="58"/>
      <c r="ES378" s="58"/>
      <c r="ET378" s="58"/>
      <c r="EU378" s="58"/>
      <c r="EV378" s="58"/>
      <c r="EW378" s="58"/>
      <c r="EX378" s="58"/>
      <c r="EY378" s="58"/>
      <c r="EZ378" s="58"/>
      <c r="FA378" s="58"/>
      <c r="FB378" s="58"/>
      <c r="FC378" s="58"/>
      <c r="FD378" s="58"/>
      <c r="FE378" s="58"/>
      <c r="FF378" s="58"/>
      <c r="FG378" s="58"/>
      <c r="FH378" s="58"/>
      <c r="FI378" s="58"/>
      <c r="FJ378" s="58"/>
      <c r="FK378" s="58"/>
      <c r="FL378" s="58"/>
      <c r="FM378" s="58"/>
      <c r="FN378" s="58"/>
      <c r="FO378" s="58"/>
      <c r="FP378" s="58"/>
      <c r="FQ378" s="58"/>
      <c r="FR378" s="58"/>
      <c r="FS378" s="58"/>
      <c r="FT378" s="58"/>
      <c r="FU378" s="58"/>
      <c r="FV378" s="58"/>
      <c r="FW378" s="58"/>
      <c r="FX378" s="58"/>
      <c r="FY378" s="58"/>
      <c r="FZ378" s="58"/>
      <c r="GA378" s="58"/>
      <c r="GB378" s="58"/>
      <c r="GC378" s="58"/>
      <c r="GD378" s="58"/>
      <c r="GE378" s="58"/>
      <c r="GF378" s="58"/>
      <c r="GG378" s="58"/>
      <c r="GH378" s="58"/>
      <c r="GI378" s="58"/>
      <c r="GJ378" s="58"/>
      <c r="GK378" s="58"/>
      <c r="GL378" s="58"/>
      <c r="GM378" s="58"/>
      <c r="GN378" s="58"/>
      <c r="GO378" s="58"/>
      <c r="GP378" s="58"/>
      <c r="GQ378" s="58"/>
      <c r="GR378" s="58"/>
      <c r="GS378" s="58"/>
      <c r="GT378" s="58"/>
      <c r="GU378" s="58"/>
      <c r="GV378" s="58"/>
      <c r="GW378" s="58"/>
      <c r="GX378" s="58"/>
      <c r="GY378" s="58"/>
      <c r="GZ378" s="58"/>
      <c r="HA378" s="58"/>
      <c r="HB378" s="58"/>
      <c r="HC378" s="58"/>
      <c r="HD378" s="58"/>
      <c r="HE378" s="58"/>
      <c r="HF378" s="58"/>
      <c r="HG378" s="58"/>
      <c r="HH378" s="58"/>
      <c r="HI378" s="58"/>
      <c r="HJ378" s="58"/>
      <c r="HK378" s="58"/>
      <c r="HL378" s="58"/>
      <c r="HM378" s="58"/>
      <c r="HN378" s="58"/>
      <c r="HO378" s="58"/>
      <c r="HP378" s="58"/>
      <c r="HQ378" s="58"/>
      <c r="HR378" s="58"/>
      <c r="HS378" s="58"/>
      <c r="HT378" s="58"/>
      <c r="HU378" s="58"/>
      <c r="HV378" s="58"/>
      <c r="HW378" s="58"/>
      <c r="HX378" s="58"/>
      <c r="HY378" s="58"/>
      <c r="HZ378" s="58"/>
      <c r="IA378" s="58"/>
      <c r="IB378" s="58"/>
      <c r="IC378" s="58"/>
      <c r="ID378" s="58"/>
      <c r="IE378" s="58"/>
      <c r="IF378" s="58"/>
      <c r="IG378" s="58"/>
      <c r="IH378" s="58"/>
      <c r="II378" s="58"/>
      <c r="IJ378" s="58"/>
      <c r="IK378" s="58"/>
      <c r="IL378" s="58"/>
      <c r="IM378" s="58"/>
      <c r="IN378" s="58"/>
      <c r="IO378" s="58"/>
      <c r="IP378" s="58"/>
      <c r="IQ378" s="58"/>
      <c r="IR378" s="58"/>
      <c r="IS378" s="58"/>
      <c r="IT378" s="58"/>
    </row>
    <row r="379" spans="1:254" s="55" customFormat="1" x14ac:dyDescent="0.25">
      <c r="A379" s="79">
        <f t="shared" si="36"/>
        <v>289659.8</v>
      </c>
      <c r="B379" s="56">
        <v>289660</v>
      </c>
      <c r="C379" s="56">
        <v>3373642.53</v>
      </c>
      <c r="D379" s="56">
        <v>653126.19149999996</v>
      </c>
      <c r="E379" s="56">
        <v>268.92500000000001</v>
      </c>
      <c r="F379" s="57">
        <f t="shared" si="41"/>
        <v>268.23700000000002</v>
      </c>
      <c r="G379" s="59">
        <v>289659.8</v>
      </c>
      <c r="H379" s="56">
        <v>23.853999999999999</v>
      </c>
      <c r="I379" s="56">
        <v>653111.95900000003</v>
      </c>
      <c r="J379" s="56">
        <v>3373623.338</v>
      </c>
      <c r="K379" s="56">
        <v>268.387</v>
      </c>
      <c r="L379" s="56">
        <f t="shared" si="42"/>
        <v>269.05399999999997</v>
      </c>
      <c r="M379" s="56">
        <f t="shared" si="38"/>
        <v>0.129</v>
      </c>
      <c r="N379" s="56">
        <f t="shared" si="39"/>
        <v>0.15</v>
      </c>
      <c r="O379" s="56"/>
      <c r="P379" s="56">
        <v>268.99599999999998</v>
      </c>
      <c r="Q379" s="56"/>
      <c r="R379" s="56"/>
      <c r="S379" s="56">
        <v>268.91500000000002</v>
      </c>
      <c r="T379" s="56">
        <f t="shared" si="40"/>
        <v>-0.52800000000000002</v>
      </c>
      <c r="U379" s="58"/>
      <c r="V379" s="58"/>
      <c r="W379" s="58"/>
      <c r="X379" s="58"/>
      <c r="Y379" s="58"/>
      <c r="Z379" s="58"/>
      <c r="AA379" s="58"/>
      <c r="AB379" s="58"/>
      <c r="AC379" s="58"/>
      <c r="AD379" s="58"/>
      <c r="AE379" s="58"/>
      <c r="AF379" s="58"/>
      <c r="AG379" s="58"/>
      <c r="AH379" s="58"/>
      <c r="AI379" s="58"/>
      <c r="AJ379" s="58"/>
      <c r="AK379" s="58"/>
      <c r="AL379" s="58"/>
      <c r="AM379" s="58"/>
      <c r="AN379" s="58"/>
      <c r="AO379" s="58"/>
      <c r="AP379" s="58"/>
      <c r="AQ379" s="58"/>
      <c r="AR379" s="58"/>
      <c r="AS379" s="58"/>
      <c r="AT379" s="58"/>
      <c r="AU379" s="58"/>
      <c r="AV379" s="58"/>
      <c r="AW379" s="58"/>
      <c r="AX379" s="58"/>
      <c r="AY379" s="58"/>
      <c r="AZ379" s="58"/>
      <c r="BA379" s="58"/>
      <c r="BB379" s="58"/>
      <c r="BC379" s="58"/>
      <c r="BD379" s="58"/>
      <c r="BE379" s="58"/>
      <c r="BF379" s="58"/>
      <c r="BG379" s="58"/>
      <c r="BH379" s="58"/>
      <c r="BI379" s="58"/>
      <c r="BJ379" s="58"/>
      <c r="BK379" s="58"/>
      <c r="BL379" s="58"/>
      <c r="BM379" s="58"/>
      <c r="BN379" s="58"/>
      <c r="BO379" s="58"/>
      <c r="BP379" s="58"/>
      <c r="BQ379" s="58"/>
      <c r="BR379" s="58"/>
      <c r="BS379" s="58"/>
      <c r="BT379" s="58"/>
      <c r="BU379" s="58"/>
      <c r="BV379" s="58"/>
      <c r="BW379" s="58"/>
      <c r="BX379" s="58"/>
      <c r="BY379" s="58"/>
      <c r="BZ379" s="58"/>
      <c r="CA379" s="58"/>
      <c r="CB379" s="58"/>
      <c r="CC379" s="58"/>
      <c r="CD379" s="58"/>
      <c r="CE379" s="58"/>
      <c r="CF379" s="58"/>
      <c r="CG379" s="58"/>
      <c r="CH379" s="58"/>
      <c r="CI379" s="58"/>
      <c r="CJ379" s="58"/>
      <c r="CK379" s="58"/>
      <c r="CL379" s="58"/>
      <c r="CM379" s="58"/>
      <c r="CN379" s="58"/>
      <c r="CO379" s="58"/>
      <c r="CP379" s="58"/>
      <c r="CQ379" s="58"/>
      <c r="CR379" s="58"/>
      <c r="CS379" s="58"/>
      <c r="CT379" s="58"/>
      <c r="CU379" s="58"/>
      <c r="CV379" s="58"/>
      <c r="CW379" s="58"/>
      <c r="CX379" s="58"/>
      <c r="CY379" s="58"/>
      <c r="CZ379" s="58"/>
      <c r="DA379" s="58"/>
      <c r="DB379" s="58"/>
      <c r="DC379" s="58"/>
      <c r="DD379" s="58"/>
      <c r="DE379" s="58"/>
      <c r="DF379" s="58"/>
      <c r="DG379" s="58"/>
      <c r="DH379" s="58"/>
      <c r="DI379" s="58"/>
      <c r="DJ379" s="58"/>
      <c r="DK379" s="58"/>
      <c r="DL379" s="58"/>
      <c r="DM379" s="58"/>
      <c r="DN379" s="58"/>
      <c r="DO379" s="58"/>
      <c r="DP379" s="58"/>
      <c r="DQ379" s="58"/>
      <c r="DR379" s="58"/>
      <c r="DS379" s="58"/>
      <c r="DT379" s="58"/>
      <c r="DU379" s="58"/>
      <c r="DV379" s="58"/>
      <c r="DW379" s="58"/>
      <c r="DX379" s="58"/>
      <c r="DY379" s="58"/>
      <c r="DZ379" s="58"/>
      <c r="EA379" s="58"/>
      <c r="EB379" s="58"/>
      <c r="EC379" s="58"/>
      <c r="ED379" s="58"/>
      <c r="EE379" s="58"/>
      <c r="EF379" s="58"/>
      <c r="EG379" s="58"/>
      <c r="EH379" s="58"/>
      <c r="EI379" s="58"/>
      <c r="EJ379" s="58"/>
      <c r="EK379" s="58"/>
      <c r="EL379" s="58"/>
      <c r="EM379" s="58"/>
      <c r="EN379" s="58"/>
      <c r="EO379" s="58"/>
      <c r="EP379" s="58"/>
      <c r="EQ379" s="58"/>
      <c r="ER379" s="58"/>
      <c r="ES379" s="58"/>
      <c r="ET379" s="58"/>
      <c r="EU379" s="58"/>
      <c r="EV379" s="58"/>
      <c r="EW379" s="58"/>
      <c r="EX379" s="58"/>
      <c r="EY379" s="58"/>
      <c r="EZ379" s="58"/>
      <c r="FA379" s="58"/>
      <c r="FB379" s="58"/>
      <c r="FC379" s="58"/>
      <c r="FD379" s="58"/>
      <c r="FE379" s="58"/>
      <c r="FF379" s="58"/>
      <c r="FG379" s="58"/>
      <c r="FH379" s="58"/>
      <c r="FI379" s="58"/>
      <c r="FJ379" s="58"/>
      <c r="FK379" s="58"/>
      <c r="FL379" s="58"/>
      <c r="FM379" s="58"/>
      <c r="FN379" s="58"/>
      <c r="FO379" s="58"/>
      <c r="FP379" s="58"/>
      <c r="FQ379" s="58"/>
      <c r="FR379" s="58"/>
      <c r="FS379" s="58"/>
      <c r="FT379" s="58"/>
      <c r="FU379" s="58"/>
      <c r="FV379" s="58"/>
      <c r="FW379" s="58"/>
      <c r="FX379" s="58"/>
      <c r="FY379" s="58"/>
      <c r="FZ379" s="58"/>
      <c r="GA379" s="58"/>
      <c r="GB379" s="58"/>
      <c r="GC379" s="58"/>
      <c r="GD379" s="58"/>
      <c r="GE379" s="58"/>
      <c r="GF379" s="58"/>
      <c r="GG379" s="58"/>
      <c r="GH379" s="58"/>
      <c r="GI379" s="58"/>
      <c r="GJ379" s="58"/>
      <c r="GK379" s="58"/>
      <c r="GL379" s="58"/>
      <c r="GM379" s="58"/>
      <c r="GN379" s="58"/>
      <c r="GO379" s="58"/>
      <c r="GP379" s="58"/>
      <c r="GQ379" s="58"/>
      <c r="GR379" s="58"/>
      <c r="GS379" s="58"/>
      <c r="GT379" s="58"/>
      <c r="GU379" s="58"/>
      <c r="GV379" s="58"/>
      <c r="GW379" s="58"/>
      <c r="GX379" s="58"/>
      <c r="GY379" s="58"/>
      <c r="GZ379" s="58"/>
      <c r="HA379" s="58"/>
      <c r="HB379" s="58"/>
      <c r="HC379" s="58"/>
      <c r="HD379" s="58"/>
      <c r="HE379" s="58"/>
      <c r="HF379" s="58"/>
      <c r="HG379" s="58"/>
      <c r="HH379" s="58"/>
      <c r="HI379" s="58"/>
      <c r="HJ379" s="58"/>
      <c r="HK379" s="58"/>
      <c r="HL379" s="58"/>
      <c r="HM379" s="58"/>
      <c r="HN379" s="58"/>
      <c r="HO379" s="58"/>
      <c r="HP379" s="58"/>
      <c r="HQ379" s="58"/>
      <c r="HR379" s="58"/>
      <c r="HS379" s="58"/>
      <c r="HT379" s="58"/>
      <c r="HU379" s="58"/>
      <c r="HV379" s="58"/>
      <c r="HW379" s="58"/>
      <c r="HX379" s="58"/>
      <c r="HY379" s="58"/>
      <c r="HZ379" s="58"/>
      <c r="IA379" s="58"/>
      <c r="IB379" s="58"/>
      <c r="IC379" s="58"/>
      <c r="ID379" s="58"/>
      <c r="IE379" s="58"/>
      <c r="IF379" s="58"/>
      <c r="IG379" s="58"/>
      <c r="IH379" s="58"/>
      <c r="II379" s="58"/>
      <c r="IJ379" s="58"/>
      <c r="IK379" s="58"/>
      <c r="IL379" s="58"/>
      <c r="IM379" s="58"/>
      <c r="IN379" s="58"/>
      <c r="IO379" s="58"/>
      <c r="IP379" s="58"/>
      <c r="IQ379" s="58"/>
      <c r="IR379" s="58"/>
      <c r="IS379" s="58"/>
      <c r="IT379" s="58"/>
    </row>
    <row r="380" spans="1:254" s="55" customFormat="1" x14ac:dyDescent="0.25">
      <c r="A380" s="79">
        <f t="shared" si="36"/>
        <v>289679.8</v>
      </c>
      <c r="B380" s="56">
        <v>289680</v>
      </c>
      <c r="C380" s="56">
        <v>3373654.3939999999</v>
      </c>
      <c r="D380" s="56">
        <v>653110.09039999999</v>
      </c>
      <c r="E380" s="56">
        <v>268.94499999999999</v>
      </c>
      <c r="F380" s="57">
        <f t="shared" si="41"/>
        <v>268.25700000000001</v>
      </c>
      <c r="G380" s="59">
        <v>289679.8</v>
      </c>
      <c r="H380" s="56">
        <v>24.375</v>
      </c>
      <c r="I380" s="56">
        <v>653095.495</v>
      </c>
      <c r="J380" s="56">
        <v>3373634.693</v>
      </c>
      <c r="K380" s="56">
        <v>268.416</v>
      </c>
      <c r="L380" s="56">
        <f t="shared" si="42"/>
        <v>269.08299999999997</v>
      </c>
      <c r="M380" s="56">
        <f t="shared" si="38"/>
        <v>0.13800000000000001</v>
      </c>
      <c r="N380" s="56">
        <f t="shared" si="39"/>
        <v>0.159</v>
      </c>
      <c r="O380" s="56"/>
      <c r="P380" s="56">
        <v>269.00599999999997</v>
      </c>
      <c r="Q380" s="56"/>
      <c r="R380" s="56"/>
      <c r="S380" s="56">
        <v>268.995</v>
      </c>
      <c r="T380" s="56">
        <f t="shared" si="40"/>
        <v>-0.57899999999999996</v>
      </c>
      <c r="U380" s="58"/>
      <c r="V380" s="58"/>
      <c r="W380" s="58"/>
      <c r="X380" s="58"/>
      <c r="Y380" s="58"/>
      <c r="Z380" s="58"/>
      <c r="AA380" s="58"/>
      <c r="AB380" s="58"/>
      <c r="AC380" s="58"/>
      <c r="AD380" s="58"/>
      <c r="AE380" s="58"/>
      <c r="AF380" s="58"/>
      <c r="AG380" s="58"/>
      <c r="AH380" s="58"/>
      <c r="AI380" s="58"/>
      <c r="AJ380" s="58"/>
      <c r="AK380" s="58"/>
      <c r="AL380" s="58"/>
      <c r="AM380" s="58"/>
      <c r="AN380" s="58"/>
      <c r="AO380" s="58"/>
      <c r="AP380" s="58"/>
      <c r="AQ380" s="58"/>
      <c r="AR380" s="58"/>
      <c r="AS380" s="58"/>
      <c r="AT380" s="58"/>
      <c r="AU380" s="58"/>
      <c r="AV380" s="58"/>
      <c r="AW380" s="58"/>
      <c r="AX380" s="58"/>
      <c r="AY380" s="58"/>
      <c r="AZ380" s="58"/>
      <c r="BA380" s="58"/>
      <c r="BB380" s="58"/>
      <c r="BC380" s="58"/>
      <c r="BD380" s="58"/>
      <c r="BE380" s="58"/>
      <c r="BF380" s="58"/>
      <c r="BG380" s="58"/>
      <c r="BH380" s="58"/>
      <c r="BI380" s="58"/>
      <c r="BJ380" s="58"/>
      <c r="BK380" s="58"/>
      <c r="BL380" s="58"/>
      <c r="BM380" s="58"/>
      <c r="BN380" s="58"/>
      <c r="BO380" s="58"/>
      <c r="BP380" s="58"/>
      <c r="BQ380" s="58"/>
      <c r="BR380" s="58"/>
      <c r="BS380" s="58"/>
      <c r="BT380" s="58"/>
      <c r="BU380" s="58"/>
      <c r="BV380" s="58"/>
      <c r="BW380" s="58"/>
      <c r="BX380" s="58"/>
      <c r="BY380" s="58"/>
      <c r="BZ380" s="58"/>
      <c r="CA380" s="58"/>
      <c r="CB380" s="58"/>
      <c r="CC380" s="58"/>
      <c r="CD380" s="58"/>
      <c r="CE380" s="58"/>
      <c r="CF380" s="58"/>
      <c r="CG380" s="58"/>
      <c r="CH380" s="58"/>
      <c r="CI380" s="58"/>
      <c r="CJ380" s="58"/>
      <c r="CK380" s="58"/>
      <c r="CL380" s="58"/>
      <c r="CM380" s="58"/>
      <c r="CN380" s="58"/>
      <c r="CO380" s="58"/>
      <c r="CP380" s="58"/>
      <c r="CQ380" s="58"/>
      <c r="CR380" s="58"/>
      <c r="CS380" s="58"/>
      <c r="CT380" s="58"/>
      <c r="CU380" s="58"/>
      <c r="CV380" s="58"/>
      <c r="CW380" s="58"/>
      <c r="CX380" s="58"/>
      <c r="CY380" s="58"/>
      <c r="CZ380" s="58"/>
      <c r="DA380" s="58"/>
      <c r="DB380" s="58"/>
      <c r="DC380" s="58"/>
      <c r="DD380" s="58"/>
      <c r="DE380" s="58"/>
      <c r="DF380" s="58"/>
      <c r="DG380" s="58"/>
      <c r="DH380" s="58"/>
      <c r="DI380" s="58"/>
      <c r="DJ380" s="58"/>
      <c r="DK380" s="58"/>
      <c r="DL380" s="58"/>
      <c r="DM380" s="58"/>
      <c r="DN380" s="58"/>
      <c r="DO380" s="58"/>
      <c r="DP380" s="58"/>
      <c r="DQ380" s="58"/>
      <c r="DR380" s="58"/>
      <c r="DS380" s="58"/>
      <c r="DT380" s="58"/>
      <c r="DU380" s="58"/>
      <c r="DV380" s="58"/>
      <c r="DW380" s="58"/>
      <c r="DX380" s="58"/>
      <c r="DY380" s="58"/>
      <c r="DZ380" s="58"/>
      <c r="EA380" s="58"/>
      <c r="EB380" s="58"/>
      <c r="EC380" s="58"/>
      <c r="ED380" s="58"/>
      <c r="EE380" s="58"/>
      <c r="EF380" s="58"/>
      <c r="EG380" s="58"/>
      <c r="EH380" s="58"/>
      <c r="EI380" s="58"/>
      <c r="EJ380" s="58"/>
      <c r="EK380" s="58"/>
      <c r="EL380" s="58"/>
      <c r="EM380" s="58"/>
      <c r="EN380" s="58"/>
      <c r="EO380" s="58"/>
      <c r="EP380" s="58"/>
      <c r="EQ380" s="58"/>
      <c r="ER380" s="58"/>
      <c r="ES380" s="58"/>
      <c r="ET380" s="58"/>
      <c r="EU380" s="58"/>
      <c r="EV380" s="58"/>
      <c r="EW380" s="58"/>
      <c r="EX380" s="58"/>
      <c r="EY380" s="58"/>
      <c r="EZ380" s="58"/>
      <c r="FA380" s="58"/>
      <c r="FB380" s="58"/>
      <c r="FC380" s="58"/>
      <c r="FD380" s="58"/>
      <c r="FE380" s="58"/>
      <c r="FF380" s="58"/>
      <c r="FG380" s="58"/>
      <c r="FH380" s="58"/>
      <c r="FI380" s="58"/>
      <c r="FJ380" s="58"/>
      <c r="FK380" s="58"/>
      <c r="FL380" s="58"/>
      <c r="FM380" s="58"/>
      <c r="FN380" s="58"/>
      <c r="FO380" s="58"/>
      <c r="FP380" s="58"/>
      <c r="FQ380" s="58"/>
      <c r="FR380" s="58"/>
      <c r="FS380" s="58"/>
      <c r="FT380" s="58"/>
      <c r="FU380" s="58"/>
      <c r="FV380" s="58"/>
      <c r="FW380" s="58"/>
      <c r="FX380" s="58"/>
      <c r="FY380" s="58"/>
      <c r="FZ380" s="58"/>
      <c r="GA380" s="58"/>
      <c r="GB380" s="58"/>
      <c r="GC380" s="58"/>
      <c r="GD380" s="58"/>
      <c r="GE380" s="58"/>
      <c r="GF380" s="58"/>
      <c r="GG380" s="58"/>
      <c r="GH380" s="58"/>
      <c r="GI380" s="58"/>
      <c r="GJ380" s="58"/>
      <c r="GK380" s="58"/>
      <c r="GL380" s="58"/>
      <c r="GM380" s="58"/>
      <c r="GN380" s="58"/>
      <c r="GO380" s="58"/>
      <c r="GP380" s="58"/>
      <c r="GQ380" s="58"/>
      <c r="GR380" s="58"/>
      <c r="GS380" s="58"/>
      <c r="GT380" s="58"/>
      <c r="GU380" s="58"/>
      <c r="GV380" s="58"/>
      <c r="GW380" s="58"/>
      <c r="GX380" s="58"/>
      <c r="GY380" s="58"/>
      <c r="GZ380" s="58"/>
      <c r="HA380" s="58"/>
      <c r="HB380" s="58"/>
      <c r="HC380" s="58"/>
      <c r="HD380" s="58"/>
      <c r="HE380" s="58"/>
      <c r="HF380" s="58"/>
      <c r="HG380" s="58"/>
      <c r="HH380" s="58"/>
      <c r="HI380" s="58"/>
      <c r="HJ380" s="58"/>
      <c r="HK380" s="58"/>
      <c r="HL380" s="58"/>
      <c r="HM380" s="58"/>
      <c r="HN380" s="58"/>
      <c r="HO380" s="58"/>
      <c r="HP380" s="58"/>
      <c r="HQ380" s="58"/>
      <c r="HR380" s="58"/>
      <c r="HS380" s="58"/>
      <c r="HT380" s="58"/>
      <c r="HU380" s="58"/>
      <c r="HV380" s="58"/>
      <c r="HW380" s="58"/>
      <c r="HX380" s="58"/>
      <c r="HY380" s="58"/>
      <c r="HZ380" s="58"/>
      <c r="IA380" s="58"/>
      <c r="IB380" s="58"/>
      <c r="IC380" s="58"/>
      <c r="ID380" s="58"/>
      <c r="IE380" s="58"/>
      <c r="IF380" s="58"/>
      <c r="IG380" s="58"/>
      <c r="IH380" s="58"/>
      <c r="II380" s="58"/>
      <c r="IJ380" s="58"/>
      <c r="IK380" s="58"/>
      <c r="IL380" s="58"/>
      <c r="IM380" s="58"/>
      <c r="IN380" s="58"/>
      <c r="IO380" s="58"/>
      <c r="IP380" s="58"/>
      <c r="IQ380" s="58"/>
      <c r="IR380" s="58"/>
      <c r="IS380" s="58"/>
      <c r="IT380" s="58"/>
    </row>
    <row r="381" spans="1:254" s="55" customFormat="1" x14ac:dyDescent="0.25">
      <c r="A381" s="79">
        <f t="shared" si="36"/>
        <v>289699.8</v>
      </c>
      <c r="B381" s="56">
        <v>289700</v>
      </c>
      <c r="C381" s="56">
        <v>3373666.2579999999</v>
      </c>
      <c r="D381" s="56">
        <v>653093.98930000002</v>
      </c>
      <c r="E381" s="56">
        <v>268.96499999999997</v>
      </c>
      <c r="F381" s="57">
        <f t="shared" si="41"/>
        <v>268.27699999999999</v>
      </c>
      <c r="G381" s="59">
        <v>289699.8</v>
      </c>
      <c r="H381" s="56">
        <v>24.896000000000001</v>
      </c>
      <c r="I381" s="56">
        <v>653079.02099999995</v>
      </c>
      <c r="J381" s="56">
        <v>3373646.0320000001</v>
      </c>
      <c r="K381" s="56">
        <v>268.44499999999999</v>
      </c>
      <c r="L381" s="56">
        <f t="shared" si="42"/>
        <v>269.11199999999997</v>
      </c>
      <c r="M381" s="56">
        <f t="shared" si="38"/>
        <v>0.14699999999999999</v>
      </c>
      <c r="N381" s="56">
        <f t="shared" si="39"/>
        <v>0.16800000000000001</v>
      </c>
      <c r="O381" s="56"/>
      <c r="P381" s="56">
        <v>269.09100000000001</v>
      </c>
      <c r="Q381" s="56"/>
      <c r="R381" s="56"/>
      <c r="S381" s="56">
        <v>269.13200000000001</v>
      </c>
      <c r="T381" s="56">
        <f t="shared" si="40"/>
        <v>-0.68700000000000006</v>
      </c>
      <c r="U381" s="58"/>
      <c r="V381" s="58"/>
      <c r="W381" s="58"/>
      <c r="X381" s="58"/>
      <c r="Y381" s="58"/>
      <c r="Z381" s="58"/>
      <c r="AA381" s="58"/>
      <c r="AB381" s="58"/>
      <c r="AC381" s="58"/>
      <c r="AD381" s="58"/>
      <c r="AE381" s="58"/>
      <c r="AF381" s="58"/>
      <c r="AG381" s="58"/>
      <c r="AH381" s="58"/>
      <c r="AI381" s="58"/>
      <c r="AJ381" s="58"/>
      <c r="AK381" s="58"/>
      <c r="AL381" s="58"/>
      <c r="AM381" s="58"/>
      <c r="AN381" s="58"/>
      <c r="AO381" s="58"/>
      <c r="AP381" s="58"/>
      <c r="AQ381" s="58"/>
      <c r="AR381" s="58"/>
      <c r="AS381" s="58"/>
      <c r="AT381" s="58"/>
      <c r="AU381" s="58"/>
      <c r="AV381" s="58"/>
      <c r="AW381" s="58"/>
      <c r="AX381" s="58"/>
      <c r="AY381" s="58"/>
      <c r="AZ381" s="58"/>
      <c r="BA381" s="58"/>
      <c r="BB381" s="58"/>
      <c r="BC381" s="58"/>
      <c r="BD381" s="58"/>
      <c r="BE381" s="58"/>
      <c r="BF381" s="58"/>
      <c r="BG381" s="58"/>
      <c r="BH381" s="58"/>
      <c r="BI381" s="58"/>
      <c r="BJ381" s="58"/>
      <c r="BK381" s="58"/>
      <c r="BL381" s="58"/>
      <c r="BM381" s="58"/>
      <c r="BN381" s="58"/>
      <c r="BO381" s="58"/>
      <c r="BP381" s="58"/>
      <c r="BQ381" s="58"/>
      <c r="BR381" s="58"/>
      <c r="BS381" s="58"/>
      <c r="BT381" s="58"/>
      <c r="BU381" s="58"/>
      <c r="BV381" s="58"/>
      <c r="BW381" s="58"/>
      <c r="BX381" s="58"/>
      <c r="BY381" s="58"/>
      <c r="BZ381" s="58"/>
      <c r="CA381" s="58"/>
      <c r="CB381" s="58"/>
      <c r="CC381" s="58"/>
      <c r="CD381" s="58"/>
      <c r="CE381" s="58"/>
      <c r="CF381" s="58"/>
      <c r="CG381" s="58"/>
      <c r="CH381" s="58"/>
      <c r="CI381" s="58"/>
      <c r="CJ381" s="58"/>
      <c r="CK381" s="58"/>
      <c r="CL381" s="58"/>
      <c r="CM381" s="58"/>
      <c r="CN381" s="58"/>
      <c r="CO381" s="58"/>
      <c r="CP381" s="58"/>
      <c r="CQ381" s="58"/>
      <c r="CR381" s="58"/>
      <c r="CS381" s="58"/>
      <c r="CT381" s="58"/>
      <c r="CU381" s="58"/>
      <c r="CV381" s="58"/>
      <c r="CW381" s="58"/>
      <c r="CX381" s="58"/>
      <c r="CY381" s="58"/>
      <c r="CZ381" s="58"/>
      <c r="DA381" s="58"/>
      <c r="DB381" s="58"/>
      <c r="DC381" s="58"/>
      <c r="DD381" s="58"/>
      <c r="DE381" s="58"/>
      <c r="DF381" s="58"/>
      <c r="DG381" s="58"/>
      <c r="DH381" s="58"/>
      <c r="DI381" s="58"/>
      <c r="DJ381" s="58"/>
      <c r="DK381" s="58"/>
      <c r="DL381" s="58"/>
      <c r="DM381" s="58"/>
      <c r="DN381" s="58"/>
      <c r="DO381" s="58"/>
      <c r="DP381" s="58"/>
      <c r="DQ381" s="58"/>
      <c r="DR381" s="58"/>
      <c r="DS381" s="58"/>
      <c r="DT381" s="58"/>
      <c r="DU381" s="58"/>
      <c r="DV381" s="58"/>
      <c r="DW381" s="58"/>
      <c r="DX381" s="58"/>
      <c r="DY381" s="58"/>
      <c r="DZ381" s="58"/>
      <c r="EA381" s="58"/>
      <c r="EB381" s="58"/>
      <c r="EC381" s="58"/>
      <c r="ED381" s="58"/>
      <c r="EE381" s="58"/>
      <c r="EF381" s="58"/>
      <c r="EG381" s="58"/>
      <c r="EH381" s="58"/>
      <c r="EI381" s="58"/>
      <c r="EJ381" s="58"/>
      <c r="EK381" s="58"/>
      <c r="EL381" s="58"/>
      <c r="EM381" s="58"/>
      <c r="EN381" s="58"/>
      <c r="EO381" s="58"/>
      <c r="EP381" s="58"/>
      <c r="EQ381" s="58"/>
      <c r="ER381" s="58"/>
      <c r="ES381" s="58"/>
      <c r="ET381" s="58"/>
      <c r="EU381" s="58"/>
      <c r="EV381" s="58"/>
      <c r="EW381" s="58"/>
      <c r="EX381" s="58"/>
      <c r="EY381" s="58"/>
      <c r="EZ381" s="58"/>
      <c r="FA381" s="58"/>
      <c r="FB381" s="58"/>
      <c r="FC381" s="58"/>
      <c r="FD381" s="58"/>
      <c r="FE381" s="58"/>
      <c r="FF381" s="58"/>
      <c r="FG381" s="58"/>
      <c r="FH381" s="58"/>
      <c r="FI381" s="58"/>
      <c r="FJ381" s="58"/>
      <c r="FK381" s="58"/>
      <c r="FL381" s="58"/>
      <c r="FM381" s="58"/>
      <c r="FN381" s="58"/>
      <c r="FO381" s="58"/>
      <c r="FP381" s="58"/>
      <c r="FQ381" s="58"/>
      <c r="FR381" s="58"/>
      <c r="FS381" s="58"/>
      <c r="FT381" s="58"/>
      <c r="FU381" s="58"/>
      <c r="FV381" s="58"/>
      <c r="FW381" s="58"/>
      <c r="FX381" s="58"/>
      <c r="FY381" s="58"/>
      <c r="FZ381" s="58"/>
      <c r="GA381" s="58"/>
      <c r="GB381" s="58"/>
      <c r="GC381" s="58"/>
      <c r="GD381" s="58"/>
      <c r="GE381" s="58"/>
      <c r="GF381" s="58"/>
      <c r="GG381" s="58"/>
      <c r="GH381" s="58"/>
      <c r="GI381" s="58"/>
      <c r="GJ381" s="58"/>
      <c r="GK381" s="58"/>
      <c r="GL381" s="58"/>
      <c r="GM381" s="58"/>
      <c r="GN381" s="58"/>
      <c r="GO381" s="58"/>
      <c r="GP381" s="58"/>
      <c r="GQ381" s="58"/>
      <c r="GR381" s="58"/>
      <c r="GS381" s="58"/>
      <c r="GT381" s="58"/>
      <c r="GU381" s="58"/>
      <c r="GV381" s="58"/>
      <c r="GW381" s="58"/>
      <c r="GX381" s="58"/>
      <c r="GY381" s="58"/>
      <c r="GZ381" s="58"/>
      <c r="HA381" s="58"/>
      <c r="HB381" s="58"/>
      <c r="HC381" s="58"/>
      <c r="HD381" s="58"/>
      <c r="HE381" s="58"/>
      <c r="HF381" s="58"/>
      <c r="HG381" s="58"/>
      <c r="HH381" s="58"/>
      <c r="HI381" s="58"/>
      <c r="HJ381" s="58"/>
      <c r="HK381" s="58"/>
      <c r="HL381" s="58"/>
      <c r="HM381" s="58"/>
      <c r="HN381" s="58"/>
      <c r="HO381" s="58"/>
      <c r="HP381" s="58"/>
      <c r="HQ381" s="58"/>
      <c r="HR381" s="58"/>
      <c r="HS381" s="58"/>
      <c r="HT381" s="58"/>
      <c r="HU381" s="58"/>
      <c r="HV381" s="58"/>
      <c r="HW381" s="58"/>
      <c r="HX381" s="58"/>
      <c r="HY381" s="58"/>
      <c r="HZ381" s="58"/>
      <c r="IA381" s="58"/>
      <c r="IB381" s="58"/>
      <c r="IC381" s="58"/>
      <c r="ID381" s="58"/>
      <c r="IE381" s="58"/>
      <c r="IF381" s="58"/>
      <c r="IG381" s="58"/>
      <c r="IH381" s="58"/>
      <c r="II381" s="58"/>
      <c r="IJ381" s="58"/>
      <c r="IK381" s="58"/>
      <c r="IL381" s="58"/>
      <c r="IM381" s="58"/>
      <c r="IN381" s="58"/>
      <c r="IO381" s="58"/>
      <c r="IP381" s="58"/>
      <c r="IQ381" s="58"/>
      <c r="IR381" s="58"/>
      <c r="IS381" s="58"/>
      <c r="IT381" s="58"/>
    </row>
    <row r="382" spans="1:254" s="55" customFormat="1" x14ac:dyDescent="0.25">
      <c r="A382" s="79">
        <f t="shared" si="36"/>
        <v>289719.90000000002</v>
      </c>
      <c r="B382" s="56">
        <v>289720</v>
      </c>
      <c r="C382" s="56">
        <v>3373678.14</v>
      </c>
      <c r="D382" s="56">
        <v>653077.90190000006</v>
      </c>
      <c r="E382" s="56">
        <v>268.97300000000001</v>
      </c>
      <c r="F382" s="57">
        <f t="shared" si="41"/>
        <v>268.28500000000003</v>
      </c>
      <c r="G382" s="59">
        <v>289719.90000000002</v>
      </c>
      <c r="H382" s="56">
        <v>25.440999999999999</v>
      </c>
      <c r="I382" s="56">
        <v>653062.54700000002</v>
      </c>
      <c r="J382" s="56">
        <v>3373657.372</v>
      </c>
      <c r="K382" s="56">
        <v>268.47500000000002</v>
      </c>
      <c r="L382" s="56">
        <f t="shared" si="42"/>
        <v>269.142</v>
      </c>
      <c r="M382" s="56">
        <f t="shared" si="38"/>
        <v>0.16900000000000001</v>
      </c>
      <c r="N382" s="56">
        <f t="shared" si="39"/>
        <v>0.19</v>
      </c>
      <c r="O382" s="56"/>
      <c r="P382" s="56">
        <v>269.17899999999997</v>
      </c>
      <c r="Q382" s="56"/>
      <c r="R382" s="56"/>
      <c r="S382" s="56">
        <v>269.19799999999998</v>
      </c>
      <c r="T382" s="56">
        <f t="shared" si="40"/>
        <v>-0.72299999999999998</v>
      </c>
      <c r="U382" s="58"/>
      <c r="V382" s="58"/>
      <c r="W382" s="58"/>
      <c r="X382" s="58"/>
      <c r="Y382" s="58"/>
      <c r="Z382" s="58"/>
      <c r="AA382" s="58"/>
      <c r="AB382" s="58"/>
      <c r="AC382" s="58"/>
      <c r="AD382" s="58"/>
      <c r="AE382" s="58"/>
      <c r="AF382" s="58"/>
      <c r="AG382" s="58"/>
      <c r="AH382" s="58"/>
      <c r="AI382" s="58"/>
      <c r="AJ382" s="58"/>
      <c r="AK382" s="58"/>
      <c r="AL382" s="58"/>
      <c r="AM382" s="58"/>
      <c r="AN382" s="58"/>
      <c r="AO382" s="58"/>
      <c r="AP382" s="58"/>
      <c r="AQ382" s="58"/>
      <c r="AR382" s="58"/>
      <c r="AS382" s="58"/>
      <c r="AT382" s="58"/>
      <c r="AU382" s="58"/>
      <c r="AV382" s="58"/>
      <c r="AW382" s="58"/>
      <c r="AX382" s="58"/>
      <c r="AY382" s="58"/>
      <c r="AZ382" s="58"/>
      <c r="BA382" s="58"/>
      <c r="BB382" s="58"/>
      <c r="BC382" s="58"/>
      <c r="BD382" s="58"/>
      <c r="BE382" s="58"/>
      <c r="BF382" s="58"/>
      <c r="BG382" s="58"/>
      <c r="BH382" s="58"/>
      <c r="BI382" s="58"/>
      <c r="BJ382" s="58"/>
      <c r="BK382" s="58"/>
      <c r="BL382" s="58"/>
      <c r="BM382" s="58"/>
      <c r="BN382" s="58"/>
      <c r="BO382" s="58"/>
      <c r="BP382" s="58"/>
      <c r="BQ382" s="58"/>
      <c r="BR382" s="58"/>
      <c r="BS382" s="58"/>
      <c r="BT382" s="58"/>
      <c r="BU382" s="58"/>
      <c r="BV382" s="58"/>
      <c r="BW382" s="58"/>
      <c r="BX382" s="58"/>
      <c r="BY382" s="58"/>
      <c r="BZ382" s="58"/>
      <c r="CA382" s="58"/>
      <c r="CB382" s="58"/>
      <c r="CC382" s="58"/>
      <c r="CD382" s="58"/>
      <c r="CE382" s="58"/>
      <c r="CF382" s="58"/>
      <c r="CG382" s="58"/>
      <c r="CH382" s="58"/>
      <c r="CI382" s="58"/>
      <c r="CJ382" s="58"/>
      <c r="CK382" s="58"/>
      <c r="CL382" s="58"/>
      <c r="CM382" s="58"/>
      <c r="CN382" s="58"/>
      <c r="CO382" s="58"/>
      <c r="CP382" s="58"/>
      <c r="CQ382" s="58"/>
      <c r="CR382" s="58"/>
      <c r="CS382" s="58"/>
      <c r="CT382" s="58"/>
      <c r="CU382" s="58"/>
      <c r="CV382" s="58"/>
      <c r="CW382" s="58"/>
      <c r="CX382" s="58"/>
      <c r="CY382" s="58"/>
      <c r="CZ382" s="58"/>
      <c r="DA382" s="58"/>
      <c r="DB382" s="58"/>
      <c r="DC382" s="58"/>
      <c r="DD382" s="58"/>
      <c r="DE382" s="58"/>
      <c r="DF382" s="58"/>
      <c r="DG382" s="58"/>
      <c r="DH382" s="58"/>
      <c r="DI382" s="58"/>
      <c r="DJ382" s="58"/>
      <c r="DK382" s="58"/>
      <c r="DL382" s="58"/>
      <c r="DM382" s="58"/>
      <c r="DN382" s="58"/>
      <c r="DO382" s="58"/>
      <c r="DP382" s="58"/>
      <c r="DQ382" s="58"/>
      <c r="DR382" s="58"/>
      <c r="DS382" s="58"/>
      <c r="DT382" s="58"/>
      <c r="DU382" s="58"/>
      <c r="DV382" s="58"/>
      <c r="DW382" s="58"/>
      <c r="DX382" s="58"/>
      <c r="DY382" s="58"/>
      <c r="DZ382" s="58"/>
      <c r="EA382" s="58"/>
      <c r="EB382" s="58"/>
      <c r="EC382" s="58"/>
      <c r="ED382" s="58"/>
      <c r="EE382" s="58"/>
      <c r="EF382" s="58"/>
      <c r="EG382" s="58"/>
      <c r="EH382" s="58"/>
      <c r="EI382" s="58"/>
      <c r="EJ382" s="58"/>
      <c r="EK382" s="58"/>
      <c r="EL382" s="58"/>
      <c r="EM382" s="58"/>
      <c r="EN382" s="58"/>
      <c r="EO382" s="58"/>
      <c r="EP382" s="58"/>
      <c r="EQ382" s="58"/>
      <c r="ER382" s="58"/>
      <c r="ES382" s="58"/>
      <c r="ET382" s="58"/>
      <c r="EU382" s="58"/>
      <c r="EV382" s="58"/>
      <c r="EW382" s="58"/>
      <c r="EX382" s="58"/>
      <c r="EY382" s="58"/>
      <c r="EZ382" s="58"/>
      <c r="FA382" s="58"/>
      <c r="FB382" s="58"/>
      <c r="FC382" s="58"/>
      <c r="FD382" s="58"/>
      <c r="FE382" s="58"/>
      <c r="FF382" s="58"/>
      <c r="FG382" s="58"/>
      <c r="FH382" s="58"/>
      <c r="FI382" s="58"/>
      <c r="FJ382" s="58"/>
      <c r="FK382" s="58"/>
      <c r="FL382" s="58"/>
      <c r="FM382" s="58"/>
      <c r="FN382" s="58"/>
      <c r="FO382" s="58"/>
      <c r="FP382" s="58"/>
      <c r="FQ382" s="58"/>
      <c r="FR382" s="58"/>
      <c r="FS382" s="58"/>
      <c r="FT382" s="58"/>
      <c r="FU382" s="58"/>
      <c r="FV382" s="58"/>
      <c r="FW382" s="58"/>
      <c r="FX382" s="58"/>
      <c r="FY382" s="58"/>
      <c r="FZ382" s="58"/>
      <c r="GA382" s="58"/>
      <c r="GB382" s="58"/>
      <c r="GC382" s="58"/>
      <c r="GD382" s="58"/>
      <c r="GE382" s="58"/>
      <c r="GF382" s="58"/>
      <c r="GG382" s="58"/>
      <c r="GH382" s="58"/>
      <c r="GI382" s="58"/>
      <c r="GJ382" s="58"/>
      <c r="GK382" s="58"/>
      <c r="GL382" s="58"/>
      <c r="GM382" s="58"/>
      <c r="GN382" s="58"/>
      <c r="GO382" s="58"/>
      <c r="GP382" s="58"/>
      <c r="GQ382" s="58"/>
      <c r="GR382" s="58"/>
      <c r="GS382" s="58"/>
      <c r="GT382" s="58"/>
      <c r="GU382" s="58"/>
      <c r="GV382" s="58"/>
      <c r="GW382" s="58"/>
      <c r="GX382" s="58"/>
      <c r="GY382" s="58"/>
      <c r="GZ382" s="58"/>
      <c r="HA382" s="58"/>
      <c r="HB382" s="58"/>
      <c r="HC382" s="58"/>
      <c r="HD382" s="58"/>
      <c r="HE382" s="58"/>
      <c r="HF382" s="58"/>
      <c r="HG382" s="58"/>
      <c r="HH382" s="58"/>
      <c r="HI382" s="58"/>
      <c r="HJ382" s="58"/>
      <c r="HK382" s="58"/>
      <c r="HL382" s="58"/>
      <c r="HM382" s="58"/>
      <c r="HN382" s="58"/>
      <c r="HO382" s="58"/>
      <c r="HP382" s="58"/>
      <c r="HQ382" s="58"/>
      <c r="HR382" s="58"/>
      <c r="HS382" s="58"/>
      <c r="HT382" s="58"/>
      <c r="HU382" s="58"/>
      <c r="HV382" s="58"/>
      <c r="HW382" s="58"/>
      <c r="HX382" s="58"/>
      <c r="HY382" s="58"/>
      <c r="HZ382" s="58"/>
      <c r="IA382" s="58"/>
      <c r="IB382" s="58"/>
      <c r="IC382" s="58"/>
      <c r="ID382" s="58"/>
      <c r="IE382" s="58"/>
      <c r="IF382" s="58"/>
      <c r="IG382" s="58"/>
      <c r="IH382" s="58"/>
      <c r="II382" s="58"/>
      <c r="IJ382" s="58"/>
      <c r="IK382" s="58"/>
      <c r="IL382" s="58"/>
      <c r="IM382" s="58"/>
      <c r="IN382" s="58"/>
      <c r="IO382" s="58"/>
      <c r="IP382" s="58"/>
      <c r="IQ382" s="58"/>
      <c r="IR382" s="58"/>
      <c r="IS382" s="58"/>
      <c r="IT382" s="58"/>
    </row>
    <row r="383" spans="1:254" s="55" customFormat="1" x14ac:dyDescent="0.25">
      <c r="A383" s="79">
        <f t="shared" si="36"/>
        <v>289739.90000000002</v>
      </c>
      <c r="B383" s="56">
        <v>289740</v>
      </c>
      <c r="C383" s="56">
        <v>3373690.0279999999</v>
      </c>
      <c r="D383" s="56">
        <v>653061.81830000004</v>
      </c>
      <c r="E383" s="56">
        <v>268.97699999999998</v>
      </c>
      <c r="F383" s="57">
        <f t="shared" si="41"/>
        <v>268.28899999999999</v>
      </c>
      <c r="G383" s="59">
        <v>289739.90000000002</v>
      </c>
      <c r="H383" s="56">
        <v>25.991</v>
      </c>
      <c r="I383" s="56">
        <v>653046.07299999997</v>
      </c>
      <c r="J383" s="56">
        <v>3373668.7119999998</v>
      </c>
      <c r="K383" s="56">
        <v>268.50400000000002</v>
      </c>
      <c r="L383" s="56">
        <f t="shared" si="42"/>
        <v>269.17099999999999</v>
      </c>
      <c r="M383" s="56">
        <f t="shared" si="38"/>
        <v>0.19400000000000001</v>
      </c>
      <c r="N383" s="56">
        <f t="shared" si="39"/>
        <v>0.215</v>
      </c>
      <c r="O383" s="56"/>
      <c r="P383" s="56">
        <v>269.24200000000002</v>
      </c>
      <c r="Q383" s="56"/>
      <c r="R383" s="56"/>
      <c r="S383" s="56">
        <v>269.26600000000002</v>
      </c>
      <c r="T383" s="56">
        <f t="shared" si="40"/>
        <v>-0.76200000000000001</v>
      </c>
      <c r="U383" s="58"/>
      <c r="V383" s="58"/>
      <c r="W383" s="58"/>
      <c r="X383" s="58"/>
      <c r="Y383" s="58"/>
      <c r="Z383" s="58"/>
      <c r="AA383" s="58"/>
      <c r="AB383" s="58"/>
      <c r="AC383" s="58"/>
      <c r="AD383" s="58"/>
      <c r="AE383" s="58"/>
      <c r="AF383" s="58"/>
      <c r="AG383" s="58"/>
      <c r="AH383" s="58"/>
      <c r="AI383" s="58"/>
      <c r="AJ383" s="58"/>
      <c r="AK383" s="58"/>
      <c r="AL383" s="58"/>
      <c r="AM383" s="58"/>
      <c r="AN383" s="58"/>
      <c r="AO383" s="58"/>
      <c r="AP383" s="58"/>
      <c r="AQ383" s="58"/>
      <c r="AR383" s="58"/>
      <c r="AS383" s="58"/>
      <c r="AT383" s="58"/>
      <c r="AU383" s="58"/>
      <c r="AV383" s="58"/>
      <c r="AW383" s="58"/>
      <c r="AX383" s="58"/>
      <c r="AY383" s="58"/>
      <c r="AZ383" s="58"/>
      <c r="BA383" s="58"/>
      <c r="BB383" s="58"/>
      <c r="BC383" s="58"/>
      <c r="BD383" s="58"/>
      <c r="BE383" s="58"/>
      <c r="BF383" s="58"/>
      <c r="BG383" s="58"/>
      <c r="BH383" s="58"/>
      <c r="BI383" s="58"/>
      <c r="BJ383" s="58"/>
      <c r="BK383" s="58"/>
      <c r="BL383" s="58"/>
      <c r="BM383" s="58"/>
      <c r="BN383" s="58"/>
      <c r="BO383" s="58"/>
      <c r="BP383" s="58"/>
      <c r="BQ383" s="58"/>
      <c r="BR383" s="58"/>
      <c r="BS383" s="58"/>
      <c r="BT383" s="58"/>
      <c r="BU383" s="58"/>
      <c r="BV383" s="58"/>
      <c r="BW383" s="58"/>
      <c r="BX383" s="58"/>
      <c r="BY383" s="58"/>
      <c r="BZ383" s="58"/>
      <c r="CA383" s="58"/>
      <c r="CB383" s="58"/>
      <c r="CC383" s="58"/>
      <c r="CD383" s="58"/>
      <c r="CE383" s="58"/>
      <c r="CF383" s="58"/>
      <c r="CG383" s="58"/>
      <c r="CH383" s="58"/>
      <c r="CI383" s="58"/>
      <c r="CJ383" s="58"/>
      <c r="CK383" s="58"/>
      <c r="CL383" s="58"/>
      <c r="CM383" s="58"/>
      <c r="CN383" s="58"/>
      <c r="CO383" s="58"/>
      <c r="CP383" s="58"/>
      <c r="CQ383" s="58"/>
      <c r="CR383" s="58"/>
      <c r="CS383" s="58"/>
      <c r="CT383" s="58"/>
      <c r="CU383" s="58"/>
      <c r="CV383" s="58"/>
      <c r="CW383" s="58"/>
      <c r="CX383" s="58"/>
      <c r="CY383" s="58"/>
      <c r="CZ383" s="58"/>
      <c r="DA383" s="58"/>
      <c r="DB383" s="58"/>
      <c r="DC383" s="58"/>
      <c r="DD383" s="58"/>
      <c r="DE383" s="58"/>
      <c r="DF383" s="58"/>
      <c r="DG383" s="58"/>
      <c r="DH383" s="58"/>
      <c r="DI383" s="58"/>
      <c r="DJ383" s="58"/>
      <c r="DK383" s="58"/>
      <c r="DL383" s="58"/>
      <c r="DM383" s="58"/>
      <c r="DN383" s="58"/>
      <c r="DO383" s="58"/>
      <c r="DP383" s="58"/>
      <c r="DQ383" s="58"/>
      <c r="DR383" s="58"/>
      <c r="DS383" s="58"/>
      <c r="DT383" s="58"/>
      <c r="DU383" s="58"/>
      <c r="DV383" s="58"/>
      <c r="DW383" s="58"/>
      <c r="DX383" s="58"/>
      <c r="DY383" s="58"/>
      <c r="DZ383" s="58"/>
      <c r="EA383" s="58"/>
      <c r="EB383" s="58"/>
      <c r="EC383" s="58"/>
      <c r="ED383" s="58"/>
      <c r="EE383" s="58"/>
      <c r="EF383" s="58"/>
      <c r="EG383" s="58"/>
      <c r="EH383" s="58"/>
      <c r="EI383" s="58"/>
      <c r="EJ383" s="58"/>
      <c r="EK383" s="58"/>
      <c r="EL383" s="58"/>
      <c r="EM383" s="58"/>
      <c r="EN383" s="58"/>
      <c r="EO383" s="58"/>
      <c r="EP383" s="58"/>
      <c r="EQ383" s="58"/>
      <c r="ER383" s="58"/>
      <c r="ES383" s="58"/>
      <c r="ET383" s="58"/>
      <c r="EU383" s="58"/>
      <c r="EV383" s="58"/>
      <c r="EW383" s="58"/>
      <c r="EX383" s="58"/>
      <c r="EY383" s="58"/>
      <c r="EZ383" s="58"/>
      <c r="FA383" s="58"/>
      <c r="FB383" s="58"/>
      <c r="FC383" s="58"/>
      <c r="FD383" s="58"/>
      <c r="FE383" s="58"/>
      <c r="FF383" s="58"/>
      <c r="FG383" s="58"/>
      <c r="FH383" s="58"/>
      <c r="FI383" s="58"/>
      <c r="FJ383" s="58"/>
      <c r="FK383" s="58"/>
      <c r="FL383" s="58"/>
      <c r="FM383" s="58"/>
      <c r="FN383" s="58"/>
      <c r="FO383" s="58"/>
      <c r="FP383" s="58"/>
      <c r="FQ383" s="58"/>
      <c r="FR383" s="58"/>
      <c r="FS383" s="58"/>
      <c r="FT383" s="58"/>
      <c r="FU383" s="58"/>
      <c r="FV383" s="58"/>
      <c r="FW383" s="58"/>
      <c r="FX383" s="58"/>
      <c r="FY383" s="58"/>
      <c r="FZ383" s="58"/>
      <c r="GA383" s="58"/>
      <c r="GB383" s="58"/>
      <c r="GC383" s="58"/>
      <c r="GD383" s="58"/>
      <c r="GE383" s="58"/>
      <c r="GF383" s="58"/>
      <c r="GG383" s="58"/>
      <c r="GH383" s="58"/>
      <c r="GI383" s="58"/>
      <c r="GJ383" s="58"/>
      <c r="GK383" s="58"/>
      <c r="GL383" s="58"/>
      <c r="GM383" s="58"/>
      <c r="GN383" s="58"/>
      <c r="GO383" s="58"/>
      <c r="GP383" s="58"/>
      <c r="GQ383" s="58"/>
      <c r="GR383" s="58"/>
      <c r="GS383" s="58"/>
      <c r="GT383" s="58"/>
      <c r="GU383" s="58"/>
      <c r="GV383" s="58"/>
      <c r="GW383" s="58"/>
      <c r="GX383" s="58"/>
      <c r="GY383" s="58"/>
      <c r="GZ383" s="58"/>
      <c r="HA383" s="58"/>
      <c r="HB383" s="58"/>
      <c r="HC383" s="58"/>
      <c r="HD383" s="58"/>
      <c r="HE383" s="58"/>
      <c r="HF383" s="58"/>
      <c r="HG383" s="58"/>
      <c r="HH383" s="58"/>
      <c r="HI383" s="58"/>
      <c r="HJ383" s="58"/>
      <c r="HK383" s="58"/>
      <c r="HL383" s="58"/>
      <c r="HM383" s="58"/>
      <c r="HN383" s="58"/>
      <c r="HO383" s="58"/>
      <c r="HP383" s="58"/>
      <c r="HQ383" s="58"/>
      <c r="HR383" s="58"/>
      <c r="HS383" s="58"/>
      <c r="HT383" s="58"/>
      <c r="HU383" s="58"/>
      <c r="HV383" s="58"/>
      <c r="HW383" s="58"/>
      <c r="HX383" s="58"/>
      <c r="HY383" s="58"/>
      <c r="HZ383" s="58"/>
      <c r="IA383" s="58"/>
      <c r="IB383" s="58"/>
      <c r="IC383" s="58"/>
      <c r="ID383" s="58"/>
      <c r="IE383" s="58"/>
      <c r="IF383" s="58"/>
      <c r="IG383" s="58"/>
      <c r="IH383" s="58"/>
      <c r="II383" s="58"/>
      <c r="IJ383" s="58"/>
      <c r="IK383" s="58"/>
      <c r="IL383" s="58"/>
      <c r="IM383" s="58"/>
      <c r="IN383" s="58"/>
      <c r="IO383" s="58"/>
      <c r="IP383" s="58"/>
      <c r="IQ383" s="58"/>
      <c r="IR383" s="58"/>
      <c r="IS383" s="58"/>
      <c r="IT383" s="58"/>
    </row>
    <row r="384" spans="1:254" s="55" customFormat="1" x14ac:dyDescent="0.25">
      <c r="A384" s="79">
        <f t="shared" si="36"/>
        <v>289759.90000000002</v>
      </c>
      <c r="B384" s="56">
        <v>289760</v>
      </c>
      <c r="C384" s="56">
        <v>3373701.9109999998</v>
      </c>
      <c r="D384" s="56">
        <v>653045.73140000005</v>
      </c>
      <c r="E384" s="56">
        <v>268.97800000000001</v>
      </c>
      <c r="F384" s="57">
        <f t="shared" si="41"/>
        <v>268.29000000000002</v>
      </c>
      <c r="G384" s="59">
        <v>289759.90000000002</v>
      </c>
      <c r="H384" s="56">
        <v>26.536000000000001</v>
      </c>
      <c r="I384" s="56">
        <v>653029.59900000005</v>
      </c>
      <c r="J384" s="56">
        <v>3373680.0520000001</v>
      </c>
      <c r="K384" s="56">
        <v>268.53300000000002</v>
      </c>
      <c r="L384" s="56">
        <f t="shared" si="42"/>
        <v>269.2</v>
      </c>
      <c r="M384" s="56">
        <f t="shared" si="38"/>
        <v>0.222</v>
      </c>
      <c r="N384" s="56">
        <f t="shared" si="39"/>
        <v>0.24299999999999999</v>
      </c>
      <c r="O384" s="56"/>
      <c r="P384" s="56">
        <v>269.214</v>
      </c>
      <c r="Q384" s="56"/>
      <c r="R384" s="56"/>
      <c r="S384" s="56">
        <v>269.25299999999999</v>
      </c>
      <c r="T384" s="56">
        <f t="shared" si="40"/>
        <v>-0.72</v>
      </c>
      <c r="U384" s="58"/>
      <c r="V384" s="58"/>
      <c r="W384" s="58"/>
      <c r="X384" s="58"/>
      <c r="Y384" s="58"/>
      <c r="Z384" s="58"/>
      <c r="AA384" s="58"/>
      <c r="AB384" s="58"/>
      <c r="AC384" s="58"/>
      <c r="AD384" s="58"/>
      <c r="AE384" s="58"/>
      <c r="AF384" s="58"/>
      <c r="AG384" s="58"/>
      <c r="AH384" s="58"/>
      <c r="AI384" s="58"/>
      <c r="AJ384" s="58"/>
      <c r="AK384" s="58"/>
      <c r="AL384" s="58"/>
      <c r="AM384" s="58"/>
      <c r="AN384" s="58"/>
      <c r="AO384" s="58"/>
      <c r="AP384" s="58"/>
      <c r="AQ384" s="58"/>
      <c r="AR384" s="58"/>
      <c r="AS384" s="58"/>
      <c r="AT384" s="58"/>
      <c r="AU384" s="58"/>
      <c r="AV384" s="58"/>
      <c r="AW384" s="58"/>
      <c r="AX384" s="58"/>
      <c r="AY384" s="58"/>
      <c r="AZ384" s="58"/>
      <c r="BA384" s="58"/>
      <c r="BB384" s="58"/>
      <c r="BC384" s="58"/>
      <c r="BD384" s="58"/>
      <c r="BE384" s="58"/>
      <c r="BF384" s="58"/>
      <c r="BG384" s="58"/>
      <c r="BH384" s="58"/>
      <c r="BI384" s="58"/>
      <c r="BJ384" s="58"/>
      <c r="BK384" s="58"/>
      <c r="BL384" s="58"/>
      <c r="BM384" s="58"/>
      <c r="BN384" s="58"/>
      <c r="BO384" s="58"/>
      <c r="BP384" s="58"/>
      <c r="BQ384" s="58"/>
      <c r="BR384" s="58"/>
      <c r="BS384" s="58"/>
      <c r="BT384" s="58"/>
      <c r="BU384" s="58"/>
      <c r="BV384" s="58"/>
      <c r="BW384" s="58"/>
      <c r="BX384" s="58"/>
      <c r="BY384" s="58"/>
      <c r="BZ384" s="58"/>
      <c r="CA384" s="58"/>
      <c r="CB384" s="58"/>
      <c r="CC384" s="58"/>
      <c r="CD384" s="58"/>
      <c r="CE384" s="58"/>
      <c r="CF384" s="58"/>
      <c r="CG384" s="58"/>
      <c r="CH384" s="58"/>
      <c r="CI384" s="58"/>
      <c r="CJ384" s="58"/>
      <c r="CK384" s="58"/>
      <c r="CL384" s="58"/>
      <c r="CM384" s="58"/>
      <c r="CN384" s="58"/>
      <c r="CO384" s="58"/>
      <c r="CP384" s="58"/>
      <c r="CQ384" s="58"/>
      <c r="CR384" s="58"/>
      <c r="CS384" s="58"/>
      <c r="CT384" s="58"/>
      <c r="CU384" s="58"/>
      <c r="CV384" s="58"/>
      <c r="CW384" s="58"/>
      <c r="CX384" s="58"/>
      <c r="CY384" s="58"/>
      <c r="CZ384" s="58"/>
      <c r="DA384" s="58"/>
      <c r="DB384" s="58"/>
      <c r="DC384" s="58"/>
      <c r="DD384" s="58"/>
      <c r="DE384" s="58"/>
      <c r="DF384" s="58"/>
      <c r="DG384" s="58"/>
      <c r="DH384" s="58"/>
      <c r="DI384" s="58"/>
      <c r="DJ384" s="58"/>
      <c r="DK384" s="58"/>
      <c r="DL384" s="58"/>
      <c r="DM384" s="58"/>
      <c r="DN384" s="58"/>
      <c r="DO384" s="58"/>
      <c r="DP384" s="58"/>
      <c r="DQ384" s="58"/>
      <c r="DR384" s="58"/>
      <c r="DS384" s="58"/>
      <c r="DT384" s="58"/>
      <c r="DU384" s="58"/>
      <c r="DV384" s="58"/>
      <c r="DW384" s="58"/>
      <c r="DX384" s="58"/>
      <c r="DY384" s="58"/>
      <c r="DZ384" s="58"/>
      <c r="EA384" s="58"/>
      <c r="EB384" s="58"/>
      <c r="EC384" s="58"/>
      <c r="ED384" s="58"/>
      <c r="EE384" s="58"/>
      <c r="EF384" s="58"/>
      <c r="EG384" s="58"/>
      <c r="EH384" s="58"/>
      <c r="EI384" s="58"/>
      <c r="EJ384" s="58"/>
      <c r="EK384" s="58"/>
      <c r="EL384" s="58"/>
      <c r="EM384" s="58"/>
      <c r="EN384" s="58"/>
      <c r="EO384" s="58"/>
      <c r="EP384" s="58"/>
      <c r="EQ384" s="58"/>
      <c r="ER384" s="58"/>
      <c r="ES384" s="58"/>
      <c r="ET384" s="58"/>
      <c r="EU384" s="58"/>
      <c r="EV384" s="58"/>
      <c r="EW384" s="58"/>
      <c r="EX384" s="58"/>
      <c r="EY384" s="58"/>
      <c r="EZ384" s="58"/>
      <c r="FA384" s="58"/>
      <c r="FB384" s="58"/>
      <c r="FC384" s="58"/>
      <c r="FD384" s="58"/>
      <c r="FE384" s="58"/>
      <c r="FF384" s="58"/>
      <c r="FG384" s="58"/>
      <c r="FH384" s="58"/>
      <c r="FI384" s="58"/>
      <c r="FJ384" s="58"/>
      <c r="FK384" s="58"/>
      <c r="FL384" s="58"/>
      <c r="FM384" s="58"/>
      <c r="FN384" s="58"/>
      <c r="FO384" s="58"/>
      <c r="FP384" s="58"/>
      <c r="FQ384" s="58"/>
      <c r="FR384" s="58"/>
      <c r="FS384" s="58"/>
      <c r="FT384" s="58"/>
      <c r="FU384" s="58"/>
      <c r="FV384" s="58"/>
      <c r="FW384" s="58"/>
      <c r="FX384" s="58"/>
      <c r="FY384" s="58"/>
      <c r="FZ384" s="58"/>
      <c r="GA384" s="58"/>
      <c r="GB384" s="58"/>
      <c r="GC384" s="58"/>
      <c r="GD384" s="58"/>
      <c r="GE384" s="58"/>
      <c r="GF384" s="58"/>
      <c r="GG384" s="58"/>
      <c r="GH384" s="58"/>
      <c r="GI384" s="58"/>
      <c r="GJ384" s="58"/>
      <c r="GK384" s="58"/>
      <c r="GL384" s="58"/>
      <c r="GM384" s="58"/>
      <c r="GN384" s="58"/>
      <c r="GO384" s="58"/>
      <c r="GP384" s="58"/>
      <c r="GQ384" s="58"/>
      <c r="GR384" s="58"/>
      <c r="GS384" s="58"/>
      <c r="GT384" s="58"/>
      <c r="GU384" s="58"/>
      <c r="GV384" s="58"/>
      <c r="GW384" s="58"/>
      <c r="GX384" s="58"/>
      <c r="GY384" s="58"/>
      <c r="GZ384" s="58"/>
      <c r="HA384" s="58"/>
      <c r="HB384" s="58"/>
      <c r="HC384" s="58"/>
      <c r="HD384" s="58"/>
      <c r="HE384" s="58"/>
      <c r="HF384" s="58"/>
      <c r="HG384" s="58"/>
      <c r="HH384" s="58"/>
      <c r="HI384" s="58"/>
      <c r="HJ384" s="58"/>
      <c r="HK384" s="58"/>
      <c r="HL384" s="58"/>
      <c r="HM384" s="58"/>
      <c r="HN384" s="58"/>
      <c r="HO384" s="58"/>
      <c r="HP384" s="58"/>
      <c r="HQ384" s="58"/>
      <c r="HR384" s="58"/>
      <c r="HS384" s="58"/>
      <c r="HT384" s="58"/>
      <c r="HU384" s="58"/>
      <c r="HV384" s="58"/>
      <c r="HW384" s="58"/>
      <c r="HX384" s="58"/>
      <c r="HY384" s="58"/>
      <c r="HZ384" s="58"/>
      <c r="IA384" s="58"/>
      <c r="IB384" s="58"/>
      <c r="IC384" s="58"/>
      <c r="ID384" s="58"/>
      <c r="IE384" s="58"/>
      <c r="IF384" s="58"/>
      <c r="IG384" s="58"/>
      <c r="IH384" s="58"/>
      <c r="II384" s="58"/>
      <c r="IJ384" s="58"/>
      <c r="IK384" s="58"/>
      <c r="IL384" s="58"/>
      <c r="IM384" s="58"/>
      <c r="IN384" s="58"/>
      <c r="IO384" s="58"/>
      <c r="IP384" s="58"/>
      <c r="IQ384" s="58"/>
      <c r="IR384" s="58"/>
      <c r="IS384" s="58"/>
      <c r="IT384" s="58"/>
    </row>
    <row r="385" spans="1:254" s="55" customFormat="1" x14ac:dyDescent="0.25">
      <c r="A385" s="79">
        <f t="shared" si="36"/>
        <v>289779.90000000002</v>
      </c>
      <c r="B385" s="56">
        <v>289780</v>
      </c>
      <c r="C385" s="56">
        <v>3373713.7919999999</v>
      </c>
      <c r="D385" s="56">
        <v>653029.64229999995</v>
      </c>
      <c r="E385" s="56">
        <v>268.97699999999998</v>
      </c>
      <c r="F385" s="57">
        <f t="shared" si="41"/>
        <v>268.28899999999999</v>
      </c>
      <c r="G385" s="59">
        <v>289779.90000000002</v>
      </c>
      <c r="H385" s="56">
        <v>27.077000000000002</v>
      </c>
      <c r="I385" s="56">
        <v>653013.125</v>
      </c>
      <c r="J385" s="56">
        <v>3373691.392</v>
      </c>
      <c r="K385" s="56">
        <v>268.56200000000001</v>
      </c>
      <c r="L385" s="56">
        <f t="shared" si="42"/>
        <v>269.22899999999998</v>
      </c>
      <c r="M385" s="56">
        <f t="shared" si="38"/>
        <v>0.252</v>
      </c>
      <c r="N385" s="56">
        <f t="shared" si="39"/>
        <v>0.27300000000000002</v>
      </c>
      <c r="O385" s="56"/>
      <c r="P385" s="56">
        <v>269.16699999999997</v>
      </c>
      <c r="Q385" s="56"/>
      <c r="R385" s="56"/>
      <c r="S385" s="56">
        <v>269.20699999999999</v>
      </c>
      <c r="T385" s="56">
        <f t="shared" si="40"/>
        <v>-0.64500000000000002</v>
      </c>
      <c r="U385" s="58"/>
      <c r="V385" s="58"/>
      <c r="W385" s="58"/>
      <c r="X385" s="58"/>
      <c r="Y385" s="58"/>
      <c r="Z385" s="58"/>
      <c r="AA385" s="58"/>
      <c r="AB385" s="58"/>
      <c r="AC385" s="58"/>
      <c r="AD385" s="58"/>
      <c r="AE385" s="58"/>
      <c r="AF385" s="58"/>
      <c r="AG385" s="58"/>
      <c r="AH385" s="58"/>
      <c r="AI385" s="58"/>
      <c r="AJ385" s="58"/>
      <c r="AK385" s="58"/>
      <c r="AL385" s="58"/>
      <c r="AM385" s="58"/>
      <c r="AN385" s="58"/>
      <c r="AO385" s="58"/>
      <c r="AP385" s="58"/>
      <c r="AQ385" s="58"/>
      <c r="AR385" s="58"/>
      <c r="AS385" s="58"/>
      <c r="AT385" s="58"/>
      <c r="AU385" s="58"/>
      <c r="AV385" s="58"/>
      <c r="AW385" s="58"/>
      <c r="AX385" s="58"/>
      <c r="AY385" s="58"/>
      <c r="AZ385" s="58"/>
      <c r="BA385" s="58"/>
      <c r="BB385" s="58"/>
      <c r="BC385" s="58"/>
      <c r="BD385" s="58"/>
      <c r="BE385" s="58"/>
      <c r="BF385" s="58"/>
      <c r="BG385" s="58"/>
      <c r="BH385" s="58"/>
      <c r="BI385" s="58"/>
      <c r="BJ385" s="58"/>
      <c r="BK385" s="58"/>
      <c r="BL385" s="58"/>
      <c r="BM385" s="58"/>
      <c r="BN385" s="58"/>
      <c r="BO385" s="58"/>
      <c r="BP385" s="58"/>
      <c r="BQ385" s="58"/>
      <c r="BR385" s="58"/>
      <c r="BS385" s="58"/>
      <c r="BT385" s="58"/>
      <c r="BU385" s="58"/>
      <c r="BV385" s="58"/>
      <c r="BW385" s="58"/>
      <c r="BX385" s="58"/>
      <c r="BY385" s="58"/>
      <c r="BZ385" s="58"/>
      <c r="CA385" s="58"/>
      <c r="CB385" s="58"/>
      <c r="CC385" s="58"/>
      <c r="CD385" s="58"/>
      <c r="CE385" s="58"/>
      <c r="CF385" s="58"/>
      <c r="CG385" s="58"/>
      <c r="CH385" s="58"/>
      <c r="CI385" s="58"/>
      <c r="CJ385" s="58"/>
      <c r="CK385" s="58"/>
      <c r="CL385" s="58"/>
      <c r="CM385" s="58"/>
      <c r="CN385" s="58"/>
      <c r="CO385" s="58"/>
      <c r="CP385" s="58"/>
      <c r="CQ385" s="58"/>
      <c r="CR385" s="58"/>
      <c r="CS385" s="58"/>
      <c r="CT385" s="58"/>
      <c r="CU385" s="58"/>
      <c r="CV385" s="58"/>
      <c r="CW385" s="58"/>
      <c r="CX385" s="58"/>
      <c r="CY385" s="58"/>
      <c r="CZ385" s="58"/>
      <c r="DA385" s="58"/>
      <c r="DB385" s="58"/>
      <c r="DC385" s="58"/>
      <c r="DD385" s="58"/>
      <c r="DE385" s="58"/>
      <c r="DF385" s="58"/>
      <c r="DG385" s="58"/>
      <c r="DH385" s="58"/>
      <c r="DI385" s="58"/>
      <c r="DJ385" s="58"/>
      <c r="DK385" s="58"/>
      <c r="DL385" s="58"/>
      <c r="DM385" s="58"/>
      <c r="DN385" s="58"/>
      <c r="DO385" s="58"/>
      <c r="DP385" s="58"/>
      <c r="DQ385" s="58"/>
      <c r="DR385" s="58"/>
      <c r="DS385" s="58"/>
      <c r="DT385" s="58"/>
      <c r="DU385" s="58"/>
      <c r="DV385" s="58"/>
      <c r="DW385" s="58"/>
      <c r="DX385" s="58"/>
      <c r="DY385" s="58"/>
      <c r="DZ385" s="58"/>
      <c r="EA385" s="58"/>
      <c r="EB385" s="58"/>
      <c r="EC385" s="58"/>
      <c r="ED385" s="58"/>
      <c r="EE385" s="58"/>
      <c r="EF385" s="58"/>
      <c r="EG385" s="58"/>
      <c r="EH385" s="58"/>
      <c r="EI385" s="58"/>
      <c r="EJ385" s="58"/>
      <c r="EK385" s="58"/>
      <c r="EL385" s="58"/>
      <c r="EM385" s="58"/>
      <c r="EN385" s="58"/>
      <c r="EO385" s="58"/>
      <c r="EP385" s="58"/>
      <c r="EQ385" s="58"/>
      <c r="ER385" s="58"/>
      <c r="ES385" s="58"/>
      <c r="ET385" s="58"/>
      <c r="EU385" s="58"/>
      <c r="EV385" s="58"/>
      <c r="EW385" s="58"/>
      <c r="EX385" s="58"/>
      <c r="EY385" s="58"/>
      <c r="EZ385" s="58"/>
      <c r="FA385" s="58"/>
      <c r="FB385" s="58"/>
      <c r="FC385" s="58"/>
      <c r="FD385" s="58"/>
      <c r="FE385" s="58"/>
      <c r="FF385" s="58"/>
      <c r="FG385" s="58"/>
      <c r="FH385" s="58"/>
      <c r="FI385" s="58"/>
      <c r="FJ385" s="58"/>
      <c r="FK385" s="58"/>
      <c r="FL385" s="58"/>
      <c r="FM385" s="58"/>
      <c r="FN385" s="58"/>
      <c r="FO385" s="58"/>
      <c r="FP385" s="58"/>
      <c r="FQ385" s="58"/>
      <c r="FR385" s="58"/>
      <c r="FS385" s="58"/>
      <c r="FT385" s="58"/>
      <c r="FU385" s="58"/>
      <c r="FV385" s="58"/>
      <c r="FW385" s="58"/>
      <c r="FX385" s="58"/>
      <c r="FY385" s="58"/>
      <c r="FZ385" s="58"/>
      <c r="GA385" s="58"/>
      <c r="GB385" s="58"/>
      <c r="GC385" s="58"/>
      <c r="GD385" s="58"/>
      <c r="GE385" s="58"/>
      <c r="GF385" s="58"/>
      <c r="GG385" s="58"/>
      <c r="GH385" s="58"/>
      <c r="GI385" s="58"/>
      <c r="GJ385" s="58"/>
      <c r="GK385" s="58"/>
      <c r="GL385" s="58"/>
      <c r="GM385" s="58"/>
      <c r="GN385" s="58"/>
      <c r="GO385" s="58"/>
      <c r="GP385" s="58"/>
      <c r="GQ385" s="58"/>
      <c r="GR385" s="58"/>
      <c r="GS385" s="58"/>
      <c r="GT385" s="58"/>
      <c r="GU385" s="58"/>
      <c r="GV385" s="58"/>
      <c r="GW385" s="58"/>
      <c r="GX385" s="58"/>
      <c r="GY385" s="58"/>
      <c r="GZ385" s="58"/>
      <c r="HA385" s="58"/>
      <c r="HB385" s="58"/>
      <c r="HC385" s="58"/>
      <c r="HD385" s="58"/>
      <c r="HE385" s="58"/>
      <c r="HF385" s="58"/>
      <c r="HG385" s="58"/>
      <c r="HH385" s="58"/>
      <c r="HI385" s="58"/>
      <c r="HJ385" s="58"/>
      <c r="HK385" s="58"/>
      <c r="HL385" s="58"/>
      <c r="HM385" s="58"/>
      <c r="HN385" s="58"/>
      <c r="HO385" s="58"/>
      <c r="HP385" s="58"/>
      <c r="HQ385" s="58"/>
      <c r="HR385" s="58"/>
      <c r="HS385" s="58"/>
      <c r="HT385" s="58"/>
      <c r="HU385" s="58"/>
      <c r="HV385" s="58"/>
      <c r="HW385" s="58"/>
      <c r="HX385" s="58"/>
      <c r="HY385" s="58"/>
      <c r="HZ385" s="58"/>
      <c r="IA385" s="58"/>
      <c r="IB385" s="58"/>
      <c r="IC385" s="58"/>
      <c r="ID385" s="58"/>
      <c r="IE385" s="58"/>
      <c r="IF385" s="58"/>
      <c r="IG385" s="58"/>
      <c r="IH385" s="58"/>
      <c r="II385" s="58"/>
      <c r="IJ385" s="58"/>
      <c r="IK385" s="58"/>
      <c r="IL385" s="58"/>
      <c r="IM385" s="58"/>
      <c r="IN385" s="58"/>
      <c r="IO385" s="58"/>
      <c r="IP385" s="58"/>
      <c r="IQ385" s="58"/>
      <c r="IR385" s="58"/>
      <c r="IS385" s="58"/>
      <c r="IT385" s="58"/>
    </row>
    <row r="386" spans="1:254" s="55" customFormat="1" x14ac:dyDescent="0.25">
      <c r="A386" s="79">
        <f t="shared" si="36"/>
        <v>289799.90000000002</v>
      </c>
      <c r="B386" s="56">
        <v>289800</v>
      </c>
      <c r="C386" s="56">
        <v>3373725.662</v>
      </c>
      <c r="D386" s="56">
        <v>653013.54570000002</v>
      </c>
      <c r="E386" s="56">
        <v>268.97300000000001</v>
      </c>
      <c r="F386" s="57">
        <f t="shared" si="41"/>
        <v>268.28500000000003</v>
      </c>
      <c r="G386" s="59">
        <v>289799.90000000002</v>
      </c>
      <c r="H386" s="56">
        <v>27.605</v>
      </c>
      <c r="I386" s="56">
        <v>652996.69499999995</v>
      </c>
      <c r="J386" s="56">
        <v>3373702.8080000002</v>
      </c>
      <c r="K386" s="56">
        <v>268.59199999999998</v>
      </c>
      <c r="L386" s="56">
        <f t="shared" si="42"/>
        <v>269.25899999999996</v>
      </c>
      <c r="M386" s="56">
        <f t="shared" si="38"/>
        <v>0.28599999999999998</v>
      </c>
      <c r="N386" s="56">
        <f t="shared" si="39"/>
        <v>0.307</v>
      </c>
      <c r="O386" s="56"/>
      <c r="P386" s="56">
        <v>269.13600000000002</v>
      </c>
      <c r="Q386" s="56"/>
      <c r="R386" s="56"/>
      <c r="S386" s="56">
        <v>269.15600000000001</v>
      </c>
      <c r="T386" s="56">
        <f t="shared" si="40"/>
        <v>-0.56399999999999995</v>
      </c>
      <c r="U386" s="58"/>
      <c r="V386" s="58"/>
      <c r="W386" s="58"/>
      <c r="X386" s="58"/>
      <c r="Y386" s="58"/>
      <c r="Z386" s="58"/>
      <c r="AA386" s="58"/>
      <c r="AB386" s="58"/>
      <c r="AC386" s="58"/>
      <c r="AD386" s="58"/>
      <c r="AE386" s="58"/>
      <c r="AF386" s="58"/>
      <c r="AG386" s="58"/>
      <c r="AH386" s="58"/>
      <c r="AI386" s="58"/>
      <c r="AJ386" s="58"/>
      <c r="AK386" s="58"/>
      <c r="AL386" s="58"/>
      <c r="AM386" s="58"/>
      <c r="AN386" s="58"/>
      <c r="AO386" s="58"/>
      <c r="AP386" s="58"/>
      <c r="AQ386" s="58"/>
      <c r="AR386" s="58"/>
      <c r="AS386" s="58"/>
      <c r="AT386" s="58"/>
      <c r="AU386" s="58"/>
      <c r="AV386" s="58"/>
      <c r="AW386" s="58"/>
      <c r="AX386" s="58"/>
      <c r="AY386" s="58"/>
      <c r="AZ386" s="58"/>
      <c r="BA386" s="58"/>
      <c r="BB386" s="58"/>
      <c r="BC386" s="58"/>
      <c r="BD386" s="58"/>
      <c r="BE386" s="58"/>
      <c r="BF386" s="58"/>
      <c r="BG386" s="58"/>
      <c r="BH386" s="58"/>
      <c r="BI386" s="58"/>
      <c r="BJ386" s="58"/>
      <c r="BK386" s="58"/>
      <c r="BL386" s="58"/>
      <c r="BM386" s="58"/>
      <c r="BN386" s="58"/>
      <c r="BO386" s="58"/>
      <c r="BP386" s="58"/>
      <c r="BQ386" s="58"/>
      <c r="BR386" s="58"/>
      <c r="BS386" s="58"/>
      <c r="BT386" s="58"/>
      <c r="BU386" s="58"/>
      <c r="BV386" s="58"/>
      <c r="BW386" s="58"/>
      <c r="BX386" s="58"/>
      <c r="BY386" s="58"/>
      <c r="BZ386" s="58"/>
      <c r="CA386" s="58"/>
      <c r="CB386" s="58"/>
      <c r="CC386" s="58"/>
      <c r="CD386" s="58"/>
      <c r="CE386" s="58"/>
      <c r="CF386" s="58"/>
      <c r="CG386" s="58"/>
      <c r="CH386" s="58"/>
      <c r="CI386" s="58"/>
      <c r="CJ386" s="58"/>
      <c r="CK386" s="58"/>
      <c r="CL386" s="58"/>
      <c r="CM386" s="58"/>
      <c r="CN386" s="58"/>
      <c r="CO386" s="58"/>
      <c r="CP386" s="58"/>
      <c r="CQ386" s="58"/>
      <c r="CR386" s="58"/>
      <c r="CS386" s="58"/>
      <c r="CT386" s="58"/>
      <c r="CU386" s="58"/>
      <c r="CV386" s="58"/>
      <c r="CW386" s="58"/>
      <c r="CX386" s="58"/>
      <c r="CY386" s="58"/>
      <c r="CZ386" s="58"/>
      <c r="DA386" s="58"/>
      <c r="DB386" s="58"/>
      <c r="DC386" s="58"/>
      <c r="DD386" s="58"/>
      <c r="DE386" s="58"/>
      <c r="DF386" s="58"/>
      <c r="DG386" s="58"/>
      <c r="DH386" s="58"/>
      <c r="DI386" s="58"/>
      <c r="DJ386" s="58"/>
      <c r="DK386" s="58"/>
      <c r="DL386" s="58"/>
      <c r="DM386" s="58"/>
      <c r="DN386" s="58"/>
      <c r="DO386" s="58"/>
      <c r="DP386" s="58"/>
      <c r="DQ386" s="58"/>
      <c r="DR386" s="58"/>
      <c r="DS386" s="58"/>
      <c r="DT386" s="58"/>
      <c r="DU386" s="58"/>
      <c r="DV386" s="58"/>
      <c r="DW386" s="58"/>
      <c r="DX386" s="58"/>
      <c r="DY386" s="58"/>
      <c r="DZ386" s="58"/>
      <c r="EA386" s="58"/>
      <c r="EB386" s="58"/>
      <c r="EC386" s="58"/>
      <c r="ED386" s="58"/>
      <c r="EE386" s="58"/>
      <c r="EF386" s="58"/>
      <c r="EG386" s="58"/>
      <c r="EH386" s="58"/>
      <c r="EI386" s="58"/>
      <c r="EJ386" s="58"/>
      <c r="EK386" s="58"/>
      <c r="EL386" s="58"/>
      <c r="EM386" s="58"/>
      <c r="EN386" s="58"/>
      <c r="EO386" s="58"/>
      <c r="EP386" s="58"/>
      <c r="EQ386" s="58"/>
      <c r="ER386" s="58"/>
      <c r="ES386" s="58"/>
      <c r="ET386" s="58"/>
      <c r="EU386" s="58"/>
      <c r="EV386" s="58"/>
      <c r="EW386" s="58"/>
      <c r="EX386" s="58"/>
      <c r="EY386" s="58"/>
      <c r="EZ386" s="58"/>
      <c r="FA386" s="58"/>
      <c r="FB386" s="58"/>
      <c r="FC386" s="58"/>
      <c r="FD386" s="58"/>
      <c r="FE386" s="58"/>
      <c r="FF386" s="58"/>
      <c r="FG386" s="58"/>
      <c r="FH386" s="58"/>
      <c r="FI386" s="58"/>
      <c r="FJ386" s="58"/>
      <c r="FK386" s="58"/>
      <c r="FL386" s="58"/>
      <c r="FM386" s="58"/>
      <c r="FN386" s="58"/>
      <c r="FO386" s="58"/>
      <c r="FP386" s="58"/>
      <c r="FQ386" s="58"/>
      <c r="FR386" s="58"/>
      <c r="FS386" s="58"/>
      <c r="FT386" s="58"/>
      <c r="FU386" s="58"/>
      <c r="FV386" s="58"/>
      <c r="FW386" s="58"/>
      <c r="FX386" s="58"/>
      <c r="FY386" s="58"/>
      <c r="FZ386" s="58"/>
      <c r="GA386" s="58"/>
      <c r="GB386" s="58"/>
      <c r="GC386" s="58"/>
      <c r="GD386" s="58"/>
      <c r="GE386" s="58"/>
      <c r="GF386" s="58"/>
      <c r="GG386" s="58"/>
      <c r="GH386" s="58"/>
      <c r="GI386" s="58"/>
      <c r="GJ386" s="58"/>
      <c r="GK386" s="58"/>
      <c r="GL386" s="58"/>
      <c r="GM386" s="58"/>
      <c r="GN386" s="58"/>
      <c r="GO386" s="58"/>
      <c r="GP386" s="58"/>
      <c r="GQ386" s="58"/>
      <c r="GR386" s="58"/>
      <c r="GS386" s="58"/>
      <c r="GT386" s="58"/>
      <c r="GU386" s="58"/>
      <c r="GV386" s="58"/>
      <c r="GW386" s="58"/>
      <c r="GX386" s="58"/>
      <c r="GY386" s="58"/>
      <c r="GZ386" s="58"/>
      <c r="HA386" s="58"/>
      <c r="HB386" s="58"/>
      <c r="HC386" s="58"/>
      <c r="HD386" s="58"/>
      <c r="HE386" s="58"/>
      <c r="HF386" s="58"/>
      <c r="HG386" s="58"/>
      <c r="HH386" s="58"/>
      <c r="HI386" s="58"/>
      <c r="HJ386" s="58"/>
      <c r="HK386" s="58"/>
      <c r="HL386" s="58"/>
      <c r="HM386" s="58"/>
      <c r="HN386" s="58"/>
      <c r="HO386" s="58"/>
      <c r="HP386" s="58"/>
      <c r="HQ386" s="58"/>
      <c r="HR386" s="58"/>
      <c r="HS386" s="58"/>
      <c r="HT386" s="58"/>
      <c r="HU386" s="58"/>
      <c r="HV386" s="58"/>
      <c r="HW386" s="58"/>
      <c r="HX386" s="58"/>
      <c r="HY386" s="58"/>
      <c r="HZ386" s="58"/>
      <c r="IA386" s="58"/>
      <c r="IB386" s="58"/>
      <c r="IC386" s="58"/>
      <c r="ID386" s="58"/>
      <c r="IE386" s="58"/>
      <c r="IF386" s="58"/>
      <c r="IG386" s="58"/>
      <c r="IH386" s="58"/>
      <c r="II386" s="58"/>
      <c r="IJ386" s="58"/>
      <c r="IK386" s="58"/>
      <c r="IL386" s="58"/>
      <c r="IM386" s="58"/>
      <c r="IN386" s="58"/>
      <c r="IO386" s="58"/>
      <c r="IP386" s="58"/>
      <c r="IQ386" s="58"/>
      <c r="IR386" s="58"/>
      <c r="IS386" s="58"/>
      <c r="IT386" s="58"/>
    </row>
    <row r="387" spans="1:254" s="55" customFormat="1" x14ac:dyDescent="0.25">
      <c r="A387" s="79">
        <f t="shared" si="36"/>
        <v>289819.90000000002</v>
      </c>
      <c r="B387" s="56">
        <v>289820</v>
      </c>
      <c r="C387" s="56">
        <v>3373737.5260000001</v>
      </c>
      <c r="D387" s="56">
        <v>652997.44460000005</v>
      </c>
      <c r="E387" s="56">
        <v>268.96699999999998</v>
      </c>
      <c r="F387" s="57">
        <f t="shared" si="41"/>
        <v>268.279</v>
      </c>
      <c r="G387" s="59">
        <v>289819.90000000002</v>
      </c>
      <c r="H387" s="56">
        <v>28.126000000000001</v>
      </c>
      <c r="I387" s="56">
        <v>652980.39500000002</v>
      </c>
      <c r="J387" s="56">
        <v>3373714.41</v>
      </c>
      <c r="K387" s="56">
        <v>268.57600000000002</v>
      </c>
      <c r="L387" s="56">
        <f t="shared" si="42"/>
        <v>269.24299999999999</v>
      </c>
      <c r="M387" s="56">
        <f t="shared" si="38"/>
        <v>0.27600000000000002</v>
      </c>
      <c r="N387" s="56">
        <f t="shared" si="39"/>
        <v>0.29699999999999999</v>
      </c>
      <c r="O387" s="56"/>
      <c r="P387" s="56">
        <v>269.13799999999998</v>
      </c>
      <c r="Q387" s="56"/>
      <c r="R387" s="56"/>
      <c r="S387" s="56">
        <v>269.13900000000001</v>
      </c>
      <c r="T387" s="56">
        <f t="shared" si="40"/>
        <v>-0.56299999999999994</v>
      </c>
      <c r="U387" s="58"/>
      <c r="V387" s="58"/>
      <c r="W387" s="58"/>
      <c r="X387" s="58"/>
      <c r="Y387" s="58"/>
      <c r="Z387" s="58"/>
      <c r="AA387" s="58"/>
      <c r="AB387" s="58"/>
      <c r="AC387" s="58"/>
      <c r="AD387" s="58"/>
      <c r="AE387" s="58"/>
      <c r="AF387" s="58"/>
      <c r="AG387" s="58"/>
      <c r="AH387" s="58"/>
      <c r="AI387" s="58"/>
      <c r="AJ387" s="58"/>
      <c r="AK387" s="58"/>
      <c r="AL387" s="58"/>
      <c r="AM387" s="58"/>
      <c r="AN387" s="58"/>
      <c r="AO387" s="58"/>
      <c r="AP387" s="58"/>
      <c r="AQ387" s="58"/>
      <c r="AR387" s="58"/>
      <c r="AS387" s="58"/>
      <c r="AT387" s="58"/>
      <c r="AU387" s="58"/>
      <c r="AV387" s="58"/>
      <c r="AW387" s="58"/>
      <c r="AX387" s="58"/>
      <c r="AY387" s="58"/>
      <c r="AZ387" s="58"/>
      <c r="BA387" s="58"/>
      <c r="BB387" s="58"/>
      <c r="BC387" s="58"/>
      <c r="BD387" s="58"/>
      <c r="BE387" s="58"/>
      <c r="BF387" s="58"/>
      <c r="BG387" s="58"/>
      <c r="BH387" s="58"/>
      <c r="BI387" s="58"/>
      <c r="BJ387" s="58"/>
      <c r="BK387" s="58"/>
      <c r="BL387" s="58"/>
      <c r="BM387" s="58"/>
      <c r="BN387" s="58"/>
      <c r="BO387" s="58"/>
      <c r="BP387" s="58"/>
      <c r="BQ387" s="58"/>
      <c r="BR387" s="58"/>
      <c r="BS387" s="58"/>
      <c r="BT387" s="58"/>
      <c r="BU387" s="58"/>
      <c r="BV387" s="58"/>
      <c r="BW387" s="58"/>
      <c r="BX387" s="58"/>
      <c r="BY387" s="58"/>
      <c r="BZ387" s="58"/>
      <c r="CA387" s="58"/>
      <c r="CB387" s="58"/>
      <c r="CC387" s="58"/>
      <c r="CD387" s="58"/>
      <c r="CE387" s="58"/>
      <c r="CF387" s="58"/>
      <c r="CG387" s="58"/>
      <c r="CH387" s="58"/>
      <c r="CI387" s="58"/>
      <c r="CJ387" s="58"/>
      <c r="CK387" s="58"/>
      <c r="CL387" s="58"/>
      <c r="CM387" s="58"/>
      <c r="CN387" s="58"/>
      <c r="CO387" s="58"/>
      <c r="CP387" s="58"/>
      <c r="CQ387" s="58"/>
      <c r="CR387" s="58"/>
      <c r="CS387" s="58"/>
      <c r="CT387" s="58"/>
      <c r="CU387" s="58"/>
      <c r="CV387" s="58"/>
      <c r="CW387" s="58"/>
      <c r="CX387" s="58"/>
      <c r="CY387" s="58"/>
      <c r="CZ387" s="58"/>
      <c r="DA387" s="58"/>
      <c r="DB387" s="58"/>
      <c r="DC387" s="58"/>
      <c r="DD387" s="58"/>
      <c r="DE387" s="58"/>
      <c r="DF387" s="58"/>
      <c r="DG387" s="58"/>
      <c r="DH387" s="58"/>
      <c r="DI387" s="58"/>
      <c r="DJ387" s="58"/>
      <c r="DK387" s="58"/>
      <c r="DL387" s="58"/>
      <c r="DM387" s="58"/>
      <c r="DN387" s="58"/>
      <c r="DO387" s="58"/>
      <c r="DP387" s="58"/>
      <c r="DQ387" s="58"/>
      <c r="DR387" s="58"/>
      <c r="DS387" s="58"/>
      <c r="DT387" s="58"/>
      <c r="DU387" s="58"/>
      <c r="DV387" s="58"/>
      <c r="DW387" s="58"/>
      <c r="DX387" s="58"/>
      <c r="DY387" s="58"/>
      <c r="DZ387" s="58"/>
      <c r="EA387" s="58"/>
      <c r="EB387" s="58"/>
      <c r="EC387" s="58"/>
      <c r="ED387" s="58"/>
      <c r="EE387" s="58"/>
      <c r="EF387" s="58"/>
      <c r="EG387" s="58"/>
      <c r="EH387" s="58"/>
      <c r="EI387" s="58"/>
      <c r="EJ387" s="58"/>
      <c r="EK387" s="58"/>
      <c r="EL387" s="58"/>
      <c r="EM387" s="58"/>
      <c r="EN387" s="58"/>
      <c r="EO387" s="58"/>
      <c r="EP387" s="58"/>
      <c r="EQ387" s="58"/>
      <c r="ER387" s="58"/>
      <c r="ES387" s="58"/>
      <c r="ET387" s="58"/>
      <c r="EU387" s="58"/>
      <c r="EV387" s="58"/>
      <c r="EW387" s="58"/>
      <c r="EX387" s="58"/>
      <c r="EY387" s="58"/>
      <c r="EZ387" s="58"/>
      <c r="FA387" s="58"/>
      <c r="FB387" s="58"/>
      <c r="FC387" s="58"/>
      <c r="FD387" s="58"/>
      <c r="FE387" s="58"/>
      <c r="FF387" s="58"/>
      <c r="FG387" s="58"/>
      <c r="FH387" s="58"/>
      <c r="FI387" s="58"/>
      <c r="FJ387" s="58"/>
      <c r="FK387" s="58"/>
      <c r="FL387" s="58"/>
      <c r="FM387" s="58"/>
      <c r="FN387" s="58"/>
      <c r="FO387" s="58"/>
      <c r="FP387" s="58"/>
      <c r="FQ387" s="58"/>
      <c r="FR387" s="58"/>
      <c r="FS387" s="58"/>
      <c r="FT387" s="58"/>
      <c r="FU387" s="58"/>
      <c r="FV387" s="58"/>
      <c r="FW387" s="58"/>
      <c r="FX387" s="58"/>
      <c r="FY387" s="58"/>
      <c r="FZ387" s="58"/>
      <c r="GA387" s="58"/>
      <c r="GB387" s="58"/>
      <c r="GC387" s="58"/>
      <c r="GD387" s="58"/>
      <c r="GE387" s="58"/>
      <c r="GF387" s="58"/>
      <c r="GG387" s="58"/>
      <c r="GH387" s="58"/>
      <c r="GI387" s="58"/>
      <c r="GJ387" s="58"/>
      <c r="GK387" s="58"/>
      <c r="GL387" s="58"/>
      <c r="GM387" s="58"/>
      <c r="GN387" s="58"/>
      <c r="GO387" s="58"/>
      <c r="GP387" s="58"/>
      <c r="GQ387" s="58"/>
      <c r="GR387" s="58"/>
      <c r="GS387" s="58"/>
      <c r="GT387" s="58"/>
      <c r="GU387" s="58"/>
      <c r="GV387" s="58"/>
      <c r="GW387" s="58"/>
      <c r="GX387" s="58"/>
      <c r="GY387" s="58"/>
      <c r="GZ387" s="58"/>
      <c r="HA387" s="58"/>
      <c r="HB387" s="58"/>
      <c r="HC387" s="58"/>
      <c r="HD387" s="58"/>
      <c r="HE387" s="58"/>
      <c r="HF387" s="58"/>
      <c r="HG387" s="58"/>
      <c r="HH387" s="58"/>
      <c r="HI387" s="58"/>
      <c r="HJ387" s="58"/>
      <c r="HK387" s="58"/>
      <c r="HL387" s="58"/>
      <c r="HM387" s="58"/>
      <c r="HN387" s="58"/>
      <c r="HO387" s="58"/>
      <c r="HP387" s="58"/>
      <c r="HQ387" s="58"/>
      <c r="HR387" s="58"/>
      <c r="HS387" s="58"/>
      <c r="HT387" s="58"/>
      <c r="HU387" s="58"/>
      <c r="HV387" s="58"/>
      <c r="HW387" s="58"/>
      <c r="HX387" s="58"/>
      <c r="HY387" s="58"/>
      <c r="HZ387" s="58"/>
      <c r="IA387" s="58"/>
      <c r="IB387" s="58"/>
      <c r="IC387" s="58"/>
      <c r="ID387" s="58"/>
      <c r="IE387" s="58"/>
      <c r="IF387" s="58"/>
      <c r="IG387" s="58"/>
      <c r="IH387" s="58"/>
      <c r="II387" s="58"/>
      <c r="IJ387" s="58"/>
      <c r="IK387" s="58"/>
      <c r="IL387" s="58"/>
      <c r="IM387" s="58"/>
      <c r="IN387" s="58"/>
      <c r="IO387" s="58"/>
      <c r="IP387" s="58"/>
      <c r="IQ387" s="58"/>
      <c r="IR387" s="58"/>
      <c r="IS387" s="58"/>
      <c r="IT387" s="58"/>
    </row>
    <row r="388" spans="1:254" s="55" customFormat="1" x14ac:dyDescent="0.25">
      <c r="A388" s="79">
        <f t="shared" si="36"/>
        <v>289839.90000000002</v>
      </c>
      <c r="B388" s="56">
        <v>289840</v>
      </c>
      <c r="C388" s="56">
        <v>3373749.4019999998</v>
      </c>
      <c r="D388" s="56">
        <v>652981.35230000003</v>
      </c>
      <c r="E388" s="56">
        <v>268.95600000000002</v>
      </c>
      <c r="F388" s="57">
        <f t="shared" si="41"/>
        <v>268.26800000000003</v>
      </c>
      <c r="G388" s="59">
        <v>289839.90000000002</v>
      </c>
      <c r="H388" s="56">
        <v>28.661999999999999</v>
      </c>
      <c r="I388" s="56">
        <v>652964.22699999996</v>
      </c>
      <c r="J388" s="56">
        <v>3373726.182</v>
      </c>
      <c r="K388" s="56">
        <v>268.54300000000001</v>
      </c>
      <c r="L388" s="56">
        <f t="shared" si="42"/>
        <v>269.20999999999998</v>
      </c>
      <c r="M388" s="56">
        <f t="shared" si="38"/>
        <v>0.254</v>
      </c>
      <c r="N388" s="56">
        <f t="shared" si="39"/>
        <v>0.27500000000000002</v>
      </c>
      <c r="O388" s="56"/>
      <c r="P388" s="56">
        <v>269.13600000000002</v>
      </c>
      <c r="Q388" s="56"/>
      <c r="R388" s="56"/>
      <c r="S388" s="56">
        <v>269.14499999999998</v>
      </c>
      <c r="T388" s="56">
        <f t="shared" si="40"/>
        <v>-0.60199999999999998</v>
      </c>
      <c r="U388" s="58"/>
      <c r="V388" s="58"/>
      <c r="W388" s="58"/>
      <c r="X388" s="58"/>
      <c r="Y388" s="58"/>
      <c r="Z388" s="58"/>
      <c r="AA388" s="58"/>
      <c r="AB388" s="58"/>
      <c r="AC388" s="58"/>
      <c r="AD388" s="58"/>
      <c r="AE388" s="58"/>
      <c r="AF388" s="58"/>
      <c r="AG388" s="58"/>
      <c r="AH388" s="58"/>
      <c r="AI388" s="58"/>
      <c r="AJ388" s="58"/>
      <c r="AK388" s="58"/>
      <c r="AL388" s="58"/>
      <c r="AM388" s="58"/>
      <c r="AN388" s="58"/>
      <c r="AO388" s="58"/>
      <c r="AP388" s="58"/>
      <c r="AQ388" s="58"/>
      <c r="AR388" s="58"/>
      <c r="AS388" s="58"/>
      <c r="AT388" s="58"/>
      <c r="AU388" s="58"/>
      <c r="AV388" s="58"/>
      <c r="AW388" s="58"/>
      <c r="AX388" s="58"/>
      <c r="AY388" s="58"/>
      <c r="AZ388" s="58"/>
      <c r="BA388" s="58"/>
      <c r="BB388" s="58"/>
      <c r="BC388" s="58"/>
      <c r="BD388" s="58"/>
      <c r="BE388" s="58"/>
      <c r="BF388" s="58"/>
      <c r="BG388" s="58"/>
      <c r="BH388" s="58"/>
      <c r="BI388" s="58"/>
      <c r="BJ388" s="58"/>
      <c r="BK388" s="58"/>
      <c r="BL388" s="58"/>
      <c r="BM388" s="58"/>
      <c r="BN388" s="58"/>
      <c r="BO388" s="58"/>
      <c r="BP388" s="58"/>
      <c r="BQ388" s="58"/>
      <c r="BR388" s="58"/>
      <c r="BS388" s="58"/>
      <c r="BT388" s="58"/>
      <c r="BU388" s="58"/>
      <c r="BV388" s="58"/>
      <c r="BW388" s="58"/>
      <c r="BX388" s="58"/>
      <c r="BY388" s="58"/>
      <c r="BZ388" s="58"/>
      <c r="CA388" s="58"/>
      <c r="CB388" s="58"/>
      <c r="CC388" s="58"/>
      <c r="CD388" s="58"/>
      <c r="CE388" s="58"/>
      <c r="CF388" s="58"/>
      <c r="CG388" s="58"/>
      <c r="CH388" s="58"/>
      <c r="CI388" s="58"/>
      <c r="CJ388" s="58"/>
      <c r="CK388" s="58"/>
      <c r="CL388" s="58"/>
      <c r="CM388" s="58"/>
      <c r="CN388" s="58"/>
      <c r="CO388" s="58"/>
      <c r="CP388" s="58"/>
      <c r="CQ388" s="58"/>
      <c r="CR388" s="58"/>
      <c r="CS388" s="58"/>
      <c r="CT388" s="58"/>
      <c r="CU388" s="58"/>
      <c r="CV388" s="58"/>
      <c r="CW388" s="58"/>
      <c r="CX388" s="58"/>
      <c r="CY388" s="58"/>
      <c r="CZ388" s="58"/>
      <c r="DA388" s="58"/>
      <c r="DB388" s="58"/>
      <c r="DC388" s="58"/>
      <c r="DD388" s="58"/>
      <c r="DE388" s="58"/>
      <c r="DF388" s="58"/>
      <c r="DG388" s="58"/>
      <c r="DH388" s="58"/>
      <c r="DI388" s="58"/>
      <c r="DJ388" s="58"/>
      <c r="DK388" s="58"/>
      <c r="DL388" s="58"/>
      <c r="DM388" s="58"/>
      <c r="DN388" s="58"/>
      <c r="DO388" s="58"/>
      <c r="DP388" s="58"/>
      <c r="DQ388" s="58"/>
      <c r="DR388" s="58"/>
      <c r="DS388" s="58"/>
      <c r="DT388" s="58"/>
      <c r="DU388" s="58"/>
      <c r="DV388" s="58"/>
      <c r="DW388" s="58"/>
      <c r="DX388" s="58"/>
      <c r="DY388" s="58"/>
      <c r="DZ388" s="58"/>
      <c r="EA388" s="58"/>
      <c r="EB388" s="58"/>
      <c r="EC388" s="58"/>
      <c r="ED388" s="58"/>
      <c r="EE388" s="58"/>
      <c r="EF388" s="58"/>
      <c r="EG388" s="58"/>
      <c r="EH388" s="58"/>
      <c r="EI388" s="58"/>
      <c r="EJ388" s="58"/>
      <c r="EK388" s="58"/>
      <c r="EL388" s="58"/>
      <c r="EM388" s="58"/>
      <c r="EN388" s="58"/>
      <c r="EO388" s="58"/>
      <c r="EP388" s="58"/>
      <c r="EQ388" s="58"/>
      <c r="ER388" s="58"/>
      <c r="ES388" s="58"/>
      <c r="ET388" s="58"/>
      <c r="EU388" s="58"/>
      <c r="EV388" s="58"/>
      <c r="EW388" s="58"/>
      <c r="EX388" s="58"/>
      <c r="EY388" s="58"/>
      <c r="EZ388" s="58"/>
      <c r="FA388" s="58"/>
      <c r="FB388" s="58"/>
      <c r="FC388" s="58"/>
      <c r="FD388" s="58"/>
      <c r="FE388" s="58"/>
      <c r="FF388" s="58"/>
      <c r="FG388" s="58"/>
      <c r="FH388" s="58"/>
      <c r="FI388" s="58"/>
      <c r="FJ388" s="58"/>
      <c r="FK388" s="58"/>
      <c r="FL388" s="58"/>
      <c r="FM388" s="58"/>
      <c r="FN388" s="58"/>
      <c r="FO388" s="58"/>
      <c r="FP388" s="58"/>
      <c r="FQ388" s="58"/>
      <c r="FR388" s="58"/>
      <c r="FS388" s="58"/>
      <c r="FT388" s="58"/>
      <c r="FU388" s="58"/>
      <c r="FV388" s="58"/>
      <c r="FW388" s="58"/>
      <c r="FX388" s="58"/>
      <c r="FY388" s="58"/>
      <c r="FZ388" s="58"/>
      <c r="GA388" s="58"/>
      <c r="GB388" s="58"/>
      <c r="GC388" s="58"/>
      <c r="GD388" s="58"/>
      <c r="GE388" s="58"/>
      <c r="GF388" s="58"/>
      <c r="GG388" s="58"/>
      <c r="GH388" s="58"/>
      <c r="GI388" s="58"/>
      <c r="GJ388" s="58"/>
      <c r="GK388" s="58"/>
      <c r="GL388" s="58"/>
      <c r="GM388" s="58"/>
      <c r="GN388" s="58"/>
      <c r="GO388" s="58"/>
      <c r="GP388" s="58"/>
      <c r="GQ388" s="58"/>
      <c r="GR388" s="58"/>
      <c r="GS388" s="58"/>
      <c r="GT388" s="58"/>
      <c r="GU388" s="58"/>
      <c r="GV388" s="58"/>
      <c r="GW388" s="58"/>
      <c r="GX388" s="58"/>
      <c r="GY388" s="58"/>
      <c r="GZ388" s="58"/>
      <c r="HA388" s="58"/>
      <c r="HB388" s="58"/>
      <c r="HC388" s="58"/>
      <c r="HD388" s="58"/>
      <c r="HE388" s="58"/>
      <c r="HF388" s="58"/>
      <c r="HG388" s="58"/>
      <c r="HH388" s="58"/>
      <c r="HI388" s="58"/>
      <c r="HJ388" s="58"/>
      <c r="HK388" s="58"/>
      <c r="HL388" s="58"/>
      <c r="HM388" s="58"/>
      <c r="HN388" s="58"/>
      <c r="HO388" s="58"/>
      <c r="HP388" s="58"/>
      <c r="HQ388" s="58"/>
      <c r="HR388" s="58"/>
      <c r="HS388" s="58"/>
      <c r="HT388" s="58"/>
      <c r="HU388" s="58"/>
      <c r="HV388" s="58"/>
      <c r="HW388" s="58"/>
      <c r="HX388" s="58"/>
      <c r="HY388" s="58"/>
      <c r="HZ388" s="58"/>
      <c r="IA388" s="58"/>
      <c r="IB388" s="58"/>
      <c r="IC388" s="58"/>
      <c r="ID388" s="58"/>
      <c r="IE388" s="58"/>
      <c r="IF388" s="58"/>
      <c r="IG388" s="58"/>
      <c r="IH388" s="58"/>
      <c r="II388" s="58"/>
      <c r="IJ388" s="58"/>
      <c r="IK388" s="58"/>
      <c r="IL388" s="58"/>
      <c r="IM388" s="58"/>
      <c r="IN388" s="58"/>
      <c r="IO388" s="58"/>
      <c r="IP388" s="58"/>
      <c r="IQ388" s="58"/>
      <c r="IR388" s="58"/>
      <c r="IS388" s="58"/>
      <c r="IT388" s="58"/>
    </row>
    <row r="389" spans="1:254" s="55" customFormat="1" x14ac:dyDescent="0.25">
      <c r="A389" s="79">
        <f t="shared" si="36"/>
        <v>289859.90000000002</v>
      </c>
      <c r="B389" s="56">
        <v>289860</v>
      </c>
      <c r="C389" s="56">
        <v>3373761.2859999998</v>
      </c>
      <c r="D389" s="56">
        <v>652965.2659</v>
      </c>
      <c r="E389" s="56">
        <v>268.94099999999997</v>
      </c>
      <c r="F389" s="57">
        <f t="shared" si="41"/>
        <v>268.25299999999999</v>
      </c>
      <c r="G389" s="59">
        <v>289859.90000000002</v>
      </c>
      <c r="H389" s="56">
        <v>29.206</v>
      </c>
      <c r="I389" s="56">
        <v>652948.09400000004</v>
      </c>
      <c r="J389" s="56">
        <v>3373737.9929999998</v>
      </c>
      <c r="K389" s="56">
        <v>268.51</v>
      </c>
      <c r="L389" s="56">
        <f t="shared" si="42"/>
        <v>269.17699999999996</v>
      </c>
      <c r="M389" s="56">
        <f t="shared" si="38"/>
        <v>0.23599999999999999</v>
      </c>
      <c r="N389" s="56">
        <f t="shared" si="39"/>
        <v>0.25700000000000001</v>
      </c>
      <c r="O389" s="56"/>
      <c r="P389" s="56">
        <v>269.18</v>
      </c>
      <c r="Q389" s="56"/>
      <c r="R389" s="56"/>
      <c r="S389" s="56">
        <v>269.19499999999999</v>
      </c>
      <c r="T389" s="56">
        <f t="shared" si="40"/>
        <v>-0.68500000000000005</v>
      </c>
      <c r="U389" s="58"/>
      <c r="V389" s="58"/>
      <c r="W389" s="58"/>
      <c r="X389" s="58"/>
      <c r="Y389" s="58"/>
      <c r="Z389" s="58"/>
      <c r="AA389" s="58"/>
      <c r="AB389" s="58"/>
      <c r="AC389" s="58"/>
      <c r="AD389" s="58"/>
      <c r="AE389" s="58"/>
      <c r="AF389" s="58"/>
      <c r="AG389" s="58"/>
      <c r="AH389" s="58"/>
      <c r="AI389" s="58"/>
      <c r="AJ389" s="58"/>
      <c r="AK389" s="58"/>
      <c r="AL389" s="58"/>
      <c r="AM389" s="58"/>
      <c r="AN389" s="58"/>
      <c r="AO389" s="58"/>
      <c r="AP389" s="58"/>
      <c r="AQ389" s="58"/>
      <c r="AR389" s="58"/>
      <c r="AS389" s="58"/>
      <c r="AT389" s="58"/>
      <c r="AU389" s="58"/>
      <c r="AV389" s="58"/>
      <c r="AW389" s="58"/>
      <c r="AX389" s="58"/>
      <c r="AY389" s="58"/>
      <c r="AZ389" s="58"/>
      <c r="BA389" s="58"/>
      <c r="BB389" s="58"/>
      <c r="BC389" s="58"/>
      <c r="BD389" s="58"/>
      <c r="BE389" s="58"/>
      <c r="BF389" s="58"/>
      <c r="BG389" s="58"/>
      <c r="BH389" s="58"/>
      <c r="BI389" s="58"/>
      <c r="BJ389" s="58"/>
      <c r="BK389" s="58"/>
      <c r="BL389" s="58"/>
      <c r="BM389" s="58"/>
      <c r="BN389" s="58"/>
      <c r="BO389" s="58"/>
      <c r="BP389" s="58"/>
      <c r="BQ389" s="58"/>
      <c r="BR389" s="58"/>
      <c r="BS389" s="58"/>
      <c r="BT389" s="58"/>
      <c r="BU389" s="58"/>
      <c r="BV389" s="58"/>
      <c r="BW389" s="58"/>
      <c r="BX389" s="58"/>
      <c r="BY389" s="58"/>
      <c r="BZ389" s="58"/>
      <c r="CA389" s="58"/>
      <c r="CB389" s="58"/>
      <c r="CC389" s="58"/>
      <c r="CD389" s="58"/>
      <c r="CE389" s="58"/>
      <c r="CF389" s="58"/>
      <c r="CG389" s="58"/>
      <c r="CH389" s="58"/>
      <c r="CI389" s="58"/>
      <c r="CJ389" s="58"/>
      <c r="CK389" s="58"/>
      <c r="CL389" s="58"/>
      <c r="CM389" s="58"/>
      <c r="CN389" s="58"/>
      <c r="CO389" s="58"/>
      <c r="CP389" s="58"/>
      <c r="CQ389" s="58"/>
      <c r="CR389" s="58"/>
      <c r="CS389" s="58"/>
      <c r="CT389" s="58"/>
      <c r="CU389" s="58"/>
      <c r="CV389" s="58"/>
      <c r="CW389" s="58"/>
      <c r="CX389" s="58"/>
      <c r="CY389" s="58"/>
      <c r="CZ389" s="58"/>
      <c r="DA389" s="58"/>
      <c r="DB389" s="58"/>
      <c r="DC389" s="58"/>
      <c r="DD389" s="58"/>
      <c r="DE389" s="58"/>
      <c r="DF389" s="58"/>
      <c r="DG389" s="58"/>
      <c r="DH389" s="58"/>
      <c r="DI389" s="58"/>
      <c r="DJ389" s="58"/>
      <c r="DK389" s="58"/>
      <c r="DL389" s="58"/>
      <c r="DM389" s="58"/>
      <c r="DN389" s="58"/>
      <c r="DO389" s="58"/>
      <c r="DP389" s="58"/>
      <c r="DQ389" s="58"/>
      <c r="DR389" s="58"/>
      <c r="DS389" s="58"/>
      <c r="DT389" s="58"/>
      <c r="DU389" s="58"/>
      <c r="DV389" s="58"/>
      <c r="DW389" s="58"/>
      <c r="DX389" s="58"/>
      <c r="DY389" s="58"/>
      <c r="DZ389" s="58"/>
      <c r="EA389" s="58"/>
      <c r="EB389" s="58"/>
      <c r="EC389" s="58"/>
      <c r="ED389" s="58"/>
      <c r="EE389" s="58"/>
      <c r="EF389" s="58"/>
      <c r="EG389" s="58"/>
      <c r="EH389" s="58"/>
      <c r="EI389" s="58"/>
      <c r="EJ389" s="58"/>
      <c r="EK389" s="58"/>
      <c r="EL389" s="58"/>
      <c r="EM389" s="58"/>
      <c r="EN389" s="58"/>
      <c r="EO389" s="58"/>
      <c r="EP389" s="58"/>
      <c r="EQ389" s="58"/>
      <c r="ER389" s="58"/>
      <c r="ES389" s="58"/>
      <c r="ET389" s="58"/>
      <c r="EU389" s="58"/>
      <c r="EV389" s="58"/>
      <c r="EW389" s="58"/>
      <c r="EX389" s="58"/>
      <c r="EY389" s="58"/>
      <c r="EZ389" s="58"/>
      <c r="FA389" s="58"/>
      <c r="FB389" s="58"/>
      <c r="FC389" s="58"/>
      <c r="FD389" s="58"/>
      <c r="FE389" s="58"/>
      <c r="FF389" s="58"/>
      <c r="FG389" s="58"/>
      <c r="FH389" s="58"/>
      <c r="FI389" s="58"/>
      <c r="FJ389" s="58"/>
      <c r="FK389" s="58"/>
      <c r="FL389" s="58"/>
      <c r="FM389" s="58"/>
      <c r="FN389" s="58"/>
      <c r="FO389" s="58"/>
      <c r="FP389" s="58"/>
      <c r="FQ389" s="58"/>
      <c r="FR389" s="58"/>
      <c r="FS389" s="58"/>
      <c r="FT389" s="58"/>
      <c r="FU389" s="58"/>
      <c r="FV389" s="58"/>
      <c r="FW389" s="58"/>
      <c r="FX389" s="58"/>
      <c r="FY389" s="58"/>
      <c r="FZ389" s="58"/>
      <c r="GA389" s="58"/>
      <c r="GB389" s="58"/>
      <c r="GC389" s="58"/>
      <c r="GD389" s="58"/>
      <c r="GE389" s="58"/>
      <c r="GF389" s="58"/>
      <c r="GG389" s="58"/>
      <c r="GH389" s="58"/>
      <c r="GI389" s="58"/>
      <c r="GJ389" s="58"/>
      <c r="GK389" s="58"/>
      <c r="GL389" s="58"/>
      <c r="GM389" s="58"/>
      <c r="GN389" s="58"/>
      <c r="GO389" s="58"/>
      <c r="GP389" s="58"/>
      <c r="GQ389" s="58"/>
      <c r="GR389" s="58"/>
      <c r="GS389" s="58"/>
      <c r="GT389" s="58"/>
      <c r="GU389" s="58"/>
      <c r="GV389" s="58"/>
      <c r="GW389" s="58"/>
      <c r="GX389" s="58"/>
      <c r="GY389" s="58"/>
      <c r="GZ389" s="58"/>
      <c r="HA389" s="58"/>
      <c r="HB389" s="58"/>
      <c r="HC389" s="58"/>
      <c r="HD389" s="58"/>
      <c r="HE389" s="58"/>
      <c r="HF389" s="58"/>
      <c r="HG389" s="58"/>
      <c r="HH389" s="58"/>
      <c r="HI389" s="58"/>
      <c r="HJ389" s="58"/>
      <c r="HK389" s="58"/>
      <c r="HL389" s="58"/>
      <c r="HM389" s="58"/>
      <c r="HN389" s="58"/>
      <c r="HO389" s="58"/>
      <c r="HP389" s="58"/>
      <c r="HQ389" s="58"/>
      <c r="HR389" s="58"/>
      <c r="HS389" s="58"/>
      <c r="HT389" s="58"/>
      <c r="HU389" s="58"/>
      <c r="HV389" s="58"/>
      <c r="HW389" s="58"/>
      <c r="HX389" s="58"/>
      <c r="HY389" s="58"/>
      <c r="HZ389" s="58"/>
      <c r="IA389" s="58"/>
      <c r="IB389" s="58"/>
      <c r="IC389" s="58"/>
      <c r="ID389" s="58"/>
      <c r="IE389" s="58"/>
      <c r="IF389" s="58"/>
      <c r="IG389" s="58"/>
      <c r="IH389" s="58"/>
      <c r="II389" s="58"/>
      <c r="IJ389" s="58"/>
      <c r="IK389" s="58"/>
      <c r="IL389" s="58"/>
      <c r="IM389" s="58"/>
      <c r="IN389" s="58"/>
      <c r="IO389" s="58"/>
      <c r="IP389" s="58"/>
      <c r="IQ389" s="58"/>
      <c r="IR389" s="58"/>
      <c r="IS389" s="58"/>
      <c r="IT389" s="58"/>
    </row>
    <row r="390" spans="1:254" s="55" customFormat="1" x14ac:dyDescent="0.25">
      <c r="A390" s="79">
        <f t="shared" si="36"/>
        <v>289879.90000000002</v>
      </c>
      <c r="B390" s="56">
        <v>289880</v>
      </c>
      <c r="C390" s="56">
        <v>3373773.165</v>
      </c>
      <c r="D390" s="56">
        <v>652949.17579999997</v>
      </c>
      <c r="E390" s="56">
        <v>268.92500000000001</v>
      </c>
      <c r="F390" s="57">
        <f t="shared" si="41"/>
        <v>268.23700000000002</v>
      </c>
      <c r="G390" s="59">
        <v>289879.90000000002</v>
      </c>
      <c r="H390" s="56">
        <v>29.295999999999999</v>
      </c>
      <c r="I390" s="56">
        <v>652932.13300000003</v>
      </c>
      <c r="J390" s="56">
        <v>3373750.0219999999</v>
      </c>
      <c r="K390" s="56">
        <v>268.476</v>
      </c>
      <c r="L390" s="56">
        <f t="shared" si="42"/>
        <v>269.14299999999997</v>
      </c>
      <c r="M390" s="56">
        <f t="shared" si="38"/>
        <v>0.218</v>
      </c>
      <c r="N390" s="56">
        <f t="shared" si="39"/>
        <v>0.23899999999999999</v>
      </c>
      <c r="O390" s="56"/>
      <c r="P390" s="56">
        <v>269.26499999999999</v>
      </c>
      <c r="Q390" s="56"/>
      <c r="R390" s="56"/>
      <c r="S390" s="56">
        <v>269.274</v>
      </c>
      <c r="T390" s="56">
        <f t="shared" si="40"/>
        <v>-0.79800000000000004</v>
      </c>
      <c r="U390" s="58"/>
      <c r="V390" s="58"/>
      <c r="W390" s="58"/>
      <c r="X390" s="58"/>
      <c r="Y390" s="58"/>
      <c r="Z390" s="58"/>
      <c r="AA390" s="58"/>
      <c r="AB390" s="58"/>
      <c r="AC390" s="58"/>
      <c r="AD390" s="58"/>
      <c r="AE390" s="58"/>
      <c r="AF390" s="58"/>
      <c r="AG390" s="58"/>
      <c r="AH390" s="58"/>
      <c r="AI390" s="58"/>
      <c r="AJ390" s="58"/>
      <c r="AK390" s="58"/>
      <c r="AL390" s="58"/>
      <c r="AM390" s="58"/>
      <c r="AN390" s="58"/>
      <c r="AO390" s="58"/>
      <c r="AP390" s="58"/>
      <c r="AQ390" s="58"/>
      <c r="AR390" s="58"/>
      <c r="AS390" s="58"/>
      <c r="AT390" s="58"/>
      <c r="AU390" s="58"/>
      <c r="AV390" s="58"/>
      <c r="AW390" s="58"/>
      <c r="AX390" s="58"/>
      <c r="AY390" s="58"/>
      <c r="AZ390" s="58"/>
      <c r="BA390" s="58"/>
      <c r="BB390" s="58"/>
      <c r="BC390" s="58"/>
      <c r="BD390" s="58"/>
      <c r="BE390" s="58"/>
      <c r="BF390" s="58"/>
      <c r="BG390" s="58"/>
      <c r="BH390" s="58"/>
      <c r="BI390" s="58"/>
      <c r="BJ390" s="58"/>
      <c r="BK390" s="58"/>
      <c r="BL390" s="58"/>
      <c r="BM390" s="58"/>
      <c r="BN390" s="58"/>
      <c r="BO390" s="58"/>
      <c r="BP390" s="58"/>
      <c r="BQ390" s="58"/>
      <c r="BR390" s="58"/>
      <c r="BS390" s="58"/>
      <c r="BT390" s="58"/>
      <c r="BU390" s="58"/>
      <c r="BV390" s="58"/>
      <c r="BW390" s="58"/>
      <c r="BX390" s="58"/>
      <c r="BY390" s="58"/>
      <c r="BZ390" s="58"/>
      <c r="CA390" s="58"/>
      <c r="CB390" s="58"/>
      <c r="CC390" s="58"/>
      <c r="CD390" s="58"/>
      <c r="CE390" s="58"/>
      <c r="CF390" s="58"/>
      <c r="CG390" s="58"/>
      <c r="CH390" s="58"/>
      <c r="CI390" s="58"/>
      <c r="CJ390" s="58"/>
      <c r="CK390" s="58"/>
      <c r="CL390" s="58"/>
      <c r="CM390" s="58"/>
      <c r="CN390" s="58"/>
      <c r="CO390" s="58"/>
      <c r="CP390" s="58"/>
      <c r="CQ390" s="58"/>
      <c r="CR390" s="58"/>
      <c r="CS390" s="58"/>
      <c r="CT390" s="58"/>
      <c r="CU390" s="58"/>
      <c r="CV390" s="58"/>
      <c r="CW390" s="58"/>
      <c r="CX390" s="58"/>
      <c r="CY390" s="58"/>
      <c r="CZ390" s="58"/>
      <c r="DA390" s="58"/>
      <c r="DB390" s="58"/>
      <c r="DC390" s="58"/>
      <c r="DD390" s="58"/>
      <c r="DE390" s="58"/>
      <c r="DF390" s="58"/>
      <c r="DG390" s="58"/>
      <c r="DH390" s="58"/>
      <c r="DI390" s="58"/>
      <c r="DJ390" s="58"/>
      <c r="DK390" s="58"/>
      <c r="DL390" s="58"/>
      <c r="DM390" s="58"/>
      <c r="DN390" s="58"/>
      <c r="DO390" s="58"/>
      <c r="DP390" s="58"/>
      <c r="DQ390" s="58"/>
      <c r="DR390" s="58"/>
      <c r="DS390" s="58"/>
      <c r="DT390" s="58"/>
      <c r="DU390" s="58"/>
      <c r="DV390" s="58"/>
      <c r="DW390" s="58"/>
      <c r="DX390" s="58"/>
      <c r="DY390" s="58"/>
      <c r="DZ390" s="58"/>
      <c r="EA390" s="58"/>
      <c r="EB390" s="58"/>
      <c r="EC390" s="58"/>
      <c r="ED390" s="58"/>
      <c r="EE390" s="58"/>
      <c r="EF390" s="58"/>
      <c r="EG390" s="58"/>
      <c r="EH390" s="58"/>
      <c r="EI390" s="58"/>
      <c r="EJ390" s="58"/>
      <c r="EK390" s="58"/>
      <c r="EL390" s="58"/>
      <c r="EM390" s="58"/>
      <c r="EN390" s="58"/>
      <c r="EO390" s="58"/>
      <c r="EP390" s="58"/>
      <c r="EQ390" s="58"/>
      <c r="ER390" s="58"/>
      <c r="ES390" s="58"/>
      <c r="ET390" s="58"/>
      <c r="EU390" s="58"/>
      <c r="EV390" s="58"/>
      <c r="EW390" s="58"/>
      <c r="EX390" s="58"/>
      <c r="EY390" s="58"/>
      <c r="EZ390" s="58"/>
      <c r="FA390" s="58"/>
      <c r="FB390" s="58"/>
      <c r="FC390" s="58"/>
      <c r="FD390" s="58"/>
      <c r="FE390" s="58"/>
      <c r="FF390" s="58"/>
      <c r="FG390" s="58"/>
      <c r="FH390" s="58"/>
      <c r="FI390" s="58"/>
      <c r="FJ390" s="58"/>
      <c r="FK390" s="58"/>
      <c r="FL390" s="58"/>
      <c r="FM390" s="58"/>
      <c r="FN390" s="58"/>
      <c r="FO390" s="58"/>
      <c r="FP390" s="58"/>
      <c r="FQ390" s="58"/>
      <c r="FR390" s="58"/>
      <c r="FS390" s="58"/>
      <c r="FT390" s="58"/>
      <c r="FU390" s="58"/>
      <c r="FV390" s="58"/>
      <c r="FW390" s="58"/>
      <c r="FX390" s="58"/>
      <c r="FY390" s="58"/>
      <c r="FZ390" s="58"/>
      <c r="GA390" s="58"/>
      <c r="GB390" s="58"/>
      <c r="GC390" s="58"/>
      <c r="GD390" s="58"/>
      <c r="GE390" s="58"/>
      <c r="GF390" s="58"/>
      <c r="GG390" s="58"/>
      <c r="GH390" s="58"/>
      <c r="GI390" s="58"/>
      <c r="GJ390" s="58"/>
      <c r="GK390" s="58"/>
      <c r="GL390" s="58"/>
      <c r="GM390" s="58"/>
      <c r="GN390" s="58"/>
      <c r="GO390" s="58"/>
      <c r="GP390" s="58"/>
      <c r="GQ390" s="58"/>
      <c r="GR390" s="58"/>
      <c r="GS390" s="58"/>
      <c r="GT390" s="58"/>
      <c r="GU390" s="58"/>
      <c r="GV390" s="58"/>
      <c r="GW390" s="58"/>
      <c r="GX390" s="58"/>
      <c r="GY390" s="58"/>
      <c r="GZ390" s="58"/>
      <c r="HA390" s="58"/>
      <c r="HB390" s="58"/>
      <c r="HC390" s="58"/>
      <c r="HD390" s="58"/>
      <c r="HE390" s="58"/>
      <c r="HF390" s="58"/>
      <c r="HG390" s="58"/>
      <c r="HH390" s="58"/>
      <c r="HI390" s="58"/>
      <c r="HJ390" s="58"/>
      <c r="HK390" s="58"/>
      <c r="HL390" s="58"/>
      <c r="HM390" s="58"/>
      <c r="HN390" s="58"/>
      <c r="HO390" s="58"/>
      <c r="HP390" s="58"/>
      <c r="HQ390" s="58"/>
      <c r="HR390" s="58"/>
      <c r="HS390" s="58"/>
      <c r="HT390" s="58"/>
      <c r="HU390" s="58"/>
      <c r="HV390" s="58"/>
      <c r="HW390" s="58"/>
      <c r="HX390" s="58"/>
      <c r="HY390" s="58"/>
      <c r="HZ390" s="58"/>
      <c r="IA390" s="58"/>
      <c r="IB390" s="58"/>
      <c r="IC390" s="58"/>
      <c r="ID390" s="58"/>
      <c r="IE390" s="58"/>
      <c r="IF390" s="58"/>
      <c r="IG390" s="58"/>
      <c r="IH390" s="58"/>
      <c r="II390" s="58"/>
      <c r="IJ390" s="58"/>
      <c r="IK390" s="58"/>
      <c r="IL390" s="58"/>
      <c r="IM390" s="58"/>
      <c r="IN390" s="58"/>
      <c r="IO390" s="58"/>
      <c r="IP390" s="58"/>
      <c r="IQ390" s="58"/>
      <c r="IR390" s="58"/>
      <c r="IS390" s="58"/>
      <c r="IT390" s="58"/>
    </row>
    <row r="391" spans="1:254" s="55" customFormat="1" x14ac:dyDescent="0.25">
      <c r="A391" s="79">
        <f t="shared" si="36"/>
        <v>289899.90000000002</v>
      </c>
      <c r="B391" s="56">
        <v>289900</v>
      </c>
      <c r="C391" s="56">
        <v>3373785.0350000001</v>
      </c>
      <c r="D391" s="56">
        <v>652933.07960000006</v>
      </c>
      <c r="E391" s="56">
        <v>268.90899999999999</v>
      </c>
      <c r="F391" s="57">
        <f t="shared" si="41"/>
        <v>268.221</v>
      </c>
      <c r="G391" s="59">
        <v>289899.90000000002</v>
      </c>
      <c r="H391" s="56">
        <v>28.574999999999999</v>
      </c>
      <c r="I391" s="56">
        <v>652916.49600000004</v>
      </c>
      <c r="J391" s="56">
        <v>3373762.4649999999</v>
      </c>
      <c r="K391" s="56">
        <v>268.44200000000001</v>
      </c>
      <c r="L391" s="56">
        <f t="shared" si="42"/>
        <v>269.10899999999998</v>
      </c>
      <c r="M391" s="56">
        <f t="shared" si="38"/>
        <v>0.2</v>
      </c>
      <c r="N391" s="56">
        <f t="shared" si="39"/>
        <v>0.221</v>
      </c>
      <c r="O391" s="56"/>
      <c r="P391" s="56">
        <v>269.35199999999998</v>
      </c>
      <c r="Q391" s="56"/>
      <c r="R391" s="56"/>
      <c r="S391" s="56">
        <v>269.32400000000001</v>
      </c>
      <c r="T391" s="56">
        <f t="shared" si="40"/>
        <v>-0.88200000000000001</v>
      </c>
      <c r="U391" s="58"/>
      <c r="V391" s="58"/>
      <c r="W391" s="58"/>
      <c r="X391" s="58"/>
      <c r="Y391" s="58"/>
      <c r="Z391" s="58"/>
      <c r="AA391" s="58"/>
      <c r="AB391" s="58"/>
      <c r="AC391" s="58"/>
      <c r="AD391" s="58"/>
      <c r="AE391" s="58"/>
      <c r="AF391" s="58"/>
      <c r="AG391" s="58"/>
      <c r="AH391" s="58"/>
      <c r="AI391" s="58"/>
      <c r="AJ391" s="58"/>
      <c r="AK391" s="58"/>
      <c r="AL391" s="58"/>
      <c r="AM391" s="58"/>
      <c r="AN391" s="58"/>
      <c r="AO391" s="58"/>
      <c r="AP391" s="58"/>
      <c r="AQ391" s="58"/>
      <c r="AR391" s="58"/>
      <c r="AS391" s="58"/>
      <c r="AT391" s="58"/>
      <c r="AU391" s="58"/>
      <c r="AV391" s="58"/>
      <c r="AW391" s="58"/>
      <c r="AX391" s="58"/>
      <c r="AY391" s="58"/>
      <c r="AZ391" s="58"/>
      <c r="BA391" s="58"/>
      <c r="BB391" s="58"/>
      <c r="BC391" s="58"/>
      <c r="BD391" s="58"/>
      <c r="BE391" s="58"/>
      <c r="BF391" s="58"/>
      <c r="BG391" s="58"/>
      <c r="BH391" s="58"/>
      <c r="BI391" s="58"/>
      <c r="BJ391" s="58"/>
      <c r="BK391" s="58"/>
      <c r="BL391" s="58"/>
      <c r="BM391" s="58"/>
      <c r="BN391" s="58"/>
      <c r="BO391" s="58"/>
      <c r="BP391" s="58"/>
      <c r="BQ391" s="58"/>
      <c r="BR391" s="58"/>
      <c r="BS391" s="58"/>
      <c r="BT391" s="58"/>
      <c r="BU391" s="58"/>
      <c r="BV391" s="58"/>
      <c r="BW391" s="58"/>
      <c r="BX391" s="58"/>
      <c r="BY391" s="58"/>
      <c r="BZ391" s="58"/>
      <c r="CA391" s="58"/>
      <c r="CB391" s="58"/>
      <c r="CC391" s="58"/>
      <c r="CD391" s="58"/>
      <c r="CE391" s="58"/>
      <c r="CF391" s="58"/>
      <c r="CG391" s="58"/>
      <c r="CH391" s="58"/>
      <c r="CI391" s="58"/>
      <c r="CJ391" s="58"/>
      <c r="CK391" s="58"/>
      <c r="CL391" s="58"/>
      <c r="CM391" s="58"/>
      <c r="CN391" s="58"/>
      <c r="CO391" s="58"/>
      <c r="CP391" s="58"/>
      <c r="CQ391" s="58"/>
      <c r="CR391" s="58"/>
      <c r="CS391" s="58"/>
      <c r="CT391" s="58"/>
      <c r="CU391" s="58"/>
      <c r="CV391" s="58"/>
      <c r="CW391" s="58"/>
      <c r="CX391" s="58"/>
      <c r="CY391" s="58"/>
      <c r="CZ391" s="58"/>
      <c r="DA391" s="58"/>
      <c r="DB391" s="58"/>
      <c r="DC391" s="58"/>
      <c r="DD391" s="58"/>
      <c r="DE391" s="58"/>
      <c r="DF391" s="58"/>
      <c r="DG391" s="58"/>
      <c r="DH391" s="58"/>
      <c r="DI391" s="58"/>
      <c r="DJ391" s="58"/>
      <c r="DK391" s="58"/>
      <c r="DL391" s="58"/>
      <c r="DM391" s="58"/>
      <c r="DN391" s="58"/>
      <c r="DO391" s="58"/>
      <c r="DP391" s="58"/>
      <c r="DQ391" s="58"/>
      <c r="DR391" s="58"/>
      <c r="DS391" s="58"/>
      <c r="DT391" s="58"/>
      <c r="DU391" s="58"/>
      <c r="DV391" s="58"/>
      <c r="DW391" s="58"/>
      <c r="DX391" s="58"/>
      <c r="DY391" s="58"/>
      <c r="DZ391" s="58"/>
      <c r="EA391" s="58"/>
      <c r="EB391" s="58"/>
      <c r="EC391" s="58"/>
      <c r="ED391" s="58"/>
      <c r="EE391" s="58"/>
      <c r="EF391" s="58"/>
      <c r="EG391" s="58"/>
      <c r="EH391" s="58"/>
      <c r="EI391" s="58"/>
      <c r="EJ391" s="58"/>
      <c r="EK391" s="58"/>
      <c r="EL391" s="58"/>
      <c r="EM391" s="58"/>
      <c r="EN391" s="58"/>
      <c r="EO391" s="58"/>
      <c r="EP391" s="58"/>
      <c r="EQ391" s="58"/>
      <c r="ER391" s="58"/>
      <c r="ES391" s="58"/>
      <c r="ET391" s="58"/>
      <c r="EU391" s="58"/>
      <c r="EV391" s="58"/>
      <c r="EW391" s="58"/>
      <c r="EX391" s="58"/>
      <c r="EY391" s="58"/>
      <c r="EZ391" s="58"/>
      <c r="FA391" s="58"/>
      <c r="FB391" s="58"/>
      <c r="FC391" s="58"/>
      <c r="FD391" s="58"/>
      <c r="FE391" s="58"/>
      <c r="FF391" s="58"/>
      <c r="FG391" s="58"/>
      <c r="FH391" s="58"/>
      <c r="FI391" s="58"/>
      <c r="FJ391" s="58"/>
      <c r="FK391" s="58"/>
      <c r="FL391" s="58"/>
      <c r="FM391" s="58"/>
      <c r="FN391" s="58"/>
      <c r="FO391" s="58"/>
      <c r="FP391" s="58"/>
      <c r="FQ391" s="58"/>
      <c r="FR391" s="58"/>
      <c r="FS391" s="58"/>
      <c r="FT391" s="58"/>
      <c r="FU391" s="58"/>
      <c r="FV391" s="58"/>
      <c r="FW391" s="58"/>
      <c r="FX391" s="58"/>
      <c r="FY391" s="58"/>
      <c r="FZ391" s="58"/>
      <c r="GA391" s="58"/>
      <c r="GB391" s="58"/>
      <c r="GC391" s="58"/>
      <c r="GD391" s="58"/>
      <c r="GE391" s="58"/>
      <c r="GF391" s="58"/>
      <c r="GG391" s="58"/>
      <c r="GH391" s="58"/>
      <c r="GI391" s="58"/>
      <c r="GJ391" s="58"/>
      <c r="GK391" s="58"/>
      <c r="GL391" s="58"/>
      <c r="GM391" s="58"/>
      <c r="GN391" s="58"/>
      <c r="GO391" s="58"/>
      <c r="GP391" s="58"/>
      <c r="GQ391" s="58"/>
      <c r="GR391" s="58"/>
      <c r="GS391" s="58"/>
      <c r="GT391" s="58"/>
      <c r="GU391" s="58"/>
      <c r="GV391" s="58"/>
      <c r="GW391" s="58"/>
      <c r="GX391" s="58"/>
      <c r="GY391" s="58"/>
      <c r="GZ391" s="58"/>
      <c r="HA391" s="58"/>
      <c r="HB391" s="58"/>
      <c r="HC391" s="58"/>
      <c r="HD391" s="58"/>
      <c r="HE391" s="58"/>
      <c r="HF391" s="58"/>
      <c r="HG391" s="58"/>
      <c r="HH391" s="58"/>
      <c r="HI391" s="58"/>
      <c r="HJ391" s="58"/>
      <c r="HK391" s="58"/>
      <c r="HL391" s="58"/>
      <c r="HM391" s="58"/>
      <c r="HN391" s="58"/>
      <c r="HO391" s="58"/>
      <c r="HP391" s="58"/>
      <c r="HQ391" s="58"/>
      <c r="HR391" s="58"/>
      <c r="HS391" s="58"/>
      <c r="HT391" s="58"/>
      <c r="HU391" s="58"/>
      <c r="HV391" s="58"/>
      <c r="HW391" s="58"/>
      <c r="HX391" s="58"/>
      <c r="HY391" s="58"/>
      <c r="HZ391" s="58"/>
      <c r="IA391" s="58"/>
      <c r="IB391" s="58"/>
      <c r="IC391" s="58"/>
      <c r="ID391" s="58"/>
      <c r="IE391" s="58"/>
      <c r="IF391" s="58"/>
      <c r="IG391" s="58"/>
      <c r="IH391" s="58"/>
      <c r="II391" s="58"/>
      <c r="IJ391" s="58"/>
      <c r="IK391" s="58"/>
      <c r="IL391" s="58"/>
      <c r="IM391" s="58"/>
      <c r="IN391" s="58"/>
      <c r="IO391" s="58"/>
      <c r="IP391" s="58"/>
      <c r="IQ391" s="58"/>
      <c r="IR391" s="58"/>
      <c r="IS391" s="58"/>
      <c r="IT391" s="58"/>
    </row>
    <row r="392" spans="1:254" s="55" customFormat="1" x14ac:dyDescent="0.25">
      <c r="A392" s="79">
        <f>G392</f>
        <v>289921.2</v>
      </c>
      <c r="B392" s="56">
        <v>290000</v>
      </c>
      <c r="C392" s="56">
        <v>3373796.906</v>
      </c>
      <c r="D392" s="56">
        <v>652916.98340000003</v>
      </c>
      <c r="E392" s="56">
        <v>268.89299999999997</v>
      </c>
      <c r="F392" s="57">
        <v>268.20499999999998</v>
      </c>
      <c r="G392" s="59">
        <v>289921.2</v>
      </c>
      <c r="H392" s="56">
        <v>27.05</v>
      </c>
      <c r="I392" s="56">
        <v>652901.18999999994</v>
      </c>
      <c r="J392" s="56">
        <v>3373775.3169999998</v>
      </c>
      <c r="K392" s="56">
        <v>268.40800000000002</v>
      </c>
      <c r="L392" s="56">
        <f t="shared" si="42"/>
        <v>269.07499999999999</v>
      </c>
      <c r="M392" s="56">
        <f t="shared" si="38"/>
        <v>0.182</v>
      </c>
      <c r="N392" s="56">
        <f t="shared" si="39"/>
        <v>0.20300000000000001</v>
      </c>
      <c r="O392" s="56"/>
      <c r="P392" s="56">
        <v>269.39600000000002</v>
      </c>
      <c r="Q392" s="56"/>
      <c r="R392" s="56"/>
      <c r="S392" s="56">
        <v>269.37400000000002</v>
      </c>
      <c r="T392" s="56">
        <f t="shared" si="40"/>
        <v>-0.96599999999999997</v>
      </c>
      <c r="U392" s="58"/>
      <c r="V392" s="58"/>
      <c r="W392" s="58"/>
      <c r="X392" s="58"/>
      <c r="Y392" s="58"/>
      <c r="Z392" s="58"/>
      <c r="AA392" s="58"/>
      <c r="AB392" s="58"/>
      <c r="AC392" s="58"/>
      <c r="AD392" s="58"/>
      <c r="AE392" s="58"/>
      <c r="AF392" s="58"/>
      <c r="AG392" s="58"/>
      <c r="AH392" s="58"/>
      <c r="AI392" s="58"/>
      <c r="AJ392" s="58"/>
      <c r="AK392" s="58"/>
      <c r="AL392" s="58"/>
      <c r="AM392" s="58"/>
      <c r="AN392" s="58"/>
      <c r="AO392" s="58"/>
      <c r="AP392" s="58"/>
      <c r="AQ392" s="58"/>
      <c r="AR392" s="58"/>
      <c r="AS392" s="58"/>
      <c r="AT392" s="58"/>
      <c r="AU392" s="58"/>
      <c r="AV392" s="58"/>
      <c r="AW392" s="58"/>
      <c r="AX392" s="58"/>
      <c r="AY392" s="58"/>
      <c r="AZ392" s="58"/>
      <c r="BA392" s="58"/>
      <c r="BB392" s="58"/>
      <c r="BC392" s="58"/>
      <c r="BD392" s="58"/>
      <c r="BE392" s="58"/>
      <c r="BF392" s="58"/>
      <c r="BG392" s="58"/>
      <c r="BH392" s="58"/>
      <c r="BI392" s="58"/>
      <c r="BJ392" s="58"/>
      <c r="BK392" s="58"/>
      <c r="BL392" s="58"/>
      <c r="BM392" s="58"/>
      <c r="BN392" s="58"/>
      <c r="BO392" s="58"/>
      <c r="BP392" s="58"/>
      <c r="BQ392" s="58"/>
      <c r="BR392" s="58"/>
      <c r="BS392" s="58"/>
      <c r="BT392" s="58"/>
      <c r="BU392" s="58"/>
      <c r="BV392" s="58"/>
      <c r="BW392" s="58"/>
      <c r="BX392" s="58"/>
      <c r="BY392" s="58"/>
      <c r="BZ392" s="58"/>
      <c r="CA392" s="58"/>
      <c r="CB392" s="58"/>
      <c r="CC392" s="58"/>
      <c r="CD392" s="58"/>
      <c r="CE392" s="58"/>
      <c r="CF392" s="58"/>
      <c r="CG392" s="58"/>
      <c r="CH392" s="58"/>
      <c r="CI392" s="58"/>
      <c r="CJ392" s="58"/>
      <c r="CK392" s="58"/>
      <c r="CL392" s="58"/>
      <c r="CM392" s="58"/>
      <c r="CN392" s="58"/>
      <c r="CO392" s="58"/>
      <c r="CP392" s="58"/>
      <c r="CQ392" s="58"/>
      <c r="CR392" s="58"/>
      <c r="CS392" s="58"/>
      <c r="CT392" s="58"/>
      <c r="CU392" s="58"/>
      <c r="CV392" s="58"/>
      <c r="CW392" s="58"/>
      <c r="CX392" s="58"/>
      <c r="CY392" s="58"/>
      <c r="CZ392" s="58"/>
      <c r="DA392" s="58"/>
      <c r="DB392" s="58"/>
      <c r="DC392" s="58"/>
      <c r="DD392" s="58"/>
      <c r="DE392" s="58"/>
      <c r="DF392" s="58"/>
      <c r="DG392" s="58"/>
      <c r="DH392" s="58"/>
      <c r="DI392" s="58"/>
      <c r="DJ392" s="58"/>
      <c r="DK392" s="58"/>
      <c r="DL392" s="58"/>
      <c r="DM392" s="58"/>
      <c r="DN392" s="58"/>
      <c r="DO392" s="58"/>
      <c r="DP392" s="58"/>
      <c r="DQ392" s="58"/>
      <c r="DR392" s="58"/>
      <c r="DS392" s="58"/>
      <c r="DT392" s="58"/>
      <c r="DU392" s="58"/>
      <c r="DV392" s="58"/>
      <c r="DW392" s="58"/>
      <c r="DX392" s="58"/>
      <c r="DY392" s="58"/>
      <c r="DZ392" s="58"/>
      <c r="EA392" s="58"/>
      <c r="EB392" s="58"/>
      <c r="EC392" s="58"/>
      <c r="ED392" s="58"/>
      <c r="EE392" s="58"/>
      <c r="EF392" s="58"/>
      <c r="EG392" s="58"/>
      <c r="EH392" s="58"/>
      <c r="EI392" s="58"/>
      <c r="EJ392" s="58"/>
      <c r="EK392" s="58"/>
      <c r="EL392" s="58"/>
      <c r="EM392" s="58"/>
      <c r="EN392" s="58"/>
      <c r="EO392" s="58"/>
      <c r="EP392" s="58"/>
      <c r="EQ392" s="58"/>
      <c r="ER392" s="58"/>
      <c r="ES392" s="58"/>
      <c r="ET392" s="58"/>
      <c r="EU392" s="58"/>
      <c r="EV392" s="58"/>
      <c r="EW392" s="58"/>
      <c r="EX392" s="58"/>
      <c r="EY392" s="58"/>
      <c r="EZ392" s="58"/>
      <c r="FA392" s="58"/>
      <c r="FB392" s="58"/>
      <c r="FC392" s="58"/>
      <c r="FD392" s="58"/>
      <c r="FE392" s="58"/>
      <c r="FF392" s="58"/>
      <c r="FG392" s="58"/>
      <c r="FH392" s="58"/>
      <c r="FI392" s="58"/>
      <c r="FJ392" s="58"/>
      <c r="FK392" s="58"/>
      <c r="FL392" s="58"/>
      <c r="FM392" s="58"/>
      <c r="FN392" s="58"/>
      <c r="FO392" s="58"/>
      <c r="FP392" s="58"/>
      <c r="FQ392" s="58"/>
      <c r="FR392" s="58"/>
      <c r="FS392" s="58"/>
      <c r="FT392" s="58"/>
      <c r="FU392" s="58"/>
      <c r="FV392" s="58"/>
      <c r="FW392" s="58"/>
      <c r="FX392" s="58"/>
      <c r="FY392" s="58"/>
      <c r="FZ392" s="58"/>
      <c r="GA392" s="58"/>
      <c r="GB392" s="58"/>
      <c r="GC392" s="58"/>
      <c r="GD392" s="58"/>
      <c r="GE392" s="58"/>
      <c r="GF392" s="58"/>
      <c r="GG392" s="58"/>
      <c r="GH392" s="58"/>
      <c r="GI392" s="58"/>
      <c r="GJ392" s="58"/>
      <c r="GK392" s="58"/>
      <c r="GL392" s="58"/>
      <c r="GM392" s="58"/>
      <c r="GN392" s="58"/>
      <c r="GO392" s="58"/>
      <c r="GP392" s="58"/>
      <c r="GQ392" s="58"/>
      <c r="GR392" s="58"/>
      <c r="GS392" s="58"/>
      <c r="GT392" s="58"/>
      <c r="GU392" s="58"/>
      <c r="GV392" s="58"/>
      <c r="GW392" s="58"/>
      <c r="GX392" s="58"/>
      <c r="GY392" s="58"/>
      <c r="GZ392" s="58"/>
      <c r="HA392" s="58"/>
      <c r="HB392" s="58"/>
      <c r="HC392" s="58"/>
      <c r="HD392" s="58"/>
      <c r="HE392" s="58"/>
      <c r="HF392" s="58"/>
      <c r="HG392" s="58"/>
      <c r="HH392" s="58"/>
      <c r="HI392" s="58"/>
      <c r="HJ392" s="58"/>
      <c r="HK392" s="58"/>
      <c r="HL392" s="58"/>
      <c r="HM392" s="58"/>
      <c r="HN392" s="58"/>
      <c r="HO392" s="58"/>
      <c r="HP392" s="58"/>
      <c r="HQ392" s="58"/>
      <c r="HR392" s="58"/>
      <c r="HS392" s="58"/>
      <c r="HT392" s="58"/>
      <c r="HU392" s="58"/>
      <c r="HV392" s="58"/>
      <c r="HW392" s="58"/>
      <c r="HX392" s="58"/>
      <c r="HY392" s="58"/>
      <c r="HZ392" s="58"/>
      <c r="IA392" s="58"/>
      <c r="IB392" s="58"/>
      <c r="IC392" s="58"/>
      <c r="ID392" s="58"/>
      <c r="IE392" s="58"/>
      <c r="IF392" s="58"/>
      <c r="IG392" s="58"/>
      <c r="IH392" s="58"/>
      <c r="II392" s="58"/>
      <c r="IJ392" s="58"/>
      <c r="IK392" s="58"/>
      <c r="IL392" s="58"/>
      <c r="IM392" s="58"/>
      <c r="IN392" s="58"/>
      <c r="IO392" s="58"/>
      <c r="IP392" s="58"/>
      <c r="IQ392" s="58"/>
      <c r="IR392" s="58"/>
      <c r="IS392" s="58"/>
      <c r="IT392" s="58"/>
    </row>
    <row r="393" spans="1:254" s="55" customFormat="1" x14ac:dyDescent="0.25">
      <c r="A393" s="79">
        <f t="shared" si="36"/>
        <v>289941.2</v>
      </c>
      <c r="B393" s="56">
        <v>290020</v>
      </c>
      <c r="C393" s="56">
        <v>3373808.7919999999</v>
      </c>
      <c r="D393" s="56">
        <v>652900.89870000002</v>
      </c>
      <c r="E393" s="56">
        <v>268.892</v>
      </c>
      <c r="F393" s="57">
        <v>268.23</v>
      </c>
      <c r="G393" s="59">
        <v>289941.2</v>
      </c>
      <c r="H393" s="56">
        <v>24.986000000000001</v>
      </c>
      <c r="I393" s="56">
        <v>652886.22100000002</v>
      </c>
      <c r="J393" s="56">
        <v>3373788.5720000002</v>
      </c>
      <c r="K393" s="56">
        <v>268.37400000000002</v>
      </c>
      <c r="L393" s="56">
        <f t="shared" si="42"/>
        <v>269.041</v>
      </c>
      <c r="M393" s="56">
        <f t="shared" si="38"/>
        <v>0.14899999999999999</v>
      </c>
      <c r="N393" s="56">
        <f t="shared" si="39"/>
        <v>0.14399999999999999</v>
      </c>
      <c r="O393" s="56"/>
      <c r="P393" s="56">
        <v>269.404</v>
      </c>
      <c r="Q393" s="56"/>
      <c r="R393" s="56"/>
      <c r="S393" s="56">
        <v>269.39699999999999</v>
      </c>
      <c r="T393" s="56">
        <f t="shared" si="40"/>
        <v>-1.0229999999999999</v>
      </c>
      <c r="U393" s="58"/>
      <c r="V393" s="58"/>
      <c r="W393" s="58"/>
      <c r="X393" s="58"/>
      <c r="Y393" s="58"/>
      <c r="Z393" s="58"/>
      <c r="AA393" s="58"/>
      <c r="AB393" s="58"/>
      <c r="AC393" s="58"/>
      <c r="AD393" s="58"/>
      <c r="AE393" s="58"/>
      <c r="AF393" s="58"/>
      <c r="AG393" s="58"/>
      <c r="AH393" s="58"/>
      <c r="AI393" s="58"/>
      <c r="AJ393" s="58"/>
      <c r="AK393" s="58"/>
      <c r="AL393" s="58"/>
      <c r="AM393" s="58"/>
      <c r="AN393" s="58"/>
      <c r="AO393" s="58"/>
      <c r="AP393" s="58"/>
      <c r="AQ393" s="58"/>
      <c r="AR393" s="58"/>
      <c r="AS393" s="58"/>
      <c r="AT393" s="58"/>
      <c r="AU393" s="58"/>
      <c r="AV393" s="58"/>
      <c r="AW393" s="58"/>
      <c r="AX393" s="58"/>
      <c r="AY393" s="58"/>
      <c r="AZ393" s="58"/>
      <c r="BA393" s="58"/>
      <c r="BB393" s="58"/>
      <c r="BC393" s="58"/>
      <c r="BD393" s="58"/>
      <c r="BE393" s="58"/>
      <c r="BF393" s="58"/>
      <c r="BG393" s="58"/>
      <c r="BH393" s="58"/>
      <c r="BI393" s="58"/>
      <c r="BJ393" s="58"/>
      <c r="BK393" s="58"/>
      <c r="BL393" s="58"/>
      <c r="BM393" s="58"/>
      <c r="BN393" s="58"/>
      <c r="BO393" s="58"/>
      <c r="BP393" s="58"/>
      <c r="BQ393" s="58"/>
      <c r="BR393" s="58"/>
      <c r="BS393" s="58"/>
      <c r="BT393" s="58"/>
      <c r="BU393" s="58"/>
      <c r="BV393" s="58"/>
      <c r="BW393" s="58"/>
      <c r="BX393" s="58"/>
      <c r="BY393" s="58"/>
      <c r="BZ393" s="58"/>
      <c r="CA393" s="58"/>
      <c r="CB393" s="58"/>
      <c r="CC393" s="58"/>
      <c r="CD393" s="58"/>
      <c r="CE393" s="58"/>
      <c r="CF393" s="58"/>
      <c r="CG393" s="58"/>
      <c r="CH393" s="58"/>
      <c r="CI393" s="58"/>
      <c r="CJ393" s="58"/>
      <c r="CK393" s="58"/>
      <c r="CL393" s="58"/>
      <c r="CM393" s="58"/>
      <c r="CN393" s="58"/>
      <c r="CO393" s="58"/>
      <c r="CP393" s="58"/>
      <c r="CQ393" s="58"/>
      <c r="CR393" s="58"/>
      <c r="CS393" s="58"/>
      <c r="CT393" s="58"/>
      <c r="CU393" s="58"/>
      <c r="CV393" s="58"/>
      <c r="CW393" s="58"/>
      <c r="CX393" s="58"/>
      <c r="CY393" s="58"/>
      <c r="CZ393" s="58"/>
      <c r="DA393" s="58"/>
      <c r="DB393" s="58"/>
      <c r="DC393" s="58"/>
      <c r="DD393" s="58"/>
      <c r="DE393" s="58"/>
      <c r="DF393" s="58"/>
      <c r="DG393" s="58"/>
      <c r="DH393" s="58"/>
      <c r="DI393" s="58"/>
      <c r="DJ393" s="58"/>
      <c r="DK393" s="58"/>
      <c r="DL393" s="58"/>
      <c r="DM393" s="58"/>
      <c r="DN393" s="58"/>
      <c r="DO393" s="58"/>
      <c r="DP393" s="58"/>
      <c r="DQ393" s="58"/>
      <c r="DR393" s="58"/>
      <c r="DS393" s="58"/>
      <c r="DT393" s="58"/>
      <c r="DU393" s="58"/>
      <c r="DV393" s="58"/>
      <c r="DW393" s="58"/>
      <c r="DX393" s="58"/>
      <c r="DY393" s="58"/>
      <c r="DZ393" s="58"/>
      <c r="EA393" s="58"/>
      <c r="EB393" s="58"/>
      <c r="EC393" s="58"/>
      <c r="ED393" s="58"/>
      <c r="EE393" s="58"/>
      <c r="EF393" s="58"/>
      <c r="EG393" s="58"/>
      <c r="EH393" s="58"/>
      <c r="EI393" s="58"/>
      <c r="EJ393" s="58"/>
      <c r="EK393" s="58"/>
      <c r="EL393" s="58"/>
      <c r="EM393" s="58"/>
      <c r="EN393" s="58"/>
      <c r="EO393" s="58"/>
      <c r="EP393" s="58"/>
      <c r="EQ393" s="58"/>
      <c r="ER393" s="58"/>
      <c r="ES393" s="58"/>
      <c r="ET393" s="58"/>
      <c r="EU393" s="58"/>
      <c r="EV393" s="58"/>
      <c r="EW393" s="58"/>
      <c r="EX393" s="58"/>
      <c r="EY393" s="58"/>
      <c r="EZ393" s="58"/>
      <c r="FA393" s="58"/>
      <c r="FB393" s="58"/>
      <c r="FC393" s="58"/>
      <c r="FD393" s="58"/>
      <c r="FE393" s="58"/>
      <c r="FF393" s="58"/>
      <c r="FG393" s="58"/>
      <c r="FH393" s="58"/>
      <c r="FI393" s="58"/>
      <c r="FJ393" s="58"/>
      <c r="FK393" s="58"/>
      <c r="FL393" s="58"/>
      <c r="FM393" s="58"/>
      <c r="FN393" s="58"/>
      <c r="FO393" s="58"/>
      <c r="FP393" s="58"/>
      <c r="FQ393" s="58"/>
      <c r="FR393" s="58"/>
      <c r="FS393" s="58"/>
      <c r="FT393" s="58"/>
      <c r="FU393" s="58"/>
      <c r="FV393" s="58"/>
      <c r="FW393" s="58"/>
      <c r="FX393" s="58"/>
      <c r="FY393" s="58"/>
      <c r="FZ393" s="58"/>
      <c r="GA393" s="58"/>
      <c r="GB393" s="58"/>
      <c r="GC393" s="58"/>
      <c r="GD393" s="58"/>
      <c r="GE393" s="58"/>
      <c r="GF393" s="58"/>
      <c r="GG393" s="58"/>
      <c r="GH393" s="58"/>
      <c r="GI393" s="58"/>
      <c r="GJ393" s="58"/>
      <c r="GK393" s="58"/>
      <c r="GL393" s="58"/>
      <c r="GM393" s="58"/>
      <c r="GN393" s="58"/>
      <c r="GO393" s="58"/>
      <c r="GP393" s="58"/>
      <c r="GQ393" s="58"/>
      <c r="GR393" s="58"/>
      <c r="GS393" s="58"/>
      <c r="GT393" s="58"/>
      <c r="GU393" s="58"/>
      <c r="GV393" s="58"/>
      <c r="GW393" s="58"/>
      <c r="GX393" s="58"/>
      <c r="GY393" s="58"/>
      <c r="GZ393" s="58"/>
      <c r="HA393" s="58"/>
      <c r="HB393" s="58"/>
      <c r="HC393" s="58"/>
      <c r="HD393" s="58"/>
      <c r="HE393" s="58"/>
      <c r="HF393" s="58"/>
      <c r="HG393" s="58"/>
      <c r="HH393" s="58"/>
      <c r="HI393" s="58"/>
      <c r="HJ393" s="58"/>
      <c r="HK393" s="58"/>
      <c r="HL393" s="58"/>
      <c r="HM393" s="58"/>
      <c r="HN393" s="58"/>
      <c r="HO393" s="58"/>
      <c r="HP393" s="58"/>
      <c r="HQ393" s="58"/>
      <c r="HR393" s="58"/>
      <c r="HS393" s="58"/>
      <c r="HT393" s="58"/>
      <c r="HU393" s="58"/>
      <c r="HV393" s="58"/>
      <c r="HW393" s="58"/>
      <c r="HX393" s="58"/>
      <c r="HY393" s="58"/>
      <c r="HZ393" s="58"/>
      <c r="IA393" s="58"/>
      <c r="IB393" s="58"/>
      <c r="IC393" s="58"/>
      <c r="ID393" s="58"/>
      <c r="IE393" s="58"/>
      <c r="IF393" s="58"/>
      <c r="IG393" s="58"/>
      <c r="IH393" s="58"/>
      <c r="II393" s="58"/>
      <c r="IJ393" s="58"/>
      <c r="IK393" s="58"/>
      <c r="IL393" s="58"/>
      <c r="IM393" s="58"/>
      <c r="IN393" s="58"/>
      <c r="IO393" s="58"/>
      <c r="IP393" s="58"/>
      <c r="IQ393" s="58"/>
      <c r="IR393" s="58"/>
      <c r="IS393" s="58"/>
      <c r="IT393" s="58"/>
    </row>
    <row r="394" spans="1:254" s="55" customFormat="1" x14ac:dyDescent="0.25">
      <c r="A394" s="79">
        <f t="shared" si="36"/>
        <v>289961.2</v>
      </c>
      <c r="B394" s="56">
        <v>290040</v>
      </c>
      <c r="C394" s="56">
        <v>3373820.68</v>
      </c>
      <c r="D394" s="56">
        <v>652884.81499999994</v>
      </c>
      <c r="E394" s="56">
        <v>268.89299999999997</v>
      </c>
      <c r="F394" s="57">
        <v>268.25400000000002</v>
      </c>
      <c r="G394" s="59">
        <v>289961.2</v>
      </c>
      <c r="H394" s="56">
        <v>23.117000000000001</v>
      </c>
      <c r="I394" s="56">
        <v>652871.31599999999</v>
      </c>
      <c r="J394" s="56">
        <v>3373801.9070000001</v>
      </c>
      <c r="K394" s="56">
        <v>268.34300000000002</v>
      </c>
      <c r="L394" s="56">
        <f t="shared" si="42"/>
        <v>269.01</v>
      </c>
      <c r="M394" s="56">
        <f t="shared" si="38"/>
        <v>0.11700000000000001</v>
      </c>
      <c r="N394" s="56">
        <f t="shared" si="39"/>
        <v>8.8999999999999996E-2</v>
      </c>
      <c r="O394" s="56"/>
      <c r="P394" s="56">
        <v>269.25599999999997</v>
      </c>
      <c r="Q394" s="56"/>
      <c r="R394" s="56"/>
      <c r="S394" s="56">
        <v>269.11900000000003</v>
      </c>
      <c r="T394" s="56">
        <f t="shared" si="40"/>
        <v>-0.77600000000000002</v>
      </c>
      <c r="U394" s="58"/>
      <c r="V394" s="58"/>
      <c r="W394" s="58"/>
      <c r="X394" s="58"/>
      <c r="Y394" s="58"/>
      <c r="Z394" s="58"/>
      <c r="AA394" s="58"/>
      <c r="AB394" s="58"/>
      <c r="AC394" s="58"/>
      <c r="AD394" s="58"/>
      <c r="AE394" s="58"/>
      <c r="AF394" s="58"/>
      <c r="AG394" s="58"/>
      <c r="AH394" s="58"/>
      <c r="AI394" s="58"/>
      <c r="AJ394" s="58"/>
      <c r="AK394" s="58"/>
      <c r="AL394" s="58"/>
      <c r="AM394" s="58"/>
      <c r="AN394" s="58"/>
      <c r="AO394" s="58"/>
      <c r="AP394" s="58"/>
      <c r="AQ394" s="58"/>
      <c r="AR394" s="58"/>
      <c r="AS394" s="58"/>
      <c r="AT394" s="58"/>
      <c r="AU394" s="58"/>
      <c r="AV394" s="58"/>
      <c r="AW394" s="58"/>
      <c r="AX394" s="58"/>
      <c r="AY394" s="58"/>
      <c r="AZ394" s="58"/>
      <c r="BA394" s="58"/>
      <c r="BB394" s="58"/>
      <c r="BC394" s="58"/>
      <c r="BD394" s="58"/>
      <c r="BE394" s="58"/>
      <c r="BF394" s="58"/>
      <c r="BG394" s="58"/>
      <c r="BH394" s="58"/>
      <c r="BI394" s="58"/>
      <c r="BJ394" s="58"/>
      <c r="BK394" s="58"/>
      <c r="BL394" s="58"/>
      <c r="BM394" s="58"/>
      <c r="BN394" s="58"/>
      <c r="BO394" s="58"/>
      <c r="BP394" s="58"/>
      <c r="BQ394" s="58"/>
      <c r="BR394" s="58"/>
      <c r="BS394" s="58"/>
      <c r="BT394" s="58"/>
      <c r="BU394" s="58"/>
      <c r="BV394" s="58"/>
      <c r="BW394" s="58"/>
      <c r="BX394" s="58"/>
      <c r="BY394" s="58"/>
      <c r="BZ394" s="58"/>
      <c r="CA394" s="58"/>
      <c r="CB394" s="58"/>
      <c r="CC394" s="58"/>
      <c r="CD394" s="58"/>
      <c r="CE394" s="58"/>
      <c r="CF394" s="58"/>
      <c r="CG394" s="58"/>
      <c r="CH394" s="58"/>
      <c r="CI394" s="58"/>
      <c r="CJ394" s="58"/>
      <c r="CK394" s="58"/>
      <c r="CL394" s="58"/>
      <c r="CM394" s="58"/>
      <c r="CN394" s="58"/>
      <c r="CO394" s="58"/>
      <c r="CP394" s="58"/>
      <c r="CQ394" s="58"/>
      <c r="CR394" s="58"/>
      <c r="CS394" s="58"/>
      <c r="CT394" s="58"/>
      <c r="CU394" s="58"/>
      <c r="CV394" s="58"/>
      <c r="CW394" s="58"/>
      <c r="CX394" s="58"/>
      <c r="CY394" s="58"/>
      <c r="CZ394" s="58"/>
      <c r="DA394" s="58"/>
      <c r="DB394" s="58"/>
      <c r="DC394" s="58"/>
      <c r="DD394" s="58"/>
      <c r="DE394" s="58"/>
      <c r="DF394" s="58"/>
      <c r="DG394" s="58"/>
      <c r="DH394" s="58"/>
      <c r="DI394" s="58"/>
      <c r="DJ394" s="58"/>
      <c r="DK394" s="58"/>
      <c r="DL394" s="58"/>
      <c r="DM394" s="58"/>
      <c r="DN394" s="58"/>
      <c r="DO394" s="58"/>
      <c r="DP394" s="58"/>
      <c r="DQ394" s="58"/>
      <c r="DR394" s="58"/>
      <c r="DS394" s="58"/>
      <c r="DT394" s="58"/>
      <c r="DU394" s="58"/>
      <c r="DV394" s="58"/>
      <c r="DW394" s="58"/>
      <c r="DX394" s="58"/>
      <c r="DY394" s="58"/>
      <c r="DZ394" s="58"/>
      <c r="EA394" s="58"/>
      <c r="EB394" s="58"/>
      <c r="EC394" s="58"/>
      <c r="ED394" s="58"/>
      <c r="EE394" s="58"/>
      <c r="EF394" s="58"/>
      <c r="EG394" s="58"/>
      <c r="EH394" s="58"/>
      <c r="EI394" s="58"/>
      <c r="EJ394" s="58"/>
      <c r="EK394" s="58"/>
      <c r="EL394" s="58"/>
      <c r="EM394" s="58"/>
      <c r="EN394" s="58"/>
      <c r="EO394" s="58"/>
      <c r="EP394" s="58"/>
      <c r="EQ394" s="58"/>
      <c r="ER394" s="58"/>
      <c r="ES394" s="58"/>
      <c r="ET394" s="58"/>
      <c r="EU394" s="58"/>
      <c r="EV394" s="58"/>
      <c r="EW394" s="58"/>
      <c r="EX394" s="58"/>
      <c r="EY394" s="58"/>
      <c r="EZ394" s="58"/>
      <c r="FA394" s="58"/>
      <c r="FB394" s="58"/>
      <c r="FC394" s="58"/>
      <c r="FD394" s="58"/>
      <c r="FE394" s="58"/>
      <c r="FF394" s="58"/>
      <c r="FG394" s="58"/>
      <c r="FH394" s="58"/>
      <c r="FI394" s="58"/>
      <c r="FJ394" s="58"/>
      <c r="FK394" s="58"/>
      <c r="FL394" s="58"/>
      <c r="FM394" s="58"/>
      <c r="FN394" s="58"/>
      <c r="FO394" s="58"/>
      <c r="FP394" s="58"/>
      <c r="FQ394" s="58"/>
      <c r="FR394" s="58"/>
      <c r="FS394" s="58"/>
      <c r="FT394" s="58"/>
      <c r="FU394" s="58"/>
      <c r="FV394" s="58"/>
      <c r="FW394" s="58"/>
      <c r="FX394" s="58"/>
      <c r="FY394" s="58"/>
      <c r="FZ394" s="58"/>
      <c r="GA394" s="58"/>
      <c r="GB394" s="58"/>
      <c r="GC394" s="58"/>
      <c r="GD394" s="58"/>
      <c r="GE394" s="58"/>
      <c r="GF394" s="58"/>
      <c r="GG394" s="58"/>
      <c r="GH394" s="58"/>
      <c r="GI394" s="58"/>
      <c r="GJ394" s="58"/>
      <c r="GK394" s="58"/>
      <c r="GL394" s="58"/>
      <c r="GM394" s="58"/>
      <c r="GN394" s="58"/>
      <c r="GO394" s="58"/>
      <c r="GP394" s="58"/>
      <c r="GQ394" s="58"/>
      <c r="GR394" s="58"/>
      <c r="GS394" s="58"/>
      <c r="GT394" s="58"/>
      <c r="GU394" s="58"/>
      <c r="GV394" s="58"/>
      <c r="GW394" s="58"/>
      <c r="GX394" s="58"/>
      <c r="GY394" s="58"/>
      <c r="GZ394" s="58"/>
      <c r="HA394" s="58"/>
      <c r="HB394" s="58"/>
      <c r="HC394" s="58"/>
      <c r="HD394" s="58"/>
      <c r="HE394" s="58"/>
      <c r="HF394" s="58"/>
      <c r="HG394" s="58"/>
      <c r="HH394" s="58"/>
      <c r="HI394" s="58"/>
      <c r="HJ394" s="58"/>
      <c r="HK394" s="58"/>
      <c r="HL394" s="58"/>
      <c r="HM394" s="58"/>
      <c r="HN394" s="58"/>
      <c r="HO394" s="58"/>
      <c r="HP394" s="58"/>
      <c r="HQ394" s="58"/>
      <c r="HR394" s="58"/>
      <c r="HS394" s="58"/>
      <c r="HT394" s="58"/>
      <c r="HU394" s="58"/>
      <c r="HV394" s="58"/>
      <c r="HW394" s="58"/>
      <c r="HX394" s="58"/>
      <c r="HY394" s="58"/>
      <c r="HZ394" s="58"/>
      <c r="IA394" s="58"/>
      <c r="IB394" s="58"/>
      <c r="IC394" s="58"/>
      <c r="ID394" s="58"/>
      <c r="IE394" s="58"/>
      <c r="IF394" s="58"/>
      <c r="IG394" s="58"/>
      <c r="IH394" s="58"/>
      <c r="II394" s="58"/>
      <c r="IJ394" s="58"/>
      <c r="IK394" s="58"/>
      <c r="IL394" s="58"/>
      <c r="IM394" s="58"/>
      <c r="IN394" s="58"/>
      <c r="IO394" s="58"/>
      <c r="IP394" s="58"/>
      <c r="IQ394" s="58"/>
      <c r="IR394" s="58"/>
      <c r="IS394" s="58"/>
      <c r="IT394" s="58"/>
    </row>
    <row r="395" spans="1:254" s="55" customFormat="1" x14ac:dyDescent="0.25">
      <c r="A395" s="79">
        <f t="shared" si="36"/>
        <v>289981.2</v>
      </c>
      <c r="B395" s="56">
        <v>290060</v>
      </c>
      <c r="C395" s="56">
        <v>3373832.5469999998</v>
      </c>
      <c r="D395" s="56">
        <v>652868.71629999997</v>
      </c>
      <c r="E395" s="56">
        <v>268.91800000000001</v>
      </c>
      <c r="F395" s="57">
        <v>268.27199999999999</v>
      </c>
      <c r="G395" s="59">
        <v>289981.2</v>
      </c>
      <c r="H395" s="56">
        <v>21.928000000000001</v>
      </c>
      <c r="I395" s="56">
        <v>652855.95299999998</v>
      </c>
      <c r="J395" s="56">
        <v>3373814.71</v>
      </c>
      <c r="K395" s="56">
        <v>268.31200000000001</v>
      </c>
      <c r="L395" s="56">
        <f t="shared" si="42"/>
        <v>268.97899999999998</v>
      </c>
      <c r="M395" s="56">
        <f t="shared" si="38"/>
        <v>6.0999999999999999E-2</v>
      </c>
      <c r="N395" s="56">
        <f t="shared" si="39"/>
        <v>0.04</v>
      </c>
      <c r="O395" s="56"/>
      <c r="P395" s="56">
        <v>268.959</v>
      </c>
      <c r="Q395" s="56"/>
      <c r="R395" s="56"/>
      <c r="S395" s="56">
        <v>268.86799999999999</v>
      </c>
      <c r="T395" s="56">
        <f t="shared" si="40"/>
        <v>-0.55600000000000005</v>
      </c>
      <c r="U395" s="58"/>
      <c r="V395" s="58"/>
      <c r="W395" s="58"/>
      <c r="X395" s="58"/>
      <c r="Y395" s="58"/>
      <c r="Z395" s="58"/>
      <c r="AA395" s="58"/>
      <c r="AB395" s="58"/>
      <c r="AC395" s="58"/>
      <c r="AD395" s="58"/>
      <c r="AE395" s="58"/>
      <c r="AF395" s="58"/>
      <c r="AG395" s="58"/>
      <c r="AH395" s="58"/>
      <c r="AI395" s="58"/>
      <c r="AJ395" s="58"/>
      <c r="AK395" s="58"/>
      <c r="AL395" s="58"/>
      <c r="AM395" s="58"/>
      <c r="AN395" s="58"/>
      <c r="AO395" s="58"/>
      <c r="AP395" s="58"/>
      <c r="AQ395" s="58"/>
      <c r="AR395" s="58"/>
      <c r="AS395" s="58"/>
      <c r="AT395" s="58"/>
      <c r="AU395" s="58"/>
      <c r="AV395" s="58"/>
      <c r="AW395" s="58"/>
      <c r="AX395" s="58"/>
      <c r="AY395" s="58"/>
      <c r="AZ395" s="58"/>
      <c r="BA395" s="58"/>
      <c r="BB395" s="58"/>
      <c r="BC395" s="58"/>
      <c r="BD395" s="58"/>
      <c r="BE395" s="58"/>
      <c r="BF395" s="58"/>
      <c r="BG395" s="58"/>
      <c r="BH395" s="58"/>
      <c r="BI395" s="58"/>
      <c r="BJ395" s="58"/>
      <c r="BK395" s="58"/>
      <c r="BL395" s="58"/>
      <c r="BM395" s="58"/>
      <c r="BN395" s="58"/>
      <c r="BO395" s="58"/>
      <c r="BP395" s="58"/>
      <c r="BQ395" s="58"/>
      <c r="BR395" s="58"/>
      <c r="BS395" s="58"/>
      <c r="BT395" s="58"/>
      <c r="BU395" s="58"/>
      <c r="BV395" s="58"/>
      <c r="BW395" s="58"/>
      <c r="BX395" s="58"/>
      <c r="BY395" s="58"/>
      <c r="BZ395" s="58"/>
      <c r="CA395" s="58"/>
      <c r="CB395" s="58"/>
      <c r="CC395" s="58"/>
      <c r="CD395" s="58"/>
      <c r="CE395" s="58"/>
      <c r="CF395" s="58"/>
      <c r="CG395" s="58"/>
      <c r="CH395" s="58"/>
      <c r="CI395" s="58"/>
      <c r="CJ395" s="58"/>
      <c r="CK395" s="58"/>
      <c r="CL395" s="58"/>
      <c r="CM395" s="58"/>
      <c r="CN395" s="58"/>
      <c r="CO395" s="58"/>
      <c r="CP395" s="58"/>
      <c r="CQ395" s="58"/>
      <c r="CR395" s="58"/>
      <c r="CS395" s="58"/>
      <c r="CT395" s="58"/>
      <c r="CU395" s="58"/>
      <c r="CV395" s="58"/>
      <c r="CW395" s="58"/>
      <c r="CX395" s="58"/>
      <c r="CY395" s="58"/>
      <c r="CZ395" s="58"/>
      <c r="DA395" s="58"/>
      <c r="DB395" s="58"/>
      <c r="DC395" s="58"/>
      <c r="DD395" s="58"/>
      <c r="DE395" s="58"/>
      <c r="DF395" s="58"/>
      <c r="DG395" s="58"/>
      <c r="DH395" s="58"/>
      <c r="DI395" s="58"/>
      <c r="DJ395" s="58"/>
      <c r="DK395" s="58"/>
      <c r="DL395" s="58"/>
      <c r="DM395" s="58"/>
      <c r="DN395" s="58"/>
      <c r="DO395" s="58"/>
      <c r="DP395" s="58"/>
      <c r="DQ395" s="58"/>
      <c r="DR395" s="58"/>
      <c r="DS395" s="58"/>
      <c r="DT395" s="58"/>
      <c r="DU395" s="58"/>
      <c r="DV395" s="58"/>
      <c r="DW395" s="58"/>
      <c r="DX395" s="58"/>
      <c r="DY395" s="58"/>
      <c r="DZ395" s="58"/>
      <c r="EA395" s="58"/>
      <c r="EB395" s="58"/>
      <c r="EC395" s="58"/>
      <c r="ED395" s="58"/>
      <c r="EE395" s="58"/>
      <c r="EF395" s="58"/>
      <c r="EG395" s="58"/>
      <c r="EH395" s="58"/>
      <c r="EI395" s="58"/>
      <c r="EJ395" s="58"/>
      <c r="EK395" s="58"/>
      <c r="EL395" s="58"/>
      <c r="EM395" s="58"/>
      <c r="EN395" s="58"/>
      <c r="EO395" s="58"/>
      <c r="EP395" s="58"/>
      <c r="EQ395" s="58"/>
      <c r="ER395" s="58"/>
      <c r="ES395" s="58"/>
      <c r="ET395" s="58"/>
      <c r="EU395" s="58"/>
      <c r="EV395" s="58"/>
      <c r="EW395" s="58"/>
      <c r="EX395" s="58"/>
      <c r="EY395" s="58"/>
      <c r="EZ395" s="58"/>
      <c r="FA395" s="58"/>
      <c r="FB395" s="58"/>
      <c r="FC395" s="58"/>
      <c r="FD395" s="58"/>
      <c r="FE395" s="58"/>
      <c r="FF395" s="58"/>
      <c r="FG395" s="58"/>
      <c r="FH395" s="58"/>
      <c r="FI395" s="58"/>
      <c r="FJ395" s="58"/>
      <c r="FK395" s="58"/>
      <c r="FL395" s="58"/>
      <c r="FM395" s="58"/>
      <c r="FN395" s="58"/>
      <c r="FO395" s="58"/>
      <c r="FP395" s="58"/>
      <c r="FQ395" s="58"/>
      <c r="FR395" s="58"/>
      <c r="FS395" s="58"/>
      <c r="FT395" s="58"/>
      <c r="FU395" s="58"/>
      <c r="FV395" s="58"/>
      <c r="FW395" s="58"/>
      <c r="FX395" s="58"/>
      <c r="FY395" s="58"/>
      <c r="FZ395" s="58"/>
      <c r="GA395" s="58"/>
      <c r="GB395" s="58"/>
      <c r="GC395" s="58"/>
      <c r="GD395" s="58"/>
      <c r="GE395" s="58"/>
      <c r="GF395" s="58"/>
      <c r="GG395" s="58"/>
      <c r="GH395" s="58"/>
      <c r="GI395" s="58"/>
      <c r="GJ395" s="58"/>
      <c r="GK395" s="58"/>
      <c r="GL395" s="58"/>
      <c r="GM395" s="58"/>
      <c r="GN395" s="58"/>
      <c r="GO395" s="58"/>
      <c r="GP395" s="58"/>
      <c r="GQ395" s="58"/>
      <c r="GR395" s="58"/>
      <c r="GS395" s="58"/>
      <c r="GT395" s="58"/>
      <c r="GU395" s="58"/>
      <c r="GV395" s="58"/>
      <c r="GW395" s="58"/>
      <c r="GX395" s="58"/>
      <c r="GY395" s="58"/>
      <c r="GZ395" s="58"/>
      <c r="HA395" s="58"/>
      <c r="HB395" s="58"/>
      <c r="HC395" s="58"/>
      <c r="HD395" s="58"/>
      <c r="HE395" s="58"/>
      <c r="HF395" s="58"/>
      <c r="HG395" s="58"/>
      <c r="HH395" s="58"/>
      <c r="HI395" s="58"/>
      <c r="HJ395" s="58"/>
      <c r="HK395" s="58"/>
      <c r="HL395" s="58"/>
      <c r="HM395" s="58"/>
      <c r="HN395" s="58"/>
      <c r="HO395" s="58"/>
      <c r="HP395" s="58"/>
      <c r="HQ395" s="58"/>
      <c r="HR395" s="58"/>
      <c r="HS395" s="58"/>
      <c r="HT395" s="58"/>
      <c r="HU395" s="58"/>
      <c r="HV395" s="58"/>
      <c r="HW395" s="58"/>
      <c r="HX395" s="58"/>
      <c r="HY395" s="58"/>
      <c r="HZ395" s="58"/>
      <c r="IA395" s="58"/>
      <c r="IB395" s="58"/>
      <c r="IC395" s="58"/>
      <c r="ID395" s="58"/>
      <c r="IE395" s="58"/>
      <c r="IF395" s="58"/>
      <c r="IG395" s="58"/>
      <c r="IH395" s="58"/>
      <c r="II395" s="58"/>
      <c r="IJ395" s="58"/>
      <c r="IK395" s="58"/>
      <c r="IL395" s="58"/>
      <c r="IM395" s="58"/>
      <c r="IN395" s="58"/>
      <c r="IO395" s="58"/>
      <c r="IP395" s="58"/>
      <c r="IQ395" s="58"/>
      <c r="IR395" s="58"/>
      <c r="IS395" s="58"/>
      <c r="IT395" s="58"/>
    </row>
    <row r="396" spans="1:254" s="55" customFormat="1" x14ac:dyDescent="0.25">
      <c r="A396" s="79">
        <f t="shared" si="36"/>
        <v>290001.3</v>
      </c>
      <c r="B396" s="56">
        <v>290080</v>
      </c>
      <c r="C396" s="56">
        <v>3373844.415</v>
      </c>
      <c r="D396" s="56">
        <v>652852.61820000003</v>
      </c>
      <c r="E396" s="56">
        <v>268.94200000000001</v>
      </c>
      <c r="F396" s="57">
        <v>268.29000000000002</v>
      </c>
      <c r="G396" s="59">
        <v>290001.3</v>
      </c>
      <c r="H396" s="56">
        <v>21.46</v>
      </c>
      <c r="I396" s="56">
        <v>652839.82900000003</v>
      </c>
      <c r="J396" s="56">
        <v>3373827.1838000002</v>
      </c>
      <c r="K396" s="56">
        <v>268.28100000000001</v>
      </c>
      <c r="L396" s="56">
        <f t="shared" si="42"/>
        <v>268.94799999999998</v>
      </c>
      <c r="M396" s="56">
        <f t="shared" si="38"/>
        <v>6.0000000000000001E-3</v>
      </c>
      <c r="N396" s="56">
        <f t="shared" si="39"/>
        <v>-8.9999999999999993E-3</v>
      </c>
      <c r="O396" s="56"/>
      <c r="P396" s="56">
        <v>268.95299999999997</v>
      </c>
      <c r="Q396" s="56"/>
      <c r="R396" s="56"/>
      <c r="S396" s="56">
        <v>268.86200000000002</v>
      </c>
      <c r="T396" s="56">
        <f t="shared" si="40"/>
        <v>-0.58099999999999996</v>
      </c>
      <c r="U396" s="58"/>
      <c r="V396" s="58"/>
      <c r="W396" s="58"/>
      <c r="X396" s="58"/>
      <c r="Y396" s="58"/>
      <c r="Z396" s="58"/>
      <c r="AA396" s="58"/>
      <c r="AB396" s="58"/>
      <c r="AC396" s="58"/>
      <c r="AD396" s="58"/>
      <c r="AE396" s="58"/>
      <c r="AF396" s="58"/>
      <c r="AG396" s="58"/>
      <c r="AH396" s="58"/>
      <c r="AI396" s="58"/>
      <c r="AJ396" s="58"/>
      <c r="AK396" s="58"/>
      <c r="AL396" s="58"/>
      <c r="AM396" s="58"/>
      <c r="AN396" s="58"/>
      <c r="AO396" s="58"/>
      <c r="AP396" s="58"/>
      <c r="AQ396" s="58"/>
      <c r="AR396" s="58"/>
      <c r="AS396" s="58"/>
      <c r="AT396" s="58"/>
      <c r="AU396" s="58"/>
      <c r="AV396" s="58"/>
      <c r="AW396" s="58"/>
      <c r="AX396" s="58"/>
      <c r="AY396" s="58"/>
      <c r="AZ396" s="58"/>
      <c r="BA396" s="58"/>
      <c r="BB396" s="58"/>
      <c r="BC396" s="58"/>
      <c r="BD396" s="58"/>
      <c r="BE396" s="58"/>
      <c r="BF396" s="58"/>
      <c r="BG396" s="58"/>
      <c r="BH396" s="58"/>
      <c r="BI396" s="58"/>
      <c r="BJ396" s="58"/>
      <c r="BK396" s="58"/>
      <c r="BL396" s="58"/>
      <c r="BM396" s="58"/>
      <c r="BN396" s="58"/>
      <c r="BO396" s="58"/>
      <c r="BP396" s="58"/>
      <c r="BQ396" s="58"/>
      <c r="BR396" s="58"/>
      <c r="BS396" s="58"/>
      <c r="BT396" s="58"/>
      <c r="BU396" s="58"/>
      <c r="BV396" s="58"/>
      <c r="BW396" s="58"/>
      <c r="BX396" s="58"/>
      <c r="BY396" s="58"/>
      <c r="BZ396" s="58"/>
      <c r="CA396" s="58"/>
      <c r="CB396" s="58"/>
      <c r="CC396" s="58"/>
      <c r="CD396" s="58"/>
      <c r="CE396" s="58"/>
      <c r="CF396" s="58"/>
      <c r="CG396" s="58"/>
      <c r="CH396" s="58"/>
      <c r="CI396" s="58"/>
      <c r="CJ396" s="58"/>
      <c r="CK396" s="58"/>
      <c r="CL396" s="58"/>
      <c r="CM396" s="58"/>
      <c r="CN396" s="58"/>
      <c r="CO396" s="58"/>
      <c r="CP396" s="58"/>
      <c r="CQ396" s="58"/>
      <c r="CR396" s="58"/>
      <c r="CS396" s="58"/>
      <c r="CT396" s="58"/>
      <c r="CU396" s="58"/>
      <c r="CV396" s="58"/>
      <c r="CW396" s="58"/>
      <c r="CX396" s="58"/>
      <c r="CY396" s="58"/>
      <c r="CZ396" s="58"/>
      <c r="DA396" s="58"/>
      <c r="DB396" s="58"/>
      <c r="DC396" s="58"/>
      <c r="DD396" s="58"/>
      <c r="DE396" s="58"/>
      <c r="DF396" s="58"/>
      <c r="DG396" s="58"/>
      <c r="DH396" s="58"/>
      <c r="DI396" s="58"/>
      <c r="DJ396" s="58"/>
      <c r="DK396" s="58"/>
      <c r="DL396" s="58"/>
      <c r="DM396" s="58"/>
      <c r="DN396" s="58"/>
      <c r="DO396" s="58"/>
      <c r="DP396" s="58"/>
      <c r="DQ396" s="58"/>
      <c r="DR396" s="58"/>
      <c r="DS396" s="58"/>
      <c r="DT396" s="58"/>
      <c r="DU396" s="58"/>
      <c r="DV396" s="58"/>
      <c r="DW396" s="58"/>
      <c r="DX396" s="58"/>
      <c r="DY396" s="58"/>
      <c r="DZ396" s="58"/>
      <c r="EA396" s="58"/>
      <c r="EB396" s="58"/>
      <c r="EC396" s="58"/>
      <c r="ED396" s="58"/>
      <c r="EE396" s="58"/>
      <c r="EF396" s="58"/>
      <c r="EG396" s="58"/>
      <c r="EH396" s="58"/>
      <c r="EI396" s="58"/>
      <c r="EJ396" s="58"/>
      <c r="EK396" s="58"/>
      <c r="EL396" s="58"/>
      <c r="EM396" s="58"/>
      <c r="EN396" s="58"/>
      <c r="EO396" s="58"/>
      <c r="EP396" s="58"/>
      <c r="EQ396" s="58"/>
      <c r="ER396" s="58"/>
      <c r="ES396" s="58"/>
      <c r="ET396" s="58"/>
      <c r="EU396" s="58"/>
      <c r="EV396" s="58"/>
      <c r="EW396" s="58"/>
      <c r="EX396" s="58"/>
      <c r="EY396" s="58"/>
      <c r="EZ396" s="58"/>
      <c r="FA396" s="58"/>
      <c r="FB396" s="58"/>
      <c r="FC396" s="58"/>
      <c r="FD396" s="58"/>
      <c r="FE396" s="58"/>
      <c r="FF396" s="58"/>
      <c r="FG396" s="58"/>
      <c r="FH396" s="58"/>
      <c r="FI396" s="58"/>
      <c r="FJ396" s="58"/>
      <c r="FK396" s="58"/>
      <c r="FL396" s="58"/>
      <c r="FM396" s="58"/>
      <c r="FN396" s="58"/>
      <c r="FO396" s="58"/>
      <c r="FP396" s="58"/>
      <c r="FQ396" s="58"/>
      <c r="FR396" s="58"/>
      <c r="FS396" s="58"/>
      <c r="FT396" s="58"/>
      <c r="FU396" s="58"/>
      <c r="FV396" s="58"/>
      <c r="FW396" s="58"/>
      <c r="FX396" s="58"/>
      <c r="FY396" s="58"/>
      <c r="FZ396" s="58"/>
      <c r="GA396" s="58"/>
      <c r="GB396" s="58"/>
      <c r="GC396" s="58"/>
      <c r="GD396" s="58"/>
      <c r="GE396" s="58"/>
      <c r="GF396" s="58"/>
      <c r="GG396" s="58"/>
      <c r="GH396" s="58"/>
      <c r="GI396" s="58"/>
      <c r="GJ396" s="58"/>
      <c r="GK396" s="58"/>
      <c r="GL396" s="58"/>
      <c r="GM396" s="58"/>
      <c r="GN396" s="58"/>
      <c r="GO396" s="58"/>
      <c r="GP396" s="58"/>
      <c r="GQ396" s="58"/>
      <c r="GR396" s="58"/>
      <c r="GS396" s="58"/>
      <c r="GT396" s="58"/>
      <c r="GU396" s="58"/>
      <c r="GV396" s="58"/>
      <c r="GW396" s="58"/>
      <c r="GX396" s="58"/>
      <c r="GY396" s="58"/>
      <c r="GZ396" s="58"/>
      <c r="HA396" s="58"/>
      <c r="HB396" s="58"/>
      <c r="HC396" s="58"/>
      <c r="HD396" s="58"/>
      <c r="HE396" s="58"/>
      <c r="HF396" s="58"/>
      <c r="HG396" s="58"/>
      <c r="HH396" s="58"/>
      <c r="HI396" s="58"/>
      <c r="HJ396" s="58"/>
      <c r="HK396" s="58"/>
      <c r="HL396" s="58"/>
      <c r="HM396" s="58"/>
      <c r="HN396" s="58"/>
      <c r="HO396" s="58"/>
      <c r="HP396" s="58"/>
      <c r="HQ396" s="58"/>
      <c r="HR396" s="58"/>
      <c r="HS396" s="58"/>
      <c r="HT396" s="58"/>
      <c r="HU396" s="58"/>
      <c r="HV396" s="58"/>
      <c r="HW396" s="58"/>
      <c r="HX396" s="58"/>
      <c r="HY396" s="58"/>
      <c r="HZ396" s="58"/>
      <c r="IA396" s="58"/>
      <c r="IB396" s="58"/>
      <c r="IC396" s="58"/>
      <c r="ID396" s="58"/>
      <c r="IE396" s="58"/>
      <c r="IF396" s="58"/>
      <c r="IG396" s="58"/>
      <c r="IH396" s="58"/>
      <c r="II396" s="58"/>
      <c r="IJ396" s="58"/>
      <c r="IK396" s="58"/>
      <c r="IL396" s="58"/>
      <c r="IM396" s="58"/>
      <c r="IN396" s="58"/>
      <c r="IO396" s="58"/>
      <c r="IP396" s="58"/>
      <c r="IQ396" s="58"/>
      <c r="IR396" s="58"/>
      <c r="IS396" s="58"/>
      <c r="IT396" s="58"/>
    </row>
    <row r="397" spans="1:254" s="55" customFormat="1" x14ac:dyDescent="0.25">
      <c r="A397" s="79">
        <f t="shared" si="36"/>
        <v>290003.59999999998</v>
      </c>
      <c r="B397" s="56">
        <v>290081.7</v>
      </c>
      <c r="C397" s="56"/>
      <c r="D397" s="56"/>
      <c r="E397" s="56">
        <v>268.94200000000001</v>
      </c>
      <c r="F397" s="57">
        <v>268.31200000000001</v>
      </c>
      <c r="G397" s="59">
        <v>290003.59999999998</v>
      </c>
      <c r="H397" s="56">
        <v>21.46</v>
      </c>
      <c r="I397" s="56">
        <v>652835.9057</v>
      </c>
      <c r="J397" s="56">
        <v>3373830.0876000002</v>
      </c>
      <c r="K397" s="56">
        <v>268.25200000000001</v>
      </c>
      <c r="L397" s="56">
        <f t="shared" si="42"/>
        <v>268.91899999999998</v>
      </c>
      <c r="M397" s="56">
        <f t="shared" si="38"/>
        <v>-2.3E-2</v>
      </c>
      <c r="N397" s="56">
        <f t="shared" si="39"/>
        <v>-0.06</v>
      </c>
      <c r="O397" s="56"/>
      <c r="P397" s="56">
        <v>268.95299999999997</v>
      </c>
      <c r="Q397" s="56"/>
      <c r="R397" s="56"/>
      <c r="S397" s="56">
        <v>268.81</v>
      </c>
      <c r="T397" s="56">
        <f t="shared" si="40"/>
        <v>-0.55800000000000005</v>
      </c>
      <c r="U397" s="56"/>
      <c r="V397" s="58"/>
      <c r="W397" s="58"/>
      <c r="X397" s="58"/>
      <c r="Y397" s="58"/>
      <c r="Z397" s="58"/>
      <c r="AA397" s="58"/>
      <c r="AB397" s="58"/>
      <c r="AC397" s="58"/>
      <c r="AD397" s="58"/>
      <c r="AE397" s="58"/>
      <c r="AF397" s="58"/>
      <c r="AG397" s="58"/>
      <c r="AH397" s="58"/>
      <c r="AI397" s="58"/>
      <c r="AJ397" s="58"/>
      <c r="AK397" s="58"/>
      <c r="AL397" s="58"/>
      <c r="AM397" s="58"/>
      <c r="AN397" s="58"/>
      <c r="AO397" s="58"/>
      <c r="AP397" s="58"/>
      <c r="AQ397" s="58"/>
      <c r="AR397" s="58"/>
      <c r="AS397" s="58"/>
      <c r="AT397" s="58"/>
      <c r="AU397" s="58"/>
      <c r="AV397" s="58"/>
      <c r="AW397" s="58"/>
      <c r="AX397" s="58"/>
      <c r="AY397" s="58"/>
      <c r="AZ397" s="58"/>
      <c r="BA397" s="58"/>
      <c r="BB397" s="58"/>
      <c r="BC397" s="58"/>
      <c r="BD397" s="58"/>
      <c r="BE397" s="58"/>
      <c r="BF397" s="58"/>
      <c r="BG397" s="58"/>
      <c r="BH397" s="58"/>
      <c r="BI397" s="58"/>
      <c r="BJ397" s="58"/>
      <c r="BK397" s="58"/>
      <c r="BL397" s="58"/>
      <c r="BM397" s="58"/>
      <c r="BN397" s="58"/>
      <c r="BO397" s="58"/>
      <c r="BP397" s="58"/>
      <c r="BQ397" s="58"/>
      <c r="BR397" s="58"/>
      <c r="BS397" s="58"/>
      <c r="BT397" s="58"/>
      <c r="BU397" s="58"/>
      <c r="BV397" s="58"/>
      <c r="BW397" s="58"/>
      <c r="BX397" s="58"/>
      <c r="BY397" s="58"/>
      <c r="BZ397" s="58"/>
      <c r="CA397" s="58"/>
      <c r="CB397" s="58"/>
      <c r="CC397" s="58"/>
      <c r="CD397" s="58"/>
      <c r="CE397" s="58"/>
      <c r="CF397" s="58"/>
      <c r="CG397" s="58"/>
      <c r="CH397" s="58"/>
      <c r="CI397" s="58"/>
      <c r="CJ397" s="58"/>
      <c r="CK397" s="58"/>
      <c r="CL397" s="58"/>
      <c r="CM397" s="58"/>
      <c r="CN397" s="58"/>
      <c r="CO397" s="58"/>
      <c r="CP397" s="58"/>
      <c r="CQ397" s="58"/>
      <c r="CR397" s="58"/>
      <c r="CS397" s="58"/>
      <c r="CT397" s="58"/>
      <c r="CU397" s="58"/>
      <c r="CV397" s="58"/>
      <c r="CW397" s="58"/>
      <c r="CX397" s="58"/>
      <c r="CY397" s="58"/>
      <c r="CZ397" s="58"/>
      <c r="DA397" s="58"/>
      <c r="DB397" s="58"/>
      <c r="DC397" s="58"/>
      <c r="DD397" s="58"/>
      <c r="DE397" s="58"/>
      <c r="DF397" s="58"/>
      <c r="DG397" s="58"/>
      <c r="DH397" s="58"/>
      <c r="DI397" s="58"/>
      <c r="DJ397" s="58"/>
      <c r="DK397" s="58"/>
      <c r="DL397" s="58"/>
      <c r="DM397" s="58"/>
      <c r="DN397" s="58"/>
      <c r="DO397" s="58"/>
      <c r="DP397" s="58"/>
      <c r="DQ397" s="58"/>
      <c r="DR397" s="58"/>
      <c r="DS397" s="58"/>
      <c r="DT397" s="58"/>
      <c r="DU397" s="58"/>
      <c r="DV397" s="58"/>
      <c r="DW397" s="58"/>
      <c r="DX397" s="58"/>
      <c r="DY397" s="58"/>
      <c r="DZ397" s="58"/>
      <c r="EA397" s="58"/>
      <c r="EB397" s="58"/>
      <c r="EC397" s="58"/>
      <c r="ED397" s="58"/>
      <c r="EE397" s="58"/>
      <c r="EF397" s="58"/>
      <c r="EG397" s="58"/>
      <c r="EH397" s="58"/>
      <c r="EI397" s="58"/>
      <c r="EJ397" s="58"/>
      <c r="EK397" s="58"/>
      <c r="EL397" s="58"/>
      <c r="EM397" s="58"/>
      <c r="EN397" s="58"/>
      <c r="EO397" s="58"/>
      <c r="EP397" s="58"/>
      <c r="EQ397" s="58"/>
      <c r="ER397" s="58"/>
      <c r="ES397" s="58"/>
      <c r="ET397" s="58"/>
      <c r="EU397" s="58"/>
      <c r="EV397" s="58"/>
      <c r="EW397" s="58"/>
      <c r="EX397" s="58"/>
      <c r="EY397" s="58"/>
      <c r="EZ397" s="58"/>
      <c r="FA397" s="58"/>
      <c r="FB397" s="58"/>
      <c r="FC397" s="58"/>
      <c r="FD397" s="58"/>
      <c r="FE397" s="58"/>
      <c r="FF397" s="58"/>
      <c r="FG397" s="58"/>
      <c r="FH397" s="58"/>
      <c r="FI397" s="58"/>
      <c r="FJ397" s="58"/>
      <c r="FK397" s="58"/>
      <c r="FL397" s="58"/>
      <c r="FM397" s="58"/>
      <c r="FN397" s="58"/>
      <c r="FO397" s="58"/>
      <c r="FP397" s="58"/>
      <c r="FQ397" s="58"/>
      <c r="FR397" s="58"/>
      <c r="FS397" s="58"/>
      <c r="FT397" s="58"/>
      <c r="FU397" s="58"/>
      <c r="FV397" s="58"/>
      <c r="FW397" s="58"/>
      <c r="FX397" s="58"/>
      <c r="FY397" s="58"/>
      <c r="FZ397" s="58"/>
      <c r="GA397" s="58"/>
      <c r="GB397" s="58"/>
      <c r="GC397" s="58"/>
      <c r="GD397" s="58"/>
      <c r="GE397" s="58"/>
      <c r="GF397" s="58"/>
      <c r="GG397" s="58"/>
      <c r="GH397" s="58"/>
      <c r="GI397" s="58"/>
      <c r="GJ397" s="58"/>
      <c r="GK397" s="58"/>
      <c r="GL397" s="58"/>
      <c r="GM397" s="58"/>
      <c r="GN397" s="58"/>
      <c r="GO397" s="58"/>
      <c r="GP397" s="58"/>
      <c r="GQ397" s="58"/>
      <c r="GR397" s="58"/>
      <c r="GS397" s="58"/>
      <c r="GT397" s="58"/>
      <c r="GU397" s="58"/>
      <c r="GV397" s="58"/>
      <c r="GW397" s="58"/>
      <c r="GX397" s="58"/>
      <c r="GY397" s="58"/>
      <c r="GZ397" s="58"/>
      <c r="HA397" s="58"/>
      <c r="HB397" s="58"/>
      <c r="HC397" s="58"/>
      <c r="HD397" s="58"/>
      <c r="HE397" s="58"/>
      <c r="HF397" s="58"/>
      <c r="HG397" s="58"/>
      <c r="HH397" s="58"/>
      <c r="HI397" s="58"/>
      <c r="HJ397" s="58"/>
      <c r="HK397" s="58"/>
      <c r="HL397" s="58"/>
      <c r="HM397" s="58"/>
      <c r="HN397" s="58"/>
      <c r="HO397" s="58"/>
      <c r="HP397" s="58"/>
      <c r="HQ397" s="58"/>
      <c r="HR397" s="58"/>
      <c r="HS397" s="58"/>
      <c r="HT397" s="58"/>
      <c r="HU397" s="58"/>
      <c r="HV397" s="58"/>
      <c r="HW397" s="58"/>
      <c r="HX397" s="58"/>
      <c r="HY397" s="58"/>
      <c r="HZ397" s="58"/>
      <c r="IA397" s="58"/>
      <c r="IB397" s="58"/>
      <c r="IC397" s="58"/>
      <c r="ID397" s="58"/>
      <c r="IE397" s="58"/>
      <c r="IF397" s="58"/>
      <c r="IG397" s="58"/>
      <c r="IH397" s="58"/>
      <c r="II397" s="58"/>
      <c r="IJ397" s="58"/>
      <c r="IK397" s="58"/>
      <c r="IL397" s="58"/>
      <c r="IM397" s="58"/>
      <c r="IN397" s="58"/>
      <c r="IO397" s="58"/>
      <c r="IP397" s="58"/>
      <c r="IQ397" s="58"/>
      <c r="IR397" s="58"/>
      <c r="IS397" s="58"/>
      <c r="IT397" s="58"/>
    </row>
  </sheetData>
  <sheetProtection selectLockedCells="1" selectUnlockedCells="1"/>
  <mergeCells count="15">
    <mergeCell ref="A2:A3"/>
    <mergeCell ref="B1:V1"/>
    <mergeCell ref="B2:B3"/>
    <mergeCell ref="C2:F2"/>
    <mergeCell ref="G2:G3"/>
    <mergeCell ref="H2:H3"/>
    <mergeCell ref="I2:L2"/>
    <mergeCell ref="M2:M3"/>
    <mergeCell ref="N2:N3"/>
    <mergeCell ref="O2:P2"/>
    <mergeCell ref="Q2:R2"/>
    <mergeCell ref="S2:S3"/>
    <mergeCell ref="T2:T3"/>
    <mergeCell ref="U2:U3"/>
    <mergeCell ref="V2:V3"/>
  </mergeCells>
  <pageMargins left="0.78749999999999998" right="0.78749999999999998" top="0.78749999999999998" bottom="0.78749999999999998" header="0.51180555555555551" footer="0.51180555555555551"/>
  <pageSetup paperSize="8" scale="76" orientation="landscape" useFirstPageNumber="1" horizontalDpi="300" verticalDpi="300" r:id="rId1"/>
  <headerFooter alignWithMargins="0"/>
  <rowBreaks count="1" manualBreakCount="1">
    <brk id="286" min="1" max="21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24"/>
  <sheetViews>
    <sheetView tabSelected="1" view="pageBreakPreview" zoomScaleNormal="100" zoomScaleSheetLayoutView="100" workbookViewId="0">
      <pane xSplit="2" ySplit="2" topLeftCell="C356" activePane="bottomRight" state="frozen"/>
      <selection pane="topRight" activeCell="C1" sqref="C1"/>
      <selection pane="bottomLeft" activeCell="A3" sqref="A3"/>
      <selection pane="bottomRight" activeCell="E366" sqref="E366"/>
    </sheetView>
  </sheetViews>
  <sheetFormatPr defaultColWidth="9.140625" defaultRowHeight="15" x14ac:dyDescent="0.25"/>
  <cols>
    <col min="1" max="1" width="15.7109375" style="30" bestFit="1" customWidth="1"/>
    <col min="2" max="2" width="11.5703125" style="30" bestFit="1" customWidth="1"/>
    <col min="3" max="3" width="13.5703125" style="30" bestFit="1" customWidth="1"/>
    <col min="4" max="4" width="13.28515625" style="30" bestFit="1" customWidth="1"/>
    <col min="5" max="5" width="15.28515625" style="30" bestFit="1" customWidth="1"/>
    <col min="6" max="6" width="8.5703125" style="30" bestFit="1" customWidth="1"/>
    <col min="7" max="7" width="8.7109375" style="30" bestFit="1" customWidth="1"/>
    <col min="8" max="8" width="20.5703125" style="22" customWidth="1"/>
    <col min="9" max="9" width="13.140625" style="30" bestFit="1" customWidth="1"/>
    <col min="10" max="10" width="9" style="11" bestFit="1" customWidth="1"/>
    <col min="11" max="11" width="10" style="11" bestFit="1" customWidth="1"/>
    <col min="12" max="12" width="9" style="11" bestFit="1" customWidth="1"/>
    <col min="13" max="13" width="13.42578125" style="14" bestFit="1" customWidth="1"/>
    <col min="14" max="15" width="9.140625" style="10"/>
    <col min="16" max="16384" width="9.140625" style="11"/>
  </cols>
  <sheetData>
    <row r="1" spans="1:16" ht="47.25" customHeight="1" x14ac:dyDescent="0.25">
      <c r="A1" s="50" t="s">
        <v>9</v>
      </c>
      <c r="B1" s="50"/>
      <c r="C1" s="50"/>
      <c r="D1" s="50"/>
      <c r="E1" s="50"/>
      <c r="F1" s="50"/>
      <c r="G1" s="50"/>
      <c r="H1" s="50"/>
      <c r="I1" s="50"/>
      <c r="J1" s="51" t="s">
        <v>38</v>
      </c>
      <c r="K1" s="50" t="s">
        <v>43</v>
      </c>
      <c r="L1" s="50"/>
      <c r="M1" s="51" t="s">
        <v>44</v>
      </c>
    </row>
    <row r="2" spans="1:16" ht="35.25" customHeight="1" x14ac:dyDescent="0.25">
      <c r="A2" s="8" t="s">
        <v>4</v>
      </c>
      <c r="B2" s="8" t="s">
        <v>5</v>
      </c>
      <c r="C2" s="8" t="s">
        <v>6</v>
      </c>
      <c r="D2" s="8" t="s">
        <v>1</v>
      </c>
      <c r="E2" s="8" t="s">
        <v>0</v>
      </c>
      <c r="F2" s="8" t="s">
        <v>2</v>
      </c>
      <c r="G2" s="8" t="s">
        <v>28</v>
      </c>
      <c r="H2" s="8" t="s">
        <v>3</v>
      </c>
      <c r="I2" s="12" t="s">
        <v>7</v>
      </c>
      <c r="J2" s="51"/>
      <c r="K2" s="8" t="s">
        <v>39</v>
      </c>
      <c r="L2" s="8" t="s">
        <v>40</v>
      </c>
      <c r="M2" s="51"/>
    </row>
    <row r="3" spans="1:16" x14ac:dyDescent="0.25">
      <c r="A3" s="8"/>
      <c r="B3" s="8"/>
      <c r="C3" s="8">
        <f>(H4-H3)-C4</f>
        <v>-91062.451999999947</v>
      </c>
      <c r="D3" s="8"/>
      <c r="E3" s="8"/>
      <c r="F3" s="8"/>
      <c r="G3" s="8"/>
      <c r="H3" s="13">
        <f>H24-547.3</f>
        <v>1171467.07</v>
      </c>
      <c r="I3" s="12"/>
      <c r="J3" s="14">
        <v>1577.2329999999999</v>
      </c>
      <c r="K3" s="14">
        <v>270.25700000000001</v>
      </c>
      <c r="L3" s="15">
        <f>K3+0.713</f>
        <v>270.97000000000003</v>
      </c>
      <c r="M3" s="16"/>
    </row>
    <row r="4" spans="1:16" ht="30" x14ac:dyDescent="0.25">
      <c r="A4" s="8"/>
      <c r="B4" s="17">
        <v>282253.32520000002</v>
      </c>
      <c r="C4" s="17">
        <v>91255.985000000001</v>
      </c>
      <c r="D4" s="18">
        <v>659123.21011870005</v>
      </c>
      <c r="E4" s="18">
        <v>3369298.6584947002</v>
      </c>
      <c r="F4" s="18">
        <v>270.5402861</v>
      </c>
      <c r="G4" s="18">
        <f>F4+0.742</f>
        <v>271.28228610000002</v>
      </c>
      <c r="H4" s="9">
        <f t="shared" ref="H4:H20" si="0">(C4-C5)+H5</f>
        <v>1171660.6030000001</v>
      </c>
      <c r="I4" s="17" t="s">
        <v>8</v>
      </c>
      <c r="K4" s="15">
        <f>K3+(1/$J$3)*(H4-H3)</f>
        <v>270.37970412805214</v>
      </c>
      <c r="L4" s="15">
        <f t="shared" ref="L4:L23" si="1">K4+0.713</f>
        <v>271.09270412805216</v>
      </c>
      <c r="M4" s="16">
        <f>(F4-K4)</f>
        <v>0.16058197194786317</v>
      </c>
      <c r="N4" s="16"/>
      <c r="O4" s="15"/>
      <c r="P4" s="19"/>
    </row>
    <row r="5" spans="1:16" x14ac:dyDescent="0.25">
      <c r="A5" s="8"/>
      <c r="B5" s="17">
        <v>282260</v>
      </c>
      <c r="C5" s="17">
        <v>91262.659</v>
      </c>
      <c r="D5" s="18">
        <v>659117.75461289997</v>
      </c>
      <c r="E5" s="18">
        <v>3369302.5042599998</v>
      </c>
      <c r="F5" s="18">
        <v>270.54169209999998</v>
      </c>
      <c r="G5" s="18">
        <f t="shared" ref="G5:G68" si="2">F5+0.742</f>
        <v>271.2836921</v>
      </c>
      <c r="H5" s="9">
        <f t="shared" si="0"/>
        <v>1171667.277</v>
      </c>
      <c r="I5" s="17"/>
      <c r="J5" s="19"/>
      <c r="K5" s="15">
        <f t="shared" ref="K5:K23" si="3">K4+(1/$J$3)*(H5-H4)</f>
        <v>270.38393558909809</v>
      </c>
      <c r="L5" s="15">
        <f t="shared" si="1"/>
        <v>271.09693558909811</v>
      </c>
      <c r="M5" s="16">
        <f t="shared" ref="M5:M68" si="4">(F5-K5)</f>
        <v>0.15775651090189058</v>
      </c>
      <c r="N5" s="16"/>
      <c r="O5" s="15"/>
    </row>
    <row r="6" spans="1:16" x14ac:dyDescent="0.25">
      <c r="A6" s="8"/>
      <c r="B6" s="17">
        <v>282280</v>
      </c>
      <c r="C6" s="17">
        <v>91282.663</v>
      </c>
      <c r="D6" s="18">
        <v>659101.40468859999</v>
      </c>
      <c r="E6" s="18">
        <v>3369314.0298589999</v>
      </c>
      <c r="F6" s="18">
        <v>270.545906</v>
      </c>
      <c r="G6" s="18">
        <f t="shared" si="2"/>
        <v>271.28790600000002</v>
      </c>
      <c r="H6" s="9">
        <f t="shared" si="0"/>
        <v>1171687.281</v>
      </c>
      <c r="I6" s="17"/>
      <c r="J6" s="19"/>
      <c r="K6" s="15">
        <f t="shared" si="3"/>
        <v>270.39661855984491</v>
      </c>
      <c r="L6" s="15">
        <f t="shared" si="1"/>
        <v>271.10961855984493</v>
      </c>
      <c r="M6" s="16">
        <f t="shared" si="4"/>
        <v>0.1492874401550921</v>
      </c>
      <c r="N6" s="16"/>
      <c r="O6" s="15"/>
    </row>
    <row r="7" spans="1:16" x14ac:dyDescent="0.25">
      <c r="A7" s="8"/>
      <c r="B7" s="17">
        <v>282300</v>
      </c>
      <c r="C7" s="17">
        <v>91302.661999999997</v>
      </c>
      <c r="D7" s="18">
        <v>659085.05900739995</v>
      </c>
      <c r="E7" s="18">
        <v>3369325.5524668</v>
      </c>
      <c r="F7" s="18">
        <v>270.55018819999998</v>
      </c>
      <c r="G7" s="18">
        <f t="shared" si="2"/>
        <v>271.2921882</v>
      </c>
      <c r="H7" s="9">
        <f t="shared" si="0"/>
        <v>1171707.28</v>
      </c>
      <c r="I7" s="17"/>
      <c r="J7" s="19"/>
      <c r="K7" s="15">
        <f t="shared" si="3"/>
        <v>270.40929836048315</v>
      </c>
      <c r="L7" s="15">
        <f t="shared" si="1"/>
        <v>271.12229836048317</v>
      </c>
      <c r="M7" s="16">
        <f t="shared" si="4"/>
        <v>0.14088983951683076</v>
      </c>
      <c r="N7" s="16"/>
      <c r="O7" s="15"/>
    </row>
    <row r="8" spans="1:16" x14ac:dyDescent="0.25">
      <c r="A8" s="8"/>
      <c r="B8" s="17">
        <v>282320</v>
      </c>
      <c r="C8" s="17">
        <v>91322.661999999997</v>
      </c>
      <c r="D8" s="18">
        <v>659068.71234089998</v>
      </c>
      <c r="E8" s="18">
        <v>3369337.0757692</v>
      </c>
      <c r="F8" s="18">
        <v>270.56264429999999</v>
      </c>
      <c r="G8" s="18">
        <f t="shared" si="2"/>
        <v>271.30464430000001</v>
      </c>
      <c r="H8" s="9">
        <f t="shared" si="0"/>
        <v>1171727.28</v>
      </c>
      <c r="I8" s="17"/>
      <c r="J8" s="19"/>
      <c r="K8" s="15">
        <f t="shared" si="3"/>
        <v>270.4219787951431</v>
      </c>
      <c r="L8" s="15">
        <f t="shared" si="1"/>
        <v>271.13497879514313</v>
      </c>
      <c r="M8" s="16">
        <f t="shared" si="4"/>
        <v>0.14066550485688367</v>
      </c>
      <c r="N8" s="16"/>
      <c r="O8" s="15"/>
    </row>
    <row r="9" spans="1:16" x14ac:dyDescent="0.25">
      <c r="A9" s="8"/>
      <c r="B9" s="17">
        <v>282340</v>
      </c>
      <c r="C9" s="17">
        <v>91342.675000000003</v>
      </c>
      <c r="D9" s="18">
        <v>659052.35494350002</v>
      </c>
      <c r="E9" s="18">
        <v>3369348.6066362001</v>
      </c>
      <c r="F9" s="18">
        <v>270.58071869999998</v>
      </c>
      <c r="G9" s="18">
        <f t="shared" si="2"/>
        <v>271.3227187</v>
      </c>
      <c r="H9" s="9">
        <f t="shared" si="0"/>
        <v>1171747.2930000001</v>
      </c>
      <c r="I9" s="17"/>
      <c r="J9" s="19"/>
      <c r="K9" s="15">
        <f t="shared" si="3"/>
        <v>270.43466747208561</v>
      </c>
      <c r="L9" s="15">
        <f t="shared" si="1"/>
        <v>271.14766747208563</v>
      </c>
      <c r="M9" s="16">
        <f t="shared" si="4"/>
        <v>0.14605122791436997</v>
      </c>
      <c r="N9" s="16"/>
      <c r="O9" s="15"/>
    </row>
    <row r="10" spans="1:16" x14ac:dyDescent="0.25">
      <c r="A10" s="8"/>
      <c r="B10" s="17">
        <v>282360</v>
      </c>
      <c r="C10" s="17">
        <v>91362.633000000002</v>
      </c>
      <c r="D10" s="18">
        <v>659036.04250830004</v>
      </c>
      <c r="E10" s="18">
        <v>3369360.1058079</v>
      </c>
      <c r="F10" s="18">
        <v>270.59874339999999</v>
      </c>
      <c r="G10" s="18">
        <f t="shared" si="2"/>
        <v>271.34074340000001</v>
      </c>
      <c r="H10" s="9">
        <f t="shared" si="0"/>
        <v>1171767.2510000002</v>
      </c>
      <c r="I10" s="17"/>
      <c r="J10" s="19"/>
      <c r="K10" s="15">
        <f t="shared" si="3"/>
        <v>270.44732127783283</v>
      </c>
      <c r="L10" s="15">
        <f t="shared" si="1"/>
        <v>271.16032127783285</v>
      </c>
      <c r="M10" s="16">
        <f t="shared" si="4"/>
        <v>0.15142212216716189</v>
      </c>
      <c r="N10" s="16"/>
      <c r="O10" s="15"/>
    </row>
    <row r="11" spans="1:16" x14ac:dyDescent="0.25">
      <c r="A11" s="8"/>
      <c r="B11" s="17">
        <v>282380</v>
      </c>
      <c r="C11" s="17">
        <v>91382.633000000002</v>
      </c>
      <c r="D11" s="18">
        <v>659019.69578549999</v>
      </c>
      <c r="E11" s="18">
        <v>3369371.6291499999</v>
      </c>
      <c r="F11" s="18">
        <v>270.616806</v>
      </c>
      <c r="G11" s="18">
        <f t="shared" si="2"/>
        <v>271.35880600000002</v>
      </c>
      <c r="H11" s="9">
        <f t="shared" si="0"/>
        <v>1171787.2510000002</v>
      </c>
      <c r="I11" s="17"/>
      <c r="J11" s="19"/>
      <c r="K11" s="15">
        <f t="shared" si="3"/>
        <v>270.46000171249278</v>
      </c>
      <c r="L11" s="15">
        <f t="shared" si="1"/>
        <v>271.17300171249281</v>
      </c>
      <c r="M11" s="16">
        <f t="shared" si="4"/>
        <v>0.15680428750721376</v>
      </c>
      <c r="N11" s="16"/>
      <c r="O11" s="15"/>
    </row>
    <row r="12" spans="1:16" x14ac:dyDescent="0.25">
      <c r="A12" s="8"/>
      <c r="B12" s="17">
        <v>282400</v>
      </c>
      <c r="C12" s="17">
        <v>91402.644</v>
      </c>
      <c r="D12" s="18">
        <v>659003.34052920004</v>
      </c>
      <c r="E12" s="18">
        <v>3369383.1585077001</v>
      </c>
      <c r="F12" s="18">
        <v>270.63487799999996</v>
      </c>
      <c r="G12" s="18">
        <f t="shared" si="2"/>
        <v>271.37687799999998</v>
      </c>
      <c r="H12" s="9">
        <f t="shared" si="0"/>
        <v>1171807.2620000001</v>
      </c>
      <c r="I12" s="17"/>
      <c r="J12" s="19"/>
      <c r="K12" s="15">
        <f t="shared" si="3"/>
        <v>270.47268912139174</v>
      </c>
      <c r="L12" s="15">
        <f t="shared" si="1"/>
        <v>271.18568912139176</v>
      </c>
      <c r="M12" s="16">
        <f t="shared" si="4"/>
        <v>0.16218887860821951</v>
      </c>
      <c r="N12" s="16"/>
      <c r="O12" s="15"/>
    </row>
    <row r="13" spans="1:16" x14ac:dyDescent="0.25">
      <c r="A13" s="8"/>
      <c r="B13" s="17">
        <v>282420</v>
      </c>
      <c r="C13" s="17">
        <v>91422.675000000003</v>
      </c>
      <c r="D13" s="18">
        <v>658986.96881780005</v>
      </c>
      <c r="E13" s="18">
        <v>3369394.6994650001</v>
      </c>
      <c r="F13" s="18">
        <v>270.65296819999998</v>
      </c>
      <c r="G13" s="18">
        <f t="shared" si="2"/>
        <v>271.39496819999999</v>
      </c>
      <c r="H13" s="9">
        <f t="shared" si="0"/>
        <v>1171827.2930000001</v>
      </c>
      <c r="I13" s="17"/>
      <c r="J13" s="19"/>
      <c r="K13" s="15">
        <f t="shared" si="3"/>
        <v>270.48538921072537</v>
      </c>
      <c r="L13" s="15">
        <f t="shared" si="1"/>
        <v>271.1983892107254</v>
      </c>
      <c r="M13" s="16">
        <f t="shared" si="4"/>
        <v>0.16757898927460246</v>
      </c>
      <c r="N13" s="16"/>
      <c r="O13" s="15"/>
    </row>
    <row r="14" spans="1:16" x14ac:dyDescent="0.25">
      <c r="A14" s="8"/>
      <c r="B14" s="17">
        <v>282440</v>
      </c>
      <c r="C14" s="17">
        <v>91442.675000000003</v>
      </c>
      <c r="D14" s="18">
        <v>658970.62213769997</v>
      </c>
      <c r="E14" s="18">
        <v>3369406.2227770998</v>
      </c>
      <c r="F14" s="18">
        <v>270.67103079999998</v>
      </c>
      <c r="G14" s="18">
        <f t="shared" si="2"/>
        <v>271.4130308</v>
      </c>
      <c r="H14" s="9">
        <f t="shared" si="0"/>
        <v>1171847.2930000001</v>
      </c>
      <c r="I14" s="17"/>
      <c r="J14" s="19"/>
      <c r="K14" s="15">
        <f t="shared" si="3"/>
        <v>270.49806964538533</v>
      </c>
      <c r="L14" s="15">
        <f t="shared" si="1"/>
        <v>271.21106964538535</v>
      </c>
      <c r="M14" s="16">
        <f t="shared" si="4"/>
        <v>0.17296115461465433</v>
      </c>
      <c r="N14" s="16"/>
      <c r="O14" s="15"/>
    </row>
    <row r="15" spans="1:16" x14ac:dyDescent="0.25">
      <c r="A15" s="8"/>
      <c r="B15" s="17">
        <v>282460</v>
      </c>
      <c r="C15" s="17">
        <v>91462.672000000006</v>
      </c>
      <c r="D15" s="18">
        <v>658954.27755540004</v>
      </c>
      <c r="E15" s="18">
        <v>3369417.7446102998</v>
      </c>
      <c r="F15" s="18">
        <v>270.68909099999996</v>
      </c>
      <c r="G15" s="18">
        <f t="shared" si="2"/>
        <v>271.43109099999998</v>
      </c>
      <c r="H15" s="9">
        <f t="shared" si="0"/>
        <v>1171867.29</v>
      </c>
      <c r="I15" s="17"/>
      <c r="J15" s="19"/>
      <c r="K15" s="15">
        <f t="shared" si="3"/>
        <v>270.51074817798008</v>
      </c>
      <c r="L15" s="15">
        <f t="shared" si="1"/>
        <v>271.2237481779801</v>
      </c>
      <c r="M15" s="16">
        <f t="shared" si="4"/>
        <v>0.17834282201988572</v>
      </c>
      <c r="N15" s="16"/>
      <c r="O15" s="15"/>
    </row>
    <row r="16" spans="1:16" x14ac:dyDescent="0.25">
      <c r="A16" s="8"/>
      <c r="B16" s="17">
        <v>282480</v>
      </c>
      <c r="C16" s="17">
        <v>91482.672000000006</v>
      </c>
      <c r="D16" s="18">
        <v>658937.93088</v>
      </c>
      <c r="E16" s="18">
        <v>3369429.2679189998</v>
      </c>
      <c r="F16" s="18">
        <v>270.70715359999997</v>
      </c>
      <c r="G16" s="18">
        <f t="shared" si="2"/>
        <v>271.44915359999999</v>
      </c>
      <c r="H16" s="9">
        <f t="shared" si="0"/>
        <v>1171887.29</v>
      </c>
      <c r="I16" s="17"/>
      <c r="J16" s="19"/>
      <c r="K16" s="15">
        <f t="shared" si="3"/>
        <v>270.52342861264003</v>
      </c>
      <c r="L16" s="15">
        <f t="shared" si="1"/>
        <v>271.23642861264005</v>
      </c>
      <c r="M16" s="16">
        <f t="shared" si="4"/>
        <v>0.18372498735993759</v>
      </c>
      <c r="N16" s="16"/>
      <c r="O16" s="15"/>
    </row>
    <row r="17" spans="1:15" x14ac:dyDescent="0.25">
      <c r="A17" s="8"/>
      <c r="B17" s="17">
        <v>282500</v>
      </c>
      <c r="C17" s="17">
        <v>91502.668000000005</v>
      </c>
      <c r="D17" s="18">
        <v>658921.58777630003</v>
      </c>
      <c r="E17" s="18">
        <v>3369440.7887098002</v>
      </c>
      <c r="F17" s="18">
        <v>270.72521219999999</v>
      </c>
      <c r="G17" s="18">
        <f t="shared" si="2"/>
        <v>271.46721220000001</v>
      </c>
      <c r="H17" s="9">
        <f t="shared" si="0"/>
        <v>1171907.2860000001</v>
      </c>
      <c r="I17" s="17"/>
      <c r="J17" s="19"/>
      <c r="K17" s="15">
        <f t="shared" si="3"/>
        <v>270.53610651121306</v>
      </c>
      <c r="L17" s="15">
        <f t="shared" si="1"/>
        <v>271.24910651121309</v>
      </c>
      <c r="M17" s="16">
        <f t="shared" si="4"/>
        <v>0.18910568878692402</v>
      </c>
      <c r="N17" s="16"/>
      <c r="O17" s="15"/>
    </row>
    <row r="18" spans="1:15" x14ac:dyDescent="0.25">
      <c r="A18" s="8"/>
      <c r="B18" s="17">
        <v>282520</v>
      </c>
      <c r="C18" s="17">
        <v>91522.659</v>
      </c>
      <c r="D18" s="18">
        <v>658905.24809969997</v>
      </c>
      <c r="E18" s="18">
        <v>3369452.3070848002</v>
      </c>
      <c r="F18" s="18">
        <v>270.743267</v>
      </c>
      <c r="G18" s="18">
        <f t="shared" si="2"/>
        <v>271.48526700000002</v>
      </c>
      <c r="H18" s="9">
        <f t="shared" si="0"/>
        <v>1171927.277</v>
      </c>
      <c r="I18" s="17"/>
      <c r="J18" s="19"/>
      <c r="K18" s="15">
        <f t="shared" si="3"/>
        <v>270.54878123967734</v>
      </c>
      <c r="L18" s="15">
        <f t="shared" si="1"/>
        <v>271.26178123967736</v>
      </c>
      <c r="M18" s="16">
        <f t="shared" si="4"/>
        <v>0.19448576032266374</v>
      </c>
      <c r="N18" s="16"/>
      <c r="O18" s="15"/>
    </row>
    <row r="19" spans="1:15" x14ac:dyDescent="0.25">
      <c r="A19" s="8"/>
      <c r="B19" s="17">
        <v>282540</v>
      </c>
      <c r="C19" s="17">
        <v>91542.659</v>
      </c>
      <c r="D19" s="18">
        <v>658888.90143309999</v>
      </c>
      <c r="E19" s="18">
        <v>3369463.8303872999</v>
      </c>
      <c r="F19" s="18">
        <v>270.76132949999999</v>
      </c>
      <c r="G19" s="18">
        <f t="shared" si="2"/>
        <v>271.50332950000001</v>
      </c>
      <c r="H19" s="9">
        <f t="shared" si="0"/>
        <v>1171947.277</v>
      </c>
      <c r="I19" s="17"/>
      <c r="J19" s="19"/>
      <c r="K19" s="15">
        <f t="shared" si="3"/>
        <v>270.56146167433729</v>
      </c>
      <c r="L19" s="15">
        <f t="shared" si="1"/>
        <v>271.27446167433732</v>
      </c>
      <c r="M19" s="16">
        <f t="shared" si="4"/>
        <v>0.19986782566269312</v>
      </c>
      <c r="N19" s="16"/>
      <c r="O19" s="15"/>
    </row>
    <row r="20" spans="1:15" x14ac:dyDescent="0.25">
      <c r="A20" s="8"/>
      <c r="B20" s="17">
        <v>282560</v>
      </c>
      <c r="C20" s="17">
        <v>91562.67</v>
      </c>
      <c r="D20" s="18">
        <v>658872.54577139998</v>
      </c>
      <c r="E20" s="18">
        <v>3369475.3600307</v>
      </c>
      <c r="F20" s="18">
        <v>270.779402</v>
      </c>
      <c r="G20" s="18">
        <f t="shared" si="2"/>
        <v>271.52140200000002</v>
      </c>
      <c r="H20" s="9">
        <f t="shared" si="0"/>
        <v>1171967.2879999999</v>
      </c>
      <c r="I20" s="17"/>
      <c r="J20" s="19"/>
      <c r="K20" s="15">
        <f t="shared" si="3"/>
        <v>270.57414908323625</v>
      </c>
      <c r="L20" s="15">
        <f t="shared" si="1"/>
        <v>271.28714908323627</v>
      </c>
      <c r="M20" s="16">
        <f t="shared" si="4"/>
        <v>0.20525291676375446</v>
      </c>
      <c r="N20" s="16"/>
      <c r="O20" s="15"/>
    </row>
    <row r="21" spans="1:15" x14ac:dyDescent="0.25">
      <c r="A21" s="20"/>
      <c r="B21" s="17">
        <v>282573.011</v>
      </c>
      <c r="C21" s="17">
        <v>91575.679000000004</v>
      </c>
      <c r="D21" s="18">
        <v>658861.91310130199</v>
      </c>
      <c r="E21" s="18">
        <v>3369482.85466047</v>
      </c>
      <c r="F21" s="18">
        <v>270.79000000000002</v>
      </c>
      <c r="G21" s="18">
        <f t="shared" si="2"/>
        <v>271.53200000000004</v>
      </c>
      <c r="H21" s="9">
        <v>1171980.297</v>
      </c>
      <c r="I21" s="17"/>
      <c r="J21" s="19"/>
      <c r="K21" s="15">
        <f t="shared" si="3"/>
        <v>270.58239707196088</v>
      </c>
      <c r="L21" s="15">
        <f t="shared" si="1"/>
        <v>271.29539707196091</v>
      </c>
      <c r="M21" s="16">
        <f t="shared" si="4"/>
        <v>0.20760292803913671</v>
      </c>
      <c r="N21" s="16"/>
      <c r="O21" s="15"/>
    </row>
    <row r="22" spans="1:15" x14ac:dyDescent="0.25">
      <c r="A22" s="20"/>
      <c r="B22" s="17">
        <v>282580</v>
      </c>
      <c r="C22" s="17">
        <v>91582.67</v>
      </c>
      <c r="D22" s="18">
        <v>658856.19912215602</v>
      </c>
      <c r="E22" s="18">
        <v>3369486.8826281098</v>
      </c>
      <c r="F22" s="18">
        <v>270.79746449999999</v>
      </c>
      <c r="G22" s="18">
        <f t="shared" si="2"/>
        <v>271.53946450000001</v>
      </c>
      <c r="H22" s="9">
        <v>1171987.287999999</v>
      </c>
      <c r="I22" s="17">
        <f>(C22-C21)+H21</f>
        <v>1171987.2879999999</v>
      </c>
      <c r="J22" s="19"/>
      <c r="K22" s="15">
        <f t="shared" si="3"/>
        <v>270.58682951789564</v>
      </c>
      <c r="L22" s="15">
        <f t="shared" si="1"/>
        <v>271.29982951789566</v>
      </c>
      <c r="M22" s="16">
        <f t="shared" si="4"/>
        <v>0.21063498210435228</v>
      </c>
      <c r="N22" s="16"/>
      <c r="O22" s="15"/>
    </row>
    <row r="23" spans="1:15" x14ac:dyDescent="0.25">
      <c r="A23" s="20"/>
      <c r="B23" s="17">
        <v>282600</v>
      </c>
      <c r="C23" s="17">
        <v>91602.585999999996</v>
      </c>
      <c r="D23" s="18">
        <v>658839.92110632698</v>
      </c>
      <c r="E23" s="18">
        <v>3369498.3575249198</v>
      </c>
      <c r="F23" s="18">
        <v>270.81545089999997</v>
      </c>
      <c r="G23" s="18">
        <f t="shared" si="2"/>
        <v>271.55745089999999</v>
      </c>
      <c r="H23" s="9">
        <v>1172007.2040000022</v>
      </c>
      <c r="I23" s="17"/>
      <c r="J23" s="19"/>
      <c r="K23" s="15">
        <f t="shared" si="3"/>
        <v>270.59945669473205</v>
      </c>
      <c r="L23" s="15">
        <f t="shared" si="1"/>
        <v>271.31245669473208</v>
      </c>
      <c r="M23" s="16">
        <f t="shared" si="4"/>
        <v>0.21599420526791846</v>
      </c>
      <c r="N23" s="16"/>
      <c r="O23" s="15"/>
    </row>
    <row r="24" spans="1:15" x14ac:dyDescent="0.25">
      <c r="A24" s="21"/>
      <c r="B24" s="21"/>
      <c r="C24" s="21">
        <v>0</v>
      </c>
      <c r="D24" s="21"/>
      <c r="E24" s="21"/>
      <c r="F24" s="21"/>
      <c r="G24" s="18">
        <f t="shared" si="2"/>
        <v>0.74199999999999999</v>
      </c>
      <c r="H24" s="13">
        <v>1172014.3700000001</v>
      </c>
      <c r="I24" s="21"/>
      <c r="J24" s="14">
        <v>1182.4929999999999</v>
      </c>
      <c r="K24" s="22">
        <v>270.60399999999998</v>
      </c>
      <c r="L24" s="15">
        <f>K24+0.713</f>
        <v>271.31700000000001</v>
      </c>
      <c r="M24" s="16"/>
      <c r="N24" s="16"/>
      <c r="O24" s="15"/>
    </row>
    <row r="25" spans="1:15" x14ac:dyDescent="0.25">
      <c r="A25" s="20"/>
      <c r="B25" s="17">
        <v>282620</v>
      </c>
      <c r="C25" s="17">
        <v>91622.686000000002</v>
      </c>
      <c r="D25" s="18">
        <v>658823.49270111602</v>
      </c>
      <c r="E25" s="18">
        <v>3369509.9384360299</v>
      </c>
      <c r="F25" s="18">
        <v>270.83360329999999</v>
      </c>
      <c r="G25" s="18">
        <f t="shared" si="2"/>
        <v>271.57560330000001</v>
      </c>
      <c r="H25" s="9">
        <v>1172027.3040000002</v>
      </c>
      <c r="I25" s="17"/>
      <c r="J25" s="19"/>
      <c r="K25" s="15">
        <f>K24+(1/$J$24)*(H25-H24)</f>
        <v>270.61493790830059</v>
      </c>
      <c r="L25" s="15">
        <f t="shared" ref="L25:L88" si="5">K25+0.713</f>
        <v>271.32793790830061</v>
      </c>
      <c r="M25" s="16">
        <f t="shared" si="4"/>
        <v>0.21866539169940324</v>
      </c>
      <c r="N25" s="16"/>
      <c r="O25" s="15"/>
    </row>
    <row r="26" spans="1:15" x14ac:dyDescent="0.25">
      <c r="A26" s="20"/>
      <c r="B26" s="17">
        <v>282640</v>
      </c>
      <c r="C26" s="17">
        <v>91642.686000000002</v>
      </c>
      <c r="D26" s="18">
        <v>658807.14602926502</v>
      </c>
      <c r="E26" s="18">
        <v>3369521.4617306702</v>
      </c>
      <c r="F26" s="18">
        <v>270.8516659</v>
      </c>
      <c r="G26" s="18">
        <f t="shared" si="2"/>
        <v>271.59366590000002</v>
      </c>
      <c r="H26" s="9">
        <v>1172047.3039999995</v>
      </c>
      <c r="I26" s="17"/>
      <c r="J26" s="19"/>
      <c r="K26" s="15">
        <f t="shared" ref="K26:K45" si="6">K25+(1/$J$24)*(H26-H25)</f>
        <v>270.63185132766063</v>
      </c>
      <c r="L26" s="15">
        <f t="shared" si="5"/>
        <v>271.34485132766065</v>
      </c>
      <c r="M26" s="16">
        <f t="shared" si="4"/>
        <v>0.21981457233937363</v>
      </c>
      <c r="N26" s="16"/>
      <c r="O26" s="15"/>
    </row>
    <row r="27" spans="1:15" x14ac:dyDescent="0.25">
      <c r="A27" s="20"/>
      <c r="B27" s="17">
        <v>282660</v>
      </c>
      <c r="C27" s="17">
        <v>91662.663</v>
      </c>
      <c r="D27" s="18">
        <v>658790.81815608602</v>
      </c>
      <c r="E27" s="18">
        <v>3369532.9717735299</v>
      </c>
      <c r="F27" s="18">
        <v>270.86970809999997</v>
      </c>
      <c r="G27" s="18">
        <f t="shared" si="2"/>
        <v>271.61170809999999</v>
      </c>
      <c r="H27" s="9">
        <v>1172067.2810000041</v>
      </c>
      <c r="I27" s="17"/>
      <c r="J27" s="19"/>
      <c r="K27" s="15">
        <f t="shared" si="6"/>
        <v>270.64874529659289</v>
      </c>
      <c r="L27" s="15">
        <f t="shared" si="5"/>
        <v>271.36174529659291</v>
      </c>
      <c r="M27" s="16">
        <f t="shared" si="4"/>
        <v>0.22096280340707608</v>
      </c>
      <c r="N27" s="16"/>
      <c r="O27" s="15"/>
    </row>
    <row r="28" spans="1:15" x14ac:dyDescent="0.25">
      <c r="A28" s="20"/>
      <c r="B28" s="17">
        <v>282680</v>
      </c>
      <c r="C28" s="17">
        <v>91682.663</v>
      </c>
      <c r="D28" s="18">
        <v>658774.47148423502</v>
      </c>
      <c r="E28" s="18">
        <v>3369544.4950681701</v>
      </c>
      <c r="F28" s="18">
        <v>270.88777069999998</v>
      </c>
      <c r="G28" s="18">
        <f t="shared" si="2"/>
        <v>271.62977069999999</v>
      </c>
      <c r="H28" s="9">
        <v>1172087.2810000035</v>
      </c>
      <c r="I28" s="17"/>
      <c r="J28" s="19"/>
      <c r="K28" s="15">
        <f t="shared" si="6"/>
        <v>270.66565871595293</v>
      </c>
      <c r="L28" s="15">
        <f t="shared" si="5"/>
        <v>271.37865871595295</v>
      </c>
      <c r="M28" s="16">
        <f t="shared" si="4"/>
        <v>0.22211198404704646</v>
      </c>
      <c r="N28" s="16"/>
      <c r="O28" s="15"/>
    </row>
    <row r="29" spans="1:15" x14ac:dyDescent="0.25">
      <c r="A29" s="20"/>
      <c r="B29" s="17">
        <v>282700</v>
      </c>
      <c r="C29" s="17">
        <v>91702.67</v>
      </c>
      <c r="D29" s="18">
        <v>658758.11909104802</v>
      </c>
      <c r="E29" s="18">
        <v>3369556.0223959601</v>
      </c>
      <c r="F29" s="18">
        <v>270.90583959999998</v>
      </c>
      <c r="G29" s="18">
        <f t="shared" si="2"/>
        <v>271.6478396</v>
      </c>
      <c r="H29" s="9">
        <v>1172107.2880000013</v>
      </c>
      <c r="I29" s="17"/>
      <c r="J29" s="19"/>
      <c r="K29" s="15">
        <f t="shared" si="6"/>
        <v>270.68257805500855</v>
      </c>
      <c r="L29" s="15">
        <f t="shared" si="5"/>
        <v>271.39557805500857</v>
      </c>
      <c r="M29" s="16">
        <f t="shared" si="4"/>
        <v>0.22326154499143058</v>
      </c>
      <c r="N29" s="16"/>
      <c r="O29" s="15"/>
    </row>
    <row r="30" spans="1:15" x14ac:dyDescent="0.25">
      <c r="A30" s="20"/>
      <c r="B30" s="17">
        <v>282720</v>
      </c>
      <c r="C30" s="17">
        <v>91722.67</v>
      </c>
      <c r="D30" s="18">
        <v>658741.77241919702</v>
      </c>
      <c r="E30" s="18">
        <v>3369567.5456905998</v>
      </c>
      <c r="F30" s="18">
        <v>270.92390209999996</v>
      </c>
      <c r="G30" s="18">
        <f t="shared" si="2"/>
        <v>271.66590209999998</v>
      </c>
      <c r="H30" s="9">
        <v>1172127.2880000004</v>
      </c>
      <c r="I30" s="17"/>
      <c r="J30" s="19"/>
      <c r="K30" s="15">
        <f t="shared" si="6"/>
        <v>270.69949147436836</v>
      </c>
      <c r="L30" s="15">
        <f t="shared" si="5"/>
        <v>271.41249147436838</v>
      </c>
      <c r="M30" s="16">
        <f t="shared" si="4"/>
        <v>0.22441062563160585</v>
      </c>
      <c r="N30" s="16"/>
      <c r="O30" s="15"/>
    </row>
    <row r="31" spans="1:15" x14ac:dyDescent="0.25">
      <c r="A31" s="20"/>
      <c r="B31" s="17">
        <v>282740</v>
      </c>
      <c r="C31" s="17">
        <v>91742.654999999999</v>
      </c>
      <c r="D31" s="18">
        <v>658725.43800734903</v>
      </c>
      <c r="E31" s="18">
        <v>3369579.0603427701</v>
      </c>
      <c r="F31" s="18">
        <v>270.94195129999997</v>
      </c>
      <c r="G31" s="18">
        <f t="shared" si="2"/>
        <v>271.68395129999999</v>
      </c>
      <c r="H31" s="9">
        <v>1172147.273000001</v>
      </c>
      <c r="I31" s="17"/>
      <c r="J31" s="19"/>
      <c r="K31" s="15">
        <f t="shared" si="6"/>
        <v>270.71639220866496</v>
      </c>
      <c r="L31" s="15">
        <f t="shared" si="5"/>
        <v>271.42939220866498</v>
      </c>
      <c r="M31" s="16">
        <f t="shared" si="4"/>
        <v>0.22555909133501473</v>
      </c>
      <c r="N31" s="16"/>
      <c r="O31" s="15"/>
    </row>
    <row r="32" spans="1:15" x14ac:dyDescent="0.25">
      <c r="A32" s="20"/>
      <c r="B32" s="17">
        <v>282760</v>
      </c>
      <c r="C32" s="17">
        <v>91762.654999999999</v>
      </c>
      <c r="D32" s="18">
        <v>658709.09133549803</v>
      </c>
      <c r="E32" s="18">
        <v>3369590.5836374098</v>
      </c>
      <c r="F32" s="18">
        <v>270.96001379999996</v>
      </c>
      <c r="G32" s="18">
        <f t="shared" si="2"/>
        <v>271.70201379999997</v>
      </c>
      <c r="H32" s="9">
        <v>1172167.273</v>
      </c>
      <c r="I32" s="17"/>
      <c r="J32" s="19"/>
      <c r="K32" s="15">
        <f t="shared" si="6"/>
        <v>270.73330562802477</v>
      </c>
      <c r="L32" s="15">
        <f t="shared" si="5"/>
        <v>271.44630562802479</v>
      </c>
      <c r="M32" s="16">
        <f t="shared" si="4"/>
        <v>0.22670817197519</v>
      </c>
      <c r="N32" s="16"/>
      <c r="O32" s="15"/>
    </row>
    <row r="33" spans="1:15" x14ac:dyDescent="0.25">
      <c r="A33" s="20"/>
      <c r="B33" s="17">
        <v>282780</v>
      </c>
      <c r="C33" s="17">
        <v>91782.668000000005</v>
      </c>
      <c r="D33" s="18">
        <v>658692.73403831001</v>
      </c>
      <c r="E33" s="18">
        <v>3369602.1144221998</v>
      </c>
      <c r="F33" s="18">
        <v>270.9780877</v>
      </c>
      <c r="G33" s="18">
        <f t="shared" si="2"/>
        <v>271.72008770000002</v>
      </c>
      <c r="H33" s="9">
        <v>1172187.2860000043</v>
      </c>
      <c r="I33" s="17"/>
      <c r="J33" s="19"/>
      <c r="K33" s="15">
        <f t="shared" si="6"/>
        <v>270.75023004111154</v>
      </c>
      <c r="L33" s="15">
        <f t="shared" si="5"/>
        <v>271.46323004111156</v>
      </c>
      <c r="M33" s="16">
        <f t="shared" si="4"/>
        <v>0.22785765888846754</v>
      </c>
      <c r="N33" s="16"/>
      <c r="O33" s="15"/>
    </row>
    <row r="34" spans="1:15" x14ac:dyDescent="0.25">
      <c r="A34" s="20"/>
      <c r="B34" s="17">
        <v>282800</v>
      </c>
      <c r="C34" s="17">
        <v>91802.66</v>
      </c>
      <c r="D34" s="18">
        <v>658676.39390512696</v>
      </c>
      <c r="E34" s="18">
        <v>3369613.6331075202</v>
      </c>
      <c r="F34" s="18">
        <v>270.99614320000001</v>
      </c>
      <c r="G34" s="18">
        <f t="shared" si="2"/>
        <v>271.73814320000002</v>
      </c>
      <c r="H34" s="9">
        <v>1172207.278000003</v>
      </c>
      <c r="I34" s="17"/>
      <c r="J34" s="19"/>
      <c r="K34" s="15">
        <f t="shared" si="6"/>
        <v>270.76713669510332</v>
      </c>
      <c r="L34" s="15">
        <f t="shared" si="5"/>
        <v>271.48013669510334</v>
      </c>
      <c r="M34" s="16">
        <f t="shared" si="4"/>
        <v>0.22900650489668806</v>
      </c>
      <c r="N34" s="16"/>
      <c r="O34" s="15"/>
    </row>
    <row r="35" spans="1:15" x14ac:dyDescent="0.25">
      <c r="A35" s="20"/>
      <c r="B35" s="17">
        <v>282820</v>
      </c>
      <c r="C35" s="17">
        <v>91822.66</v>
      </c>
      <c r="D35" s="18">
        <v>658660.04723327595</v>
      </c>
      <c r="E35" s="18">
        <v>3369625.1564021599</v>
      </c>
      <c r="F35" s="18">
        <v>271.01420569999999</v>
      </c>
      <c r="G35" s="18">
        <f t="shared" si="2"/>
        <v>271.75620570000001</v>
      </c>
      <c r="H35" s="9">
        <v>1172227.278000002</v>
      </c>
      <c r="I35" s="17"/>
      <c r="J35" s="19"/>
      <c r="K35" s="15">
        <f t="shared" si="6"/>
        <v>270.78405011446313</v>
      </c>
      <c r="L35" s="15">
        <f t="shared" si="5"/>
        <v>271.49705011446315</v>
      </c>
      <c r="M35" s="16">
        <f t="shared" si="4"/>
        <v>0.23015558553686333</v>
      </c>
      <c r="N35" s="16"/>
      <c r="O35" s="15"/>
    </row>
    <row r="36" spans="1:15" x14ac:dyDescent="0.25">
      <c r="A36" s="20"/>
      <c r="B36" s="17">
        <v>282840</v>
      </c>
      <c r="C36" s="17">
        <v>91842.664000000004</v>
      </c>
      <c r="D36" s="18">
        <v>658643.69729209004</v>
      </c>
      <c r="E36" s="18">
        <v>3369636.6820014599</v>
      </c>
      <c r="F36" s="18">
        <v>271.03227169999997</v>
      </c>
      <c r="G36" s="18">
        <f t="shared" si="2"/>
        <v>271.77427169999999</v>
      </c>
      <c r="H36" s="9">
        <v>1172247.2820000022</v>
      </c>
      <c r="I36" s="17"/>
      <c r="J36" s="19"/>
      <c r="K36" s="15">
        <f t="shared" si="6"/>
        <v>270.80096691650778</v>
      </c>
      <c r="L36" s="15">
        <f t="shared" si="5"/>
        <v>271.5139669165078</v>
      </c>
      <c r="M36" s="16">
        <f t="shared" si="4"/>
        <v>0.23130478349219175</v>
      </c>
      <c r="N36" s="16"/>
      <c r="O36" s="15"/>
    </row>
    <row r="37" spans="1:15" x14ac:dyDescent="0.25">
      <c r="A37" s="20"/>
      <c r="B37" s="17">
        <v>282860</v>
      </c>
      <c r="C37" s="17">
        <v>91862.664000000004</v>
      </c>
      <c r="D37" s="18">
        <v>658627.35062023904</v>
      </c>
      <c r="E37" s="18">
        <v>3369648.2052961001</v>
      </c>
      <c r="F37" s="18">
        <v>271.04972849999996</v>
      </c>
      <c r="G37" s="18">
        <f t="shared" si="2"/>
        <v>271.79172849999998</v>
      </c>
      <c r="H37" s="9">
        <v>1172267.2820000015</v>
      </c>
      <c r="I37" s="17"/>
      <c r="J37" s="19"/>
      <c r="K37" s="15">
        <f t="shared" si="6"/>
        <v>270.81788033586781</v>
      </c>
      <c r="L37" s="15">
        <f t="shared" si="5"/>
        <v>271.53088033586783</v>
      </c>
      <c r="M37" s="16">
        <f t="shared" si="4"/>
        <v>0.23184816413214548</v>
      </c>
      <c r="N37" s="16"/>
      <c r="O37" s="15"/>
    </row>
    <row r="38" spans="1:15" x14ac:dyDescent="0.25">
      <c r="A38" s="20"/>
      <c r="B38" s="17">
        <v>282880</v>
      </c>
      <c r="C38" s="17">
        <v>91882.657000000007</v>
      </c>
      <c r="D38" s="18">
        <v>658611.00966972299</v>
      </c>
      <c r="E38" s="18">
        <v>3369659.7245575902</v>
      </c>
      <c r="F38" s="18">
        <v>271.0546875</v>
      </c>
      <c r="G38" s="18">
        <f t="shared" si="2"/>
        <v>271.79668750000002</v>
      </c>
      <c r="H38" s="9">
        <v>1172287.2750000027</v>
      </c>
      <c r="I38" s="17"/>
      <c r="J38" s="19"/>
      <c r="K38" s="15">
        <f t="shared" si="6"/>
        <v>270.83478783553267</v>
      </c>
      <c r="L38" s="15">
        <f t="shared" si="5"/>
        <v>271.54778783553269</v>
      </c>
      <c r="M38" s="16">
        <f t="shared" si="4"/>
        <v>0.21989966446733433</v>
      </c>
      <c r="N38" s="16"/>
      <c r="O38" s="15"/>
    </row>
    <row r="39" spans="1:15" x14ac:dyDescent="0.25">
      <c r="A39" s="20"/>
      <c r="B39" s="17">
        <v>282900</v>
      </c>
      <c r="C39" s="17">
        <v>91902.66</v>
      </c>
      <c r="D39" s="18">
        <v>658594.65975728503</v>
      </c>
      <c r="E39" s="18">
        <v>3369671.24846183</v>
      </c>
      <c r="F39" s="18">
        <v>271.0546875</v>
      </c>
      <c r="G39" s="18">
        <f t="shared" si="2"/>
        <v>271.79668750000002</v>
      </c>
      <c r="H39" s="9">
        <v>1172307.2779999191</v>
      </c>
      <c r="I39" s="17"/>
      <c r="J39" s="19"/>
      <c r="K39" s="15">
        <f t="shared" si="6"/>
        <v>270.85170379183552</v>
      </c>
      <c r="L39" s="15">
        <f t="shared" si="5"/>
        <v>271.56470379183554</v>
      </c>
      <c r="M39" s="16">
        <f t="shared" si="4"/>
        <v>0.20298370816448141</v>
      </c>
      <c r="N39" s="16"/>
      <c r="O39" s="15"/>
    </row>
    <row r="40" spans="1:15" x14ac:dyDescent="0.25">
      <c r="A40" s="20"/>
      <c r="B40" s="17">
        <v>282920</v>
      </c>
      <c r="C40" s="17">
        <v>91922.66</v>
      </c>
      <c r="D40" s="18">
        <v>658578.29845203203</v>
      </c>
      <c r="E40" s="18">
        <v>3369682.7509628399</v>
      </c>
      <c r="F40" s="18">
        <v>271.0546875</v>
      </c>
      <c r="G40" s="18">
        <f t="shared" si="2"/>
        <v>271.79668750000002</v>
      </c>
      <c r="H40" s="9">
        <v>1172327.2779958958</v>
      </c>
      <c r="I40" s="17"/>
      <c r="J40" s="19"/>
      <c r="K40" s="15">
        <f t="shared" si="6"/>
        <v>270.86861720779376</v>
      </c>
      <c r="L40" s="15">
        <f t="shared" si="5"/>
        <v>271.58161720779378</v>
      </c>
      <c r="M40" s="16">
        <f t="shared" si="4"/>
        <v>0.18607029220623872</v>
      </c>
      <c r="N40" s="16"/>
      <c r="O40" s="15"/>
    </row>
    <row r="41" spans="1:15" x14ac:dyDescent="0.25">
      <c r="A41" s="20"/>
      <c r="B41" s="17">
        <v>282940</v>
      </c>
      <c r="C41" s="17">
        <v>91942.668999999994</v>
      </c>
      <c r="D41" s="18">
        <v>658561.89405494195</v>
      </c>
      <c r="E41" s="18">
        <v>3369694.20763474</v>
      </c>
      <c r="F41" s="18">
        <v>271.0546875</v>
      </c>
      <c r="G41" s="18">
        <f t="shared" si="2"/>
        <v>271.79668750000002</v>
      </c>
      <c r="H41" s="9">
        <v>1172347.2869832495</v>
      </c>
      <c r="I41" s="17"/>
      <c r="J41" s="19"/>
      <c r="K41" s="15">
        <f t="shared" si="6"/>
        <v>270.88553822749844</v>
      </c>
      <c r="L41" s="15">
        <f t="shared" si="5"/>
        <v>271.59853822749847</v>
      </c>
      <c r="M41" s="16">
        <f t="shared" si="4"/>
        <v>0.16914927250155642</v>
      </c>
      <c r="N41" s="16"/>
      <c r="O41" s="15"/>
    </row>
    <row r="42" spans="1:15" x14ac:dyDescent="0.25">
      <c r="A42" s="20"/>
      <c r="B42" s="17">
        <v>282960</v>
      </c>
      <c r="C42" s="17">
        <v>91962.668999999994</v>
      </c>
      <c r="D42" s="18">
        <v>658545.45171502605</v>
      </c>
      <c r="E42" s="18">
        <v>3369705.5939834001</v>
      </c>
      <c r="F42" s="18">
        <v>271.0546875</v>
      </c>
      <c r="G42" s="18">
        <f t="shared" si="2"/>
        <v>271.79668750000002</v>
      </c>
      <c r="H42" s="9">
        <v>1172367.2869701926</v>
      </c>
      <c r="I42" s="17"/>
      <c r="J42" s="19"/>
      <c r="K42" s="15">
        <f t="shared" si="6"/>
        <v>270.90245163581721</v>
      </c>
      <c r="L42" s="15">
        <f t="shared" si="5"/>
        <v>271.61545163581724</v>
      </c>
      <c r="M42" s="16">
        <f t="shared" si="4"/>
        <v>0.15223586418278501</v>
      </c>
      <c r="N42" s="16"/>
      <c r="O42" s="15"/>
    </row>
    <row r="43" spans="1:15" x14ac:dyDescent="0.25">
      <c r="A43" s="20"/>
      <c r="B43" s="17">
        <v>282980</v>
      </c>
      <c r="C43" s="17">
        <v>91982.665999999997</v>
      </c>
      <c r="D43" s="18">
        <v>658528.97450366104</v>
      </c>
      <c r="E43" s="18">
        <v>3369716.9245314999</v>
      </c>
      <c r="F43" s="18">
        <v>271.0546875</v>
      </c>
      <c r="G43" s="18">
        <f t="shared" si="2"/>
        <v>271.79668750000002</v>
      </c>
      <c r="H43" s="9">
        <v>1172387.283965332</v>
      </c>
      <c r="I43" s="17"/>
      <c r="J43" s="19"/>
      <c r="K43" s="15">
        <f t="shared" si="6"/>
        <v>270.91936251405446</v>
      </c>
      <c r="L43" s="15">
        <f t="shared" si="5"/>
        <v>271.63236251405448</v>
      </c>
      <c r="M43" s="16">
        <f t="shared" si="4"/>
        <v>0.13532498594554454</v>
      </c>
      <c r="N43" s="16"/>
      <c r="O43" s="15"/>
    </row>
    <row r="44" spans="1:15" x14ac:dyDescent="0.25">
      <c r="A44" s="20">
        <v>283</v>
      </c>
      <c r="B44" s="17">
        <v>283000</v>
      </c>
      <c r="C44" s="17">
        <v>92002.667000000001</v>
      </c>
      <c r="D44" s="18">
        <v>658512.47802002798</v>
      </c>
      <c r="E44" s="18">
        <v>3369728.23408593</v>
      </c>
      <c r="F44" s="18">
        <v>271.0546875</v>
      </c>
      <c r="G44" s="18">
        <f t="shared" si="2"/>
        <v>271.79668750000002</v>
      </c>
      <c r="H44" s="9">
        <v>1172407.2849651487</v>
      </c>
      <c r="I44" s="17"/>
      <c r="J44" s="19"/>
      <c r="K44" s="15">
        <f t="shared" si="6"/>
        <v>270.93627677893102</v>
      </c>
      <c r="L44" s="15">
        <f t="shared" si="5"/>
        <v>271.64927677893104</v>
      </c>
      <c r="M44" s="16">
        <f t="shared" si="4"/>
        <v>0.11841072106898309</v>
      </c>
      <c r="N44" s="16"/>
      <c r="O44" s="15"/>
    </row>
    <row r="45" spans="1:15" x14ac:dyDescent="0.25">
      <c r="A45" s="20">
        <v>283</v>
      </c>
      <c r="B45" s="17">
        <v>283000</v>
      </c>
      <c r="C45" s="17">
        <v>92002.667000000001</v>
      </c>
      <c r="D45" s="18">
        <v>658512.47802002798</v>
      </c>
      <c r="E45" s="18">
        <v>3369728.23408593</v>
      </c>
      <c r="F45" s="18">
        <v>271.0546875</v>
      </c>
      <c r="G45" s="18">
        <f t="shared" si="2"/>
        <v>271.79668750000002</v>
      </c>
      <c r="H45" s="9">
        <v>1172407.2849651487</v>
      </c>
      <c r="I45" s="17"/>
      <c r="J45" s="19"/>
      <c r="K45" s="15">
        <f t="shared" si="6"/>
        <v>270.93627677893102</v>
      </c>
      <c r="L45" s="15">
        <f t="shared" si="5"/>
        <v>271.64927677893104</v>
      </c>
      <c r="M45" s="16">
        <f t="shared" si="4"/>
        <v>0.11841072106898309</v>
      </c>
      <c r="N45" s="16"/>
      <c r="O45" s="15"/>
    </row>
    <row r="46" spans="1:15" x14ac:dyDescent="0.25">
      <c r="A46" s="21"/>
      <c r="B46" s="21"/>
      <c r="C46" s="21">
        <v>0</v>
      </c>
      <c r="D46" s="21"/>
      <c r="E46" s="21"/>
      <c r="F46" s="21"/>
      <c r="G46" s="18">
        <f t="shared" si="2"/>
        <v>0.74199999999999999</v>
      </c>
      <c r="H46" s="13">
        <v>1172412.8700000001</v>
      </c>
      <c r="I46" s="21"/>
      <c r="J46" s="14">
        <v>0</v>
      </c>
      <c r="K46" s="22">
        <v>270.94099999999997</v>
      </c>
      <c r="L46" s="15">
        <f t="shared" si="5"/>
        <v>271.654</v>
      </c>
      <c r="M46" s="16"/>
      <c r="N46" s="16"/>
      <c r="O46" s="15"/>
    </row>
    <row r="47" spans="1:15" x14ac:dyDescent="0.25">
      <c r="A47" s="20"/>
      <c r="B47" s="17">
        <v>283020</v>
      </c>
      <c r="C47" s="17">
        <v>92022.673999999999</v>
      </c>
      <c r="D47" s="18">
        <v>658495.97528831498</v>
      </c>
      <c r="E47" s="18">
        <v>3369739.5451378301</v>
      </c>
      <c r="F47" s="18">
        <v>271.0546875</v>
      </c>
      <c r="G47" s="18">
        <f t="shared" si="2"/>
        <v>271.79668750000002</v>
      </c>
      <c r="H47" s="9">
        <v>1172427.2919651505</v>
      </c>
      <c r="I47" s="17"/>
      <c r="J47" s="19"/>
      <c r="K47" s="15">
        <f>K46+(0/0.00000001)*(H47-H46)</f>
        <v>270.94099999999997</v>
      </c>
      <c r="L47" s="15">
        <f t="shared" si="5"/>
        <v>271.654</v>
      </c>
      <c r="M47" s="16">
        <f t="shared" si="4"/>
        <v>0.11368750000002592</v>
      </c>
      <c r="N47" s="16"/>
      <c r="O47" s="15"/>
    </row>
    <row r="48" spans="1:15" x14ac:dyDescent="0.25">
      <c r="A48" s="20"/>
      <c r="B48" s="17">
        <v>283040</v>
      </c>
      <c r="C48" s="17">
        <v>92042.671000000002</v>
      </c>
      <c r="D48" s="18">
        <v>658479.48080508201</v>
      </c>
      <c r="E48" s="18">
        <v>3369750.8505361802</v>
      </c>
      <c r="F48" s="18">
        <v>271.0546875</v>
      </c>
      <c r="G48" s="18">
        <f t="shared" si="2"/>
        <v>271.79668750000002</v>
      </c>
      <c r="H48" s="9">
        <v>1172447.28896515</v>
      </c>
      <c r="I48" s="17"/>
      <c r="J48" s="19"/>
      <c r="K48" s="15">
        <f t="shared" ref="K48:K79" si="7">K47+(0/0.00000001)*(H48-H47)</f>
        <v>270.94099999999997</v>
      </c>
      <c r="L48" s="15">
        <f t="shared" si="5"/>
        <v>271.654</v>
      </c>
      <c r="M48" s="16">
        <f t="shared" si="4"/>
        <v>0.11368750000002592</v>
      </c>
      <c r="N48" s="16"/>
      <c r="O48" s="15"/>
    </row>
    <row r="49" spans="1:15" x14ac:dyDescent="0.25">
      <c r="A49" s="20"/>
      <c r="B49" s="17">
        <v>283060</v>
      </c>
      <c r="C49" s="17">
        <v>92062.672999999995</v>
      </c>
      <c r="D49" s="18">
        <v>658462.98219760903</v>
      </c>
      <c r="E49" s="18">
        <v>3369762.1587613001</v>
      </c>
      <c r="F49" s="18">
        <v>271.0546875</v>
      </c>
      <c r="G49" s="18">
        <f t="shared" si="2"/>
        <v>271.79668750000002</v>
      </c>
      <c r="H49" s="9">
        <v>1172467.2909651478</v>
      </c>
      <c r="I49" s="17"/>
      <c r="J49" s="19"/>
      <c r="K49" s="15">
        <f t="shared" si="7"/>
        <v>270.94099999999997</v>
      </c>
      <c r="L49" s="15">
        <f t="shared" si="5"/>
        <v>271.654</v>
      </c>
      <c r="M49" s="16">
        <f t="shared" si="4"/>
        <v>0.11368750000002592</v>
      </c>
      <c r="N49" s="16"/>
      <c r="O49" s="15"/>
    </row>
    <row r="50" spans="1:15" x14ac:dyDescent="0.25">
      <c r="A50" s="20"/>
      <c r="B50" s="17">
        <v>283080</v>
      </c>
      <c r="C50" s="17">
        <v>92082.663</v>
      </c>
      <c r="D50" s="18">
        <v>658446.49348831095</v>
      </c>
      <c r="E50" s="18">
        <v>3369773.4602021701</v>
      </c>
      <c r="F50" s="18">
        <v>271.0546875</v>
      </c>
      <c r="G50" s="18">
        <f t="shared" si="2"/>
        <v>271.79668750000002</v>
      </c>
      <c r="H50" s="9">
        <v>1172487.2809651492</v>
      </c>
      <c r="I50" s="17"/>
      <c r="J50" s="19"/>
      <c r="K50" s="15">
        <f t="shared" si="7"/>
        <v>270.94099999999997</v>
      </c>
      <c r="L50" s="15">
        <f t="shared" si="5"/>
        <v>271.654</v>
      </c>
      <c r="M50" s="16">
        <f t="shared" si="4"/>
        <v>0.11368750000002592</v>
      </c>
      <c r="N50" s="16"/>
      <c r="O50" s="15"/>
    </row>
    <row r="51" spans="1:15" x14ac:dyDescent="0.25">
      <c r="A51" s="20"/>
      <c r="B51" s="17">
        <v>283100</v>
      </c>
      <c r="C51" s="17">
        <v>92102.664999999994</v>
      </c>
      <c r="D51" s="18">
        <v>658429.99488083797</v>
      </c>
      <c r="E51" s="18">
        <v>3369784.76842729</v>
      </c>
      <c r="F51" s="18">
        <v>271.0546875</v>
      </c>
      <c r="G51" s="18">
        <f t="shared" si="2"/>
        <v>271.79668750000002</v>
      </c>
      <c r="H51" s="9">
        <v>1172507.2829651469</v>
      </c>
      <c r="I51" s="17"/>
      <c r="J51" s="19"/>
      <c r="K51" s="15">
        <f t="shared" si="7"/>
        <v>270.94099999999997</v>
      </c>
      <c r="L51" s="15">
        <f t="shared" si="5"/>
        <v>271.654</v>
      </c>
      <c r="M51" s="16">
        <f t="shared" si="4"/>
        <v>0.11368750000002592</v>
      </c>
      <c r="N51" s="16"/>
      <c r="O51" s="15"/>
    </row>
    <row r="52" spans="1:15" x14ac:dyDescent="0.25">
      <c r="A52" s="20"/>
      <c r="B52" s="17">
        <v>283120</v>
      </c>
      <c r="C52" s="17">
        <v>92122.672999999995</v>
      </c>
      <c r="D52" s="18">
        <v>658413.49132427701</v>
      </c>
      <c r="E52" s="18">
        <v>3369796.0800445401</v>
      </c>
      <c r="F52" s="18">
        <v>271.0546875</v>
      </c>
      <c r="G52" s="18">
        <f t="shared" si="2"/>
        <v>271.79668750000002</v>
      </c>
      <c r="H52" s="9">
        <v>1172527.2909651462</v>
      </c>
      <c r="I52" s="17"/>
      <c r="J52" s="19"/>
      <c r="K52" s="15">
        <f t="shared" si="7"/>
        <v>270.94099999999997</v>
      </c>
      <c r="L52" s="15">
        <f t="shared" si="5"/>
        <v>271.654</v>
      </c>
      <c r="M52" s="16">
        <f t="shared" si="4"/>
        <v>0.11368750000002592</v>
      </c>
      <c r="N52" s="16"/>
      <c r="O52" s="15"/>
    </row>
    <row r="53" spans="1:15" x14ac:dyDescent="0.25">
      <c r="A53" s="20"/>
      <c r="B53" s="17">
        <v>283140</v>
      </c>
      <c r="C53" s="17">
        <v>92142.676000000007</v>
      </c>
      <c r="D53" s="18">
        <v>658396.991891957</v>
      </c>
      <c r="E53" s="18">
        <v>3369807.3888350199</v>
      </c>
      <c r="F53" s="18">
        <v>271.0546875</v>
      </c>
      <c r="G53" s="18">
        <f t="shared" si="2"/>
        <v>271.79668750000002</v>
      </c>
      <c r="H53" s="9">
        <v>1172547.2939651462</v>
      </c>
      <c r="I53" s="17"/>
      <c r="J53" s="19"/>
      <c r="K53" s="15">
        <f t="shared" si="7"/>
        <v>270.94099999999997</v>
      </c>
      <c r="L53" s="15">
        <f t="shared" si="5"/>
        <v>271.654</v>
      </c>
      <c r="M53" s="16">
        <f t="shared" si="4"/>
        <v>0.11368750000002592</v>
      </c>
      <c r="N53" s="16"/>
      <c r="O53" s="15"/>
    </row>
    <row r="54" spans="1:15" x14ac:dyDescent="0.25">
      <c r="A54" s="20"/>
      <c r="B54" s="17">
        <v>283160</v>
      </c>
      <c r="C54" s="17">
        <v>92162.678</v>
      </c>
      <c r="D54" s="18">
        <v>658380.49328448297</v>
      </c>
      <c r="E54" s="18">
        <v>3369818.6970601501</v>
      </c>
      <c r="F54" s="18">
        <v>271.0546875</v>
      </c>
      <c r="G54" s="18">
        <f t="shared" si="2"/>
        <v>271.79668750000002</v>
      </c>
      <c r="H54" s="9">
        <v>1172567.2959651507</v>
      </c>
      <c r="I54" s="17"/>
      <c r="J54" s="19"/>
      <c r="K54" s="15">
        <f t="shared" si="7"/>
        <v>270.94099999999997</v>
      </c>
      <c r="L54" s="15">
        <f t="shared" si="5"/>
        <v>271.654</v>
      </c>
      <c r="M54" s="16">
        <f t="shared" si="4"/>
        <v>0.11368750000002592</v>
      </c>
      <c r="N54" s="16"/>
      <c r="O54" s="15"/>
    </row>
    <row r="55" spans="1:15" x14ac:dyDescent="0.25">
      <c r="A55" s="20"/>
      <c r="B55" s="17">
        <v>283180</v>
      </c>
      <c r="C55" s="17">
        <v>92182.665999999997</v>
      </c>
      <c r="D55" s="18">
        <v>658364.00971301901</v>
      </c>
      <c r="E55" s="18">
        <v>3369830.0024563898</v>
      </c>
      <c r="F55" s="18">
        <v>271.0546875</v>
      </c>
      <c r="G55" s="18">
        <f t="shared" si="2"/>
        <v>271.79668750000002</v>
      </c>
      <c r="H55" s="9">
        <v>1172587.2839643587</v>
      </c>
      <c r="I55" s="17"/>
      <c r="J55" s="19"/>
      <c r="K55" s="15">
        <f t="shared" si="7"/>
        <v>270.94099999999997</v>
      </c>
      <c r="L55" s="15">
        <f t="shared" si="5"/>
        <v>271.654</v>
      </c>
      <c r="M55" s="16">
        <f t="shared" si="4"/>
        <v>0.11368750000002592</v>
      </c>
      <c r="N55" s="16"/>
      <c r="O55" s="15"/>
    </row>
    <row r="56" spans="1:15" x14ac:dyDescent="0.25">
      <c r="A56" s="20"/>
      <c r="B56" s="17">
        <v>283200</v>
      </c>
      <c r="C56" s="17">
        <v>92202.667000000001</v>
      </c>
      <c r="D56" s="18">
        <v>658347.53750211606</v>
      </c>
      <c r="E56" s="18">
        <v>3369841.34732201</v>
      </c>
      <c r="F56" s="18">
        <v>271.0546875</v>
      </c>
      <c r="G56" s="18">
        <f t="shared" si="2"/>
        <v>271.79668750000002</v>
      </c>
      <c r="H56" s="9">
        <v>1172607.2849570333</v>
      </c>
      <c r="I56" s="17"/>
      <c r="J56" s="19"/>
      <c r="K56" s="15">
        <f t="shared" si="7"/>
        <v>270.94099999999997</v>
      </c>
      <c r="L56" s="15">
        <f t="shared" si="5"/>
        <v>271.654</v>
      </c>
      <c r="M56" s="16">
        <f t="shared" si="4"/>
        <v>0.11368750000002592</v>
      </c>
      <c r="N56" s="16"/>
      <c r="O56" s="15"/>
    </row>
    <row r="57" spans="1:15" x14ac:dyDescent="0.25">
      <c r="A57" s="20"/>
      <c r="B57" s="17">
        <v>283220</v>
      </c>
      <c r="C57" s="17">
        <v>92222.678</v>
      </c>
      <c r="D57" s="18">
        <v>658331.09850363596</v>
      </c>
      <c r="E57" s="18">
        <v>3369852.7577959602</v>
      </c>
      <c r="F57" s="18">
        <v>271.0546875</v>
      </c>
      <c r="G57" s="18">
        <f t="shared" si="2"/>
        <v>271.79668750000002</v>
      </c>
      <c r="H57" s="9">
        <v>1172627.2959436856</v>
      </c>
      <c r="I57" s="17"/>
      <c r="J57" s="19"/>
      <c r="K57" s="15">
        <f t="shared" si="7"/>
        <v>270.94099999999997</v>
      </c>
      <c r="L57" s="15">
        <f t="shared" si="5"/>
        <v>271.654</v>
      </c>
      <c r="M57" s="16">
        <f t="shared" si="4"/>
        <v>0.11368750000002592</v>
      </c>
      <c r="N57" s="16"/>
      <c r="O57" s="15"/>
    </row>
    <row r="58" spans="1:15" x14ac:dyDescent="0.25">
      <c r="A58" s="20"/>
      <c r="B58" s="17">
        <v>283240</v>
      </c>
      <c r="C58" s="17">
        <v>92242.664000000004</v>
      </c>
      <c r="D58" s="18">
        <v>658314.72453570005</v>
      </c>
      <c r="E58" s="18">
        <v>3369864.2178545599</v>
      </c>
      <c r="F58" s="18">
        <v>271.0546875</v>
      </c>
      <c r="G58" s="18">
        <f t="shared" si="2"/>
        <v>271.79668750000002</v>
      </c>
      <c r="H58" s="9">
        <v>1172647.281933005</v>
      </c>
      <c r="I58" s="17"/>
      <c r="J58" s="19"/>
      <c r="K58" s="15">
        <f t="shared" si="7"/>
        <v>270.94099999999997</v>
      </c>
      <c r="L58" s="15">
        <f t="shared" si="5"/>
        <v>271.654</v>
      </c>
      <c r="M58" s="16">
        <f t="shared" si="4"/>
        <v>0.11368750000002592</v>
      </c>
      <c r="N58" s="16"/>
      <c r="O58" s="15"/>
    </row>
    <row r="59" spans="1:15" x14ac:dyDescent="0.25">
      <c r="A59" s="20"/>
      <c r="B59" s="17">
        <v>283260</v>
      </c>
      <c r="C59" s="17">
        <v>92262.664000000004</v>
      </c>
      <c r="D59" s="18">
        <v>658298.36922070698</v>
      </c>
      <c r="E59" s="18">
        <v>3369875.7288744999</v>
      </c>
      <c r="F59" s="18">
        <v>271.0546875</v>
      </c>
      <c r="G59" s="18">
        <f t="shared" si="2"/>
        <v>271.79668750000002</v>
      </c>
      <c r="H59" s="9">
        <v>1172667.2819307195</v>
      </c>
      <c r="I59" s="17"/>
      <c r="J59" s="19"/>
      <c r="K59" s="15">
        <f t="shared" si="7"/>
        <v>270.94099999999997</v>
      </c>
      <c r="L59" s="15">
        <f t="shared" si="5"/>
        <v>271.654</v>
      </c>
      <c r="M59" s="16">
        <f t="shared" si="4"/>
        <v>0.11368750000002592</v>
      </c>
      <c r="N59" s="16"/>
      <c r="O59" s="15"/>
    </row>
    <row r="60" spans="1:15" x14ac:dyDescent="0.25">
      <c r="A60" s="20"/>
      <c r="B60" s="17">
        <v>283280</v>
      </c>
      <c r="C60" s="17">
        <v>92282.66</v>
      </c>
      <c r="D60" s="18">
        <v>658282.02570107603</v>
      </c>
      <c r="E60" s="18">
        <v>3369887.2496983102</v>
      </c>
      <c r="F60" s="18">
        <v>271.0546875</v>
      </c>
      <c r="G60" s="18">
        <f t="shared" si="2"/>
        <v>271.79668750000002</v>
      </c>
      <c r="H60" s="9">
        <v>1172687.2779306993</v>
      </c>
      <c r="I60" s="17"/>
      <c r="J60" s="19"/>
      <c r="K60" s="15">
        <f t="shared" si="7"/>
        <v>270.94099999999997</v>
      </c>
      <c r="L60" s="15">
        <f t="shared" si="5"/>
        <v>271.654</v>
      </c>
      <c r="M60" s="16">
        <f t="shared" si="4"/>
        <v>0.11368750000002592</v>
      </c>
      <c r="N60" s="16"/>
      <c r="O60" s="15"/>
    </row>
    <row r="61" spans="1:15" x14ac:dyDescent="0.25">
      <c r="A61" s="20"/>
      <c r="B61" s="17">
        <v>283300</v>
      </c>
      <c r="C61" s="17">
        <v>92302.66</v>
      </c>
      <c r="D61" s="18">
        <v>658265.67903464101</v>
      </c>
      <c r="E61" s="18">
        <v>3369898.7730006301</v>
      </c>
      <c r="F61" s="18">
        <v>271.0546875</v>
      </c>
      <c r="G61" s="18">
        <f t="shared" si="2"/>
        <v>271.79668750000002</v>
      </c>
      <c r="H61" s="9">
        <v>1172707.2779306967</v>
      </c>
      <c r="I61" s="17"/>
      <c r="J61" s="19"/>
      <c r="K61" s="15">
        <f t="shared" si="7"/>
        <v>270.94099999999997</v>
      </c>
      <c r="L61" s="15">
        <f t="shared" si="5"/>
        <v>271.654</v>
      </c>
      <c r="M61" s="16">
        <f t="shared" si="4"/>
        <v>0.11368750000002592</v>
      </c>
      <c r="N61" s="16"/>
      <c r="O61" s="15"/>
    </row>
    <row r="62" spans="1:15" x14ac:dyDescent="0.25">
      <c r="A62" s="20"/>
      <c r="B62" s="17">
        <v>283320</v>
      </c>
      <c r="C62" s="17">
        <v>92322.664999999994</v>
      </c>
      <c r="D62" s="18">
        <v>658249.32828153903</v>
      </c>
      <c r="E62" s="18">
        <v>3369910.2991837799</v>
      </c>
      <c r="F62" s="18">
        <v>271.0546875</v>
      </c>
      <c r="G62" s="18">
        <f t="shared" si="2"/>
        <v>271.79668750000002</v>
      </c>
      <c r="H62" s="9">
        <v>1172727.2829306968</v>
      </c>
      <c r="I62" s="17"/>
      <c r="J62" s="19"/>
      <c r="K62" s="15">
        <f t="shared" si="7"/>
        <v>270.94099999999997</v>
      </c>
      <c r="L62" s="15">
        <f t="shared" si="5"/>
        <v>271.654</v>
      </c>
      <c r="M62" s="16">
        <f t="shared" si="4"/>
        <v>0.11368750000002592</v>
      </c>
      <c r="N62" s="16"/>
      <c r="O62" s="15"/>
    </row>
    <row r="63" spans="1:15" x14ac:dyDescent="0.25">
      <c r="A63" s="20"/>
      <c r="B63" s="17">
        <v>283340</v>
      </c>
      <c r="C63" s="17">
        <v>92342.684999999998</v>
      </c>
      <c r="D63" s="18">
        <v>658232.96526843705</v>
      </c>
      <c r="E63" s="18">
        <v>3369921.8340094099</v>
      </c>
      <c r="F63" s="18">
        <v>271.0546875</v>
      </c>
      <c r="G63" s="18">
        <f t="shared" si="2"/>
        <v>271.79668750000002</v>
      </c>
      <c r="H63" s="9">
        <v>1172747.3029306992</v>
      </c>
      <c r="I63" s="17"/>
      <c r="J63" s="19"/>
      <c r="K63" s="15">
        <f t="shared" si="7"/>
        <v>270.94099999999997</v>
      </c>
      <c r="L63" s="15">
        <f t="shared" si="5"/>
        <v>271.654</v>
      </c>
      <c r="M63" s="16">
        <f t="shared" si="4"/>
        <v>0.11368750000002592</v>
      </c>
      <c r="N63" s="16"/>
      <c r="O63" s="15"/>
    </row>
    <row r="64" spans="1:15" x14ac:dyDescent="0.25">
      <c r="A64" s="20"/>
      <c r="B64" s="17">
        <v>283360</v>
      </c>
      <c r="C64" s="17">
        <v>92362.684999999998</v>
      </c>
      <c r="D64" s="18">
        <v>658216.61860200204</v>
      </c>
      <c r="E64" s="18">
        <v>3369933.3573117401</v>
      </c>
      <c r="F64" s="18">
        <v>271.0546875</v>
      </c>
      <c r="G64" s="18">
        <f t="shared" si="2"/>
        <v>271.79668750000002</v>
      </c>
      <c r="H64" s="9">
        <v>1172767.3029307025</v>
      </c>
      <c r="I64" s="17"/>
      <c r="J64" s="19"/>
      <c r="K64" s="15">
        <f t="shared" si="7"/>
        <v>270.94099999999997</v>
      </c>
      <c r="L64" s="15">
        <f t="shared" si="5"/>
        <v>271.654</v>
      </c>
      <c r="M64" s="16">
        <f t="shared" si="4"/>
        <v>0.11368750000002592</v>
      </c>
      <c r="N64" s="16"/>
      <c r="O64" s="15"/>
    </row>
    <row r="65" spans="1:15" x14ac:dyDescent="0.25">
      <c r="A65" s="20"/>
      <c r="B65" s="17">
        <v>283380</v>
      </c>
      <c r="C65" s="17">
        <v>92382.668000000005</v>
      </c>
      <c r="D65" s="18">
        <v>658200.28583023301</v>
      </c>
      <c r="E65" s="18">
        <v>3369944.8708192501</v>
      </c>
      <c r="F65" s="18">
        <v>271.0546875</v>
      </c>
      <c r="G65" s="18">
        <f t="shared" si="2"/>
        <v>271.79668750000002</v>
      </c>
      <c r="H65" s="9">
        <v>1172787.2859306985</v>
      </c>
      <c r="I65" s="17"/>
      <c r="J65" s="19"/>
      <c r="K65" s="15">
        <f t="shared" si="7"/>
        <v>270.94099999999997</v>
      </c>
      <c r="L65" s="15">
        <f t="shared" si="5"/>
        <v>271.654</v>
      </c>
      <c r="M65" s="16">
        <f t="shared" si="4"/>
        <v>0.11368750000002592</v>
      </c>
      <c r="N65" s="16"/>
      <c r="O65" s="15"/>
    </row>
    <row r="66" spans="1:15" x14ac:dyDescent="0.25">
      <c r="A66" s="20"/>
      <c r="B66" s="17">
        <v>283400</v>
      </c>
      <c r="C66" s="17">
        <v>92402.668000000005</v>
      </c>
      <c r="D66" s="18">
        <v>658183.939163798</v>
      </c>
      <c r="E66" s="18">
        <v>3369956.3941215798</v>
      </c>
      <c r="F66" s="18">
        <v>271.0546875</v>
      </c>
      <c r="G66" s="18">
        <f t="shared" si="2"/>
        <v>271.79668750000002</v>
      </c>
      <c r="H66" s="9">
        <v>1172807.2859307015</v>
      </c>
      <c r="I66" s="17"/>
      <c r="J66" s="19"/>
      <c r="K66" s="15">
        <f t="shared" si="7"/>
        <v>270.94099999999997</v>
      </c>
      <c r="L66" s="15">
        <f t="shared" si="5"/>
        <v>271.654</v>
      </c>
      <c r="M66" s="16">
        <f t="shared" si="4"/>
        <v>0.11368750000002592</v>
      </c>
      <c r="N66" s="16"/>
      <c r="O66" s="15"/>
    </row>
    <row r="67" spans="1:15" x14ac:dyDescent="0.25">
      <c r="A67" s="20"/>
      <c r="B67" s="17">
        <v>283420</v>
      </c>
      <c r="C67" s="17">
        <v>92422.664000000004</v>
      </c>
      <c r="D67" s="18">
        <v>658167.59576669696</v>
      </c>
      <c r="E67" s="18">
        <v>3369967.9151192401</v>
      </c>
      <c r="F67" s="18">
        <v>271.0546875</v>
      </c>
      <c r="G67" s="18">
        <f t="shared" si="2"/>
        <v>271.79668750000002</v>
      </c>
      <c r="H67" s="9">
        <v>1172827.2819306988</v>
      </c>
      <c r="I67" s="17"/>
      <c r="J67" s="19"/>
      <c r="K67" s="15">
        <f t="shared" si="7"/>
        <v>270.94099999999997</v>
      </c>
      <c r="L67" s="15">
        <f t="shared" si="5"/>
        <v>271.654</v>
      </c>
      <c r="M67" s="16">
        <f t="shared" si="4"/>
        <v>0.11368750000002592</v>
      </c>
      <c r="N67" s="16"/>
      <c r="O67" s="15"/>
    </row>
    <row r="68" spans="1:15" x14ac:dyDescent="0.25">
      <c r="A68" s="20"/>
      <c r="B68" s="17">
        <v>283440</v>
      </c>
      <c r="C68" s="17">
        <v>92442.664000000004</v>
      </c>
      <c r="D68" s="18">
        <v>658151.24910026195</v>
      </c>
      <c r="E68" s="18">
        <v>3369979.4384215702</v>
      </c>
      <c r="F68" s="18">
        <v>271.0546875</v>
      </c>
      <c r="G68" s="18">
        <f t="shared" si="2"/>
        <v>271.79668750000002</v>
      </c>
      <c r="H68" s="9">
        <v>1172847.281930702</v>
      </c>
      <c r="I68" s="17"/>
      <c r="J68" s="19"/>
      <c r="K68" s="15">
        <f t="shared" si="7"/>
        <v>270.94099999999997</v>
      </c>
      <c r="L68" s="15">
        <f t="shared" si="5"/>
        <v>271.654</v>
      </c>
      <c r="M68" s="16">
        <f t="shared" si="4"/>
        <v>0.11368750000002592</v>
      </c>
      <c r="N68" s="16"/>
      <c r="O68" s="15"/>
    </row>
    <row r="69" spans="1:15" x14ac:dyDescent="0.25">
      <c r="A69" s="20"/>
      <c r="B69" s="17">
        <v>283460</v>
      </c>
      <c r="C69" s="17">
        <v>92462.675000000003</v>
      </c>
      <c r="D69" s="18">
        <v>658134.89344315999</v>
      </c>
      <c r="E69" s="18">
        <v>3369990.9680617098</v>
      </c>
      <c r="F69" s="18">
        <v>271.0546875</v>
      </c>
      <c r="G69" s="18">
        <f t="shared" ref="G69:G132" si="8">F69+0.742</f>
        <v>271.79668750000002</v>
      </c>
      <c r="H69" s="9">
        <v>1172867.2929307017</v>
      </c>
      <c r="I69" s="17"/>
      <c r="J69" s="19"/>
      <c r="K69" s="15">
        <f t="shared" si="7"/>
        <v>270.94099999999997</v>
      </c>
      <c r="L69" s="15">
        <f t="shared" si="5"/>
        <v>271.654</v>
      </c>
      <c r="M69" s="16">
        <f t="shared" ref="M69:M132" si="9">(F69-K69)</f>
        <v>0.11368750000002592</v>
      </c>
      <c r="N69" s="16"/>
      <c r="O69" s="15"/>
    </row>
    <row r="70" spans="1:15" x14ac:dyDescent="0.25">
      <c r="A70" s="20"/>
      <c r="B70" s="17">
        <v>283480</v>
      </c>
      <c r="C70" s="17">
        <v>92482.675000000003</v>
      </c>
      <c r="D70" s="18">
        <v>658118.54677672498</v>
      </c>
      <c r="E70" s="18">
        <v>3370002.4913640302</v>
      </c>
      <c r="F70" s="18">
        <v>271.0546875</v>
      </c>
      <c r="G70" s="18">
        <f t="shared" si="8"/>
        <v>271.79668750000002</v>
      </c>
      <c r="H70" s="9">
        <v>1172887.2929306994</v>
      </c>
      <c r="I70" s="17"/>
      <c r="J70" s="19"/>
      <c r="K70" s="15">
        <f t="shared" si="7"/>
        <v>270.94099999999997</v>
      </c>
      <c r="L70" s="15">
        <f t="shared" si="5"/>
        <v>271.654</v>
      </c>
      <c r="M70" s="16">
        <f t="shared" si="9"/>
        <v>0.11368750000002592</v>
      </c>
      <c r="N70" s="16"/>
      <c r="O70" s="15"/>
    </row>
    <row r="71" spans="1:15" x14ac:dyDescent="0.25">
      <c r="A71" s="20"/>
      <c r="B71" s="17">
        <v>283500</v>
      </c>
      <c r="C71" s="17">
        <v>92502.676000000007</v>
      </c>
      <c r="D71" s="18">
        <v>658102.19929295604</v>
      </c>
      <c r="E71" s="18">
        <v>3370014.0152425198</v>
      </c>
      <c r="F71" s="18">
        <v>271.0546875</v>
      </c>
      <c r="G71" s="18">
        <f t="shared" si="8"/>
        <v>271.79668750000002</v>
      </c>
      <c r="H71" s="9">
        <v>1172907.294</v>
      </c>
      <c r="I71" s="17"/>
      <c r="J71" s="19"/>
      <c r="K71" s="15">
        <f t="shared" si="7"/>
        <v>270.94099999999997</v>
      </c>
      <c r="L71" s="15">
        <f t="shared" si="5"/>
        <v>271.654</v>
      </c>
      <c r="M71" s="16">
        <f t="shared" si="9"/>
        <v>0.11368750000002592</v>
      </c>
      <c r="N71" s="16"/>
      <c r="O71" s="15"/>
    </row>
    <row r="72" spans="1:15" x14ac:dyDescent="0.25">
      <c r="A72" s="20"/>
      <c r="B72" s="17">
        <v>283500</v>
      </c>
      <c r="C72" s="17">
        <v>92502.676000000007</v>
      </c>
      <c r="D72" s="18">
        <v>658102.19929295604</v>
      </c>
      <c r="E72" s="18">
        <v>3370014.0152425198</v>
      </c>
      <c r="F72" s="18">
        <v>271.0546875</v>
      </c>
      <c r="G72" s="18">
        <f t="shared" si="8"/>
        <v>271.79668750000002</v>
      </c>
      <c r="H72" s="9">
        <v>1172907.294</v>
      </c>
      <c r="I72" s="17"/>
      <c r="J72" s="19"/>
      <c r="K72" s="15">
        <f t="shared" si="7"/>
        <v>270.94099999999997</v>
      </c>
      <c r="L72" s="15">
        <f t="shared" si="5"/>
        <v>271.654</v>
      </c>
      <c r="M72" s="16">
        <f t="shared" si="9"/>
        <v>0.11368750000002592</v>
      </c>
      <c r="N72" s="16"/>
      <c r="O72" s="15"/>
    </row>
    <row r="73" spans="1:15" x14ac:dyDescent="0.25">
      <c r="A73" s="20"/>
      <c r="B73" s="17">
        <v>283520</v>
      </c>
      <c r="C73" s="17">
        <v>92522.676000000007</v>
      </c>
      <c r="D73" s="18">
        <v>658085.85262652102</v>
      </c>
      <c r="E73" s="18">
        <v>3370025.5385448402</v>
      </c>
      <c r="F73" s="18">
        <v>271.0546875</v>
      </c>
      <c r="G73" s="18">
        <f t="shared" si="8"/>
        <v>271.79668750000002</v>
      </c>
      <c r="H73" s="9">
        <v>1172927.2939999977</v>
      </c>
      <c r="I73" s="17"/>
      <c r="J73" s="19"/>
      <c r="K73" s="15">
        <f t="shared" si="7"/>
        <v>270.94099999999997</v>
      </c>
      <c r="L73" s="15">
        <f t="shared" si="5"/>
        <v>271.654</v>
      </c>
      <c r="M73" s="16">
        <f t="shared" si="9"/>
        <v>0.11368750000002592</v>
      </c>
      <c r="N73" s="16"/>
      <c r="O73" s="15"/>
    </row>
    <row r="74" spans="1:15" x14ac:dyDescent="0.25">
      <c r="A74" s="20"/>
      <c r="B74" s="17">
        <v>283540</v>
      </c>
      <c r="C74" s="17">
        <v>92542.676000000007</v>
      </c>
      <c r="D74" s="18">
        <v>658069.50762656401</v>
      </c>
      <c r="E74" s="18">
        <v>3370037.06421038</v>
      </c>
      <c r="F74" s="18">
        <v>271.0546875</v>
      </c>
      <c r="G74" s="18">
        <f t="shared" si="8"/>
        <v>271.79668750000002</v>
      </c>
      <c r="H74" s="9">
        <v>1172947.2939997409</v>
      </c>
      <c r="I74" s="17"/>
      <c r="J74" s="19"/>
      <c r="K74" s="15">
        <f t="shared" si="7"/>
        <v>270.94099999999997</v>
      </c>
      <c r="L74" s="15">
        <f t="shared" si="5"/>
        <v>271.654</v>
      </c>
      <c r="M74" s="16">
        <f t="shared" si="9"/>
        <v>0.11368750000002592</v>
      </c>
      <c r="N74" s="16"/>
      <c r="O74" s="15"/>
    </row>
    <row r="75" spans="1:15" x14ac:dyDescent="0.25">
      <c r="A75" s="20"/>
      <c r="B75" s="17">
        <v>283560</v>
      </c>
      <c r="C75" s="17">
        <v>92562.69</v>
      </c>
      <c r="D75" s="18">
        <v>658053.16669978702</v>
      </c>
      <c r="E75" s="18">
        <v>3370048.6199080399</v>
      </c>
      <c r="F75" s="18">
        <v>271.0546875</v>
      </c>
      <c r="G75" s="18">
        <f t="shared" si="8"/>
        <v>271.79668750000002</v>
      </c>
      <c r="H75" s="9">
        <v>1172967.3079957522</v>
      </c>
      <c r="I75" s="17"/>
      <c r="J75" s="19"/>
      <c r="K75" s="15">
        <f t="shared" si="7"/>
        <v>270.94099999999997</v>
      </c>
      <c r="L75" s="15">
        <f t="shared" si="5"/>
        <v>271.654</v>
      </c>
      <c r="M75" s="16">
        <f t="shared" si="9"/>
        <v>0.11368750000002592</v>
      </c>
      <c r="N75" s="16"/>
      <c r="O75" s="15"/>
    </row>
    <row r="76" spans="1:15" x14ac:dyDescent="0.25">
      <c r="A76" s="20"/>
      <c r="B76" s="17">
        <v>283580</v>
      </c>
      <c r="C76" s="17">
        <v>92582.69</v>
      </c>
      <c r="D76" s="18">
        <v>658036.87034964305</v>
      </c>
      <c r="E76" s="18">
        <v>3370060.21424304</v>
      </c>
      <c r="F76" s="18">
        <v>271.0546875</v>
      </c>
      <c r="G76" s="18">
        <f t="shared" si="8"/>
        <v>271.79668750000002</v>
      </c>
      <c r="H76" s="9">
        <v>1172987.3079865549</v>
      </c>
      <c r="I76" s="17"/>
      <c r="J76" s="19"/>
      <c r="K76" s="15">
        <f t="shared" si="7"/>
        <v>270.94099999999997</v>
      </c>
      <c r="L76" s="15">
        <f t="shared" si="5"/>
        <v>271.654</v>
      </c>
      <c r="M76" s="16">
        <f t="shared" si="9"/>
        <v>0.11368750000002592</v>
      </c>
      <c r="N76" s="16"/>
      <c r="O76" s="15"/>
    </row>
    <row r="77" spans="1:15" x14ac:dyDescent="0.25">
      <c r="A77" s="20"/>
      <c r="B77" s="17">
        <v>283600</v>
      </c>
      <c r="C77" s="17">
        <v>92602.683000000005</v>
      </c>
      <c r="D77" s="18">
        <v>658020.61689547705</v>
      </c>
      <c r="E77" s="18">
        <v>3370071.8566226601</v>
      </c>
      <c r="F77" s="18">
        <v>271.0546875</v>
      </c>
      <c r="G77" s="18">
        <f t="shared" si="8"/>
        <v>271.79668750000002</v>
      </c>
      <c r="H77" s="9">
        <v>1173007.3009797162</v>
      </c>
      <c r="I77" s="17"/>
      <c r="J77" s="19"/>
      <c r="K77" s="15">
        <f t="shared" si="7"/>
        <v>270.94099999999997</v>
      </c>
      <c r="L77" s="15">
        <f t="shared" si="5"/>
        <v>271.654</v>
      </c>
      <c r="M77" s="16">
        <f t="shared" si="9"/>
        <v>0.11368750000002592</v>
      </c>
      <c r="N77" s="16"/>
      <c r="O77" s="15"/>
    </row>
    <row r="78" spans="1:15" x14ac:dyDescent="0.25">
      <c r="A78" s="20"/>
      <c r="B78" s="17">
        <v>283620</v>
      </c>
      <c r="C78" s="17">
        <v>92622.683999999994</v>
      </c>
      <c r="D78" s="18">
        <v>658004.38072377199</v>
      </c>
      <c r="E78" s="18">
        <v>3370083.53680583</v>
      </c>
      <c r="F78" s="18">
        <v>271.0546875</v>
      </c>
      <c r="G78" s="18">
        <f t="shared" si="8"/>
        <v>271.79668750000002</v>
      </c>
      <c r="H78" s="9">
        <v>1173027.3019784542</v>
      </c>
      <c r="I78" s="17"/>
      <c r="J78" s="19"/>
      <c r="K78" s="15">
        <f t="shared" si="7"/>
        <v>270.94099999999997</v>
      </c>
      <c r="L78" s="15">
        <f t="shared" si="5"/>
        <v>271.654</v>
      </c>
      <c r="M78" s="16">
        <f t="shared" si="9"/>
        <v>0.11368750000002592</v>
      </c>
      <c r="N78" s="16"/>
      <c r="O78" s="15"/>
    </row>
    <row r="79" spans="1:15" x14ac:dyDescent="0.25">
      <c r="A79" s="20"/>
      <c r="B79" s="17">
        <v>283640</v>
      </c>
      <c r="C79" s="17">
        <v>92642.671000000002</v>
      </c>
      <c r="D79" s="18">
        <v>657988.161818436</v>
      </c>
      <c r="E79" s="18">
        <v>3370095.2170146802</v>
      </c>
      <c r="F79" s="18">
        <v>271.05156009999996</v>
      </c>
      <c r="G79" s="18">
        <f t="shared" si="8"/>
        <v>271.79356009999998</v>
      </c>
      <c r="H79" s="9">
        <v>1173047.2889784563</v>
      </c>
      <c r="I79" s="17"/>
      <c r="J79" s="19"/>
      <c r="K79" s="15">
        <f t="shared" si="7"/>
        <v>270.94099999999997</v>
      </c>
      <c r="L79" s="15">
        <f t="shared" si="5"/>
        <v>271.654</v>
      </c>
      <c r="M79" s="16">
        <f t="shared" si="9"/>
        <v>0.11056009999998651</v>
      </c>
      <c r="N79" s="16"/>
      <c r="O79" s="15"/>
    </row>
    <row r="80" spans="1:15" x14ac:dyDescent="0.25">
      <c r="A80" s="21"/>
      <c r="B80" s="21"/>
      <c r="C80" s="21">
        <v>0</v>
      </c>
      <c r="D80" s="21"/>
      <c r="E80" s="21"/>
      <c r="F80" s="21"/>
      <c r="G80" s="18">
        <f t="shared" si="8"/>
        <v>0.74199999999999999</v>
      </c>
      <c r="H80" s="13">
        <v>1173053.1100000001</v>
      </c>
      <c r="I80" s="21"/>
      <c r="J80" s="14">
        <v>-391.303</v>
      </c>
      <c r="K80" s="22">
        <v>270.94099999999997</v>
      </c>
      <c r="L80" s="15">
        <f t="shared" si="5"/>
        <v>271.654</v>
      </c>
      <c r="M80" s="16"/>
      <c r="N80" s="16"/>
      <c r="O80" s="15"/>
    </row>
    <row r="81" spans="1:15" x14ac:dyDescent="0.25">
      <c r="A81" s="20"/>
      <c r="B81" s="17">
        <v>283660</v>
      </c>
      <c r="C81" s="17">
        <v>92662.672000000006</v>
      </c>
      <c r="D81" s="18">
        <v>657971.93158999598</v>
      </c>
      <c r="E81" s="18">
        <v>3370106.9054570799</v>
      </c>
      <c r="F81" s="18">
        <v>271.01174099999997</v>
      </c>
      <c r="G81" s="18">
        <f t="shared" si="8"/>
        <v>271.75374099999999</v>
      </c>
      <c r="H81" s="9">
        <v>1173067.2899784551</v>
      </c>
      <c r="I81" s="17"/>
      <c r="J81" s="19"/>
      <c r="K81" s="15">
        <f>K80+(1/$J$80)*(H81-H80)</f>
        <v>270.90476215246252</v>
      </c>
      <c r="L81" s="15">
        <f t="shared" si="5"/>
        <v>271.61776215246255</v>
      </c>
      <c r="M81" s="16">
        <f t="shared" si="9"/>
        <v>0.10697884753744802</v>
      </c>
      <c r="N81" s="16"/>
      <c r="O81" s="15"/>
    </row>
    <row r="82" spans="1:15" x14ac:dyDescent="0.25">
      <c r="A82" s="20"/>
      <c r="B82" s="17">
        <v>283680</v>
      </c>
      <c r="C82" s="17">
        <v>92682.659</v>
      </c>
      <c r="D82" s="18">
        <v>657955.71272214898</v>
      </c>
      <c r="E82" s="18">
        <v>3370118.5857179798</v>
      </c>
      <c r="F82" s="18">
        <v>270.96139049999999</v>
      </c>
      <c r="G82" s="18">
        <f t="shared" si="8"/>
        <v>271.70339050000001</v>
      </c>
      <c r="H82" s="9">
        <v>1173087.2769784534</v>
      </c>
      <c r="I82" s="17"/>
      <c r="J82" s="19"/>
      <c r="K82" s="15">
        <f t="shared" ref="K82:K108" si="10">K81+(1/$J$80)*(H82-H81)</f>
        <v>270.85368408764231</v>
      </c>
      <c r="L82" s="15">
        <f t="shared" si="5"/>
        <v>271.56668408764233</v>
      </c>
      <c r="M82" s="16">
        <f t="shared" si="9"/>
        <v>0.10770641235768608</v>
      </c>
      <c r="N82" s="16"/>
      <c r="O82" s="15"/>
    </row>
    <row r="83" spans="1:15" x14ac:dyDescent="0.25">
      <c r="A83" s="20"/>
      <c r="B83" s="17">
        <v>283700</v>
      </c>
      <c r="C83" s="17">
        <v>92702.660999999993</v>
      </c>
      <c r="D83" s="18">
        <v>657939.48168223805</v>
      </c>
      <c r="E83" s="18">
        <v>3370130.2747447798</v>
      </c>
      <c r="F83" s="18">
        <v>270.91100399999999</v>
      </c>
      <c r="G83" s="18">
        <f t="shared" si="8"/>
        <v>271.65300400000001</v>
      </c>
      <c r="H83" s="9">
        <v>1173107.2789784565</v>
      </c>
      <c r="I83" s="17"/>
      <c r="J83" s="19"/>
      <c r="K83" s="15">
        <f t="shared" si="10"/>
        <v>270.80256768934453</v>
      </c>
      <c r="L83" s="15">
        <f t="shared" si="5"/>
        <v>271.51556768934455</v>
      </c>
      <c r="M83" s="16">
        <f t="shared" si="9"/>
        <v>0.10843631065546333</v>
      </c>
      <c r="N83" s="16"/>
      <c r="O83" s="15"/>
    </row>
    <row r="84" spans="1:15" x14ac:dyDescent="0.25">
      <c r="A84" s="20"/>
      <c r="B84" s="17">
        <v>283720</v>
      </c>
      <c r="C84" s="17">
        <v>92722.691999999995</v>
      </c>
      <c r="D84" s="18">
        <v>657923.22710967297</v>
      </c>
      <c r="E84" s="18">
        <v>3370141.9807189698</v>
      </c>
      <c r="F84" s="18">
        <v>270.86054250000001</v>
      </c>
      <c r="G84" s="18">
        <f t="shared" si="8"/>
        <v>271.60254250000003</v>
      </c>
      <c r="H84" s="9">
        <v>1173127.3099784567</v>
      </c>
      <c r="I84" s="17"/>
      <c r="J84" s="19"/>
      <c r="K84" s="15">
        <f t="shared" si="10"/>
        <v>270.75137717968784</v>
      </c>
      <c r="L84" s="15">
        <f t="shared" si="5"/>
        <v>271.46437717968786</v>
      </c>
      <c r="M84" s="16">
        <f t="shared" si="9"/>
        <v>0.1091653203121723</v>
      </c>
      <c r="N84" s="16"/>
      <c r="O84" s="15"/>
    </row>
    <row r="85" spans="1:15" x14ac:dyDescent="0.25">
      <c r="A85" s="20"/>
      <c r="B85" s="17">
        <v>283740</v>
      </c>
      <c r="C85" s="17">
        <v>92742.692999999999</v>
      </c>
      <c r="D85" s="18">
        <v>657906.99688123295</v>
      </c>
      <c r="E85" s="18">
        <v>3370153.66916137</v>
      </c>
      <c r="F85" s="18">
        <v>270.81015739999998</v>
      </c>
      <c r="G85" s="18">
        <f t="shared" si="8"/>
        <v>271.5521574</v>
      </c>
      <c r="H85" s="9">
        <v>1173147.3109784557</v>
      </c>
      <c r="I85" s="17"/>
      <c r="J85" s="19"/>
      <c r="K85" s="15">
        <f t="shared" si="10"/>
        <v>270.70026333696495</v>
      </c>
      <c r="L85" s="15">
        <f t="shared" si="5"/>
        <v>271.41326333696497</v>
      </c>
      <c r="M85" s="16">
        <f t="shared" si="9"/>
        <v>0.10989406303502847</v>
      </c>
      <c r="N85" s="16"/>
      <c r="O85" s="15"/>
    </row>
    <row r="86" spans="1:15" x14ac:dyDescent="0.25">
      <c r="A86" s="20"/>
      <c r="B86" s="17">
        <v>283760</v>
      </c>
      <c r="C86" s="17">
        <v>92762.694000000003</v>
      </c>
      <c r="D86" s="18">
        <v>657890.76665279397</v>
      </c>
      <c r="E86" s="18">
        <v>3370165.3576037702</v>
      </c>
      <c r="F86" s="18">
        <v>270.75977219999999</v>
      </c>
      <c r="G86" s="18">
        <f t="shared" si="8"/>
        <v>271.5017722</v>
      </c>
      <c r="H86" s="9">
        <v>1173167.3119784538</v>
      </c>
      <c r="I86" s="17"/>
      <c r="J86" s="19"/>
      <c r="K86" s="15">
        <f t="shared" si="10"/>
        <v>270.64914949424445</v>
      </c>
      <c r="L86" s="15">
        <f t="shared" si="5"/>
        <v>271.36214949424448</v>
      </c>
      <c r="M86" s="16">
        <f t="shared" si="9"/>
        <v>0.11062270575553157</v>
      </c>
      <c r="N86" s="16"/>
      <c r="O86" s="15"/>
    </row>
    <row r="87" spans="1:15" x14ac:dyDescent="0.25">
      <c r="A87" s="20"/>
      <c r="B87" s="17">
        <v>283780</v>
      </c>
      <c r="C87" s="17">
        <v>92782.663</v>
      </c>
      <c r="D87" s="18">
        <v>657874.56135606603</v>
      </c>
      <c r="E87" s="18">
        <v>3370177.02590757</v>
      </c>
      <c r="F87" s="18">
        <v>270.70946839999999</v>
      </c>
      <c r="G87" s="18">
        <f t="shared" si="8"/>
        <v>271.45146840000001</v>
      </c>
      <c r="H87" s="9">
        <v>1173187.2809783188</v>
      </c>
      <c r="I87" s="17"/>
      <c r="J87" s="19"/>
      <c r="K87" s="15">
        <f t="shared" si="10"/>
        <v>270.59811742992343</v>
      </c>
      <c r="L87" s="15">
        <f t="shared" si="5"/>
        <v>271.31111742992346</v>
      </c>
      <c r="M87" s="16">
        <f t="shared" si="9"/>
        <v>0.11135097007655759</v>
      </c>
      <c r="N87" s="16"/>
      <c r="O87" s="15"/>
    </row>
    <row r="88" spans="1:15" x14ac:dyDescent="0.25">
      <c r="A88" s="20"/>
      <c r="B88" s="17">
        <v>283800</v>
      </c>
      <c r="C88" s="17">
        <v>92802.664000000004</v>
      </c>
      <c r="D88" s="18">
        <v>657858.31593558902</v>
      </c>
      <c r="E88" s="18">
        <v>3370188.6932204901</v>
      </c>
      <c r="F88" s="18">
        <v>270.6590827</v>
      </c>
      <c r="G88" s="18">
        <f t="shared" si="8"/>
        <v>271.40108270000002</v>
      </c>
      <c r="H88" s="9">
        <v>1173207.2819752251</v>
      </c>
      <c r="I88" s="17"/>
      <c r="J88" s="19"/>
      <c r="K88" s="15">
        <f t="shared" si="10"/>
        <v>270.54700359510412</v>
      </c>
      <c r="L88" s="15">
        <f t="shared" si="5"/>
        <v>271.26000359510414</v>
      </c>
      <c r="M88" s="16">
        <f t="shared" si="9"/>
        <v>0.11207910489588357</v>
      </c>
      <c r="N88" s="16"/>
      <c r="O88" s="15"/>
    </row>
    <row r="89" spans="1:15" x14ac:dyDescent="0.25">
      <c r="A89" s="20"/>
      <c r="B89" s="17">
        <v>283820</v>
      </c>
      <c r="C89" s="17">
        <v>92822.702000000005</v>
      </c>
      <c r="D89" s="18">
        <v>657842.01727167401</v>
      </c>
      <c r="E89" s="18">
        <v>3370200.3497578902</v>
      </c>
      <c r="F89" s="18">
        <v>270.60860429999997</v>
      </c>
      <c r="G89" s="18">
        <f t="shared" si="8"/>
        <v>271.35060429999999</v>
      </c>
      <c r="H89" s="9">
        <v>1173227.3199718709</v>
      </c>
      <c r="I89" s="17"/>
      <c r="J89" s="19"/>
      <c r="K89" s="15">
        <f t="shared" si="10"/>
        <v>270.49579520506933</v>
      </c>
      <c r="L89" s="15">
        <f t="shared" ref="L89:L152" si="11">K89+0.713</f>
        <v>271.20879520506935</v>
      </c>
      <c r="M89" s="16">
        <f t="shared" si="9"/>
        <v>0.11280909493063973</v>
      </c>
      <c r="N89" s="16"/>
      <c r="O89" s="15"/>
    </row>
    <row r="90" spans="1:15" x14ac:dyDescent="0.25">
      <c r="A90" s="20"/>
      <c r="B90" s="17">
        <v>283840</v>
      </c>
      <c r="C90" s="17">
        <v>92842.702000000005</v>
      </c>
      <c r="D90" s="18">
        <v>657825.72625812702</v>
      </c>
      <c r="E90" s="18">
        <v>3370211.9516001702</v>
      </c>
      <c r="F90" s="18">
        <v>270.55822119999999</v>
      </c>
      <c r="G90" s="18">
        <f t="shared" si="8"/>
        <v>271.30022120000001</v>
      </c>
      <c r="H90" s="9">
        <v>1173247.3199685379</v>
      </c>
      <c r="I90" s="17"/>
      <c r="J90" s="19"/>
      <c r="K90" s="15">
        <f t="shared" si="10"/>
        <v>270.44468392642585</v>
      </c>
      <c r="L90" s="15">
        <f t="shared" si="11"/>
        <v>271.15768392642588</v>
      </c>
      <c r="M90" s="16">
        <f t="shared" si="9"/>
        <v>0.11353727357413845</v>
      </c>
      <c r="N90" s="16"/>
      <c r="O90" s="15"/>
    </row>
    <row r="91" spans="1:15" x14ac:dyDescent="0.25">
      <c r="A91" s="20"/>
      <c r="B91" s="17">
        <v>283860</v>
      </c>
      <c r="C91" s="17">
        <v>92862.680999999997</v>
      </c>
      <c r="D91" s="18">
        <v>657809.42921551596</v>
      </c>
      <c r="E91" s="18">
        <v>3370223.5087066502</v>
      </c>
      <c r="F91" s="18">
        <v>270.50789140000001</v>
      </c>
      <c r="G91" s="18">
        <f t="shared" si="8"/>
        <v>271.24989140000002</v>
      </c>
      <c r="H91" s="9">
        <v>1173267.2989652108</v>
      </c>
      <c r="I91" s="17"/>
      <c r="J91" s="19"/>
      <c r="K91" s="15">
        <f t="shared" si="10"/>
        <v>270.39362631461887</v>
      </c>
      <c r="L91" s="15">
        <f t="shared" si="11"/>
        <v>271.10662631461889</v>
      </c>
      <c r="M91" s="16">
        <f t="shared" si="9"/>
        <v>0.11426508538113467</v>
      </c>
      <c r="N91" s="16"/>
      <c r="O91" s="15"/>
    </row>
    <row r="92" spans="1:15" x14ac:dyDescent="0.25">
      <c r="A92" s="20"/>
      <c r="B92" s="17">
        <v>283880</v>
      </c>
      <c r="C92" s="17">
        <v>92882.680999999997</v>
      </c>
      <c r="D92" s="18">
        <v>657793.09195417503</v>
      </c>
      <c r="E92" s="18">
        <v>3370235.0453335</v>
      </c>
      <c r="F92" s="18">
        <v>270.45750829999997</v>
      </c>
      <c r="G92" s="18">
        <f t="shared" si="8"/>
        <v>271.19950829999999</v>
      </c>
      <c r="H92" s="9">
        <v>1173287.2989618906</v>
      </c>
      <c r="I92" s="17"/>
      <c r="J92" s="19"/>
      <c r="K92" s="15">
        <f t="shared" si="10"/>
        <v>270.34251503594265</v>
      </c>
      <c r="L92" s="15">
        <f t="shared" si="11"/>
        <v>271.05551503594268</v>
      </c>
      <c r="M92" s="16">
        <f t="shared" si="9"/>
        <v>0.11499326405731836</v>
      </c>
      <c r="N92" s="16"/>
      <c r="O92" s="15"/>
    </row>
    <row r="93" spans="1:15" x14ac:dyDescent="0.25">
      <c r="A93" s="20"/>
      <c r="B93" s="17">
        <v>283900</v>
      </c>
      <c r="C93" s="17">
        <v>92902.680999999997</v>
      </c>
      <c r="D93" s="18">
        <v>657776.73685936397</v>
      </c>
      <c r="E93" s="18">
        <v>3370246.5566692599</v>
      </c>
      <c r="F93" s="18">
        <v>270.40712579999996</v>
      </c>
      <c r="G93" s="18">
        <f t="shared" si="8"/>
        <v>271.14912579999998</v>
      </c>
      <c r="H93" s="9">
        <v>1173307.2989613221</v>
      </c>
      <c r="I93" s="17"/>
      <c r="J93" s="19"/>
      <c r="K93" s="15">
        <f t="shared" si="10"/>
        <v>270.29140375023456</v>
      </c>
      <c r="L93" s="15">
        <f t="shared" si="11"/>
        <v>271.00440375023459</v>
      </c>
      <c r="M93" s="16">
        <f t="shared" si="9"/>
        <v>0.11572204976539524</v>
      </c>
      <c r="N93" s="16"/>
      <c r="O93" s="15"/>
    </row>
    <row r="94" spans="1:15" x14ac:dyDescent="0.25">
      <c r="A94" s="20"/>
      <c r="B94" s="17">
        <v>283920</v>
      </c>
      <c r="C94" s="17">
        <v>92922.683999999994</v>
      </c>
      <c r="D94" s="18">
        <v>657760.376591607</v>
      </c>
      <c r="E94" s="18">
        <v>3370258.0658676601</v>
      </c>
      <c r="F94" s="18">
        <v>270.35673449999996</v>
      </c>
      <c r="G94" s="18">
        <f t="shared" si="8"/>
        <v>271.09873449999998</v>
      </c>
      <c r="H94" s="9">
        <v>1173327.3019613195</v>
      </c>
      <c r="I94" s="17"/>
      <c r="J94" s="19"/>
      <c r="K94" s="15">
        <f t="shared" si="10"/>
        <v>270.24028479638685</v>
      </c>
      <c r="L94" s="15">
        <f t="shared" si="11"/>
        <v>270.95328479638687</v>
      </c>
      <c r="M94" s="16">
        <f t="shared" si="9"/>
        <v>0.1164497036131138</v>
      </c>
      <c r="N94" s="16"/>
      <c r="O94" s="15"/>
    </row>
    <row r="95" spans="1:15" x14ac:dyDescent="0.25">
      <c r="A95" s="20"/>
      <c r="B95" s="17">
        <v>283940</v>
      </c>
      <c r="C95" s="17">
        <v>92942.683999999994</v>
      </c>
      <c r="D95" s="18">
        <v>657744.01877752203</v>
      </c>
      <c r="E95" s="18">
        <v>3370269.5733399498</v>
      </c>
      <c r="F95" s="18">
        <v>270.30635169999999</v>
      </c>
      <c r="G95" s="18">
        <f t="shared" si="8"/>
        <v>271.04835170000001</v>
      </c>
      <c r="H95" s="9">
        <v>1173347.301961323</v>
      </c>
      <c r="I95" s="17"/>
      <c r="J95" s="19"/>
      <c r="K95" s="15">
        <f t="shared" si="10"/>
        <v>270.1891735092168</v>
      </c>
      <c r="L95" s="15">
        <f t="shared" si="11"/>
        <v>270.90217350921682</v>
      </c>
      <c r="M95" s="16">
        <f t="shared" si="9"/>
        <v>0.1171781907831928</v>
      </c>
      <c r="N95" s="16"/>
      <c r="O95" s="15"/>
    </row>
    <row r="96" spans="1:15" x14ac:dyDescent="0.25">
      <c r="A96" s="20"/>
      <c r="B96" s="17">
        <v>283960</v>
      </c>
      <c r="C96" s="17">
        <v>92962.672000000006</v>
      </c>
      <c r="D96" s="18">
        <v>657727.67077812599</v>
      </c>
      <c r="E96" s="18">
        <v>3370281.0739077502</v>
      </c>
      <c r="F96" s="18">
        <v>270.2559996</v>
      </c>
      <c r="G96" s="18">
        <f t="shared" si="8"/>
        <v>270.99799960000001</v>
      </c>
      <c r="H96" s="9">
        <v>1173367.2899613227</v>
      </c>
      <c r="I96" s="17"/>
      <c r="J96" s="19"/>
      <c r="K96" s="15">
        <f t="shared" si="10"/>
        <v>270.13809288882885</v>
      </c>
      <c r="L96" s="15">
        <f t="shared" si="11"/>
        <v>270.85109288882887</v>
      </c>
      <c r="M96" s="16">
        <f t="shared" si="9"/>
        <v>0.11790671117114471</v>
      </c>
      <c r="N96" s="16"/>
      <c r="O96" s="15"/>
    </row>
    <row r="97" spans="1:15" x14ac:dyDescent="0.25">
      <c r="A97" s="20"/>
      <c r="B97" s="17">
        <v>283980</v>
      </c>
      <c r="C97" s="17">
        <v>92982.672000000006</v>
      </c>
      <c r="D97" s="18">
        <v>657711.31296404102</v>
      </c>
      <c r="E97" s="18">
        <v>3370292.5813800301</v>
      </c>
      <c r="F97" s="18">
        <v>270.2056169</v>
      </c>
      <c r="G97" s="18">
        <f t="shared" si="8"/>
        <v>270.94761690000001</v>
      </c>
      <c r="H97" s="9">
        <v>1173387.2899613206</v>
      </c>
      <c r="I97" s="17"/>
      <c r="J97" s="19"/>
      <c r="K97" s="15">
        <f t="shared" si="10"/>
        <v>270.08698160167313</v>
      </c>
      <c r="L97" s="15">
        <f t="shared" si="11"/>
        <v>270.79998160167315</v>
      </c>
      <c r="M97" s="16">
        <f t="shared" si="9"/>
        <v>0.11863529832686481</v>
      </c>
      <c r="N97" s="16"/>
      <c r="O97" s="15"/>
    </row>
    <row r="98" spans="1:15" x14ac:dyDescent="0.25">
      <c r="A98" s="20">
        <v>284</v>
      </c>
      <c r="B98" s="17">
        <v>284000</v>
      </c>
      <c r="C98" s="17">
        <v>93002.673999999999</v>
      </c>
      <c r="D98" s="18">
        <v>657694.95351417502</v>
      </c>
      <c r="E98" s="18">
        <v>3370304.0900030602</v>
      </c>
      <c r="F98" s="18">
        <v>270.15523409999997</v>
      </c>
      <c r="G98" s="18">
        <f t="shared" si="8"/>
        <v>270.89723409999999</v>
      </c>
      <c r="H98" s="9">
        <v>1173407.2919613197</v>
      </c>
      <c r="I98" s="17"/>
      <c r="J98" s="19"/>
      <c r="K98" s="15">
        <f t="shared" si="10"/>
        <v>270.03586520338547</v>
      </c>
      <c r="L98" s="15">
        <f t="shared" si="11"/>
        <v>270.74886520338549</v>
      </c>
      <c r="M98" s="16">
        <f t="shared" si="9"/>
        <v>0.11936889661450323</v>
      </c>
      <c r="N98" s="16"/>
      <c r="O98" s="15"/>
    </row>
    <row r="99" spans="1:15" x14ac:dyDescent="0.25">
      <c r="A99" s="20">
        <v>284</v>
      </c>
      <c r="B99" s="17">
        <v>284000</v>
      </c>
      <c r="C99" s="17">
        <v>93002.673999999999</v>
      </c>
      <c r="D99" s="18">
        <v>657694.95351417502</v>
      </c>
      <c r="E99" s="18">
        <v>3370304.0900030602</v>
      </c>
      <c r="F99" s="18">
        <v>270.15523409999997</v>
      </c>
      <c r="G99" s="18">
        <f t="shared" si="8"/>
        <v>270.89723409999999</v>
      </c>
      <c r="H99" s="9">
        <v>1173407.2919613197</v>
      </c>
      <c r="I99" s="17"/>
      <c r="J99" s="19"/>
      <c r="K99" s="15">
        <f t="shared" si="10"/>
        <v>270.03586520338547</v>
      </c>
      <c r="L99" s="15">
        <f t="shared" si="11"/>
        <v>270.74886520338549</v>
      </c>
      <c r="M99" s="16">
        <f t="shared" si="9"/>
        <v>0.11936889661450323</v>
      </c>
      <c r="N99" s="16"/>
      <c r="O99" s="15"/>
    </row>
    <row r="100" spans="1:15" x14ac:dyDescent="0.25">
      <c r="A100" s="20"/>
      <c r="B100" s="17">
        <v>284020</v>
      </c>
      <c r="C100" s="17">
        <v>93022.706999999995</v>
      </c>
      <c r="D100" s="18">
        <v>657678.56870969699</v>
      </c>
      <c r="E100" s="18">
        <v>3370315.6164626698</v>
      </c>
      <c r="F100" s="18">
        <v>270.10476349999999</v>
      </c>
      <c r="G100" s="18">
        <f t="shared" si="8"/>
        <v>270.84676350000001</v>
      </c>
      <c r="H100" s="9">
        <v>1173427.3249613177</v>
      </c>
      <c r="I100" s="17"/>
      <c r="J100" s="19"/>
      <c r="K100" s="15">
        <f t="shared" si="10"/>
        <v>269.98466958260576</v>
      </c>
      <c r="L100" s="15">
        <f t="shared" si="11"/>
        <v>270.69766958260578</v>
      </c>
      <c r="M100" s="16">
        <f t="shared" si="9"/>
        <v>0.12009391739422881</v>
      </c>
      <c r="N100" s="16"/>
      <c r="O100" s="15"/>
    </row>
    <row r="101" spans="1:15" x14ac:dyDescent="0.25">
      <c r="A101" s="20"/>
      <c r="B101" s="17">
        <v>284040</v>
      </c>
      <c r="C101" s="17">
        <v>93042.671000000002</v>
      </c>
      <c r="D101" s="18">
        <v>657662.24033967801</v>
      </c>
      <c r="E101" s="18">
        <v>3370327.1032215101</v>
      </c>
      <c r="F101" s="18">
        <v>270.0544711</v>
      </c>
      <c r="G101" s="18">
        <f t="shared" si="8"/>
        <v>270.79647110000002</v>
      </c>
      <c r="H101" s="9">
        <v>1173447.2889613209</v>
      </c>
      <c r="I101" s="17"/>
      <c r="J101" s="19"/>
      <c r="K101" s="15">
        <f t="shared" si="10"/>
        <v>269.93365029575341</v>
      </c>
      <c r="L101" s="15">
        <f t="shared" si="11"/>
        <v>270.64665029575343</v>
      </c>
      <c r="M101" s="16">
        <f t="shared" si="9"/>
        <v>0.12082080424659125</v>
      </c>
      <c r="N101" s="16"/>
      <c r="O101" s="15"/>
    </row>
    <row r="102" spans="1:15" x14ac:dyDescent="0.25">
      <c r="A102" s="20"/>
      <c r="B102" s="17">
        <v>284060</v>
      </c>
      <c r="C102" s="17">
        <v>93062.671000000002</v>
      </c>
      <c r="D102" s="18">
        <v>657645.88252559304</v>
      </c>
      <c r="E102" s="18">
        <v>3370338.61069379</v>
      </c>
      <c r="F102" s="18">
        <v>270.00408829999998</v>
      </c>
      <c r="G102" s="18">
        <f t="shared" si="8"/>
        <v>270.7460883</v>
      </c>
      <c r="H102" s="9">
        <v>1173467.2889613188</v>
      </c>
      <c r="I102" s="17"/>
      <c r="J102" s="19"/>
      <c r="K102" s="15">
        <f t="shared" si="10"/>
        <v>269.88253900859769</v>
      </c>
      <c r="L102" s="15">
        <f t="shared" si="11"/>
        <v>270.59553900859771</v>
      </c>
      <c r="M102" s="16">
        <f t="shared" si="9"/>
        <v>0.12154929140228887</v>
      </c>
      <c r="N102" s="16"/>
      <c r="O102" s="15"/>
    </row>
    <row r="103" spans="1:15" x14ac:dyDescent="0.25">
      <c r="A103" s="20"/>
      <c r="B103" s="17">
        <v>284080</v>
      </c>
      <c r="C103" s="17">
        <v>93082.683999999994</v>
      </c>
      <c r="D103" s="18">
        <v>657629.51407892897</v>
      </c>
      <c r="E103" s="18">
        <v>3370350.1256459299</v>
      </c>
      <c r="F103" s="18">
        <v>269.9536731</v>
      </c>
      <c r="G103" s="18">
        <f t="shared" si="8"/>
        <v>270.69567310000002</v>
      </c>
      <c r="H103" s="9">
        <v>1173487.3019613184</v>
      </c>
      <c r="I103" s="17"/>
      <c r="J103" s="19"/>
      <c r="K103" s="15">
        <f t="shared" si="10"/>
        <v>269.83139449910101</v>
      </c>
      <c r="L103" s="15">
        <f t="shared" si="11"/>
        <v>270.54439449910103</v>
      </c>
      <c r="M103" s="16">
        <f t="shared" si="9"/>
        <v>0.12227860089899423</v>
      </c>
      <c r="N103" s="16"/>
      <c r="O103" s="15"/>
    </row>
    <row r="104" spans="1:15" x14ac:dyDescent="0.25">
      <c r="A104" s="20"/>
      <c r="B104" s="17">
        <v>284100</v>
      </c>
      <c r="C104" s="17">
        <v>93102.683999999994</v>
      </c>
      <c r="D104" s="18">
        <v>657613.15626484505</v>
      </c>
      <c r="E104" s="18">
        <v>3370361.6331182201</v>
      </c>
      <c r="F104" s="18">
        <v>269.9032904</v>
      </c>
      <c r="G104" s="18">
        <f t="shared" si="8"/>
        <v>270.64529040000002</v>
      </c>
      <c r="H104" s="9">
        <v>1173507.3019613212</v>
      </c>
      <c r="I104" s="17"/>
      <c r="J104" s="19"/>
      <c r="K104" s="15">
        <f t="shared" si="10"/>
        <v>269.78028321193278</v>
      </c>
      <c r="L104" s="15">
        <f t="shared" si="11"/>
        <v>270.49328321193281</v>
      </c>
      <c r="M104" s="16">
        <f t="shared" si="9"/>
        <v>0.12300718806721989</v>
      </c>
      <c r="N104" s="16"/>
      <c r="O104" s="15"/>
    </row>
    <row r="105" spans="1:15" x14ac:dyDescent="0.25">
      <c r="A105" s="20"/>
      <c r="B105" s="17">
        <v>284120</v>
      </c>
      <c r="C105" s="17">
        <v>93122.687999999995</v>
      </c>
      <c r="D105" s="18">
        <v>657596.79517919698</v>
      </c>
      <c r="E105" s="18">
        <v>3370373.1428919998</v>
      </c>
      <c r="F105" s="18">
        <v>269.85289639999996</v>
      </c>
      <c r="G105" s="18">
        <f t="shared" si="8"/>
        <v>270.59489639999998</v>
      </c>
      <c r="H105" s="9">
        <v>1173527.3059613223</v>
      </c>
      <c r="I105" s="17"/>
      <c r="J105" s="19"/>
      <c r="K105" s="15">
        <f t="shared" si="10"/>
        <v>269.72916170251136</v>
      </c>
      <c r="L105" s="15">
        <f t="shared" si="11"/>
        <v>270.44216170251138</v>
      </c>
      <c r="M105" s="16">
        <f t="shared" si="9"/>
        <v>0.12373469748860089</v>
      </c>
      <c r="N105" s="16"/>
      <c r="O105" s="15"/>
    </row>
    <row r="106" spans="1:15" x14ac:dyDescent="0.25">
      <c r="A106" s="20"/>
      <c r="B106" s="17">
        <v>284140</v>
      </c>
      <c r="C106" s="17">
        <v>93142.687999999995</v>
      </c>
      <c r="D106" s="18">
        <v>657580.43736511201</v>
      </c>
      <c r="E106" s="18">
        <v>3370384.6503642802</v>
      </c>
      <c r="F106" s="18">
        <v>269.8025136</v>
      </c>
      <c r="G106" s="18">
        <f t="shared" si="8"/>
        <v>270.54451360000002</v>
      </c>
      <c r="H106" s="9">
        <v>1173547.3059613204</v>
      </c>
      <c r="I106" s="17"/>
      <c r="J106" s="19"/>
      <c r="K106" s="15">
        <f t="shared" si="10"/>
        <v>269.67805041535502</v>
      </c>
      <c r="L106" s="15">
        <f t="shared" si="11"/>
        <v>270.39105041535504</v>
      </c>
      <c r="M106" s="16">
        <f t="shared" si="9"/>
        <v>0.12446318464498063</v>
      </c>
      <c r="N106" s="16"/>
      <c r="O106" s="15"/>
    </row>
    <row r="107" spans="1:15" x14ac:dyDescent="0.25">
      <c r="A107" s="20"/>
      <c r="B107" s="17">
        <v>284160</v>
      </c>
      <c r="C107" s="17">
        <v>93162.683999999994</v>
      </c>
      <c r="D107" s="18">
        <v>657564.08282259002</v>
      </c>
      <c r="E107" s="18">
        <v>3370396.1555350702</v>
      </c>
      <c r="F107" s="18">
        <v>269.75214249999999</v>
      </c>
      <c r="G107" s="18">
        <f t="shared" si="8"/>
        <v>270.49414250000001</v>
      </c>
      <c r="H107" s="9">
        <v>1173567.3019613207</v>
      </c>
      <c r="I107" s="17"/>
      <c r="J107" s="19"/>
      <c r="K107" s="15">
        <f t="shared" si="10"/>
        <v>269.62694935045067</v>
      </c>
      <c r="L107" s="15">
        <f t="shared" si="11"/>
        <v>270.33994935045069</v>
      </c>
      <c r="M107" s="16">
        <f t="shared" si="9"/>
        <v>0.12519314954931815</v>
      </c>
      <c r="N107" s="16"/>
      <c r="O107" s="15"/>
    </row>
    <row r="108" spans="1:15" x14ac:dyDescent="0.25">
      <c r="A108" s="20"/>
      <c r="B108" s="17">
        <v>284180</v>
      </c>
      <c r="C108" s="17">
        <v>93182.683999999994</v>
      </c>
      <c r="D108" s="18">
        <v>657547.72500850598</v>
      </c>
      <c r="E108" s="18">
        <v>3370407.6630073502</v>
      </c>
      <c r="F108" s="18">
        <v>269.70177619999998</v>
      </c>
      <c r="G108" s="18">
        <f t="shared" si="8"/>
        <v>270.4437762</v>
      </c>
      <c r="H108" s="9">
        <v>1173587.3019613177</v>
      </c>
      <c r="I108" s="17"/>
      <c r="J108" s="19"/>
      <c r="K108" s="15">
        <f t="shared" si="10"/>
        <v>269.57583806329728</v>
      </c>
      <c r="L108" s="15">
        <f t="shared" si="11"/>
        <v>270.28883806329731</v>
      </c>
      <c r="M108" s="16">
        <f t="shared" si="9"/>
        <v>0.12593813670270038</v>
      </c>
      <c r="N108" s="16"/>
      <c r="O108" s="15"/>
    </row>
    <row r="109" spans="1:15" x14ac:dyDescent="0.25">
      <c r="A109" s="21"/>
      <c r="B109" s="21"/>
      <c r="C109" s="21">
        <v>0</v>
      </c>
      <c r="D109" s="21"/>
      <c r="E109" s="21"/>
      <c r="F109" s="21"/>
      <c r="G109" s="18">
        <f t="shared" si="8"/>
        <v>0.74199999999999999</v>
      </c>
      <c r="H109" s="13">
        <v>1173594.2820000001</v>
      </c>
      <c r="I109" s="21"/>
      <c r="J109" s="14">
        <v>1343.4749999999999</v>
      </c>
      <c r="K109" s="22">
        <v>269.55799999999999</v>
      </c>
      <c r="L109" s="15">
        <f t="shared" si="11"/>
        <v>270.27100000000002</v>
      </c>
      <c r="M109" s="16"/>
      <c r="N109" s="16"/>
      <c r="O109" s="15"/>
    </row>
    <row r="110" spans="1:15" x14ac:dyDescent="0.25">
      <c r="A110" s="20"/>
      <c r="B110" s="17">
        <v>284200</v>
      </c>
      <c r="C110" s="17">
        <v>93202.695000000007</v>
      </c>
      <c r="D110" s="18">
        <v>657531.35819762305</v>
      </c>
      <c r="E110" s="18">
        <v>3370419.1768087498</v>
      </c>
      <c r="F110" s="18">
        <v>269.68558459999997</v>
      </c>
      <c r="G110" s="18">
        <f t="shared" si="8"/>
        <v>270.42758459999999</v>
      </c>
      <c r="H110" s="9">
        <v>1173607.3129613213</v>
      </c>
      <c r="I110" s="17"/>
      <c r="J110" s="19"/>
      <c r="K110" s="15">
        <f>K109+(1/$J$109)*(H110-H109)</f>
        <v>269.56769944459046</v>
      </c>
      <c r="L110" s="15">
        <f t="shared" si="11"/>
        <v>270.28069944459048</v>
      </c>
      <c r="M110" s="16">
        <f t="shared" si="9"/>
        <v>0.11788515540951039</v>
      </c>
      <c r="N110" s="16"/>
      <c r="O110" s="15"/>
    </row>
    <row r="111" spans="1:15" x14ac:dyDescent="0.25">
      <c r="A111" s="20"/>
      <c r="B111" s="17">
        <v>284220</v>
      </c>
      <c r="C111" s="17">
        <v>93222.695000000007</v>
      </c>
      <c r="D111" s="18">
        <v>657515.00038353796</v>
      </c>
      <c r="E111" s="18">
        <v>3370430.6842810302</v>
      </c>
      <c r="F111" s="18">
        <v>269.70065969999996</v>
      </c>
      <c r="G111" s="18">
        <f t="shared" si="8"/>
        <v>270.44265969999998</v>
      </c>
      <c r="H111" s="9">
        <v>1173627.3129613195</v>
      </c>
      <c r="I111" s="17"/>
      <c r="J111" s="19"/>
      <c r="K111" s="15">
        <f t="shared" ref="K111:K174" si="12">K110+(1/$J$109)*(H111-H110)</f>
        <v>269.5825862121136</v>
      </c>
      <c r="L111" s="15">
        <f t="shared" si="11"/>
        <v>270.29558621211362</v>
      </c>
      <c r="M111" s="16">
        <f t="shared" si="9"/>
        <v>0.11807348788636318</v>
      </c>
      <c r="N111" s="16"/>
      <c r="O111" s="15"/>
    </row>
    <row r="112" spans="1:15" x14ac:dyDescent="0.25">
      <c r="A112" s="20"/>
      <c r="B112" s="17">
        <v>284240</v>
      </c>
      <c r="C112" s="17">
        <v>93242.679000000004</v>
      </c>
      <c r="D112" s="18">
        <v>657498.65565570502</v>
      </c>
      <c r="E112" s="18">
        <v>3370442.1825473402</v>
      </c>
      <c r="F112" s="18">
        <v>269.71572279999998</v>
      </c>
      <c r="G112" s="18">
        <f t="shared" si="8"/>
        <v>270.4577228</v>
      </c>
      <c r="H112" s="9">
        <v>1173647.2969613213</v>
      </c>
      <c r="I112" s="17"/>
      <c r="J112" s="19"/>
      <c r="K112" s="15">
        <f t="shared" si="12"/>
        <v>269.59746107022545</v>
      </c>
      <c r="L112" s="15">
        <f t="shared" si="11"/>
        <v>270.31046107022547</v>
      </c>
      <c r="M112" s="16">
        <f t="shared" si="9"/>
        <v>0.11826172977453098</v>
      </c>
      <c r="N112" s="16"/>
      <c r="O112" s="15"/>
    </row>
    <row r="113" spans="1:15" x14ac:dyDescent="0.25">
      <c r="A113" s="20"/>
      <c r="B113" s="17">
        <v>284260</v>
      </c>
      <c r="C113" s="17">
        <v>93262.679000000004</v>
      </c>
      <c r="D113" s="18">
        <v>657482.29784162005</v>
      </c>
      <c r="E113" s="18">
        <v>3370453.6900196201</v>
      </c>
      <c r="F113" s="18">
        <v>269.73079789999997</v>
      </c>
      <c r="G113" s="18">
        <f t="shared" si="8"/>
        <v>270.47279789999999</v>
      </c>
      <c r="H113" s="9">
        <v>1173667.2969613192</v>
      </c>
      <c r="I113" s="17"/>
      <c r="J113" s="19"/>
      <c r="K113" s="15">
        <f t="shared" si="12"/>
        <v>269.61234783774842</v>
      </c>
      <c r="L113" s="15">
        <f t="shared" si="11"/>
        <v>270.32534783774844</v>
      </c>
      <c r="M113" s="16">
        <f t="shared" si="9"/>
        <v>0.1184500622515543</v>
      </c>
      <c r="N113" s="16"/>
      <c r="O113" s="15"/>
    </row>
    <row r="114" spans="1:15" x14ac:dyDescent="0.25">
      <c r="A114" s="20"/>
      <c r="B114" s="17">
        <v>284280</v>
      </c>
      <c r="C114" s="17">
        <v>93282.688999999998</v>
      </c>
      <c r="D114" s="18">
        <v>657465.93184862798</v>
      </c>
      <c r="E114" s="18">
        <v>3370465.2032456398</v>
      </c>
      <c r="F114" s="18">
        <v>269.7458805</v>
      </c>
      <c r="G114" s="18">
        <f t="shared" si="8"/>
        <v>270.48788050000002</v>
      </c>
      <c r="H114" s="9">
        <v>1173687.3069613192</v>
      </c>
      <c r="I114" s="17"/>
      <c r="J114" s="19"/>
      <c r="K114" s="15">
        <f t="shared" si="12"/>
        <v>269.62724204865668</v>
      </c>
      <c r="L114" s="15">
        <f t="shared" si="11"/>
        <v>270.34024204865671</v>
      </c>
      <c r="M114" s="16">
        <f t="shared" si="9"/>
        <v>0.11863845134331541</v>
      </c>
      <c r="N114" s="16"/>
      <c r="O114" s="15"/>
    </row>
    <row r="115" spans="1:15" x14ac:dyDescent="0.25">
      <c r="A115" s="20"/>
      <c r="B115" s="17">
        <v>284300</v>
      </c>
      <c r="C115" s="17">
        <v>93302.688999999998</v>
      </c>
      <c r="D115" s="18">
        <v>657449.57403454406</v>
      </c>
      <c r="E115" s="18">
        <v>3370476.71071793</v>
      </c>
      <c r="F115" s="18">
        <v>269.76095569999995</v>
      </c>
      <c r="G115" s="18">
        <f t="shared" si="8"/>
        <v>270.50295569999997</v>
      </c>
      <c r="H115" s="9">
        <v>1173707.306961322</v>
      </c>
      <c r="I115" s="17"/>
      <c r="J115" s="19"/>
      <c r="K115" s="15">
        <f t="shared" si="12"/>
        <v>269.64212881618329</v>
      </c>
      <c r="L115" s="15">
        <f t="shared" si="11"/>
        <v>270.35512881618331</v>
      </c>
      <c r="M115" s="16">
        <f t="shared" si="9"/>
        <v>0.1188268838166664</v>
      </c>
      <c r="N115" s="16"/>
      <c r="O115" s="15"/>
    </row>
    <row r="116" spans="1:15" x14ac:dyDescent="0.25">
      <c r="A116" s="20"/>
      <c r="B116" s="17">
        <v>284320</v>
      </c>
      <c r="C116" s="17">
        <v>93322.68</v>
      </c>
      <c r="D116" s="18">
        <v>657433.22358147497</v>
      </c>
      <c r="E116" s="18">
        <v>3370488.2130118501</v>
      </c>
      <c r="F116" s="18">
        <v>269.77602379999996</v>
      </c>
      <c r="G116" s="18">
        <f t="shared" si="8"/>
        <v>270.51802379999998</v>
      </c>
      <c r="H116" s="9">
        <v>1173727.2979613217</v>
      </c>
      <c r="I116" s="17"/>
      <c r="J116" s="19"/>
      <c r="K116" s="15">
        <f t="shared" si="12"/>
        <v>269.65700888466216</v>
      </c>
      <c r="L116" s="15">
        <f t="shared" si="11"/>
        <v>270.37000888466218</v>
      </c>
      <c r="M116" s="16">
        <f t="shared" si="9"/>
        <v>0.11901491533780018</v>
      </c>
      <c r="N116" s="16"/>
      <c r="O116" s="15"/>
    </row>
    <row r="117" spans="1:15" x14ac:dyDescent="0.25">
      <c r="A117" s="20"/>
      <c r="B117" s="17">
        <v>284340</v>
      </c>
      <c r="C117" s="17">
        <v>93342.68</v>
      </c>
      <c r="D117" s="18">
        <v>657416.86576739</v>
      </c>
      <c r="E117" s="18">
        <v>3370499.7204841301</v>
      </c>
      <c r="F117" s="18">
        <v>269.79109899999997</v>
      </c>
      <c r="G117" s="18">
        <f t="shared" si="8"/>
        <v>270.53309899999999</v>
      </c>
      <c r="H117" s="9">
        <v>1173747.2979613196</v>
      </c>
      <c r="I117" s="17"/>
      <c r="J117" s="19"/>
      <c r="K117" s="15">
        <f t="shared" si="12"/>
        <v>269.67189565218513</v>
      </c>
      <c r="L117" s="15">
        <f t="shared" si="11"/>
        <v>270.38489565218515</v>
      </c>
      <c r="M117" s="16">
        <f t="shared" si="9"/>
        <v>0.11920334781484598</v>
      </c>
      <c r="N117" s="16"/>
      <c r="O117" s="15"/>
    </row>
    <row r="118" spans="1:15" x14ac:dyDescent="0.25">
      <c r="A118" s="20"/>
      <c r="B118" s="17">
        <v>284360</v>
      </c>
      <c r="C118" s="17">
        <v>93362.695999999996</v>
      </c>
      <c r="D118" s="18">
        <v>657400.49486705405</v>
      </c>
      <c r="E118" s="18">
        <v>3370511.2371623898</v>
      </c>
      <c r="F118" s="18">
        <v>269.80618649999997</v>
      </c>
      <c r="G118" s="18">
        <f t="shared" si="8"/>
        <v>270.54818649999999</v>
      </c>
      <c r="H118" s="9">
        <v>1173767.3139613182</v>
      </c>
      <c r="I118" s="17"/>
      <c r="J118" s="19"/>
      <c r="K118" s="15">
        <f t="shared" si="12"/>
        <v>269.68679432912268</v>
      </c>
      <c r="L118" s="15">
        <f t="shared" si="11"/>
        <v>270.3997943291227</v>
      </c>
      <c r="M118" s="16">
        <f t="shared" si="9"/>
        <v>0.11939217087729048</v>
      </c>
      <c r="N118" s="16"/>
      <c r="O118" s="15"/>
    </row>
    <row r="119" spans="1:15" x14ac:dyDescent="0.25">
      <c r="A119" s="20"/>
      <c r="B119" s="17">
        <v>284380</v>
      </c>
      <c r="C119" s="17">
        <v>93382.695999999996</v>
      </c>
      <c r="D119" s="18">
        <v>657384.13705297001</v>
      </c>
      <c r="E119" s="18">
        <v>3370522.74463468</v>
      </c>
      <c r="F119" s="18">
        <v>269.82126159999996</v>
      </c>
      <c r="G119" s="18">
        <f t="shared" si="8"/>
        <v>270.56326159999998</v>
      </c>
      <c r="H119" s="9">
        <v>1173787.3139613213</v>
      </c>
      <c r="I119" s="17"/>
      <c r="J119" s="19"/>
      <c r="K119" s="15">
        <f t="shared" si="12"/>
        <v>269.70168109664945</v>
      </c>
      <c r="L119" s="15">
        <f t="shared" si="11"/>
        <v>270.41468109664947</v>
      </c>
      <c r="M119" s="16">
        <f t="shared" si="9"/>
        <v>0.1195805033505053</v>
      </c>
      <c r="N119" s="16"/>
      <c r="O119" s="15"/>
    </row>
    <row r="120" spans="1:15" x14ac:dyDescent="0.25">
      <c r="A120" s="20"/>
      <c r="B120" s="17">
        <v>284400</v>
      </c>
      <c r="C120" s="17">
        <v>93402.673999999999</v>
      </c>
      <c r="D120" s="18">
        <v>657367.79723248002</v>
      </c>
      <c r="E120" s="18">
        <v>3370534.2394487401</v>
      </c>
      <c r="F120" s="18">
        <v>269.83632019999999</v>
      </c>
      <c r="G120" s="18">
        <f t="shared" si="8"/>
        <v>270.57832020000001</v>
      </c>
      <c r="H120" s="9">
        <v>1173807.2919613193</v>
      </c>
      <c r="I120" s="17"/>
      <c r="J120" s="19"/>
      <c r="K120" s="15">
        <f t="shared" si="12"/>
        <v>269.71655148872821</v>
      </c>
      <c r="L120" s="15">
        <f t="shared" si="11"/>
        <v>270.42955148872824</v>
      </c>
      <c r="M120" s="16">
        <f t="shared" si="9"/>
        <v>0.11976871127177446</v>
      </c>
      <c r="N120" s="16"/>
      <c r="O120" s="15"/>
    </row>
    <row r="121" spans="1:15" x14ac:dyDescent="0.25">
      <c r="A121" s="20"/>
      <c r="B121" s="17">
        <v>284420</v>
      </c>
      <c r="C121" s="17">
        <v>93422.673999999999</v>
      </c>
      <c r="D121" s="18">
        <v>657351.43941839598</v>
      </c>
      <c r="E121" s="18">
        <v>3370545.7469210299</v>
      </c>
      <c r="F121" s="18">
        <v>269.8513954</v>
      </c>
      <c r="G121" s="18">
        <f t="shared" si="8"/>
        <v>270.59339540000002</v>
      </c>
      <c r="H121" s="9">
        <v>1173827.2919613218</v>
      </c>
      <c r="I121" s="17"/>
      <c r="J121" s="19"/>
      <c r="K121" s="15">
        <f t="shared" si="12"/>
        <v>269.73143825625465</v>
      </c>
      <c r="L121" s="15">
        <f t="shared" si="11"/>
        <v>270.44443825625467</v>
      </c>
      <c r="M121" s="16">
        <f t="shared" si="9"/>
        <v>0.11995714374535282</v>
      </c>
      <c r="N121" s="16"/>
      <c r="O121" s="15"/>
    </row>
    <row r="122" spans="1:15" x14ac:dyDescent="0.25">
      <c r="A122" s="20"/>
      <c r="B122" s="23">
        <v>284440</v>
      </c>
      <c r="C122" s="17">
        <v>93442.673999999999</v>
      </c>
      <c r="D122" s="24">
        <v>657335.08160431101</v>
      </c>
      <c r="E122" s="24">
        <v>3370557.2543933098</v>
      </c>
      <c r="F122" s="25">
        <v>269.86647049999999</v>
      </c>
      <c r="G122" s="18">
        <f t="shared" si="8"/>
        <v>270.60847050000001</v>
      </c>
      <c r="H122" s="9">
        <v>1173847.2919613197</v>
      </c>
      <c r="I122" s="17"/>
      <c r="J122" s="19"/>
      <c r="K122" s="15">
        <f t="shared" si="12"/>
        <v>269.74632502377762</v>
      </c>
      <c r="L122" s="15">
        <f t="shared" si="11"/>
        <v>270.45932502377764</v>
      </c>
      <c r="M122" s="16">
        <f t="shared" si="9"/>
        <v>0.12014547622237615</v>
      </c>
      <c r="N122" s="16"/>
      <c r="O122" s="15"/>
    </row>
    <row r="123" spans="1:15" x14ac:dyDescent="0.25">
      <c r="A123" s="20"/>
      <c r="B123" s="23">
        <v>284460</v>
      </c>
      <c r="C123" s="17">
        <v>93462.68</v>
      </c>
      <c r="D123" s="24">
        <v>657318.71888288204</v>
      </c>
      <c r="E123" s="24">
        <v>3370568.76531784</v>
      </c>
      <c r="F123" s="25">
        <v>269.88154959999997</v>
      </c>
      <c r="G123" s="18">
        <f t="shared" si="8"/>
        <v>270.62354959999999</v>
      </c>
      <c r="H123" s="9">
        <v>1173867.2979613224</v>
      </c>
      <c r="I123" s="17"/>
      <c r="J123" s="19"/>
      <c r="K123" s="15">
        <f t="shared" si="12"/>
        <v>269.76121625733435</v>
      </c>
      <c r="L123" s="15">
        <f t="shared" si="11"/>
        <v>270.47421625733438</v>
      </c>
      <c r="M123" s="16">
        <f t="shared" si="9"/>
        <v>0.12033334266561724</v>
      </c>
      <c r="N123" s="16"/>
      <c r="O123" s="15"/>
    </row>
    <row r="124" spans="1:15" x14ac:dyDescent="0.25">
      <c r="A124" s="20"/>
      <c r="B124" s="23">
        <v>284480</v>
      </c>
      <c r="C124" s="17">
        <v>93482.68</v>
      </c>
      <c r="D124" s="24">
        <v>657302.36106879695</v>
      </c>
      <c r="E124" s="24">
        <v>3370580.27279012</v>
      </c>
      <c r="F124" s="25">
        <v>269.89662479999998</v>
      </c>
      <c r="G124" s="18">
        <f t="shared" si="8"/>
        <v>270.6386248</v>
      </c>
      <c r="H124" s="9">
        <v>1173887.2979613203</v>
      </c>
      <c r="I124" s="17"/>
      <c r="J124" s="19"/>
      <c r="K124" s="15">
        <f t="shared" si="12"/>
        <v>269.77610302485732</v>
      </c>
      <c r="L124" s="15">
        <f t="shared" si="11"/>
        <v>270.48910302485734</v>
      </c>
      <c r="M124" s="16">
        <f t="shared" si="9"/>
        <v>0.12052177514266305</v>
      </c>
      <c r="N124" s="16"/>
      <c r="O124" s="15"/>
    </row>
    <row r="125" spans="1:15" x14ac:dyDescent="0.25">
      <c r="A125" s="20"/>
      <c r="B125" s="23">
        <v>284500</v>
      </c>
      <c r="C125" s="17">
        <v>93502.676000000007</v>
      </c>
      <c r="D125" s="24">
        <v>657286.00652627496</v>
      </c>
      <c r="E125" s="24">
        <v>3370591.77796091</v>
      </c>
      <c r="F125" s="25">
        <v>269.91169739999998</v>
      </c>
      <c r="G125" s="18">
        <f t="shared" si="8"/>
        <v>270.6536974</v>
      </c>
      <c r="H125" s="9">
        <v>1173907.2939613205</v>
      </c>
      <c r="I125" s="17"/>
      <c r="J125" s="19"/>
      <c r="K125" s="15">
        <f t="shared" si="12"/>
        <v>269.79098681502853</v>
      </c>
      <c r="L125" s="15">
        <f t="shared" si="11"/>
        <v>270.50398681502855</v>
      </c>
      <c r="M125" s="16">
        <f t="shared" si="9"/>
        <v>0.12071058497144804</v>
      </c>
      <c r="N125" s="16"/>
      <c r="O125" s="15"/>
    </row>
    <row r="126" spans="1:15" x14ac:dyDescent="0.25">
      <c r="A126" s="20"/>
      <c r="B126" s="23">
        <v>284500</v>
      </c>
      <c r="C126" s="26">
        <v>93502.676000000007</v>
      </c>
      <c r="D126" s="24">
        <v>657286.00652627496</v>
      </c>
      <c r="E126" s="24">
        <v>3370591.77796091</v>
      </c>
      <c r="F126" s="25">
        <v>269.91169739999998</v>
      </c>
      <c r="G126" s="18">
        <f t="shared" si="8"/>
        <v>270.6536974</v>
      </c>
      <c r="H126" s="9">
        <v>1173907.2939613205</v>
      </c>
      <c r="I126" s="17"/>
      <c r="J126" s="19"/>
      <c r="K126" s="15">
        <f t="shared" si="12"/>
        <v>269.79098681502853</v>
      </c>
      <c r="L126" s="15">
        <f t="shared" si="11"/>
        <v>270.50398681502855</v>
      </c>
      <c r="M126" s="16">
        <f t="shared" si="9"/>
        <v>0.12071058497144804</v>
      </c>
      <c r="N126" s="16"/>
      <c r="O126" s="15"/>
    </row>
    <row r="127" spans="1:15" x14ac:dyDescent="0.25">
      <c r="A127" s="20"/>
      <c r="B127" s="23">
        <v>284520</v>
      </c>
      <c r="C127" s="17">
        <v>93522.675000000003</v>
      </c>
      <c r="D127" s="24">
        <v>657269.64871218998</v>
      </c>
      <c r="E127" s="24">
        <v>3370603.2854332002</v>
      </c>
      <c r="F127" s="24">
        <v>269.92677249999997</v>
      </c>
      <c r="G127" s="18">
        <f t="shared" si="8"/>
        <v>270.66877249999999</v>
      </c>
      <c r="H127" s="9">
        <v>1173927.2939613243</v>
      </c>
      <c r="I127" s="17"/>
      <c r="J127" s="19"/>
      <c r="K127" s="15">
        <f t="shared" si="12"/>
        <v>269.80587358255582</v>
      </c>
      <c r="L127" s="15">
        <f t="shared" si="11"/>
        <v>270.51887358255584</v>
      </c>
      <c r="M127" s="16">
        <f t="shared" si="9"/>
        <v>0.12089891744415127</v>
      </c>
      <c r="N127" s="16"/>
      <c r="O127" s="15"/>
    </row>
    <row r="128" spans="1:15" x14ac:dyDescent="0.25">
      <c r="A128" s="20"/>
      <c r="B128" s="23">
        <v>284540</v>
      </c>
      <c r="C128" s="17">
        <v>93542.691000000006</v>
      </c>
      <c r="D128" s="24">
        <v>657253.27781185403</v>
      </c>
      <c r="E128" s="24">
        <v>3370614.8021114599</v>
      </c>
      <c r="F128" s="24">
        <v>269.94185970000001</v>
      </c>
      <c r="G128" s="18">
        <f t="shared" si="8"/>
        <v>270.68385970000003</v>
      </c>
      <c r="H128" s="9">
        <v>1173947.3099613229</v>
      </c>
      <c r="I128" s="17"/>
      <c r="J128" s="19"/>
      <c r="K128" s="15">
        <f t="shared" si="12"/>
        <v>269.82077225949337</v>
      </c>
      <c r="L128" s="15">
        <f t="shared" si="11"/>
        <v>270.53377225949339</v>
      </c>
      <c r="M128" s="16">
        <f t="shared" si="9"/>
        <v>0.121087440506642</v>
      </c>
      <c r="N128" s="16"/>
      <c r="O128" s="15"/>
    </row>
    <row r="129" spans="1:15" x14ac:dyDescent="0.25">
      <c r="A129" s="20"/>
      <c r="B129" s="23">
        <v>284560</v>
      </c>
      <c r="C129" s="17">
        <v>93562.691000000006</v>
      </c>
      <c r="D129" s="24">
        <v>657236.91999776999</v>
      </c>
      <c r="E129" s="24">
        <v>3370626.3095837398</v>
      </c>
      <c r="F129" s="24">
        <v>269.9569348</v>
      </c>
      <c r="G129" s="18">
        <f t="shared" si="8"/>
        <v>270.69893480000002</v>
      </c>
      <c r="H129" s="9">
        <v>1173967.3099613199</v>
      </c>
      <c r="I129" s="17"/>
      <c r="J129" s="19"/>
      <c r="K129" s="15">
        <f t="shared" si="12"/>
        <v>269.83565902701565</v>
      </c>
      <c r="L129" s="15">
        <f t="shared" si="11"/>
        <v>270.54865902701567</v>
      </c>
      <c r="M129" s="16">
        <f t="shared" si="9"/>
        <v>0.12127577298434744</v>
      </c>
      <c r="N129" s="16"/>
      <c r="O129" s="15"/>
    </row>
    <row r="130" spans="1:15" x14ac:dyDescent="0.25">
      <c r="A130" s="20"/>
      <c r="B130" s="23">
        <v>284580</v>
      </c>
      <c r="C130" s="17">
        <v>93582.672999999995</v>
      </c>
      <c r="D130" s="24">
        <v>657220.57690571796</v>
      </c>
      <c r="E130" s="24">
        <v>3370637.8066993002</v>
      </c>
      <c r="F130" s="24">
        <v>269.97199649999999</v>
      </c>
      <c r="G130" s="18">
        <f t="shared" si="8"/>
        <v>270.71399650000001</v>
      </c>
      <c r="H130" s="9">
        <v>1173987.2919613207</v>
      </c>
      <c r="I130" s="17"/>
      <c r="J130" s="19"/>
      <c r="K130" s="15">
        <f t="shared" si="12"/>
        <v>269.85053239644998</v>
      </c>
      <c r="L130" s="15">
        <f t="shared" si="11"/>
        <v>270.56353239645</v>
      </c>
      <c r="M130" s="16">
        <f t="shared" si="9"/>
        <v>0.1214641035500108</v>
      </c>
      <c r="N130" s="16"/>
      <c r="O130" s="15"/>
    </row>
    <row r="131" spans="1:15" x14ac:dyDescent="0.25">
      <c r="A131" s="20"/>
      <c r="B131" s="23">
        <v>284600</v>
      </c>
      <c r="C131" s="17">
        <v>93602.672999999995</v>
      </c>
      <c r="D131" s="24">
        <v>657204.21909163299</v>
      </c>
      <c r="E131" s="24">
        <v>3370649.3141715801</v>
      </c>
      <c r="F131" s="24">
        <v>269.98707159999998</v>
      </c>
      <c r="G131" s="18">
        <f t="shared" si="8"/>
        <v>270.7290716</v>
      </c>
      <c r="H131" s="9">
        <v>1174007.2919613186</v>
      </c>
      <c r="I131" s="17"/>
      <c r="J131" s="19"/>
      <c r="K131" s="15">
        <f t="shared" si="12"/>
        <v>269.86541916397294</v>
      </c>
      <c r="L131" s="15">
        <f t="shared" si="11"/>
        <v>270.57841916397297</v>
      </c>
      <c r="M131" s="16">
        <f t="shared" si="9"/>
        <v>0.12165243602703413</v>
      </c>
      <c r="N131" s="16"/>
      <c r="O131" s="15"/>
    </row>
    <row r="132" spans="1:15" x14ac:dyDescent="0.25">
      <c r="A132" s="20"/>
      <c r="B132" s="23">
        <v>284620</v>
      </c>
      <c r="C132" s="17">
        <v>93622.676999999996</v>
      </c>
      <c r="D132" s="24">
        <v>657187.85800598504</v>
      </c>
      <c r="E132" s="24">
        <v>3370660.8239453598</v>
      </c>
      <c r="F132" s="24">
        <v>270.0021496</v>
      </c>
      <c r="G132" s="18">
        <f t="shared" si="8"/>
        <v>270.74414960000001</v>
      </c>
      <c r="H132" s="9">
        <v>1174027.2959613195</v>
      </c>
      <c r="I132" s="17"/>
      <c r="J132" s="19"/>
      <c r="K132" s="15">
        <f t="shared" si="12"/>
        <v>269.88030890885165</v>
      </c>
      <c r="L132" s="15">
        <f t="shared" si="11"/>
        <v>270.59330890885167</v>
      </c>
      <c r="M132" s="16">
        <f t="shared" si="9"/>
        <v>0.12184069114834983</v>
      </c>
      <c r="N132" s="16"/>
      <c r="O132" s="15"/>
    </row>
    <row r="133" spans="1:15" x14ac:dyDescent="0.25">
      <c r="A133" s="20"/>
      <c r="B133" s="23">
        <v>284640</v>
      </c>
      <c r="C133" s="17">
        <v>93642.676999999996</v>
      </c>
      <c r="D133" s="24">
        <v>657171.500191901</v>
      </c>
      <c r="E133" s="24">
        <v>3370672.33141765</v>
      </c>
      <c r="F133" s="24">
        <v>270.01722469999999</v>
      </c>
      <c r="G133" s="18">
        <f t="shared" ref="G133:G196" si="13">F133+0.742</f>
        <v>270.7592247</v>
      </c>
      <c r="H133" s="9">
        <v>1174047.2959613225</v>
      </c>
      <c r="I133" s="17"/>
      <c r="J133" s="19"/>
      <c r="K133" s="15">
        <f t="shared" si="12"/>
        <v>269.89519567637842</v>
      </c>
      <c r="L133" s="15">
        <f t="shared" si="11"/>
        <v>270.60819567637844</v>
      </c>
      <c r="M133" s="16">
        <f t="shared" ref="M133:M196" si="14">(F133-K133)</f>
        <v>0.12202902362156465</v>
      </c>
      <c r="N133" s="16"/>
      <c r="O133" s="15"/>
    </row>
    <row r="134" spans="1:15" x14ac:dyDescent="0.25">
      <c r="A134" s="20"/>
      <c r="B134" s="23">
        <v>284660</v>
      </c>
      <c r="C134" s="17">
        <v>93662.675000000003</v>
      </c>
      <c r="D134" s="24">
        <v>657155.14401359705</v>
      </c>
      <c r="E134" s="24">
        <v>3370683.8377391798</v>
      </c>
      <c r="F134" s="24">
        <v>270.03229829999998</v>
      </c>
      <c r="G134" s="18">
        <f t="shared" si="13"/>
        <v>270.7742983</v>
      </c>
      <c r="H134" s="9">
        <v>1174067.2939613189</v>
      </c>
      <c r="I134" s="17"/>
      <c r="J134" s="19"/>
      <c r="K134" s="15">
        <f t="shared" si="12"/>
        <v>269.91008095522352</v>
      </c>
      <c r="L134" s="15">
        <f t="shared" si="11"/>
        <v>270.62308095522354</v>
      </c>
      <c r="M134" s="16">
        <f t="shared" si="14"/>
        <v>0.12221734477645896</v>
      </c>
      <c r="N134" s="16"/>
      <c r="O134" s="15"/>
    </row>
    <row r="135" spans="1:15" x14ac:dyDescent="0.25">
      <c r="A135" s="20"/>
      <c r="B135" s="23">
        <v>284680</v>
      </c>
      <c r="C135" s="17">
        <v>93682.675000000003</v>
      </c>
      <c r="D135" s="24">
        <v>657138.78619951301</v>
      </c>
      <c r="E135" s="24">
        <v>3370695.34521147</v>
      </c>
      <c r="F135" s="24">
        <v>270.04737339999997</v>
      </c>
      <c r="G135" s="18">
        <f t="shared" si="13"/>
        <v>270.78937339999999</v>
      </c>
      <c r="H135" s="9">
        <v>1174087.2939613219</v>
      </c>
      <c r="I135" s="17"/>
      <c r="J135" s="19"/>
      <c r="K135" s="15">
        <f t="shared" si="12"/>
        <v>269.9249677227503</v>
      </c>
      <c r="L135" s="15">
        <f t="shared" si="11"/>
        <v>270.63796772275032</v>
      </c>
      <c r="M135" s="16">
        <f t="shared" si="14"/>
        <v>0.12240567724967377</v>
      </c>
      <c r="N135" s="16"/>
      <c r="O135" s="15"/>
    </row>
    <row r="136" spans="1:15" x14ac:dyDescent="0.25">
      <c r="A136" s="20"/>
      <c r="B136" s="23">
        <v>284700</v>
      </c>
      <c r="C136" s="17">
        <v>93702.676999999996</v>
      </c>
      <c r="D136" s="24">
        <v>657122.42674964597</v>
      </c>
      <c r="E136" s="24">
        <v>3370706.8538345001</v>
      </c>
      <c r="F136" s="24">
        <v>270.06245029999997</v>
      </c>
      <c r="G136" s="18">
        <f t="shared" si="13"/>
        <v>270.80445029999998</v>
      </c>
      <c r="H136" s="9">
        <v>1174107.295961322</v>
      </c>
      <c r="I136" s="17"/>
      <c r="J136" s="19"/>
      <c r="K136" s="15">
        <f t="shared" si="12"/>
        <v>269.93985597895164</v>
      </c>
      <c r="L136" s="15">
        <f t="shared" si="11"/>
        <v>270.65285597895166</v>
      </c>
      <c r="M136" s="16">
        <f t="shared" si="14"/>
        <v>0.12259432104832513</v>
      </c>
      <c r="N136" s="16"/>
      <c r="O136" s="15"/>
    </row>
    <row r="137" spans="1:15" x14ac:dyDescent="0.25">
      <c r="A137" s="20"/>
      <c r="B137" s="23">
        <v>284720</v>
      </c>
      <c r="C137" s="17">
        <v>93722.676999999996</v>
      </c>
      <c r="D137" s="24">
        <v>657106.06893556204</v>
      </c>
      <c r="E137" s="24">
        <v>3370718.36130678</v>
      </c>
      <c r="F137" s="24">
        <v>270.07752549999998</v>
      </c>
      <c r="G137" s="18">
        <f t="shared" si="13"/>
        <v>270.8195255</v>
      </c>
      <c r="H137" s="9">
        <v>1174127.295961319</v>
      </c>
      <c r="I137" s="17"/>
      <c r="J137" s="19"/>
      <c r="K137" s="15">
        <f t="shared" si="12"/>
        <v>269.95474274647393</v>
      </c>
      <c r="L137" s="15">
        <f t="shared" si="11"/>
        <v>270.66774274647395</v>
      </c>
      <c r="M137" s="16">
        <f t="shared" si="14"/>
        <v>0.12278275352605306</v>
      </c>
      <c r="N137" s="16"/>
      <c r="O137" s="15"/>
    </row>
    <row r="138" spans="1:15" x14ac:dyDescent="0.25">
      <c r="A138" s="20"/>
      <c r="B138" s="23">
        <v>284740</v>
      </c>
      <c r="C138" s="17">
        <v>93742.67</v>
      </c>
      <c r="D138" s="24">
        <v>657089.71684671205</v>
      </c>
      <c r="E138" s="24">
        <v>3370729.8647514498</v>
      </c>
      <c r="F138" s="24">
        <v>270.09259529999997</v>
      </c>
      <c r="G138" s="18">
        <f t="shared" si="13"/>
        <v>270.83459529999999</v>
      </c>
      <c r="H138" s="9">
        <v>1174147.2889613197</v>
      </c>
      <c r="I138" s="17"/>
      <c r="J138" s="19"/>
      <c r="K138" s="15">
        <f t="shared" si="12"/>
        <v>269.96962430363033</v>
      </c>
      <c r="L138" s="15">
        <f t="shared" si="11"/>
        <v>270.68262430363035</v>
      </c>
      <c r="M138" s="16">
        <f t="shared" si="14"/>
        <v>0.12297099636964504</v>
      </c>
      <c r="N138" s="16"/>
      <c r="O138" s="15"/>
    </row>
    <row r="139" spans="1:15" x14ac:dyDescent="0.25">
      <c r="A139" s="20"/>
      <c r="B139" s="23">
        <v>284760</v>
      </c>
      <c r="C139" s="17">
        <v>93762.67</v>
      </c>
      <c r="D139" s="24">
        <v>657073.35903262696</v>
      </c>
      <c r="E139" s="24">
        <v>3370741.37222374</v>
      </c>
      <c r="F139" s="24">
        <v>270.10767039999996</v>
      </c>
      <c r="G139" s="18">
        <f t="shared" si="13"/>
        <v>270.84967039999998</v>
      </c>
      <c r="H139" s="9">
        <v>1174167.2889613234</v>
      </c>
      <c r="I139" s="17"/>
      <c r="J139" s="19"/>
      <c r="K139" s="15">
        <f t="shared" si="12"/>
        <v>269.98451107115761</v>
      </c>
      <c r="L139" s="15">
        <f t="shared" si="11"/>
        <v>270.69751107115763</v>
      </c>
      <c r="M139" s="16">
        <f t="shared" si="14"/>
        <v>0.12315932884234826</v>
      </c>
      <c r="N139" s="16"/>
      <c r="O139" s="15"/>
    </row>
    <row r="140" spans="1:15" x14ac:dyDescent="0.25">
      <c r="A140" s="20"/>
      <c r="B140" s="23">
        <v>284780</v>
      </c>
      <c r="C140" s="17">
        <v>93782.687999999995</v>
      </c>
      <c r="D140" s="24">
        <v>657056.98649650998</v>
      </c>
      <c r="E140" s="24">
        <v>3370752.89005274</v>
      </c>
      <c r="F140" s="24">
        <v>270.12275929999998</v>
      </c>
      <c r="G140" s="18">
        <f t="shared" si="13"/>
        <v>270.8647593</v>
      </c>
      <c r="H140" s="9">
        <v>1174187.3069613178</v>
      </c>
      <c r="I140" s="17"/>
      <c r="J140" s="19"/>
      <c r="K140" s="15">
        <f t="shared" si="12"/>
        <v>269.99941123676871</v>
      </c>
      <c r="L140" s="15">
        <f t="shared" si="11"/>
        <v>270.71241123676873</v>
      </c>
      <c r="M140" s="16">
        <f t="shared" si="14"/>
        <v>0.12334806323127623</v>
      </c>
      <c r="N140" s="16"/>
      <c r="O140" s="15"/>
    </row>
    <row r="141" spans="1:15" x14ac:dyDescent="0.25">
      <c r="A141" s="20"/>
      <c r="B141" s="23">
        <v>284800</v>
      </c>
      <c r="C141" s="17">
        <v>93802.688999999998</v>
      </c>
      <c r="D141" s="24">
        <v>657040.62786453404</v>
      </c>
      <c r="E141" s="24">
        <v>3370764.3981003999</v>
      </c>
      <c r="F141" s="24">
        <v>270.13783439999997</v>
      </c>
      <c r="G141" s="18">
        <f t="shared" si="13"/>
        <v>270.87983439999999</v>
      </c>
      <c r="H141" s="9">
        <v>1174207.3079613193</v>
      </c>
      <c r="I141" s="17"/>
      <c r="J141" s="19"/>
      <c r="K141" s="15">
        <f t="shared" si="12"/>
        <v>270.01429874863277</v>
      </c>
      <c r="L141" s="15">
        <f t="shared" si="11"/>
        <v>270.72729874863279</v>
      </c>
      <c r="M141" s="16">
        <f t="shared" si="14"/>
        <v>0.1235356513672059</v>
      </c>
      <c r="N141" s="16"/>
      <c r="O141" s="15"/>
    </row>
    <row r="142" spans="1:15" x14ac:dyDescent="0.25">
      <c r="A142" s="20"/>
      <c r="B142" s="23">
        <v>284820</v>
      </c>
      <c r="C142" s="17">
        <v>93822.653000000006</v>
      </c>
      <c r="D142" s="24">
        <v>657024.29949451506</v>
      </c>
      <c r="E142" s="24">
        <v>3370775.8848592401</v>
      </c>
      <c r="F142" s="24">
        <v>270.15288249999998</v>
      </c>
      <c r="G142" s="18">
        <f t="shared" si="13"/>
        <v>270.89488249999999</v>
      </c>
      <c r="H142" s="9">
        <v>1174227.2719613225</v>
      </c>
      <c r="I142" s="17"/>
      <c r="J142" s="19"/>
      <c r="K142" s="15">
        <f t="shared" si="12"/>
        <v>270.02915871997811</v>
      </c>
      <c r="L142" s="15">
        <f t="shared" si="11"/>
        <v>270.74215871997814</v>
      </c>
      <c r="M142" s="16">
        <f t="shared" si="14"/>
        <v>0.12372378002186224</v>
      </c>
      <c r="N142" s="16"/>
      <c r="O142" s="15"/>
    </row>
    <row r="143" spans="1:15" x14ac:dyDescent="0.25">
      <c r="A143" s="20"/>
      <c r="B143" s="23">
        <v>284840</v>
      </c>
      <c r="C143" s="17">
        <v>93842.653000000006</v>
      </c>
      <c r="D143" s="24">
        <v>657007.94168042997</v>
      </c>
      <c r="E143" s="24">
        <v>3370787.3923315201</v>
      </c>
      <c r="F143" s="24">
        <v>270.16795769999999</v>
      </c>
      <c r="G143" s="18">
        <f t="shared" si="13"/>
        <v>270.90995770000001</v>
      </c>
      <c r="H143" s="9">
        <v>1174247.2719613204</v>
      </c>
      <c r="I143" s="17"/>
      <c r="J143" s="19"/>
      <c r="K143" s="15">
        <f t="shared" si="12"/>
        <v>270.04404548750108</v>
      </c>
      <c r="L143" s="15">
        <f t="shared" si="11"/>
        <v>270.7570454875011</v>
      </c>
      <c r="M143" s="16">
        <f t="shared" si="14"/>
        <v>0.12391221249890805</v>
      </c>
      <c r="N143" s="16"/>
      <c r="O143" s="15"/>
    </row>
    <row r="144" spans="1:15" x14ac:dyDescent="0.25">
      <c r="A144" s="20"/>
      <c r="B144" s="23">
        <v>284860</v>
      </c>
      <c r="C144" s="17">
        <v>93862.672000000006</v>
      </c>
      <c r="D144" s="24">
        <v>656991.56832642201</v>
      </c>
      <c r="E144" s="24">
        <v>3370798.9107359</v>
      </c>
      <c r="F144" s="24">
        <v>270.18304719999998</v>
      </c>
      <c r="G144" s="18">
        <f t="shared" si="13"/>
        <v>270.92504719999999</v>
      </c>
      <c r="H144" s="9">
        <v>1174267.2909613186</v>
      </c>
      <c r="I144" s="17"/>
      <c r="J144" s="19"/>
      <c r="K144" s="15">
        <f t="shared" si="12"/>
        <v>270.05894639745344</v>
      </c>
      <c r="L144" s="15">
        <f t="shared" si="11"/>
        <v>270.77194639745346</v>
      </c>
      <c r="M144" s="16">
        <f t="shared" si="14"/>
        <v>0.12410080254653622</v>
      </c>
      <c r="N144" s="16"/>
      <c r="O144" s="15"/>
    </row>
    <row r="145" spans="1:15" x14ac:dyDescent="0.25">
      <c r="A145" s="20"/>
      <c r="B145" s="23">
        <v>284880</v>
      </c>
      <c r="C145" s="17">
        <v>93882.672000000006</v>
      </c>
      <c r="D145" s="24">
        <v>656975.21051233704</v>
      </c>
      <c r="E145" s="24">
        <v>3370810.4182081898</v>
      </c>
      <c r="F145" s="24">
        <v>270.19812229999997</v>
      </c>
      <c r="G145" s="18">
        <f t="shared" si="13"/>
        <v>270.94012229999998</v>
      </c>
      <c r="H145" s="9">
        <v>1174287.2909613221</v>
      </c>
      <c r="I145" s="17"/>
      <c r="J145" s="19"/>
      <c r="K145" s="15">
        <f t="shared" si="12"/>
        <v>270.07383316498056</v>
      </c>
      <c r="L145" s="15">
        <f t="shared" si="11"/>
        <v>270.78683316498058</v>
      </c>
      <c r="M145" s="16">
        <f t="shared" si="14"/>
        <v>0.12428913501940997</v>
      </c>
      <c r="N145" s="16"/>
      <c r="O145" s="15"/>
    </row>
    <row r="146" spans="1:15" x14ac:dyDescent="0.25">
      <c r="A146" s="20"/>
      <c r="B146" s="23">
        <v>284900</v>
      </c>
      <c r="C146" s="17">
        <v>93902.676999999996</v>
      </c>
      <c r="D146" s="24">
        <v>656958.84860879905</v>
      </c>
      <c r="E146" s="24">
        <v>3370821.9285573401</v>
      </c>
      <c r="F146" s="24">
        <v>270.21320149999997</v>
      </c>
      <c r="G146" s="18">
        <f t="shared" si="13"/>
        <v>270.95520149999999</v>
      </c>
      <c r="H146" s="9">
        <v>1174307.2959613209</v>
      </c>
      <c r="I146" s="17"/>
      <c r="J146" s="19"/>
      <c r="K146" s="15">
        <f t="shared" si="12"/>
        <v>270.08872365419603</v>
      </c>
      <c r="L146" s="15">
        <f t="shared" si="11"/>
        <v>270.80172365419605</v>
      </c>
      <c r="M146" s="16">
        <f t="shared" si="14"/>
        <v>0.12447784580393773</v>
      </c>
      <c r="N146" s="16"/>
      <c r="O146" s="15"/>
    </row>
    <row r="147" spans="1:15" x14ac:dyDescent="0.25">
      <c r="A147" s="27"/>
      <c r="B147" s="23">
        <v>284920</v>
      </c>
      <c r="C147" s="17">
        <v>93922.676999999996</v>
      </c>
      <c r="D147" s="24">
        <v>656942.49079471396</v>
      </c>
      <c r="E147" s="24">
        <v>3370833.43602962</v>
      </c>
      <c r="F147" s="24">
        <v>270.22827659999996</v>
      </c>
      <c r="G147" s="18">
        <f t="shared" si="13"/>
        <v>270.97027659999998</v>
      </c>
      <c r="H147" s="9">
        <v>1174327.2959613188</v>
      </c>
      <c r="I147" s="17"/>
      <c r="J147" s="19"/>
      <c r="K147" s="15">
        <f t="shared" si="12"/>
        <v>270.103610421719</v>
      </c>
      <c r="L147" s="15">
        <f t="shared" si="11"/>
        <v>270.81661042171902</v>
      </c>
      <c r="M147" s="16">
        <f t="shared" si="14"/>
        <v>0.12466617828096105</v>
      </c>
      <c r="N147" s="16"/>
      <c r="O147" s="15"/>
    </row>
    <row r="148" spans="1:15" x14ac:dyDescent="0.25">
      <c r="A148" s="27"/>
      <c r="B148" s="23">
        <v>284940</v>
      </c>
      <c r="C148" s="17">
        <v>93942.682000000001</v>
      </c>
      <c r="D148" s="24">
        <v>656926.12889117596</v>
      </c>
      <c r="E148" s="24">
        <v>3370844.9463787801</v>
      </c>
      <c r="F148" s="24">
        <v>270.24335550000001</v>
      </c>
      <c r="G148" s="18">
        <f t="shared" si="13"/>
        <v>270.98535550000003</v>
      </c>
      <c r="H148" s="9">
        <v>1174347.3009613231</v>
      </c>
      <c r="I148" s="17"/>
      <c r="J148" s="19"/>
      <c r="K148" s="15">
        <f t="shared" si="12"/>
        <v>270.11850091093862</v>
      </c>
      <c r="L148" s="15">
        <f t="shared" si="11"/>
        <v>270.83150091093864</v>
      </c>
      <c r="M148" s="16">
        <f t="shared" si="14"/>
        <v>0.12485458906138547</v>
      </c>
      <c r="N148" s="16"/>
      <c r="O148" s="15"/>
    </row>
    <row r="149" spans="1:15" x14ac:dyDescent="0.25">
      <c r="A149" s="27"/>
      <c r="B149" s="23">
        <v>284960</v>
      </c>
      <c r="C149" s="17">
        <v>93962.682000000001</v>
      </c>
      <c r="D149" s="24">
        <v>656909.77107709099</v>
      </c>
      <c r="E149" s="24">
        <v>3370856.45385106</v>
      </c>
      <c r="F149" s="24">
        <v>270.2584306</v>
      </c>
      <c r="G149" s="18">
        <f t="shared" si="13"/>
        <v>271.00043060000002</v>
      </c>
      <c r="H149" s="9">
        <v>1174367.300961321</v>
      </c>
      <c r="I149" s="17"/>
      <c r="J149" s="19"/>
      <c r="K149" s="15">
        <f t="shared" si="12"/>
        <v>270.13338767846159</v>
      </c>
      <c r="L149" s="15">
        <f t="shared" si="11"/>
        <v>270.84638767846161</v>
      </c>
      <c r="M149" s="16">
        <f t="shared" si="14"/>
        <v>0.12504292153840879</v>
      </c>
      <c r="N149" s="16"/>
      <c r="O149" s="15"/>
    </row>
    <row r="150" spans="1:15" x14ac:dyDescent="0.25">
      <c r="A150" s="20"/>
      <c r="B150" s="17">
        <v>284980</v>
      </c>
      <c r="C150" s="17">
        <v>93982.682000000001</v>
      </c>
      <c r="D150" s="18">
        <v>656893.41326300602</v>
      </c>
      <c r="E150" s="18">
        <v>3370867.96132334</v>
      </c>
      <c r="F150" s="18">
        <v>270.27350580000001</v>
      </c>
      <c r="G150" s="18">
        <f t="shared" si="13"/>
        <v>271.01550580000003</v>
      </c>
      <c r="H150" s="9">
        <v>1174387.3009613189</v>
      </c>
      <c r="I150" s="17"/>
      <c r="J150" s="19"/>
      <c r="K150" s="15">
        <f t="shared" si="12"/>
        <v>270.14827444598455</v>
      </c>
      <c r="L150" s="15">
        <f t="shared" si="11"/>
        <v>270.86127444598458</v>
      </c>
      <c r="M150" s="16">
        <f t="shared" si="14"/>
        <v>0.1252313540154546</v>
      </c>
      <c r="N150" s="16"/>
      <c r="O150" s="15"/>
    </row>
    <row r="151" spans="1:15" x14ac:dyDescent="0.25">
      <c r="A151" s="20">
        <v>285</v>
      </c>
      <c r="B151" s="17">
        <v>285000</v>
      </c>
      <c r="C151" s="17">
        <v>94002.679000000004</v>
      </c>
      <c r="D151" s="18">
        <v>656877.05790259398</v>
      </c>
      <c r="E151" s="18">
        <v>3370879.4670695099</v>
      </c>
      <c r="F151" s="18">
        <v>270.28857849999997</v>
      </c>
      <c r="G151" s="18">
        <f t="shared" si="13"/>
        <v>271.03057849999999</v>
      </c>
      <c r="H151" s="9">
        <v>1174407.2979613224</v>
      </c>
      <c r="I151" s="17"/>
      <c r="J151" s="19"/>
      <c r="K151" s="15">
        <f t="shared" si="12"/>
        <v>270.16315898049652</v>
      </c>
      <c r="L151" s="15">
        <f t="shared" si="11"/>
        <v>270.87615898049654</v>
      </c>
      <c r="M151" s="16">
        <f t="shared" si="14"/>
        <v>0.12541951950345265</v>
      </c>
      <c r="N151" s="16"/>
      <c r="O151" s="15"/>
    </row>
    <row r="152" spans="1:15" x14ac:dyDescent="0.25">
      <c r="A152" s="20">
        <v>285</v>
      </c>
      <c r="B152" s="17">
        <v>285000</v>
      </c>
      <c r="C152" s="17">
        <v>94002.679000000004</v>
      </c>
      <c r="D152" s="18">
        <v>656877.05790259398</v>
      </c>
      <c r="E152" s="18">
        <v>3370879.4670695099</v>
      </c>
      <c r="F152" s="18">
        <v>270.28857849999997</v>
      </c>
      <c r="G152" s="18">
        <f t="shared" si="13"/>
        <v>271.03057849999999</v>
      </c>
      <c r="H152" s="9">
        <v>1174407.2979613224</v>
      </c>
      <c r="I152" s="17"/>
      <c r="J152" s="19"/>
      <c r="K152" s="15">
        <f t="shared" si="12"/>
        <v>270.16315898049652</v>
      </c>
      <c r="L152" s="15">
        <f t="shared" si="11"/>
        <v>270.87615898049654</v>
      </c>
      <c r="M152" s="16">
        <f t="shared" si="14"/>
        <v>0.12541951950345265</v>
      </c>
      <c r="N152" s="16"/>
      <c r="O152" s="15"/>
    </row>
    <row r="153" spans="1:15" x14ac:dyDescent="0.25">
      <c r="A153" s="20"/>
      <c r="B153" s="17">
        <v>285020</v>
      </c>
      <c r="C153" s="17">
        <v>94022.679000000004</v>
      </c>
      <c r="D153" s="18">
        <v>656860.70008850901</v>
      </c>
      <c r="E153" s="18">
        <v>3370890.9745417899</v>
      </c>
      <c r="F153" s="18">
        <v>270.30365359999996</v>
      </c>
      <c r="G153" s="18">
        <f t="shared" si="13"/>
        <v>271.04565359999998</v>
      </c>
      <c r="H153" s="9">
        <v>1174427.2979613203</v>
      </c>
      <c r="I153" s="17"/>
      <c r="J153" s="19"/>
      <c r="K153" s="15">
        <f t="shared" si="12"/>
        <v>270.17804574801949</v>
      </c>
      <c r="L153" s="15">
        <f t="shared" ref="L153:L216" si="15">K153+0.713</f>
        <v>270.89104574801951</v>
      </c>
      <c r="M153" s="16">
        <f t="shared" si="14"/>
        <v>0.12560785198047597</v>
      </c>
      <c r="N153" s="16"/>
      <c r="O153" s="15"/>
    </row>
    <row r="154" spans="1:15" x14ac:dyDescent="0.25">
      <c r="A154" s="20"/>
      <c r="B154" s="17">
        <v>285040</v>
      </c>
      <c r="C154" s="17">
        <v>94042.680999999997</v>
      </c>
      <c r="D154" s="18">
        <v>656844.34063864301</v>
      </c>
      <c r="E154" s="18">
        <v>3370902.4831648199</v>
      </c>
      <c r="F154" s="18">
        <v>270.3187302</v>
      </c>
      <c r="G154" s="18">
        <f t="shared" si="13"/>
        <v>271.06073020000002</v>
      </c>
      <c r="H154" s="9">
        <v>1174447.2999613194</v>
      </c>
      <c r="I154" s="17"/>
      <c r="J154" s="19"/>
      <c r="K154" s="15">
        <f t="shared" si="12"/>
        <v>270.19293400422015</v>
      </c>
      <c r="L154" s="15">
        <f t="shared" si="15"/>
        <v>270.90593400422017</v>
      </c>
      <c r="M154" s="16">
        <f t="shared" si="14"/>
        <v>0.12579619577985568</v>
      </c>
      <c r="N154" s="16"/>
      <c r="O154" s="15"/>
    </row>
    <row r="155" spans="1:15" x14ac:dyDescent="0.25">
      <c r="A155" s="20"/>
      <c r="B155" s="17">
        <v>285060</v>
      </c>
      <c r="C155" s="17">
        <v>94062.680999999997</v>
      </c>
      <c r="D155" s="18">
        <v>656827.98282455804</v>
      </c>
      <c r="E155" s="18">
        <v>3370913.9906371101</v>
      </c>
      <c r="F155" s="18">
        <v>270.33380539999996</v>
      </c>
      <c r="G155" s="18">
        <f t="shared" si="13"/>
        <v>271.07580539999998</v>
      </c>
      <c r="H155" s="9">
        <v>1174467.2999613232</v>
      </c>
      <c r="I155" s="17"/>
      <c r="J155" s="19"/>
      <c r="K155" s="15">
        <f t="shared" si="12"/>
        <v>270.20782077174744</v>
      </c>
      <c r="L155" s="15">
        <f t="shared" si="15"/>
        <v>270.92082077174746</v>
      </c>
      <c r="M155" s="16">
        <f t="shared" si="14"/>
        <v>0.12598462825252454</v>
      </c>
      <c r="N155" s="16"/>
      <c r="O155" s="15"/>
    </row>
    <row r="156" spans="1:15" x14ac:dyDescent="0.25">
      <c r="A156" s="20"/>
      <c r="B156" s="17">
        <v>285080</v>
      </c>
      <c r="C156" s="17">
        <v>94082.675000000003</v>
      </c>
      <c r="D156" s="18">
        <v>656811.62991781696</v>
      </c>
      <c r="E156" s="18">
        <v>3370925.49465715</v>
      </c>
      <c r="F156" s="18">
        <v>270.3488759</v>
      </c>
      <c r="G156" s="18">
        <f t="shared" si="13"/>
        <v>271.09087590000001</v>
      </c>
      <c r="H156" s="9">
        <v>1174487.2939613222</v>
      </c>
      <c r="I156" s="17"/>
      <c r="J156" s="19"/>
      <c r="K156" s="15">
        <f t="shared" si="12"/>
        <v>270.22270307324095</v>
      </c>
      <c r="L156" s="15">
        <f t="shared" si="15"/>
        <v>270.93570307324097</v>
      </c>
      <c r="M156" s="16">
        <f t="shared" si="14"/>
        <v>0.12617282675904562</v>
      </c>
      <c r="N156" s="16"/>
      <c r="O156" s="15"/>
    </row>
    <row r="157" spans="1:15" x14ac:dyDescent="0.25">
      <c r="A157" s="20"/>
      <c r="B157" s="17">
        <v>285100</v>
      </c>
      <c r="C157" s="17">
        <v>94102.675000000003</v>
      </c>
      <c r="D157" s="18">
        <v>656795.27210373303</v>
      </c>
      <c r="E157" s="18">
        <v>3370937.00212943</v>
      </c>
      <c r="F157" s="18">
        <v>270.36395110000001</v>
      </c>
      <c r="G157" s="18">
        <f t="shared" si="13"/>
        <v>271.10595110000003</v>
      </c>
      <c r="H157" s="9">
        <v>1174507.2939613191</v>
      </c>
      <c r="I157" s="17"/>
      <c r="J157" s="19"/>
      <c r="K157" s="15">
        <f t="shared" si="12"/>
        <v>270.23758984076323</v>
      </c>
      <c r="L157" s="15">
        <f t="shared" si="15"/>
        <v>270.95058984076326</v>
      </c>
      <c r="M157" s="16">
        <f t="shared" si="14"/>
        <v>0.12636125923677355</v>
      </c>
      <c r="N157" s="16"/>
      <c r="O157" s="15"/>
    </row>
    <row r="158" spans="1:15" x14ac:dyDescent="0.25">
      <c r="A158" s="20"/>
      <c r="B158" s="17">
        <v>285120</v>
      </c>
      <c r="C158" s="17">
        <v>94122.675000000003</v>
      </c>
      <c r="D158" s="18">
        <v>656778.91428964795</v>
      </c>
      <c r="E158" s="18">
        <v>3370948.5096017201</v>
      </c>
      <c r="F158" s="18">
        <v>270.3790262</v>
      </c>
      <c r="G158" s="18">
        <f t="shared" si="13"/>
        <v>271.12102620000002</v>
      </c>
      <c r="H158" s="9">
        <v>1174527.2939613229</v>
      </c>
      <c r="I158" s="17"/>
      <c r="J158" s="19"/>
      <c r="K158" s="15">
        <f t="shared" si="12"/>
        <v>270.25247660829052</v>
      </c>
      <c r="L158" s="15">
        <f t="shared" si="15"/>
        <v>270.96547660829054</v>
      </c>
      <c r="M158" s="16">
        <f t="shared" si="14"/>
        <v>0.12654959170947677</v>
      </c>
      <c r="N158" s="16"/>
      <c r="O158" s="15"/>
    </row>
    <row r="159" spans="1:15" x14ac:dyDescent="0.25">
      <c r="A159" s="20"/>
      <c r="B159" s="17">
        <v>285140</v>
      </c>
      <c r="C159" s="17">
        <v>94142.680999999997</v>
      </c>
      <c r="D159" s="18">
        <v>656762.55156821897</v>
      </c>
      <c r="E159" s="18">
        <v>3370960.0205262401</v>
      </c>
      <c r="F159" s="18">
        <v>270.3941059</v>
      </c>
      <c r="G159" s="18">
        <f t="shared" si="13"/>
        <v>271.13610590000002</v>
      </c>
      <c r="H159" s="9">
        <v>1174547.2999613194</v>
      </c>
      <c r="I159" s="17"/>
      <c r="J159" s="19"/>
      <c r="K159" s="15">
        <f t="shared" si="12"/>
        <v>270.26736784184271</v>
      </c>
      <c r="L159" s="15">
        <f t="shared" si="15"/>
        <v>270.98036784184274</v>
      </c>
      <c r="M159" s="16">
        <f t="shared" si="14"/>
        <v>0.12673805815728656</v>
      </c>
      <c r="N159" s="16"/>
      <c r="O159" s="15"/>
    </row>
    <row r="160" spans="1:15" x14ac:dyDescent="0.25">
      <c r="A160" s="20"/>
      <c r="B160" s="17">
        <v>285160</v>
      </c>
      <c r="C160" s="17">
        <v>94162.680999999997</v>
      </c>
      <c r="D160" s="18">
        <v>656746.193754134</v>
      </c>
      <c r="E160" s="18">
        <v>3370971.5279985298</v>
      </c>
      <c r="F160" s="18">
        <v>270.40918109999996</v>
      </c>
      <c r="G160" s="18">
        <f t="shared" si="13"/>
        <v>271.15118109999997</v>
      </c>
      <c r="H160" s="9">
        <v>1174567.2999613229</v>
      </c>
      <c r="I160" s="17"/>
      <c r="J160" s="19"/>
      <c r="K160" s="15">
        <f t="shared" si="12"/>
        <v>270.28225460936983</v>
      </c>
      <c r="L160" s="15">
        <f t="shared" si="15"/>
        <v>270.99525460936985</v>
      </c>
      <c r="M160" s="16">
        <f t="shared" si="14"/>
        <v>0.12692649063012595</v>
      </c>
      <c r="N160" s="16"/>
      <c r="O160" s="15"/>
    </row>
    <row r="161" spans="1:15" x14ac:dyDescent="0.25">
      <c r="A161" s="20"/>
      <c r="B161" s="17">
        <v>285180</v>
      </c>
      <c r="C161" s="17">
        <v>94182.676000000007</v>
      </c>
      <c r="D161" s="18">
        <v>656729.84002950299</v>
      </c>
      <c r="E161" s="18">
        <v>3370983.0325939399</v>
      </c>
      <c r="F161" s="18">
        <v>270.42425279999998</v>
      </c>
      <c r="G161" s="18">
        <f t="shared" si="13"/>
        <v>271.1662528</v>
      </c>
      <c r="H161" s="9">
        <v>1174587.2949613193</v>
      </c>
      <c r="I161" s="17"/>
      <c r="J161" s="19"/>
      <c r="K161" s="15">
        <f t="shared" si="12"/>
        <v>270.29713765519978</v>
      </c>
      <c r="L161" s="15">
        <f t="shared" si="15"/>
        <v>271.0101376551998</v>
      </c>
      <c r="M161" s="16">
        <f t="shared" si="14"/>
        <v>0.12711514480020014</v>
      </c>
      <c r="N161" s="16"/>
      <c r="O161" s="15"/>
    </row>
    <row r="162" spans="1:15" x14ac:dyDescent="0.25">
      <c r="A162" s="20"/>
      <c r="B162" s="17">
        <v>285200</v>
      </c>
      <c r="C162" s="17">
        <v>94202.676000000007</v>
      </c>
      <c r="D162" s="18">
        <v>656713.48221541801</v>
      </c>
      <c r="E162" s="18">
        <v>3370994.5400662301</v>
      </c>
      <c r="F162" s="18">
        <v>270.43932799999999</v>
      </c>
      <c r="G162" s="18">
        <f t="shared" si="13"/>
        <v>271.18132800000001</v>
      </c>
      <c r="H162" s="9">
        <v>1174607.294961323</v>
      </c>
      <c r="I162" s="17"/>
      <c r="J162" s="19"/>
      <c r="K162" s="15">
        <f t="shared" si="12"/>
        <v>270.31202442272706</v>
      </c>
      <c r="L162" s="15">
        <f t="shared" si="15"/>
        <v>271.02502442272709</v>
      </c>
      <c r="M162" s="16">
        <f t="shared" si="14"/>
        <v>0.12730357727292585</v>
      </c>
      <c r="N162" s="16"/>
      <c r="O162" s="15"/>
    </row>
    <row r="163" spans="1:15" x14ac:dyDescent="0.25">
      <c r="A163" s="20"/>
      <c r="B163" s="17">
        <v>285220</v>
      </c>
      <c r="C163" s="17">
        <v>94222.688999999998</v>
      </c>
      <c r="D163" s="18">
        <v>656697.11376875394</v>
      </c>
      <c r="E163" s="18">
        <v>3371006.05501837</v>
      </c>
      <c r="F163" s="18">
        <v>270.4544128</v>
      </c>
      <c r="G163" s="18">
        <f t="shared" si="13"/>
        <v>271.19641280000002</v>
      </c>
      <c r="H163" s="9">
        <v>1174627.3079613226</v>
      </c>
      <c r="I163" s="17"/>
      <c r="J163" s="19"/>
      <c r="K163" s="15">
        <f t="shared" si="12"/>
        <v>270.32692086665014</v>
      </c>
      <c r="L163" s="15">
        <f t="shared" si="15"/>
        <v>271.03992086665016</v>
      </c>
      <c r="M163" s="16">
        <f t="shared" si="14"/>
        <v>0.12749193334985875</v>
      </c>
      <c r="N163" s="16"/>
      <c r="O163" s="15"/>
    </row>
    <row r="164" spans="1:15" x14ac:dyDescent="0.25">
      <c r="A164" s="20"/>
      <c r="B164" s="17">
        <v>285240</v>
      </c>
      <c r="C164" s="17">
        <v>94242.688999999998</v>
      </c>
      <c r="D164" s="18">
        <v>656680.75595467002</v>
      </c>
      <c r="E164" s="18">
        <v>3371017.56249065</v>
      </c>
      <c r="F164" s="18">
        <v>270.46948789999999</v>
      </c>
      <c r="G164" s="18">
        <f t="shared" si="13"/>
        <v>271.21148790000001</v>
      </c>
      <c r="H164" s="9">
        <v>1174647.3079613196</v>
      </c>
      <c r="I164" s="17"/>
      <c r="J164" s="19"/>
      <c r="K164" s="15">
        <f t="shared" si="12"/>
        <v>270.34180763417243</v>
      </c>
      <c r="L164" s="15">
        <f t="shared" si="15"/>
        <v>271.05480763417245</v>
      </c>
      <c r="M164" s="16">
        <f t="shared" si="14"/>
        <v>0.1276802658275642</v>
      </c>
      <c r="N164" s="16"/>
      <c r="O164" s="15"/>
    </row>
    <row r="165" spans="1:15" x14ac:dyDescent="0.25">
      <c r="A165" s="20"/>
      <c r="B165" s="17">
        <v>285260</v>
      </c>
      <c r="C165" s="17">
        <v>94262.683000000005</v>
      </c>
      <c r="D165" s="18">
        <v>656664.40304792905</v>
      </c>
      <c r="E165" s="18">
        <v>3371029.0665106899</v>
      </c>
      <c r="F165" s="18">
        <v>270.48455809999996</v>
      </c>
      <c r="G165" s="18">
        <f t="shared" si="13"/>
        <v>271.22655809999998</v>
      </c>
      <c r="H165" s="9">
        <v>1174667.3019613186</v>
      </c>
      <c r="I165" s="17"/>
      <c r="J165" s="19"/>
      <c r="K165" s="15">
        <f t="shared" si="12"/>
        <v>270.35668993566594</v>
      </c>
      <c r="L165" s="15">
        <f t="shared" si="15"/>
        <v>271.06968993566596</v>
      </c>
      <c r="M165" s="16">
        <f t="shared" si="14"/>
        <v>0.12786816433401782</v>
      </c>
      <c r="N165" s="16"/>
      <c r="O165" s="15"/>
    </row>
    <row r="166" spans="1:15" x14ac:dyDescent="0.25">
      <c r="A166" s="20"/>
      <c r="B166" s="17">
        <v>285280</v>
      </c>
      <c r="C166" s="17">
        <v>94282.683000000005</v>
      </c>
      <c r="D166" s="18">
        <v>656648.04523384396</v>
      </c>
      <c r="E166" s="18">
        <v>3371040.5739829801</v>
      </c>
      <c r="F166" s="18">
        <v>270.49963320000001</v>
      </c>
      <c r="G166" s="18">
        <f t="shared" si="13"/>
        <v>271.24163320000002</v>
      </c>
      <c r="H166" s="9">
        <v>1174687.3019613223</v>
      </c>
      <c r="I166" s="17"/>
      <c r="J166" s="19"/>
      <c r="K166" s="15">
        <f t="shared" si="12"/>
        <v>270.37157670319323</v>
      </c>
      <c r="L166" s="15">
        <f t="shared" si="15"/>
        <v>271.08457670319325</v>
      </c>
      <c r="M166" s="16">
        <f t="shared" si="14"/>
        <v>0.12805649680677789</v>
      </c>
      <c r="N166" s="16"/>
      <c r="O166" s="15"/>
    </row>
    <row r="167" spans="1:15" x14ac:dyDescent="0.25">
      <c r="A167" s="20"/>
      <c r="B167" s="17">
        <v>285300</v>
      </c>
      <c r="C167" s="17">
        <v>94302.67</v>
      </c>
      <c r="D167" s="18">
        <v>656631.69805233902</v>
      </c>
      <c r="E167" s="18">
        <v>3371052.0739754098</v>
      </c>
      <c r="F167" s="18">
        <v>270.5146987</v>
      </c>
      <c r="G167" s="18">
        <f t="shared" si="13"/>
        <v>271.25669870000002</v>
      </c>
      <c r="H167" s="9">
        <v>1174707.2889613232</v>
      </c>
      <c r="I167" s="17"/>
      <c r="J167" s="19"/>
      <c r="K167" s="15">
        <f t="shared" si="12"/>
        <v>270.38645379431949</v>
      </c>
      <c r="L167" s="15">
        <f t="shared" si="15"/>
        <v>271.09945379431952</v>
      </c>
      <c r="M167" s="16">
        <f t="shared" si="14"/>
        <v>0.12824490568050351</v>
      </c>
      <c r="N167" s="16"/>
      <c r="O167" s="15"/>
    </row>
    <row r="168" spans="1:15" x14ac:dyDescent="0.25">
      <c r="A168" s="20"/>
      <c r="B168" s="17">
        <v>285320</v>
      </c>
      <c r="C168" s="17">
        <v>94322.67</v>
      </c>
      <c r="D168" s="18">
        <v>656615.34023825405</v>
      </c>
      <c r="E168" s="18">
        <v>3371063.5814476898</v>
      </c>
      <c r="F168" s="18">
        <v>270.52977379999999</v>
      </c>
      <c r="G168" s="18">
        <f t="shared" si="13"/>
        <v>271.27177380000001</v>
      </c>
      <c r="H168" s="9">
        <v>1174727.2889613211</v>
      </c>
      <c r="I168" s="17"/>
      <c r="J168" s="19"/>
      <c r="K168" s="15">
        <f t="shared" si="12"/>
        <v>270.40134056184246</v>
      </c>
      <c r="L168" s="15">
        <f t="shared" si="15"/>
        <v>271.11434056184248</v>
      </c>
      <c r="M168" s="16">
        <f t="shared" si="14"/>
        <v>0.12843323815752683</v>
      </c>
      <c r="N168" s="16"/>
      <c r="O168" s="15"/>
    </row>
    <row r="169" spans="1:15" x14ac:dyDescent="0.25">
      <c r="A169" s="20"/>
      <c r="B169" s="17">
        <v>285340</v>
      </c>
      <c r="C169" s="17">
        <v>94342.67</v>
      </c>
      <c r="D169" s="18">
        <v>656598.98242416896</v>
      </c>
      <c r="E169" s="18">
        <v>3371075.0889199702</v>
      </c>
      <c r="F169" s="18">
        <v>270.54484889999998</v>
      </c>
      <c r="G169" s="18">
        <f t="shared" si="13"/>
        <v>271.2868489</v>
      </c>
      <c r="H169" s="9">
        <v>1174747.2889613193</v>
      </c>
      <c r="I169" s="17"/>
      <c r="J169" s="19"/>
      <c r="K169" s="15">
        <f t="shared" si="12"/>
        <v>270.4162273293656</v>
      </c>
      <c r="L169" s="15">
        <f t="shared" si="15"/>
        <v>271.12922732936562</v>
      </c>
      <c r="M169" s="16">
        <f t="shared" si="14"/>
        <v>0.12862157063437962</v>
      </c>
      <c r="N169" s="16"/>
      <c r="O169" s="15"/>
    </row>
    <row r="170" spans="1:15" x14ac:dyDescent="0.25">
      <c r="A170" s="20"/>
      <c r="B170" s="17">
        <v>285360</v>
      </c>
      <c r="C170" s="17">
        <v>94362.684999999998</v>
      </c>
      <c r="D170" s="18">
        <v>656582.61234172399</v>
      </c>
      <c r="E170" s="18">
        <v>3371086.6050228602</v>
      </c>
      <c r="F170" s="18">
        <v>270.55993569999998</v>
      </c>
      <c r="G170" s="18">
        <f t="shared" si="13"/>
        <v>271.3019357</v>
      </c>
      <c r="H170" s="9">
        <v>1174767.3039613201</v>
      </c>
      <c r="I170" s="17"/>
      <c r="J170" s="19"/>
      <c r="K170" s="15">
        <f t="shared" si="12"/>
        <v>270.43112526196637</v>
      </c>
      <c r="L170" s="15">
        <f t="shared" si="15"/>
        <v>271.14412526196639</v>
      </c>
      <c r="M170" s="16">
        <f t="shared" si="14"/>
        <v>0.12881043803361081</v>
      </c>
      <c r="N170" s="16"/>
      <c r="O170" s="15"/>
    </row>
    <row r="171" spans="1:15" x14ac:dyDescent="0.25">
      <c r="A171" s="20"/>
      <c r="B171" s="17">
        <v>285380</v>
      </c>
      <c r="C171" s="17">
        <v>94382.684999999998</v>
      </c>
      <c r="D171" s="18">
        <v>656566.25452763902</v>
      </c>
      <c r="E171" s="18">
        <v>3371098.11249515</v>
      </c>
      <c r="F171" s="18">
        <v>270.5750109</v>
      </c>
      <c r="G171" s="18">
        <f t="shared" si="13"/>
        <v>271.31701090000001</v>
      </c>
      <c r="H171" s="9">
        <v>1174787.3039613236</v>
      </c>
      <c r="I171" s="17"/>
      <c r="J171" s="19"/>
      <c r="K171" s="15">
        <f t="shared" si="12"/>
        <v>270.44601202949349</v>
      </c>
      <c r="L171" s="15">
        <f t="shared" si="15"/>
        <v>271.15901202949351</v>
      </c>
      <c r="M171" s="16">
        <f t="shared" si="14"/>
        <v>0.12899887050650705</v>
      </c>
      <c r="N171" s="16"/>
      <c r="O171" s="15"/>
    </row>
    <row r="172" spans="1:15" x14ac:dyDescent="0.25">
      <c r="A172" s="20"/>
      <c r="B172" s="17">
        <v>285400</v>
      </c>
      <c r="C172" s="17">
        <v>94402.694000000003</v>
      </c>
      <c r="D172" s="18">
        <v>656549.88935253804</v>
      </c>
      <c r="E172" s="18">
        <v>3371109.6251457902</v>
      </c>
      <c r="F172" s="18">
        <v>270.59009269999996</v>
      </c>
      <c r="G172" s="18">
        <f t="shared" si="13"/>
        <v>271.33209269999998</v>
      </c>
      <c r="H172" s="9">
        <v>1174807.3129613197</v>
      </c>
      <c r="I172" s="17"/>
      <c r="J172" s="19"/>
      <c r="K172" s="15">
        <f t="shared" si="12"/>
        <v>270.46090549606049</v>
      </c>
      <c r="L172" s="15">
        <f t="shared" si="15"/>
        <v>271.17390549606051</v>
      </c>
      <c r="M172" s="16">
        <f t="shared" si="14"/>
        <v>0.12918720393946614</v>
      </c>
      <c r="N172" s="16"/>
      <c r="O172" s="15"/>
    </row>
    <row r="173" spans="1:15" x14ac:dyDescent="0.25">
      <c r="A173" s="20"/>
      <c r="B173" s="17">
        <v>285420</v>
      </c>
      <c r="C173" s="17">
        <v>94422.694000000003</v>
      </c>
      <c r="D173" s="18">
        <v>656533.53153845295</v>
      </c>
      <c r="E173" s="18">
        <v>3371121.1326180799</v>
      </c>
      <c r="F173" s="18">
        <v>270.60516789999997</v>
      </c>
      <c r="G173" s="18">
        <f t="shared" si="13"/>
        <v>271.34716789999999</v>
      </c>
      <c r="H173" s="9">
        <v>1174827.3129613232</v>
      </c>
      <c r="I173" s="17"/>
      <c r="J173" s="19"/>
      <c r="K173" s="15">
        <f t="shared" si="12"/>
        <v>270.47579226358761</v>
      </c>
      <c r="L173" s="15">
        <f t="shared" si="15"/>
        <v>271.18879226358763</v>
      </c>
      <c r="M173" s="16">
        <f t="shared" si="14"/>
        <v>0.12937563641236238</v>
      </c>
      <c r="N173" s="16"/>
      <c r="O173" s="15"/>
    </row>
    <row r="174" spans="1:15" x14ac:dyDescent="0.25">
      <c r="A174" s="20"/>
      <c r="B174" s="17">
        <v>285440</v>
      </c>
      <c r="C174" s="17">
        <v>94442.688999999998</v>
      </c>
      <c r="D174" s="18">
        <v>656517.17782164901</v>
      </c>
      <c r="E174" s="18">
        <v>3371132.6372246202</v>
      </c>
      <c r="F174" s="18">
        <v>270.62023919999996</v>
      </c>
      <c r="G174" s="18">
        <f t="shared" si="13"/>
        <v>271.36223919999998</v>
      </c>
      <c r="H174" s="9">
        <v>1174847.3079613219</v>
      </c>
      <c r="I174" s="17"/>
      <c r="J174" s="19"/>
      <c r="K174" s="15">
        <f t="shared" si="12"/>
        <v>270.49067530941926</v>
      </c>
      <c r="L174" s="15">
        <f t="shared" si="15"/>
        <v>271.20367530941928</v>
      </c>
      <c r="M174" s="16">
        <f t="shared" si="14"/>
        <v>0.12956389058069817</v>
      </c>
      <c r="N174" s="16"/>
      <c r="O174" s="15"/>
    </row>
    <row r="175" spans="1:15" x14ac:dyDescent="0.25">
      <c r="A175" s="20"/>
      <c r="B175" s="17">
        <v>285460</v>
      </c>
      <c r="C175" s="17">
        <v>94462.688999999998</v>
      </c>
      <c r="D175" s="18">
        <v>656500.82867150102</v>
      </c>
      <c r="E175" s="18">
        <v>3371144.1569966399</v>
      </c>
      <c r="F175" s="18">
        <v>270.6353143</v>
      </c>
      <c r="G175" s="18">
        <f t="shared" si="13"/>
        <v>271.37731430000002</v>
      </c>
      <c r="H175" s="9">
        <v>1174867.3079577705</v>
      </c>
      <c r="I175" s="17"/>
      <c r="J175" s="19"/>
      <c r="K175" s="15">
        <f t="shared" ref="K175:K188" si="16">K174+(1/$J$109)*(H175-H174)</f>
        <v>270.50556207430037</v>
      </c>
      <c r="L175" s="15">
        <f t="shared" si="15"/>
        <v>271.21856207430039</v>
      </c>
      <c r="M175" s="16">
        <f t="shared" si="14"/>
        <v>0.12975222569963307</v>
      </c>
      <c r="N175" s="16"/>
      <c r="O175" s="15"/>
    </row>
    <row r="176" spans="1:15" x14ac:dyDescent="0.25">
      <c r="A176" s="20"/>
      <c r="B176" s="17">
        <v>285480</v>
      </c>
      <c r="C176" s="17">
        <v>94482.713000000003</v>
      </c>
      <c r="D176" s="18">
        <v>656484.49388279696</v>
      </c>
      <c r="E176" s="18">
        <v>3371155.7386580901</v>
      </c>
      <c r="F176" s="18">
        <v>270.65040759999999</v>
      </c>
      <c r="G176" s="18">
        <f t="shared" si="13"/>
        <v>271.39240760000001</v>
      </c>
      <c r="H176" s="9">
        <v>1174887.3319484806</v>
      </c>
      <c r="I176" s="17"/>
      <c r="J176" s="19"/>
      <c r="K176" s="15">
        <f t="shared" si="16"/>
        <v>270.52046669903103</v>
      </c>
      <c r="L176" s="15">
        <f t="shared" si="15"/>
        <v>271.23346669903106</v>
      </c>
      <c r="M176" s="16">
        <f t="shared" si="14"/>
        <v>0.12994090096896116</v>
      </c>
      <c r="N176" s="16"/>
      <c r="O176" s="15"/>
    </row>
    <row r="177" spans="1:15" x14ac:dyDescent="0.25">
      <c r="A177" s="20"/>
      <c r="B177" s="17">
        <v>285500</v>
      </c>
      <c r="C177" s="17">
        <v>94502.714000000007</v>
      </c>
      <c r="D177" s="18">
        <v>656468.21653254901</v>
      </c>
      <c r="E177" s="18">
        <v>3371167.36137289</v>
      </c>
      <c r="F177" s="18">
        <v>270.66548289999997</v>
      </c>
      <c r="G177" s="18">
        <f t="shared" si="13"/>
        <v>271.40748289999999</v>
      </c>
      <c r="H177" s="9">
        <v>1174907.3329392164</v>
      </c>
      <c r="I177" s="17"/>
      <c r="J177" s="19"/>
      <c r="K177" s="15">
        <f t="shared" si="16"/>
        <v>270.53535420399822</v>
      </c>
      <c r="L177" s="15">
        <f t="shared" si="15"/>
        <v>271.24835420399825</v>
      </c>
      <c r="M177" s="16">
        <f t="shared" si="14"/>
        <v>0.13012869600174781</v>
      </c>
      <c r="N177" s="16"/>
      <c r="O177" s="15"/>
    </row>
    <row r="178" spans="1:15" x14ac:dyDescent="0.25">
      <c r="A178" s="20"/>
      <c r="B178" s="17">
        <v>285500</v>
      </c>
      <c r="C178" s="17">
        <v>94502.714000000007</v>
      </c>
      <c r="D178" s="18">
        <v>656468.21653254901</v>
      </c>
      <c r="E178" s="18">
        <v>3371167.36137289</v>
      </c>
      <c r="F178" s="18">
        <v>270.66548289999997</v>
      </c>
      <c r="G178" s="18">
        <f t="shared" si="13"/>
        <v>271.40748289999999</v>
      </c>
      <c r="H178" s="9">
        <v>1174907.3329392164</v>
      </c>
      <c r="I178" s="17"/>
      <c r="J178" s="19"/>
      <c r="K178" s="15">
        <f t="shared" si="16"/>
        <v>270.53535420399822</v>
      </c>
      <c r="L178" s="15">
        <f t="shared" si="15"/>
        <v>271.24835420399825</v>
      </c>
      <c r="M178" s="16">
        <f t="shared" si="14"/>
        <v>0.13012869600174781</v>
      </c>
      <c r="N178" s="16"/>
      <c r="O178" s="15"/>
    </row>
    <row r="179" spans="1:15" x14ac:dyDescent="0.25">
      <c r="A179" s="20"/>
      <c r="B179" s="17">
        <v>285520</v>
      </c>
      <c r="C179" s="17">
        <v>94522.740999999995</v>
      </c>
      <c r="D179" s="18">
        <v>656451.95693332702</v>
      </c>
      <c r="E179" s="18">
        <v>3371179.0534980102</v>
      </c>
      <c r="F179" s="18">
        <v>270.68057899999997</v>
      </c>
      <c r="G179" s="18">
        <f t="shared" si="13"/>
        <v>271.42257899999998</v>
      </c>
      <c r="H179" s="9">
        <v>1174927.3599299211</v>
      </c>
      <c r="I179" s="17"/>
      <c r="J179" s="19"/>
      <c r="K179" s="15">
        <f t="shared" si="16"/>
        <v>270.55026106174006</v>
      </c>
      <c r="L179" s="15">
        <f t="shared" si="15"/>
        <v>271.26326106174008</v>
      </c>
      <c r="M179" s="16">
        <f t="shared" si="14"/>
        <v>0.1303179382599069</v>
      </c>
      <c r="N179" s="16"/>
      <c r="O179" s="15"/>
    </row>
    <row r="180" spans="1:15" x14ac:dyDescent="0.25">
      <c r="A180" s="20"/>
      <c r="B180" s="17">
        <v>285540</v>
      </c>
      <c r="C180" s="17">
        <v>94542.819000000003</v>
      </c>
      <c r="D180" s="18">
        <v>656435.69519459305</v>
      </c>
      <c r="E180" s="18">
        <v>3371190.8298115698</v>
      </c>
      <c r="F180" s="18">
        <v>270.69571309999998</v>
      </c>
      <c r="G180" s="18">
        <f t="shared" si="13"/>
        <v>271.4377131</v>
      </c>
      <c r="H180" s="9">
        <v>1174947.4379205504</v>
      </c>
      <c r="I180" s="17"/>
      <c r="J180" s="19"/>
      <c r="K180" s="15">
        <f t="shared" si="16"/>
        <v>270.56520588068292</v>
      </c>
      <c r="L180" s="15">
        <f t="shared" si="15"/>
        <v>271.27820588068295</v>
      </c>
      <c r="M180" s="16">
        <f t="shared" si="14"/>
        <v>0.13050721931705311</v>
      </c>
      <c r="N180" s="16"/>
      <c r="O180" s="15"/>
    </row>
    <row r="181" spans="1:15" x14ac:dyDescent="0.25">
      <c r="A181" s="20"/>
      <c r="B181" s="17">
        <v>285560</v>
      </c>
      <c r="C181" s="17">
        <v>94562.82</v>
      </c>
      <c r="D181" s="18">
        <v>656419.53507159394</v>
      </c>
      <c r="E181" s="18">
        <v>3371202.61497417</v>
      </c>
      <c r="F181" s="18">
        <v>270.71078839999996</v>
      </c>
      <c r="G181" s="18">
        <f t="shared" si="13"/>
        <v>271.45278839999997</v>
      </c>
      <c r="H181" s="9">
        <v>1174967.4389113474</v>
      </c>
      <c r="I181" s="17"/>
      <c r="J181" s="19"/>
      <c r="K181" s="15">
        <f t="shared" si="16"/>
        <v>270.5800933856957</v>
      </c>
      <c r="L181" s="15">
        <f t="shared" si="15"/>
        <v>271.29309338569573</v>
      </c>
      <c r="M181" s="16">
        <f t="shared" si="14"/>
        <v>0.13069501430425134</v>
      </c>
      <c r="N181" s="16"/>
      <c r="O181" s="15"/>
    </row>
    <row r="182" spans="1:15" x14ac:dyDescent="0.25">
      <c r="A182" s="20"/>
      <c r="B182" s="17">
        <v>285580</v>
      </c>
      <c r="C182" s="17">
        <v>94582.868000000002</v>
      </c>
      <c r="D182" s="18">
        <v>656403.36661280005</v>
      </c>
      <c r="E182" s="18">
        <v>3371214.4683783501</v>
      </c>
      <c r="F182" s="18">
        <v>270.72589979999998</v>
      </c>
      <c r="G182" s="18">
        <f t="shared" si="13"/>
        <v>271.4678998</v>
      </c>
      <c r="H182" s="9">
        <v>1174987.4869100114</v>
      </c>
      <c r="I182" s="17"/>
      <c r="J182" s="19"/>
      <c r="K182" s="15">
        <f t="shared" si="16"/>
        <v>270.59501588046783</v>
      </c>
      <c r="L182" s="15">
        <f t="shared" si="15"/>
        <v>271.30801588046785</v>
      </c>
      <c r="M182" s="16">
        <f t="shared" si="14"/>
        <v>0.1308839195321525</v>
      </c>
      <c r="N182" s="16"/>
      <c r="O182" s="15"/>
    </row>
    <row r="183" spans="1:15" x14ac:dyDescent="0.25">
      <c r="A183" s="20"/>
      <c r="B183" s="17">
        <v>285600</v>
      </c>
      <c r="C183" s="17">
        <v>94602.868000000002</v>
      </c>
      <c r="D183" s="18">
        <v>656387.24096070998</v>
      </c>
      <c r="E183" s="18">
        <v>3371226.2989888401</v>
      </c>
      <c r="F183" s="18">
        <v>270.74097499999999</v>
      </c>
      <c r="G183" s="18">
        <f t="shared" si="13"/>
        <v>271.48297500000001</v>
      </c>
      <c r="H183" s="9">
        <v>1175007.4869100088</v>
      </c>
      <c r="I183" s="17"/>
      <c r="J183" s="19"/>
      <c r="K183" s="15">
        <f t="shared" si="16"/>
        <v>270.60990264799045</v>
      </c>
      <c r="L183" s="15">
        <f t="shared" si="15"/>
        <v>271.32290264799047</v>
      </c>
      <c r="M183" s="16">
        <f t="shared" si="14"/>
        <v>0.13107235200953937</v>
      </c>
      <c r="N183" s="16"/>
      <c r="O183" s="15"/>
    </row>
    <row r="184" spans="1:15" x14ac:dyDescent="0.25">
      <c r="A184" s="20"/>
      <c r="B184" s="17">
        <v>285620</v>
      </c>
      <c r="C184" s="17">
        <v>94622.877999999997</v>
      </c>
      <c r="D184" s="18">
        <v>656371.10724579403</v>
      </c>
      <c r="E184" s="18">
        <v>3371238.1355146398</v>
      </c>
      <c r="F184" s="18">
        <v>270.75605809999996</v>
      </c>
      <c r="G184" s="18">
        <f t="shared" si="13"/>
        <v>271.49805809999998</v>
      </c>
      <c r="H184" s="9">
        <v>1175027.4969100088</v>
      </c>
      <c r="I184" s="17"/>
      <c r="J184" s="19"/>
      <c r="K184" s="15">
        <f t="shared" si="16"/>
        <v>270.62479685889872</v>
      </c>
      <c r="L184" s="15">
        <f t="shared" si="15"/>
        <v>271.33779685889874</v>
      </c>
      <c r="M184" s="16">
        <f t="shared" si="14"/>
        <v>0.13126124110124238</v>
      </c>
      <c r="N184" s="16"/>
      <c r="O184" s="15"/>
    </row>
    <row r="185" spans="1:15" x14ac:dyDescent="0.25">
      <c r="A185" s="20"/>
      <c r="B185" s="17">
        <v>285640</v>
      </c>
      <c r="C185" s="17">
        <v>94642.877999999997</v>
      </c>
      <c r="D185" s="18">
        <v>656354.98159370397</v>
      </c>
      <c r="E185" s="18">
        <v>3371249.96612514</v>
      </c>
      <c r="F185" s="18">
        <v>270.77113320000001</v>
      </c>
      <c r="G185" s="18">
        <f t="shared" si="13"/>
        <v>271.51313320000003</v>
      </c>
      <c r="H185" s="9">
        <v>1175047.4969100123</v>
      </c>
      <c r="I185" s="17"/>
      <c r="J185" s="19"/>
      <c r="K185" s="15">
        <f t="shared" si="16"/>
        <v>270.63968362642584</v>
      </c>
      <c r="L185" s="15">
        <f t="shared" si="15"/>
        <v>271.35268362642586</v>
      </c>
      <c r="M185" s="16">
        <f t="shared" si="14"/>
        <v>0.13144957357417297</v>
      </c>
      <c r="N185" s="16"/>
      <c r="O185" s="15"/>
    </row>
    <row r="186" spans="1:15" x14ac:dyDescent="0.25">
      <c r="A186" s="20"/>
      <c r="B186" s="17">
        <v>285660</v>
      </c>
      <c r="C186" s="17">
        <v>94662.892000000007</v>
      </c>
      <c r="D186" s="18">
        <v>656338.84465365799</v>
      </c>
      <c r="E186" s="18">
        <v>3371261.8050170601</v>
      </c>
      <c r="F186" s="18">
        <v>270.78621849999996</v>
      </c>
      <c r="G186" s="18">
        <f t="shared" si="13"/>
        <v>271.52821849999998</v>
      </c>
      <c r="H186" s="9">
        <v>1175067.5109100109</v>
      </c>
      <c r="I186" s="17"/>
      <c r="J186" s="19"/>
      <c r="K186" s="15">
        <f t="shared" si="16"/>
        <v>270.65458081468654</v>
      </c>
      <c r="L186" s="15">
        <f t="shared" si="15"/>
        <v>271.36758081468656</v>
      </c>
      <c r="M186" s="16">
        <f t="shared" si="14"/>
        <v>0.13163768531342157</v>
      </c>
      <c r="N186" s="16"/>
      <c r="O186" s="15"/>
    </row>
    <row r="187" spans="1:15" x14ac:dyDescent="0.25">
      <c r="A187" s="20"/>
      <c r="B187" s="17">
        <v>285680</v>
      </c>
      <c r="C187" s="17">
        <v>94682.892000000007</v>
      </c>
      <c r="D187" s="18">
        <v>656322.71900156804</v>
      </c>
      <c r="E187" s="18">
        <v>3371273.6356275501</v>
      </c>
      <c r="F187" s="18">
        <v>270.80129360000001</v>
      </c>
      <c r="G187" s="18">
        <f t="shared" si="13"/>
        <v>271.54329360000003</v>
      </c>
      <c r="H187" s="9">
        <v>1175087.5109100081</v>
      </c>
      <c r="I187" s="17"/>
      <c r="J187" s="19"/>
      <c r="K187" s="15">
        <f t="shared" si="16"/>
        <v>270.66946758220899</v>
      </c>
      <c r="L187" s="15">
        <f t="shared" si="15"/>
        <v>271.38246758220902</v>
      </c>
      <c r="M187" s="16">
        <f t="shared" si="14"/>
        <v>0.13182601779101333</v>
      </c>
      <c r="N187" s="16"/>
      <c r="O187" s="15"/>
    </row>
    <row r="188" spans="1:15" x14ac:dyDescent="0.25">
      <c r="A188" s="20"/>
      <c r="B188" s="17">
        <v>285700</v>
      </c>
      <c r="C188" s="17">
        <v>94702.892000000007</v>
      </c>
      <c r="D188" s="18">
        <v>656306.59334947797</v>
      </c>
      <c r="E188" s="18">
        <v>3371285.4662380498</v>
      </c>
      <c r="F188" s="18">
        <v>270.80680699999999</v>
      </c>
      <c r="G188" s="18">
        <f t="shared" si="13"/>
        <v>271.54880700000001</v>
      </c>
      <c r="H188" s="9">
        <v>1175107.5109100114</v>
      </c>
      <c r="I188" s="17"/>
      <c r="J188" s="19"/>
      <c r="K188" s="15">
        <f t="shared" si="16"/>
        <v>270.68435434973594</v>
      </c>
      <c r="L188" s="15">
        <f t="shared" si="15"/>
        <v>271.39735434973596</v>
      </c>
      <c r="M188" s="16">
        <f t="shared" si="14"/>
        <v>0.1224526502640515</v>
      </c>
      <c r="N188" s="16"/>
      <c r="O188" s="15"/>
    </row>
    <row r="189" spans="1:15" x14ac:dyDescent="0.25">
      <c r="A189" s="21"/>
      <c r="B189" s="21"/>
      <c r="C189" s="21">
        <v>0</v>
      </c>
      <c r="D189" s="21"/>
      <c r="E189" s="21"/>
      <c r="F189" s="21"/>
      <c r="G189" s="18">
        <f t="shared" si="13"/>
        <v>0.74199999999999999</v>
      </c>
      <c r="H189" s="13">
        <v>1175117.78</v>
      </c>
      <c r="I189" s="21"/>
      <c r="J189" s="14">
        <v>-332.28800000000001</v>
      </c>
      <c r="K189" s="22">
        <v>270.69199999999995</v>
      </c>
      <c r="L189" s="15">
        <f t="shared" si="15"/>
        <v>271.40499999999997</v>
      </c>
      <c r="M189" s="16"/>
      <c r="N189" s="16"/>
      <c r="O189" s="15"/>
    </row>
    <row r="190" spans="1:15" x14ac:dyDescent="0.25">
      <c r="A190" s="20"/>
      <c r="B190" s="17">
        <v>285720</v>
      </c>
      <c r="C190" s="17">
        <v>94722.921000000002</v>
      </c>
      <c r="D190" s="18">
        <v>656290.44431519206</v>
      </c>
      <c r="E190" s="18">
        <v>3371297.3140029302</v>
      </c>
      <c r="F190" s="18">
        <v>270.75658759999999</v>
      </c>
      <c r="G190" s="18">
        <f t="shared" si="13"/>
        <v>271.49858760000001</v>
      </c>
      <c r="H190" s="9">
        <v>1175127.5399100122</v>
      </c>
      <c r="I190" s="17"/>
      <c r="J190" s="19"/>
      <c r="K190" s="15">
        <f>K189+(1/$J$189)*(H190-H189)</f>
        <v>270.6626281598729</v>
      </c>
      <c r="L190" s="15">
        <f t="shared" si="15"/>
        <v>271.37562815987292</v>
      </c>
      <c r="M190" s="16">
        <f t="shared" si="14"/>
        <v>9.3959440127093785E-2</v>
      </c>
      <c r="N190" s="16"/>
      <c r="O190" s="15"/>
    </row>
    <row r="191" spans="1:15" x14ac:dyDescent="0.25">
      <c r="A191" s="20"/>
      <c r="B191" s="17">
        <v>285740</v>
      </c>
      <c r="C191" s="17">
        <v>94742.926000000007</v>
      </c>
      <c r="D191" s="18">
        <v>656274.31463168899</v>
      </c>
      <c r="E191" s="18">
        <v>3371309.1475710701</v>
      </c>
      <c r="F191" s="18">
        <v>270.69744579999997</v>
      </c>
      <c r="G191" s="18">
        <f t="shared" si="13"/>
        <v>271.43944579999999</v>
      </c>
      <c r="H191" s="9">
        <v>1175147.5449100079</v>
      </c>
      <c r="I191" s="17"/>
      <c r="J191" s="19"/>
      <c r="K191" s="15">
        <f t="shared" ref="K191:K231" si="17">K190+(1/$J$189)*(H191-H190)</f>
        <v>270.60242436077181</v>
      </c>
      <c r="L191" s="15">
        <f t="shared" si="15"/>
        <v>271.31542436077183</v>
      </c>
      <c r="M191" s="16">
        <f t="shared" si="14"/>
        <v>9.5021439228162308E-2</v>
      </c>
      <c r="N191" s="16"/>
      <c r="O191" s="15"/>
    </row>
    <row r="192" spans="1:15" x14ac:dyDescent="0.25">
      <c r="A192" s="20"/>
      <c r="B192" s="17">
        <v>285760</v>
      </c>
      <c r="C192" s="17">
        <v>94762.926999999996</v>
      </c>
      <c r="D192" s="18">
        <v>656258.18817331595</v>
      </c>
      <c r="E192" s="18">
        <v>3371320.9787730998</v>
      </c>
      <c r="F192" s="18">
        <v>270.63831949999997</v>
      </c>
      <c r="G192" s="18">
        <f t="shared" si="13"/>
        <v>271.38031949999998</v>
      </c>
      <c r="H192" s="9">
        <v>1175167.545910011</v>
      </c>
      <c r="I192" s="17"/>
      <c r="J192" s="19"/>
      <c r="K192" s="15">
        <f t="shared" si="17"/>
        <v>270.54223259939857</v>
      </c>
      <c r="L192" s="15">
        <f t="shared" si="15"/>
        <v>271.2552325993986</v>
      </c>
      <c r="M192" s="16">
        <f t="shared" si="14"/>
        <v>9.6086900601392244E-2</v>
      </c>
      <c r="N192" s="16"/>
      <c r="O192" s="15"/>
    </row>
    <row r="193" spans="1:15" x14ac:dyDescent="0.25">
      <c r="A193" s="20"/>
      <c r="B193" s="17">
        <v>285780</v>
      </c>
      <c r="C193" s="17">
        <v>94782.917000000001</v>
      </c>
      <c r="D193" s="18">
        <v>656242.07058405201</v>
      </c>
      <c r="E193" s="18">
        <v>3371332.8034682898</v>
      </c>
      <c r="F193" s="18">
        <v>270.57922299999996</v>
      </c>
      <c r="G193" s="18">
        <f t="shared" si="13"/>
        <v>271.32122299999997</v>
      </c>
      <c r="H193" s="9">
        <v>1175187.5359100115</v>
      </c>
      <c r="I193" s="17"/>
      <c r="J193" s="19"/>
      <c r="K193" s="15">
        <f t="shared" si="17"/>
        <v>270.48207394184715</v>
      </c>
      <c r="L193" s="15">
        <f t="shared" si="15"/>
        <v>271.19507394184717</v>
      </c>
      <c r="M193" s="16">
        <f t="shared" si="14"/>
        <v>9.714905815280872E-2</v>
      </c>
      <c r="N193" s="16"/>
      <c r="O193" s="15"/>
    </row>
    <row r="194" spans="1:15" x14ac:dyDescent="0.25">
      <c r="A194" s="20"/>
      <c r="B194" s="17">
        <v>285800</v>
      </c>
      <c r="C194" s="17">
        <v>94802.917000000001</v>
      </c>
      <c r="D194" s="18">
        <v>656225.94493196195</v>
      </c>
      <c r="E194" s="18">
        <v>3371344.6340787802</v>
      </c>
      <c r="F194" s="18">
        <v>270.52009679999998</v>
      </c>
      <c r="G194" s="18">
        <f t="shared" si="13"/>
        <v>271.26209679999999</v>
      </c>
      <c r="H194" s="9">
        <v>1175207.5359100092</v>
      </c>
      <c r="I194" s="17"/>
      <c r="J194" s="19"/>
      <c r="K194" s="15">
        <f t="shared" si="17"/>
        <v>270.4218851899281</v>
      </c>
      <c r="L194" s="15">
        <f t="shared" si="15"/>
        <v>271.13488518992813</v>
      </c>
      <c r="M194" s="16">
        <f t="shared" si="14"/>
        <v>9.8211610071871291E-2</v>
      </c>
      <c r="N194" s="16"/>
      <c r="O194" s="15"/>
    </row>
    <row r="195" spans="1:15" x14ac:dyDescent="0.25">
      <c r="A195" s="20"/>
      <c r="B195" s="17">
        <v>285820</v>
      </c>
      <c r="C195" s="17">
        <v>94822.911999999997</v>
      </c>
      <c r="D195" s="18">
        <v>656209.823311285</v>
      </c>
      <c r="E195" s="18">
        <v>3371356.4617316201</v>
      </c>
      <c r="F195" s="18">
        <v>270.4609835</v>
      </c>
      <c r="G195" s="18">
        <f t="shared" si="13"/>
        <v>271.20298350000002</v>
      </c>
      <c r="H195" s="9">
        <v>1175227.5309100081</v>
      </c>
      <c r="I195" s="17"/>
      <c r="J195" s="19"/>
      <c r="K195" s="15">
        <f t="shared" si="17"/>
        <v>270.36171148519321</v>
      </c>
      <c r="L195" s="15">
        <f t="shared" si="15"/>
        <v>271.07471148519323</v>
      </c>
      <c r="M195" s="16">
        <f t="shared" si="14"/>
        <v>9.9272014806786046E-2</v>
      </c>
      <c r="N195" s="16"/>
      <c r="O195" s="15"/>
    </row>
    <row r="196" spans="1:15" x14ac:dyDescent="0.25">
      <c r="A196" s="20"/>
      <c r="B196" s="17">
        <v>285840</v>
      </c>
      <c r="C196" s="17">
        <v>94842.896999999997</v>
      </c>
      <c r="D196" s="18">
        <v>656193.70975343406</v>
      </c>
      <c r="E196" s="18">
        <v>3371368.2834691601</v>
      </c>
      <c r="F196" s="18">
        <v>270.40190179999996</v>
      </c>
      <c r="G196" s="18">
        <f t="shared" si="13"/>
        <v>271.14390179999998</v>
      </c>
      <c r="H196" s="9">
        <v>1175247.5159100101</v>
      </c>
      <c r="I196" s="17"/>
      <c r="J196" s="19"/>
      <c r="K196" s="15">
        <f t="shared" si="17"/>
        <v>270.3015678748252</v>
      </c>
      <c r="L196" s="15">
        <f t="shared" si="15"/>
        <v>271.01456787482522</v>
      </c>
      <c r="M196" s="16">
        <f t="shared" si="14"/>
        <v>0.10033392517476614</v>
      </c>
      <c r="N196" s="16"/>
      <c r="O196" s="15"/>
    </row>
    <row r="197" spans="1:15" x14ac:dyDescent="0.25">
      <c r="A197" s="20"/>
      <c r="B197" s="17">
        <v>285860</v>
      </c>
      <c r="C197" s="17">
        <v>94862.896999999997</v>
      </c>
      <c r="D197" s="18">
        <v>656177.58410134399</v>
      </c>
      <c r="E197" s="18">
        <v>3371380.11407965</v>
      </c>
      <c r="F197" s="18">
        <v>270.3427757</v>
      </c>
      <c r="G197" s="18">
        <f t="shared" ref="G197:G260" si="18">F197+0.742</f>
        <v>271.08477570000002</v>
      </c>
      <c r="H197" s="9">
        <v>1175267.5159100075</v>
      </c>
      <c r="I197" s="17"/>
      <c r="J197" s="19"/>
      <c r="K197" s="15">
        <f t="shared" si="17"/>
        <v>270.24137912290684</v>
      </c>
      <c r="L197" s="15">
        <f t="shared" si="15"/>
        <v>270.95437912290686</v>
      </c>
      <c r="M197" s="16">
        <f t="shared" ref="M197:M260" si="19">(F197-K197)</f>
        <v>0.10139657709316907</v>
      </c>
      <c r="N197" s="16"/>
      <c r="O197" s="15"/>
    </row>
    <row r="198" spans="1:15" x14ac:dyDescent="0.25">
      <c r="A198" s="20"/>
      <c r="B198" s="17">
        <v>285880</v>
      </c>
      <c r="C198" s="17">
        <v>94882.907999999996</v>
      </c>
      <c r="D198" s="18">
        <v>656161.44958014495</v>
      </c>
      <c r="E198" s="18">
        <v>3371391.95119699</v>
      </c>
      <c r="F198" s="18">
        <v>270.28361899999999</v>
      </c>
      <c r="G198" s="18">
        <f t="shared" si="18"/>
        <v>271.02561900000001</v>
      </c>
      <c r="H198" s="9">
        <v>1175287.5269100135</v>
      </c>
      <c r="I198" s="17"/>
      <c r="J198" s="19"/>
      <c r="K198" s="15">
        <f t="shared" si="17"/>
        <v>270.18115726714922</v>
      </c>
      <c r="L198" s="15">
        <f t="shared" si="15"/>
        <v>270.89415726714924</v>
      </c>
      <c r="M198" s="16">
        <f t="shared" si="19"/>
        <v>0.1024617328507702</v>
      </c>
      <c r="N198" s="16"/>
      <c r="O198" s="15"/>
    </row>
    <row r="199" spans="1:15" x14ac:dyDescent="0.25">
      <c r="A199" s="20"/>
      <c r="B199" s="17">
        <v>285900</v>
      </c>
      <c r="C199" s="17">
        <v>94902.907999999996</v>
      </c>
      <c r="D199" s="18">
        <v>656145.323928055</v>
      </c>
      <c r="E199" s="18">
        <v>3371403.7818074799</v>
      </c>
      <c r="F199" s="18">
        <v>270.224493</v>
      </c>
      <c r="G199" s="18">
        <f t="shared" si="18"/>
        <v>270.96649300000001</v>
      </c>
      <c r="H199" s="9">
        <v>1175307.5269100107</v>
      </c>
      <c r="I199" s="17"/>
      <c r="J199" s="19"/>
      <c r="K199" s="15">
        <f t="shared" si="17"/>
        <v>270.1209685152316</v>
      </c>
      <c r="L199" s="15">
        <f t="shared" si="15"/>
        <v>270.83396851523162</v>
      </c>
      <c r="M199" s="16">
        <f t="shared" si="19"/>
        <v>0.10352448476839982</v>
      </c>
      <c r="N199" s="16"/>
      <c r="O199" s="15"/>
    </row>
    <row r="200" spans="1:15" x14ac:dyDescent="0.25">
      <c r="A200" s="20"/>
      <c r="B200" s="17">
        <v>285920</v>
      </c>
      <c r="C200" s="17">
        <v>94922.891000000003</v>
      </c>
      <c r="D200" s="18">
        <v>656129.21198277001</v>
      </c>
      <c r="E200" s="18">
        <v>3371415.6023619501</v>
      </c>
      <c r="F200" s="18">
        <v>270.16541489999997</v>
      </c>
      <c r="G200" s="18">
        <f t="shared" si="18"/>
        <v>270.90741489999999</v>
      </c>
      <c r="H200" s="9">
        <v>1175327.509910007</v>
      </c>
      <c r="I200" s="17"/>
      <c r="J200" s="19"/>
      <c r="K200" s="15">
        <f t="shared" si="17"/>
        <v>270.06083092375587</v>
      </c>
      <c r="L200" s="15">
        <f t="shared" si="15"/>
        <v>270.7738309237559</v>
      </c>
      <c r="M200" s="16">
        <f t="shared" si="19"/>
        <v>0.10458397624410054</v>
      </c>
      <c r="N200" s="16"/>
      <c r="O200" s="15"/>
    </row>
    <row r="201" spans="1:15" x14ac:dyDescent="0.25">
      <c r="A201" s="20"/>
      <c r="B201" s="17">
        <v>285940</v>
      </c>
      <c r="C201" s="17">
        <v>94942.891000000003</v>
      </c>
      <c r="D201" s="18">
        <v>656113.08633067994</v>
      </c>
      <c r="E201" s="18">
        <v>3371427.4329724498</v>
      </c>
      <c r="F201" s="18">
        <v>270.10628889999998</v>
      </c>
      <c r="G201" s="18">
        <f t="shared" si="18"/>
        <v>270.8482889</v>
      </c>
      <c r="H201" s="9">
        <v>1175347.5099100103</v>
      </c>
      <c r="I201" s="17"/>
      <c r="J201" s="19"/>
      <c r="K201" s="15">
        <f t="shared" si="17"/>
        <v>270.00064217182</v>
      </c>
      <c r="L201" s="15">
        <f t="shared" si="15"/>
        <v>270.71364217182003</v>
      </c>
      <c r="M201" s="16">
        <f t="shared" si="19"/>
        <v>0.10564672817997689</v>
      </c>
      <c r="N201" s="16"/>
      <c r="O201" s="15"/>
    </row>
    <row r="202" spans="1:15" x14ac:dyDescent="0.25">
      <c r="A202" s="20"/>
      <c r="B202" s="17">
        <v>285960</v>
      </c>
      <c r="C202" s="17">
        <v>94962.895999999993</v>
      </c>
      <c r="D202" s="18">
        <v>656096.95664717699</v>
      </c>
      <c r="E202" s="18">
        <v>3371439.2665406</v>
      </c>
      <c r="F202" s="18">
        <v>270.04715039999996</v>
      </c>
      <c r="G202" s="18">
        <f t="shared" si="18"/>
        <v>270.78915039999998</v>
      </c>
      <c r="H202" s="9">
        <v>1175367.514910012</v>
      </c>
      <c r="I202" s="17"/>
      <c r="J202" s="19"/>
      <c r="K202" s="15">
        <f t="shared" si="17"/>
        <v>269.94043837270073</v>
      </c>
      <c r="L202" s="15">
        <f t="shared" si="15"/>
        <v>270.65343837270075</v>
      </c>
      <c r="M202" s="16">
        <f t="shared" si="19"/>
        <v>0.10671202729923834</v>
      </c>
      <c r="N202" s="16"/>
      <c r="O202" s="15"/>
    </row>
    <row r="203" spans="1:15" x14ac:dyDescent="0.25">
      <c r="A203" s="20"/>
      <c r="B203" s="17">
        <v>285980</v>
      </c>
      <c r="C203" s="17">
        <v>94982.902000000002</v>
      </c>
      <c r="D203" s="18">
        <v>656080.82615739095</v>
      </c>
      <c r="E203" s="18">
        <v>3371451.1007002699</v>
      </c>
      <c r="F203" s="18">
        <v>269.98800699999998</v>
      </c>
      <c r="G203" s="18">
        <f t="shared" si="18"/>
        <v>270.730007</v>
      </c>
      <c r="H203" s="9">
        <v>1175387.5209100079</v>
      </c>
      <c r="I203" s="17"/>
      <c r="J203" s="19"/>
      <c r="K203" s="15">
        <f t="shared" si="17"/>
        <v>269.88023156416159</v>
      </c>
      <c r="L203" s="15">
        <f t="shared" si="15"/>
        <v>270.59323156416161</v>
      </c>
      <c r="M203" s="16">
        <f t="shared" si="19"/>
        <v>0.10777543583839133</v>
      </c>
      <c r="N203" s="16"/>
      <c r="O203" s="15"/>
    </row>
    <row r="204" spans="1:15" x14ac:dyDescent="0.25">
      <c r="A204" s="20">
        <v>286</v>
      </c>
      <c r="B204" s="17">
        <v>286000</v>
      </c>
      <c r="C204" s="17">
        <v>95002.902000000002</v>
      </c>
      <c r="D204" s="18">
        <v>656064.70050530101</v>
      </c>
      <c r="E204" s="18">
        <v>3371462.9313107701</v>
      </c>
      <c r="F204" s="18">
        <v>269.92888089999997</v>
      </c>
      <c r="G204" s="18">
        <f t="shared" si="18"/>
        <v>270.67088089999999</v>
      </c>
      <c r="H204" s="9">
        <v>1175407.5209100111</v>
      </c>
      <c r="I204" s="17"/>
      <c r="J204" s="19"/>
      <c r="K204" s="15">
        <f t="shared" si="17"/>
        <v>269.82004281222572</v>
      </c>
      <c r="L204" s="15">
        <f t="shared" si="15"/>
        <v>270.53304281222574</v>
      </c>
      <c r="M204" s="16">
        <f t="shared" si="19"/>
        <v>0.1088380877742452</v>
      </c>
      <c r="N204" s="16"/>
      <c r="O204" s="15"/>
    </row>
    <row r="205" spans="1:15" x14ac:dyDescent="0.25">
      <c r="A205" s="20">
        <v>286</v>
      </c>
      <c r="B205" s="17">
        <v>286000</v>
      </c>
      <c r="C205" s="17">
        <v>95002.902000000002</v>
      </c>
      <c r="D205" s="18">
        <v>656064.70050530101</v>
      </c>
      <c r="E205" s="18">
        <v>3371462.9313107701</v>
      </c>
      <c r="F205" s="18">
        <v>269.92888089999997</v>
      </c>
      <c r="G205" s="18">
        <f t="shared" si="18"/>
        <v>270.67088089999999</v>
      </c>
      <c r="H205" s="9">
        <v>1175407.5209100111</v>
      </c>
      <c r="I205" s="17"/>
      <c r="J205" s="19"/>
      <c r="K205" s="15">
        <f t="shared" si="17"/>
        <v>269.82004281222572</v>
      </c>
      <c r="L205" s="15">
        <f t="shared" si="15"/>
        <v>270.53304281222574</v>
      </c>
      <c r="M205" s="16">
        <f t="shared" si="19"/>
        <v>0.1088380877742452</v>
      </c>
      <c r="N205" s="16"/>
      <c r="O205" s="15"/>
    </row>
    <row r="206" spans="1:15" x14ac:dyDescent="0.25">
      <c r="A206" s="20"/>
      <c r="B206" s="17">
        <v>286020</v>
      </c>
      <c r="C206" s="17">
        <v>95022.899000000005</v>
      </c>
      <c r="D206" s="18">
        <v>656048.57727205905</v>
      </c>
      <c r="E206" s="18">
        <v>3371474.76014667</v>
      </c>
      <c r="F206" s="18">
        <v>269.86976289999996</v>
      </c>
      <c r="G206" s="18">
        <f t="shared" si="18"/>
        <v>270.61176289999997</v>
      </c>
      <c r="H206" s="9">
        <v>1175427.5179100093</v>
      </c>
      <c r="I206" s="17"/>
      <c r="J206" s="19"/>
      <c r="K206" s="15">
        <f t="shared" si="17"/>
        <v>269.75986308861815</v>
      </c>
      <c r="L206" s="15">
        <f t="shared" si="15"/>
        <v>270.47286308861817</v>
      </c>
      <c r="M206" s="16">
        <f t="shared" si="19"/>
        <v>0.10989981138180838</v>
      </c>
      <c r="N206" s="16"/>
      <c r="O206" s="15"/>
    </row>
    <row r="207" spans="1:15" x14ac:dyDescent="0.25">
      <c r="A207" s="20"/>
      <c r="B207" s="17">
        <v>286040</v>
      </c>
      <c r="C207" s="17">
        <v>95042.899000000005</v>
      </c>
      <c r="D207" s="18">
        <v>656032.45161996898</v>
      </c>
      <c r="E207" s="18">
        <v>3371486.5907571702</v>
      </c>
      <c r="F207" s="18">
        <v>269.81063689999996</v>
      </c>
      <c r="G207" s="18">
        <f t="shared" si="18"/>
        <v>270.55263689999998</v>
      </c>
      <c r="H207" s="9">
        <v>1175447.5179100127</v>
      </c>
      <c r="I207" s="17"/>
      <c r="J207" s="19"/>
      <c r="K207" s="15">
        <f t="shared" si="17"/>
        <v>269.6996743366816</v>
      </c>
      <c r="L207" s="15">
        <f t="shared" si="15"/>
        <v>270.41267433668162</v>
      </c>
      <c r="M207" s="16">
        <f t="shared" si="19"/>
        <v>0.11096256331836685</v>
      </c>
      <c r="N207" s="16"/>
      <c r="O207" s="15"/>
    </row>
    <row r="208" spans="1:15" x14ac:dyDescent="0.25">
      <c r="A208" s="20"/>
      <c r="B208" s="17">
        <v>286060</v>
      </c>
      <c r="C208" s="17">
        <v>95062.899000000005</v>
      </c>
      <c r="D208" s="18">
        <v>656016.32596787903</v>
      </c>
      <c r="E208" s="18">
        <v>3371498.4213676602</v>
      </c>
      <c r="F208" s="18">
        <v>269.75151089999997</v>
      </c>
      <c r="G208" s="18">
        <f t="shared" si="18"/>
        <v>270.49351089999999</v>
      </c>
      <c r="H208" s="9">
        <v>1175467.5179100099</v>
      </c>
      <c r="I208" s="17"/>
      <c r="J208" s="19"/>
      <c r="K208" s="15">
        <f t="shared" si="17"/>
        <v>269.63948558476397</v>
      </c>
      <c r="L208" s="15">
        <f t="shared" si="15"/>
        <v>270.352485584764</v>
      </c>
      <c r="M208" s="16">
        <f t="shared" si="19"/>
        <v>0.11202531523599646</v>
      </c>
      <c r="N208" s="16"/>
      <c r="O208" s="15"/>
    </row>
    <row r="209" spans="1:15" x14ac:dyDescent="0.25">
      <c r="A209" s="20"/>
      <c r="B209" s="17">
        <v>286080</v>
      </c>
      <c r="C209" s="17">
        <v>95082.892000000007</v>
      </c>
      <c r="D209" s="18">
        <v>656000.20595976699</v>
      </c>
      <c r="E209" s="18">
        <v>3371510.2478374401</v>
      </c>
      <c r="F209" s="18">
        <v>269.69240619999999</v>
      </c>
      <c r="G209" s="18">
        <f t="shared" si="18"/>
        <v>270.43440620000001</v>
      </c>
      <c r="H209" s="9">
        <v>1175487.5109100097</v>
      </c>
      <c r="I209" s="17"/>
      <c r="J209" s="19"/>
      <c r="K209" s="15">
        <f t="shared" si="17"/>
        <v>269.57931789890176</v>
      </c>
      <c r="L209" s="15">
        <f t="shared" si="15"/>
        <v>270.29231789890179</v>
      </c>
      <c r="M209" s="16">
        <f t="shared" si="19"/>
        <v>0.1130883010982302</v>
      </c>
      <c r="N209" s="16"/>
      <c r="O209" s="15"/>
    </row>
    <row r="210" spans="1:15" x14ac:dyDescent="0.25">
      <c r="A210" s="20"/>
      <c r="B210" s="17">
        <v>286100</v>
      </c>
      <c r="C210" s="17">
        <v>95102.892000000007</v>
      </c>
      <c r="D210" s="18">
        <v>655984.08030767704</v>
      </c>
      <c r="E210" s="18">
        <v>3371522.0784479398</v>
      </c>
      <c r="F210" s="18">
        <v>269.6332802</v>
      </c>
      <c r="G210" s="18">
        <f t="shared" si="18"/>
        <v>270.37528020000002</v>
      </c>
      <c r="H210" s="9">
        <v>1175507.5109100128</v>
      </c>
      <c r="I210" s="17"/>
      <c r="J210" s="19"/>
      <c r="K210" s="15">
        <f t="shared" si="17"/>
        <v>269.51912914696663</v>
      </c>
      <c r="L210" s="15">
        <f t="shared" si="15"/>
        <v>270.23212914696666</v>
      </c>
      <c r="M210" s="16">
        <f t="shared" si="19"/>
        <v>0.11415105303336759</v>
      </c>
      <c r="N210" s="16"/>
      <c r="O210" s="15"/>
    </row>
    <row r="211" spans="1:15" x14ac:dyDescent="0.25">
      <c r="A211" s="20"/>
      <c r="B211" s="17">
        <v>286120</v>
      </c>
      <c r="C211" s="17">
        <v>95122.861000000004</v>
      </c>
      <c r="D211" s="18">
        <v>655967.97965034703</v>
      </c>
      <c r="E211" s="18">
        <v>3371533.8907209798</v>
      </c>
      <c r="F211" s="18">
        <v>269.57424520000001</v>
      </c>
      <c r="G211" s="18">
        <f t="shared" si="18"/>
        <v>270.31624520000003</v>
      </c>
      <c r="H211" s="9">
        <v>1175527.4799100084</v>
      </c>
      <c r="I211" s="17"/>
      <c r="J211" s="19"/>
      <c r="K211" s="15">
        <f t="shared" si="17"/>
        <v>269.4590336876193</v>
      </c>
      <c r="L211" s="15">
        <f t="shared" si="15"/>
        <v>270.17203368761932</v>
      </c>
      <c r="M211" s="16">
        <f t="shared" si="19"/>
        <v>0.1152115123807107</v>
      </c>
      <c r="N211" s="16"/>
      <c r="O211" s="15"/>
    </row>
    <row r="212" spans="1:15" x14ac:dyDescent="0.25">
      <c r="A212" s="20"/>
      <c r="B212" s="17">
        <v>286140</v>
      </c>
      <c r="C212" s="17">
        <v>95142.861000000004</v>
      </c>
      <c r="D212" s="18">
        <v>655951.85399825696</v>
      </c>
      <c r="E212" s="18">
        <v>3371545.72133148</v>
      </c>
      <c r="F212" s="18">
        <v>269.51511879999998</v>
      </c>
      <c r="G212" s="18">
        <f t="shared" si="18"/>
        <v>270.2571188</v>
      </c>
      <c r="H212" s="9">
        <v>1175547.4799100119</v>
      </c>
      <c r="I212" s="17"/>
      <c r="J212" s="19"/>
      <c r="K212" s="15">
        <f t="shared" si="17"/>
        <v>269.39884493568275</v>
      </c>
      <c r="L212" s="15">
        <f t="shared" si="15"/>
        <v>270.11184493568277</v>
      </c>
      <c r="M212" s="16">
        <f t="shared" si="19"/>
        <v>0.11627386431723608</v>
      </c>
      <c r="N212" s="16"/>
      <c r="O212" s="15"/>
    </row>
    <row r="213" spans="1:15" x14ac:dyDescent="0.25">
      <c r="A213" s="20"/>
      <c r="B213" s="17">
        <v>286160</v>
      </c>
      <c r="C213" s="17">
        <v>95162.917000000001</v>
      </c>
      <c r="D213" s="18">
        <v>655935.68319434195</v>
      </c>
      <c r="E213" s="18">
        <v>3371557.5850676801</v>
      </c>
      <c r="F213" s="18">
        <v>269.45582569999999</v>
      </c>
      <c r="G213" s="18">
        <f t="shared" si="18"/>
        <v>270.19782570000001</v>
      </c>
      <c r="H213" s="9">
        <v>1175567.5359100089</v>
      </c>
      <c r="I213" s="17"/>
      <c r="J213" s="19"/>
      <c r="K213" s="15">
        <f t="shared" si="17"/>
        <v>269.33848765526011</v>
      </c>
      <c r="L213" s="15">
        <f t="shared" si="15"/>
        <v>270.05148765526013</v>
      </c>
      <c r="M213" s="16">
        <f t="shared" si="19"/>
        <v>0.1173380447398813</v>
      </c>
      <c r="N213" s="16"/>
      <c r="O213" s="15"/>
    </row>
    <row r="214" spans="1:15" x14ac:dyDescent="0.25">
      <c r="A214" s="20"/>
      <c r="B214" s="17">
        <v>286180</v>
      </c>
      <c r="C214" s="17">
        <v>95182.917000000001</v>
      </c>
      <c r="D214" s="18">
        <v>655919.55754225096</v>
      </c>
      <c r="E214" s="18">
        <v>3371569.4156781798</v>
      </c>
      <c r="F214" s="18">
        <v>269.39669949999995</v>
      </c>
      <c r="G214" s="18">
        <f t="shared" si="18"/>
        <v>270.13869949999997</v>
      </c>
      <c r="H214" s="9">
        <v>1175587.5359100129</v>
      </c>
      <c r="I214" s="17"/>
      <c r="J214" s="19"/>
      <c r="K214" s="15">
        <f t="shared" si="17"/>
        <v>269.27829890332214</v>
      </c>
      <c r="L214" s="15">
        <f t="shared" si="15"/>
        <v>269.99129890332216</v>
      </c>
      <c r="M214" s="16">
        <f t="shared" si="19"/>
        <v>0.11840059667781588</v>
      </c>
      <c r="N214" s="16"/>
      <c r="O214" s="15"/>
    </row>
    <row r="215" spans="1:15" x14ac:dyDescent="0.25">
      <c r="A215" s="20"/>
      <c r="B215" s="17">
        <v>286200</v>
      </c>
      <c r="C215" s="17">
        <v>95202.892000000007</v>
      </c>
      <c r="D215" s="18">
        <v>655903.45204722695</v>
      </c>
      <c r="E215" s="18">
        <v>3371581.23150041</v>
      </c>
      <c r="F215" s="18">
        <v>269.33764789999998</v>
      </c>
      <c r="G215" s="18">
        <f t="shared" si="18"/>
        <v>270.0796479</v>
      </c>
      <c r="H215" s="9">
        <v>1175607.5109100116</v>
      </c>
      <c r="I215" s="17"/>
      <c r="J215" s="19"/>
      <c r="K215" s="15">
        <f t="shared" si="17"/>
        <v>269.21818538733993</v>
      </c>
      <c r="L215" s="15">
        <f t="shared" si="15"/>
        <v>269.93118538733995</v>
      </c>
      <c r="M215" s="16">
        <f t="shared" si="19"/>
        <v>0.11946251266004992</v>
      </c>
      <c r="N215" s="16"/>
      <c r="O215" s="15"/>
    </row>
    <row r="216" spans="1:15" x14ac:dyDescent="0.25">
      <c r="A216" s="20"/>
      <c r="B216" s="17">
        <v>286220</v>
      </c>
      <c r="C216" s="17">
        <v>95222.892000000007</v>
      </c>
      <c r="D216" s="18">
        <v>655887.326395137</v>
      </c>
      <c r="E216" s="18">
        <v>3371593.0621108999</v>
      </c>
      <c r="F216" s="18">
        <v>269.27852179999996</v>
      </c>
      <c r="G216" s="18">
        <f t="shared" si="18"/>
        <v>270.02052179999998</v>
      </c>
      <c r="H216" s="9">
        <v>1175627.5109100088</v>
      </c>
      <c r="I216" s="17"/>
      <c r="J216" s="19"/>
      <c r="K216" s="15">
        <f t="shared" si="17"/>
        <v>269.15799663542231</v>
      </c>
      <c r="L216" s="15">
        <f t="shared" si="15"/>
        <v>269.87099663542233</v>
      </c>
      <c r="M216" s="16">
        <f t="shared" si="19"/>
        <v>0.12052516457765705</v>
      </c>
      <c r="N216" s="16"/>
      <c r="O216" s="15"/>
    </row>
    <row r="217" spans="1:15" x14ac:dyDescent="0.25">
      <c r="A217" s="20"/>
      <c r="B217" s="17">
        <v>286240</v>
      </c>
      <c r="C217" s="17">
        <v>95242.902000000002</v>
      </c>
      <c r="D217" s="18">
        <v>655871.19268022105</v>
      </c>
      <c r="E217" s="18">
        <v>3371604.8986367001</v>
      </c>
      <c r="F217" s="18">
        <v>269.21936719999997</v>
      </c>
      <c r="G217" s="18">
        <f t="shared" si="18"/>
        <v>269.96136719999998</v>
      </c>
      <c r="H217" s="9">
        <v>1175647.520910009</v>
      </c>
      <c r="I217" s="17"/>
      <c r="J217" s="19"/>
      <c r="K217" s="15">
        <f t="shared" si="17"/>
        <v>269.09777778911956</v>
      </c>
      <c r="L217" s="15">
        <f t="shared" ref="L217:L280" si="20">K217+0.713</f>
        <v>269.81077778911958</v>
      </c>
      <c r="M217" s="16">
        <f t="shared" si="19"/>
        <v>0.12158941088040365</v>
      </c>
      <c r="N217" s="16"/>
      <c r="O217" s="15"/>
    </row>
    <row r="218" spans="1:15" x14ac:dyDescent="0.25">
      <c r="A218" s="20"/>
      <c r="B218" s="17">
        <v>286260</v>
      </c>
      <c r="C218" s="17">
        <v>95262.902000000002</v>
      </c>
      <c r="D218" s="18">
        <v>655855.06702813099</v>
      </c>
      <c r="E218" s="18">
        <v>3371616.7292471998</v>
      </c>
      <c r="F218" s="18">
        <v>269.16024119999997</v>
      </c>
      <c r="G218" s="18">
        <f t="shared" si="18"/>
        <v>269.90224119999999</v>
      </c>
      <c r="H218" s="9">
        <v>1175667.5209100123</v>
      </c>
      <c r="I218" s="17"/>
      <c r="J218" s="19"/>
      <c r="K218" s="15">
        <f t="shared" si="17"/>
        <v>269.03758903718369</v>
      </c>
      <c r="L218" s="15">
        <f t="shared" si="20"/>
        <v>269.75058903718372</v>
      </c>
      <c r="M218" s="16">
        <f t="shared" si="19"/>
        <v>0.12265216281628</v>
      </c>
      <c r="N218" s="16"/>
      <c r="O218" s="15"/>
    </row>
    <row r="219" spans="1:15" x14ac:dyDescent="0.25">
      <c r="A219" s="20"/>
      <c r="B219" s="17">
        <v>286280</v>
      </c>
      <c r="C219" s="17">
        <v>95282.817999999999</v>
      </c>
      <c r="D219" s="18">
        <v>655839.00910377898</v>
      </c>
      <c r="E219" s="18">
        <v>3371628.5101691298</v>
      </c>
      <c r="F219" s="18">
        <v>269.10136299999999</v>
      </c>
      <c r="G219" s="18">
        <f t="shared" si="18"/>
        <v>269.84336300000001</v>
      </c>
      <c r="H219" s="9">
        <v>1175687.4369100127</v>
      </c>
      <c r="I219" s="17"/>
      <c r="J219" s="19"/>
      <c r="K219" s="15">
        <f t="shared" si="17"/>
        <v>268.97765307801444</v>
      </c>
      <c r="L219" s="15">
        <f t="shared" si="20"/>
        <v>269.69065307801446</v>
      </c>
      <c r="M219" s="16">
        <f t="shared" si="19"/>
        <v>0.12370992198555086</v>
      </c>
      <c r="N219" s="16"/>
      <c r="O219" s="15"/>
    </row>
    <row r="220" spans="1:15" x14ac:dyDescent="0.25">
      <c r="A220" s="20"/>
      <c r="B220" s="17">
        <v>286300</v>
      </c>
      <c r="C220" s="17">
        <v>95302.789000000004</v>
      </c>
      <c r="D220" s="18">
        <v>655822.90680687805</v>
      </c>
      <c r="E220" s="18">
        <v>3371640.3235884202</v>
      </c>
      <c r="F220" s="18">
        <v>269.04232289999999</v>
      </c>
      <c r="G220" s="18">
        <f t="shared" si="18"/>
        <v>269.78432290000001</v>
      </c>
      <c r="H220" s="9">
        <v>1175707.4079100082</v>
      </c>
      <c r="I220" s="17"/>
      <c r="J220" s="19"/>
      <c r="K220" s="15">
        <f t="shared" si="17"/>
        <v>268.91755159979232</v>
      </c>
      <c r="L220" s="15">
        <f t="shared" si="20"/>
        <v>269.63055159979234</v>
      </c>
      <c r="M220" s="16">
        <f t="shared" si="19"/>
        <v>0.12477130020766936</v>
      </c>
      <c r="N220" s="16"/>
      <c r="O220" s="15"/>
    </row>
    <row r="221" spans="1:15" x14ac:dyDescent="0.25">
      <c r="A221" s="20"/>
      <c r="B221" s="17">
        <v>286320</v>
      </c>
      <c r="C221" s="17">
        <v>95322.703999999998</v>
      </c>
      <c r="D221" s="18">
        <v>655806.83957424003</v>
      </c>
      <c r="E221" s="18">
        <v>3371652.09011283</v>
      </c>
      <c r="F221" s="18">
        <v>268.9834492</v>
      </c>
      <c r="G221" s="18">
        <f t="shared" si="18"/>
        <v>269.72544920000001</v>
      </c>
      <c r="H221" s="9">
        <v>1175727.322905899</v>
      </c>
      <c r="I221" s="17"/>
      <c r="J221" s="19"/>
      <c r="K221" s="15">
        <f t="shared" si="17"/>
        <v>268.85761866242831</v>
      </c>
      <c r="L221" s="15">
        <f t="shared" si="20"/>
        <v>269.57061866242833</v>
      </c>
      <c r="M221" s="16">
        <f t="shared" si="19"/>
        <v>0.12583053757168727</v>
      </c>
      <c r="N221" s="16"/>
      <c r="O221" s="15"/>
    </row>
    <row r="222" spans="1:15" x14ac:dyDescent="0.25">
      <c r="A222" s="20"/>
      <c r="B222" s="17">
        <v>286340</v>
      </c>
      <c r="C222" s="17">
        <v>95342.668000000005</v>
      </c>
      <c r="D222" s="18">
        <v>655790.68760257505</v>
      </c>
      <c r="E222" s="18">
        <v>3371663.8235732801</v>
      </c>
      <c r="F222" s="18">
        <v>268.9244296</v>
      </c>
      <c r="G222" s="18">
        <f t="shared" si="18"/>
        <v>269.66642960000001</v>
      </c>
      <c r="H222" s="9">
        <v>1175747.2868805234</v>
      </c>
      <c r="I222" s="17"/>
      <c r="J222" s="19"/>
      <c r="K222" s="15">
        <f t="shared" si="17"/>
        <v>268.79753832662198</v>
      </c>
      <c r="L222" s="15">
        <f t="shared" si="20"/>
        <v>269.510538326622</v>
      </c>
      <c r="M222" s="16">
        <f t="shared" si="19"/>
        <v>0.1268912733780212</v>
      </c>
      <c r="N222" s="16"/>
      <c r="O222" s="15"/>
    </row>
    <row r="223" spans="1:15" x14ac:dyDescent="0.25">
      <c r="A223" s="20"/>
      <c r="B223" s="17">
        <v>286360</v>
      </c>
      <c r="C223" s="17">
        <v>95362.591</v>
      </c>
      <c r="D223" s="18">
        <v>655774.48539636098</v>
      </c>
      <c r="E223" s="18">
        <v>3371675.4171871599</v>
      </c>
      <c r="F223" s="18">
        <v>268.86552869999997</v>
      </c>
      <c r="G223" s="18">
        <f t="shared" si="18"/>
        <v>269.60752869999999</v>
      </c>
      <c r="H223" s="9">
        <v>1175767.2098162759</v>
      </c>
      <c r="I223" s="17"/>
      <c r="J223" s="19"/>
      <c r="K223" s="15">
        <f t="shared" si="17"/>
        <v>268.73758149473991</v>
      </c>
      <c r="L223" s="15">
        <f t="shared" si="20"/>
        <v>269.45058149473994</v>
      </c>
      <c r="M223" s="16">
        <f t="shared" si="19"/>
        <v>0.12794720526005676</v>
      </c>
      <c r="N223" s="16"/>
      <c r="O223" s="15"/>
    </row>
    <row r="224" spans="1:15" x14ac:dyDescent="0.25">
      <c r="A224" s="20"/>
      <c r="B224" s="17">
        <v>286380</v>
      </c>
      <c r="C224" s="17">
        <v>95382.570999999996</v>
      </c>
      <c r="D224" s="18">
        <v>655758.12556399102</v>
      </c>
      <c r="E224" s="18">
        <v>3371686.8868412399</v>
      </c>
      <c r="F224" s="18">
        <v>268.80646389999998</v>
      </c>
      <c r="G224" s="18">
        <f t="shared" si="18"/>
        <v>269.5484639</v>
      </c>
      <c r="H224" s="9">
        <v>1175787.1897331898</v>
      </c>
      <c r="I224" s="17"/>
      <c r="J224" s="19"/>
      <c r="K224" s="15">
        <f t="shared" si="17"/>
        <v>268.67745318160826</v>
      </c>
      <c r="L224" s="15">
        <f t="shared" si="20"/>
        <v>269.39045318160828</v>
      </c>
      <c r="M224" s="16">
        <f t="shared" si="19"/>
        <v>0.12901071839172573</v>
      </c>
      <c r="N224" s="16"/>
      <c r="O224" s="15"/>
    </row>
    <row r="225" spans="1:15" x14ac:dyDescent="0.25">
      <c r="A225" s="20"/>
      <c r="B225" s="17">
        <v>286400</v>
      </c>
      <c r="C225" s="17">
        <v>95402.570999999996</v>
      </c>
      <c r="D225" s="18">
        <v>655741.63542149996</v>
      </c>
      <c r="E225" s="18">
        <v>3371698.2037254102</v>
      </c>
      <c r="F225" s="18">
        <v>268.74733759999998</v>
      </c>
      <c r="G225" s="18">
        <f t="shared" si="18"/>
        <v>269.4893376</v>
      </c>
      <c r="H225" s="9">
        <v>1175807.1896498571</v>
      </c>
      <c r="I225" s="17"/>
      <c r="J225" s="19"/>
      <c r="K225" s="15">
        <f t="shared" si="17"/>
        <v>268.61726468046663</v>
      </c>
      <c r="L225" s="15">
        <f t="shared" si="20"/>
        <v>269.33026468046666</v>
      </c>
      <c r="M225" s="16">
        <f t="shared" si="19"/>
        <v>0.13007291953334743</v>
      </c>
      <c r="N225" s="16"/>
      <c r="O225" s="15"/>
    </row>
    <row r="226" spans="1:15" x14ac:dyDescent="0.25">
      <c r="A226" s="20"/>
      <c r="B226" s="17">
        <v>286420</v>
      </c>
      <c r="C226" s="17">
        <v>95422.464000000007</v>
      </c>
      <c r="D226" s="18">
        <v>655725.12205582298</v>
      </c>
      <c r="E226" s="18">
        <v>3371709.2959272</v>
      </c>
      <c r="F226" s="18">
        <v>268.6885254</v>
      </c>
      <c r="G226" s="18">
        <f t="shared" si="18"/>
        <v>269.43052540000002</v>
      </c>
      <c r="H226" s="9">
        <v>1175827.0825678564</v>
      </c>
      <c r="I226" s="17"/>
      <c r="J226" s="19"/>
      <c r="K226" s="15">
        <f t="shared" si="17"/>
        <v>268.55739818513939</v>
      </c>
      <c r="L226" s="15">
        <f t="shared" si="20"/>
        <v>269.27039818513941</v>
      </c>
      <c r="M226" s="16">
        <f t="shared" si="19"/>
        <v>0.13112721486061218</v>
      </c>
      <c r="N226" s="16"/>
      <c r="O226" s="15"/>
    </row>
    <row r="227" spans="1:15" x14ac:dyDescent="0.25">
      <c r="A227" s="20"/>
      <c r="B227" s="17">
        <v>286440</v>
      </c>
      <c r="C227" s="17">
        <v>95442.391000000003</v>
      </c>
      <c r="D227" s="18">
        <v>655708.47467346396</v>
      </c>
      <c r="E227" s="18">
        <v>3371720.2479802198</v>
      </c>
      <c r="F227" s="18">
        <v>268.62961630000001</v>
      </c>
      <c r="G227" s="18">
        <f t="shared" si="18"/>
        <v>269.37161630000003</v>
      </c>
      <c r="H227" s="9">
        <v>1175847.0095045189</v>
      </c>
      <c r="I227" s="17"/>
      <c r="J227" s="19"/>
      <c r="K227" s="15">
        <f t="shared" si="17"/>
        <v>268.49742931276808</v>
      </c>
      <c r="L227" s="15">
        <f t="shared" si="20"/>
        <v>269.2104293127681</v>
      </c>
      <c r="M227" s="16">
        <f t="shared" si="19"/>
        <v>0.13218698723193256</v>
      </c>
      <c r="N227" s="16"/>
      <c r="O227" s="15"/>
    </row>
    <row r="228" spans="1:15" x14ac:dyDescent="0.25">
      <c r="A228" s="20"/>
      <c r="B228" s="17">
        <v>286460</v>
      </c>
      <c r="C228" s="17">
        <v>95462.317999999999</v>
      </c>
      <c r="D228" s="18">
        <v>655691.75019307097</v>
      </c>
      <c r="E228" s="18">
        <v>3371731.0820056</v>
      </c>
      <c r="F228" s="18">
        <v>268.57070599999997</v>
      </c>
      <c r="G228" s="18">
        <f t="shared" si="18"/>
        <v>269.31270599999999</v>
      </c>
      <c r="H228" s="9">
        <v>1175866.9364799631</v>
      </c>
      <c r="I228" s="17"/>
      <c r="J228" s="19"/>
      <c r="K228" s="15">
        <f t="shared" si="17"/>
        <v>268.43746032368574</v>
      </c>
      <c r="L228" s="15">
        <f t="shared" si="20"/>
        <v>269.15046032368576</v>
      </c>
      <c r="M228" s="16">
        <f t="shared" si="19"/>
        <v>0.13324567631423179</v>
      </c>
      <c r="N228" s="16"/>
      <c r="O228" s="15"/>
    </row>
    <row r="229" spans="1:15" x14ac:dyDescent="0.25">
      <c r="A229" s="20"/>
      <c r="B229" s="17">
        <v>286480</v>
      </c>
      <c r="C229" s="17">
        <v>95482.245999999999</v>
      </c>
      <c r="D229" s="18">
        <v>655674.984162446</v>
      </c>
      <c r="E229" s="18">
        <v>3371741.8535072301</v>
      </c>
      <c r="F229" s="18">
        <v>268.51179400000001</v>
      </c>
      <c r="G229" s="18">
        <f t="shared" si="18"/>
        <v>269.25379400000003</v>
      </c>
      <c r="H229" s="9">
        <v>1175886.8644761064</v>
      </c>
      <c r="I229" s="17"/>
      <c r="J229" s="19"/>
      <c r="K229" s="15">
        <f t="shared" si="17"/>
        <v>268.37748826287333</v>
      </c>
      <c r="L229" s="15">
        <f t="shared" si="20"/>
        <v>269.09048826287335</v>
      </c>
      <c r="M229" s="16">
        <f t="shared" si="19"/>
        <v>0.13430573712668092</v>
      </c>
      <c r="N229" s="16"/>
      <c r="O229" s="15"/>
    </row>
    <row r="230" spans="1:15" x14ac:dyDescent="0.25">
      <c r="A230" s="20"/>
      <c r="B230" s="17">
        <v>286500</v>
      </c>
      <c r="C230" s="17">
        <v>95502.194000000003</v>
      </c>
      <c r="D230" s="18">
        <v>655658.19252681104</v>
      </c>
      <c r="E230" s="18">
        <v>3371752.6221504398</v>
      </c>
      <c r="F230" s="18">
        <v>268.45576439999996</v>
      </c>
      <c r="G230" s="18">
        <f t="shared" si="18"/>
        <v>269.19776439999998</v>
      </c>
      <c r="H230" s="9">
        <v>1175906.8124761032</v>
      </c>
      <c r="I230" s="17"/>
      <c r="J230" s="19"/>
      <c r="K230" s="15">
        <f t="shared" si="17"/>
        <v>268.31745600171183</v>
      </c>
      <c r="L230" s="15">
        <f t="shared" si="20"/>
        <v>269.03045600171185</v>
      </c>
      <c r="M230" s="16">
        <f t="shared" si="19"/>
        <v>0.13830839828813168</v>
      </c>
      <c r="N230" s="16"/>
      <c r="O230" s="15"/>
    </row>
    <row r="231" spans="1:15" x14ac:dyDescent="0.25">
      <c r="A231" s="20"/>
      <c r="B231" s="17">
        <v>286500</v>
      </c>
      <c r="C231" s="17">
        <v>95502.194000000003</v>
      </c>
      <c r="D231" s="18">
        <v>655658.19252681104</v>
      </c>
      <c r="E231" s="18">
        <v>3371752.6221504398</v>
      </c>
      <c r="F231" s="18">
        <v>268.45576439999996</v>
      </c>
      <c r="G231" s="18">
        <f t="shared" si="18"/>
        <v>269.19776439999998</v>
      </c>
      <c r="H231" s="9">
        <v>1175906.8124761032</v>
      </c>
      <c r="I231" s="17"/>
      <c r="J231" s="19"/>
      <c r="K231" s="15">
        <f t="shared" si="17"/>
        <v>268.31745600171183</v>
      </c>
      <c r="L231" s="15">
        <f t="shared" si="20"/>
        <v>269.03045600171185</v>
      </c>
      <c r="M231" s="16">
        <f t="shared" si="19"/>
        <v>0.13830839828813168</v>
      </c>
      <c r="N231" s="16"/>
      <c r="O231" s="15"/>
    </row>
    <row r="232" spans="1:15" x14ac:dyDescent="0.25">
      <c r="A232" s="21"/>
      <c r="B232" s="21"/>
      <c r="C232" s="21">
        <v>0</v>
      </c>
      <c r="D232" s="21"/>
      <c r="E232" s="21"/>
      <c r="F232" s="21"/>
      <c r="G232" s="18">
        <f t="shared" si="18"/>
        <v>0.74199999999999999</v>
      </c>
      <c r="H232" s="13">
        <v>1175924.9099999999</v>
      </c>
      <c r="I232" s="21"/>
      <c r="J232" s="16">
        <v>248.36</v>
      </c>
      <c r="K232" s="22">
        <v>268.26299999999998</v>
      </c>
      <c r="L232" s="15">
        <f t="shared" si="20"/>
        <v>268.976</v>
      </c>
      <c r="M232" s="16"/>
      <c r="N232" s="16"/>
      <c r="O232" s="15"/>
    </row>
    <row r="233" spans="1:15" x14ac:dyDescent="0.25">
      <c r="A233" s="20"/>
      <c r="B233" s="17">
        <v>286520</v>
      </c>
      <c r="C233" s="17">
        <v>95522.195000000007</v>
      </c>
      <c r="D233" s="18">
        <v>655641.35625503596</v>
      </c>
      <c r="E233" s="18">
        <v>3371763.4193701702</v>
      </c>
      <c r="F233" s="18">
        <v>268.47090229999998</v>
      </c>
      <c r="G233" s="18">
        <f t="shared" si="18"/>
        <v>269.2129023</v>
      </c>
      <c r="H233" s="9">
        <v>1175926.813476108</v>
      </c>
      <c r="I233" s="17"/>
      <c r="J233" s="19"/>
      <c r="K233" s="15">
        <f>K232+(1/$J$232)*(H233-H232)</f>
        <v>268.27066418146279</v>
      </c>
      <c r="L233" s="15">
        <f t="shared" si="20"/>
        <v>268.98366418146281</v>
      </c>
      <c r="M233" s="16">
        <f t="shared" si="19"/>
        <v>0.20023811853718598</v>
      </c>
      <c r="N233" s="16"/>
      <c r="O233" s="15"/>
    </row>
    <row r="234" spans="1:15" x14ac:dyDescent="0.25">
      <c r="A234" s="20"/>
      <c r="B234" s="17">
        <v>286540</v>
      </c>
      <c r="C234" s="17">
        <v>95542.183000000005</v>
      </c>
      <c r="D234" s="18">
        <v>655624.53092629102</v>
      </c>
      <c r="E234" s="18">
        <v>3371774.2095720498</v>
      </c>
      <c r="F234" s="18">
        <v>268.55020889999997</v>
      </c>
      <c r="G234" s="18">
        <f t="shared" si="18"/>
        <v>269.29220889999999</v>
      </c>
      <c r="H234" s="9">
        <v>1175946.8014761074</v>
      </c>
      <c r="I234" s="17"/>
      <c r="J234" s="19"/>
      <c r="K234" s="15">
        <f t="shared" ref="K234:K281" si="21">K233+(1/$J$232)*(H234-H233)</f>
        <v>268.35114412992243</v>
      </c>
      <c r="L234" s="15">
        <f t="shared" si="20"/>
        <v>269.06414412992245</v>
      </c>
      <c r="M234" s="16">
        <f t="shared" si="19"/>
        <v>0.1990647700775412</v>
      </c>
      <c r="N234" s="16"/>
      <c r="O234" s="15"/>
    </row>
    <row r="235" spans="1:15" x14ac:dyDescent="0.25">
      <c r="A235" s="20"/>
      <c r="B235" s="17">
        <v>286560</v>
      </c>
      <c r="C235" s="17">
        <v>95562.194000000003</v>
      </c>
      <c r="D235" s="18">
        <v>655607.68623680098</v>
      </c>
      <c r="E235" s="18">
        <v>3371785.0121901101</v>
      </c>
      <c r="F235" s="18">
        <v>268.63079629999999</v>
      </c>
      <c r="G235" s="18">
        <f t="shared" si="18"/>
        <v>269.3727963</v>
      </c>
      <c r="H235" s="9">
        <v>1175966.8124761067</v>
      </c>
      <c r="I235" s="17"/>
      <c r="J235" s="19"/>
      <c r="K235" s="15">
        <f t="shared" si="21"/>
        <v>268.4317166858865</v>
      </c>
      <c r="L235" s="15">
        <f t="shared" si="20"/>
        <v>269.14471668588652</v>
      </c>
      <c r="M235" s="16">
        <f t="shared" si="19"/>
        <v>0.19907961411348651</v>
      </c>
      <c r="N235" s="16"/>
      <c r="O235" s="15"/>
    </row>
    <row r="236" spans="1:15" x14ac:dyDescent="0.25">
      <c r="A236" s="20"/>
      <c r="B236" s="17">
        <v>286580</v>
      </c>
      <c r="C236" s="17">
        <v>95582.195000000007</v>
      </c>
      <c r="D236" s="18">
        <v>655590.84996502602</v>
      </c>
      <c r="E236" s="18">
        <v>3371795.8094098298</v>
      </c>
      <c r="F236" s="18">
        <v>268.71134050000001</v>
      </c>
      <c r="G236" s="18">
        <f t="shared" si="18"/>
        <v>269.45334050000002</v>
      </c>
      <c r="H236" s="9">
        <v>1175986.8134761057</v>
      </c>
      <c r="I236" s="17"/>
      <c r="J236" s="19"/>
      <c r="K236" s="15">
        <f t="shared" si="21"/>
        <v>268.51224897771692</v>
      </c>
      <c r="L236" s="15">
        <f t="shared" si="20"/>
        <v>269.22524897771694</v>
      </c>
      <c r="M236" s="16">
        <f t="shared" si="19"/>
        <v>0.19909152228308358</v>
      </c>
      <c r="N236" s="16"/>
      <c r="O236" s="15"/>
    </row>
    <row r="237" spans="1:15" x14ac:dyDescent="0.25">
      <c r="A237" s="20"/>
      <c r="B237" s="17">
        <v>286600</v>
      </c>
      <c r="C237" s="17">
        <v>95602.207999999999</v>
      </c>
      <c r="D237" s="18">
        <v>655574.00359199301</v>
      </c>
      <c r="E237" s="18">
        <v>3371806.6131075602</v>
      </c>
      <c r="F237" s="18">
        <v>268.79193019999997</v>
      </c>
      <c r="G237" s="18">
        <f t="shared" si="18"/>
        <v>269.53393019999999</v>
      </c>
      <c r="H237" s="9">
        <v>1176006.8264761062</v>
      </c>
      <c r="I237" s="17"/>
      <c r="J237" s="19"/>
      <c r="K237" s="15">
        <f t="shared" si="21"/>
        <v>268.59282958651261</v>
      </c>
      <c r="L237" s="15">
        <f t="shared" si="20"/>
        <v>269.30582958651263</v>
      </c>
      <c r="M237" s="16">
        <f t="shared" si="19"/>
        <v>0.19910061348736008</v>
      </c>
      <c r="N237" s="16"/>
      <c r="O237" s="15"/>
    </row>
    <row r="238" spans="1:15" x14ac:dyDescent="0.25">
      <c r="A238" s="20"/>
      <c r="B238" s="17">
        <v>286620</v>
      </c>
      <c r="C238" s="17">
        <v>95622.207999999999</v>
      </c>
      <c r="D238" s="18">
        <v>655557.16816198896</v>
      </c>
      <c r="E238" s="18">
        <v>3371817.40978745</v>
      </c>
      <c r="F238" s="18">
        <v>268.87247229999997</v>
      </c>
      <c r="G238" s="18">
        <f t="shared" si="18"/>
        <v>269.61447229999999</v>
      </c>
      <c r="H238" s="9">
        <v>1176026.8264761078</v>
      </c>
      <c r="I238" s="17"/>
      <c r="J238" s="19"/>
      <c r="K238" s="15">
        <f t="shared" si="21"/>
        <v>268.67335785194035</v>
      </c>
      <c r="L238" s="15">
        <f t="shared" si="20"/>
        <v>269.38635785194037</v>
      </c>
      <c r="M238" s="16">
        <f t="shared" si="19"/>
        <v>0.19911444805961764</v>
      </c>
      <c r="N238" s="16"/>
      <c r="O238" s="15"/>
    </row>
    <row r="239" spans="1:15" x14ac:dyDescent="0.25">
      <c r="A239" s="20"/>
      <c r="B239" s="17">
        <v>286640</v>
      </c>
      <c r="C239" s="17">
        <v>95642.297000000006</v>
      </c>
      <c r="D239" s="18">
        <v>655540.25781464297</v>
      </c>
      <c r="E239" s="18">
        <v>3371828.2545130602</v>
      </c>
      <c r="F239" s="18">
        <v>268.95337019999999</v>
      </c>
      <c r="G239" s="18">
        <f t="shared" si="18"/>
        <v>269.69537020000001</v>
      </c>
      <c r="H239" s="9">
        <v>1176046.9154761059</v>
      </c>
      <c r="I239" s="17"/>
      <c r="J239" s="19"/>
      <c r="K239" s="15">
        <f t="shared" si="21"/>
        <v>268.7542444681348</v>
      </c>
      <c r="L239" s="15">
        <f t="shared" si="20"/>
        <v>269.46724446813482</v>
      </c>
      <c r="M239" s="16">
        <f t="shared" si="19"/>
        <v>0.19912573186519467</v>
      </c>
      <c r="N239" s="16"/>
      <c r="O239" s="15"/>
    </row>
    <row r="240" spans="1:15" x14ac:dyDescent="0.25">
      <c r="A240" s="20"/>
      <c r="B240" s="17">
        <v>286660</v>
      </c>
      <c r="C240" s="17">
        <v>95662.297000000006</v>
      </c>
      <c r="D240" s="18">
        <v>655523.42909170198</v>
      </c>
      <c r="E240" s="18">
        <v>3371839.06163899</v>
      </c>
      <c r="F240" s="18">
        <v>269.03391019999998</v>
      </c>
      <c r="G240" s="18">
        <f t="shared" si="18"/>
        <v>269.7759102</v>
      </c>
      <c r="H240" s="9">
        <v>1176066.915473273</v>
      </c>
      <c r="I240" s="17"/>
      <c r="J240" s="19"/>
      <c r="K240" s="15">
        <f t="shared" si="21"/>
        <v>268.83477272214975</v>
      </c>
      <c r="L240" s="15">
        <f t="shared" si="20"/>
        <v>269.54777272214977</v>
      </c>
      <c r="M240" s="16">
        <f t="shared" si="19"/>
        <v>0.19913747785022906</v>
      </c>
      <c r="N240" s="16"/>
      <c r="O240" s="15"/>
    </row>
    <row r="241" spans="1:15" x14ac:dyDescent="0.25">
      <c r="A241" s="20"/>
      <c r="B241" s="17">
        <v>286680</v>
      </c>
      <c r="C241" s="17">
        <v>95682.369000000006</v>
      </c>
      <c r="D241" s="18">
        <v>655506.57752898999</v>
      </c>
      <c r="E241" s="18">
        <v>3371849.9661849001</v>
      </c>
      <c r="F241" s="18">
        <v>269.11474239999995</v>
      </c>
      <c r="G241" s="18">
        <f t="shared" si="18"/>
        <v>269.85674239999997</v>
      </c>
      <c r="H241" s="9">
        <v>1176086.987450937</v>
      </c>
      <c r="I241" s="17"/>
      <c r="J241" s="19"/>
      <c r="K241" s="15">
        <f t="shared" si="21"/>
        <v>268.91559079939253</v>
      </c>
      <c r="L241" s="15">
        <f t="shared" si="20"/>
        <v>269.62859079939255</v>
      </c>
      <c r="M241" s="16">
        <f t="shared" si="19"/>
        <v>0.1991516006074221</v>
      </c>
      <c r="N241" s="16"/>
      <c r="O241" s="15"/>
    </row>
    <row r="242" spans="1:15" x14ac:dyDescent="0.25">
      <c r="A242" s="20"/>
      <c r="B242" s="17">
        <v>286700</v>
      </c>
      <c r="C242" s="17">
        <v>95702.369000000006</v>
      </c>
      <c r="D242" s="18">
        <v>655489.85395365895</v>
      </c>
      <c r="E242" s="18">
        <v>3371860.9352571801</v>
      </c>
      <c r="F242" s="18">
        <v>269.1952829</v>
      </c>
      <c r="G242" s="18">
        <f t="shared" si="18"/>
        <v>269.93728290000001</v>
      </c>
      <c r="H242" s="9">
        <v>1176106.9874139004</v>
      </c>
      <c r="I242" s="17"/>
      <c r="J242" s="19"/>
      <c r="K242" s="15">
        <f t="shared" si="21"/>
        <v>268.99611891568901</v>
      </c>
      <c r="L242" s="15">
        <f t="shared" si="20"/>
        <v>269.70911891568903</v>
      </c>
      <c r="M242" s="16">
        <f t="shared" si="19"/>
        <v>0.19916398431098514</v>
      </c>
      <c r="N242" s="16"/>
      <c r="O242" s="15"/>
    </row>
    <row r="243" spans="1:15" x14ac:dyDescent="0.25">
      <c r="A243" s="20"/>
      <c r="B243" s="17">
        <v>286720</v>
      </c>
      <c r="C243" s="17">
        <v>95722.441000000006</v>
      </c>
      <c r="D243" s="18">
        <v>655473.14406995801</v>
      </c>
      <c r="E243" s="18">
        <v>3371872.0556649002</v>
      </c>
      <c r="F243" s="18">
        <v>269.27611189999999</v>
      </c>
      <c r="G243" s="18">
        <f t="shared" si="18"/>
        <v>270.01811190000001</v>
      </c>
      <c r="H243" s="9">
        <v>1176127.0593764642</v>
      </c>
      <c r="I243" s="17"/>
      <c r="J243" s="19"/>
      <c r="K243" s="15">
        <f t="shared" si="21"/>
        <v>269.07693693213201</v>
      </c>
      <c r="L243" s="15">
        <f t="shared" si="20"/>
        <v>269.78993693213204</v>
      </c>
      <c r="M243" s="16">
        <f t="shared" si="19"/>
        <v>0.19917496786797528</v>
      </c>
      <c r="N243" s="16"/>
      <c r="O243" s="15"/>
    </row>
    <row r="244" spans="1:15" x14ac:dyDescent="0.25">
      <c r="A244" s="20"/>
      <c r="B244" s="17">
        <v>286740</v>
      </c>
      <c r="C244" s="17">
        <v>95742.493000000002</v>
      </c>
      <c r="D244" s="18">
        <v>655456.525500622</v>
      </c>
      <c r="E244" s="18">
        <v>3371883.2763761198</v>
      </c>
      <c r="F244" s="18">
        <v>269.3568621</v>
      </c>
      <c r="G244" s="18">
        <f t="shared" si="18"/>
        <v>270.09886210000002</v>
      </c>
      <c r="H244" s="9">
        <v>1176147.1113391374</v>
      </c>
      <c r="I244" s="17"/>
      <c r="J244" s="19"/>
      <c r="K244" s="15">
        <f t="shared" si="21"/>
        <v>269.15767442075014</v>
      </c>
      <c r="L244" s="15">
        <f t="shared" si="20"/>
        <v>269.87067442075016</v>
      </c>
      <c r="M244" s="16">
        <f t="shared" si="19"/>
        <v>0.19918767924986014</v>
      </c>
      <c r="N244" s="16"/>
      <c r="O244" s="15"/>
    </row>
    <row r="245" spans="1:15" x14ac:dyDescent="0.25">
      <c r="A245" s="20"/>
      <c r="B245" s="17">
        <v>286760</v>
      </c>
      <c r="C245" s="17">
        <v>95762.551000000007</v>
      </c>
      <c r="D245" s="18">
        <v>655439.977362448</v>
      </c>
      <c r="E245" s="18">
        <v>3371894.6113215601</v>
      </c>
      <c r="F245" s="18">
        <v>269.43763759999996</v>
      </c>
      <c r="G245" s="18">
        <f t="shared" si="18"/>
        <v>270.17963759999998</v>
      </c>
      <c r="H245" s="9">
        <v>1176167.1693017748</v>
      </c>
      <c r="I245" s="17"/>
      <c r="J245" s="19"/>
      <c r="K245" s="15">
        <f t="shared" si="21"/>
        <v>269.23843606770373</v>
      </c>
      <c r="L245" s="15">
        <f t="shared" si="20"/>
        <v>269.95143606770375</v>
      </c>
      <c r="M245" s="16">
        <f t="shared" si="19"/>
        <v>0.19920153229622883</v>
      </c>
      <c r="N245" s="16"/>
      <c r="O245" s="15"/>
    </row>
    <row r="246" spans="1:15" x14ac:dyDescent="0.25">
      <c r="A246" s="20"/>
      <c r="B246" s="17">
        <v>286780</v>
      </c>
      <c r="C246" s="17">
        <v>95782.604000000007</v>
      </c>
      <c r="D246" s="18">
        <v>655423.509475564</v>
      </c>
      <c r="E246" s="18">
        <v>3371906.0537869101</v>
      </c>
      <c r="F246" s="18">
        <v>269.51839089999999</v>
      </c>
      <c r="G246" s="18">
        <f t="shared" si="18"/>
        <v>270.2603909</v>
      </c>
      <c r="H246" s="9">
        <v>1176187.2222644414</v>
      </c>
      <c r="I246" s="17"/>
      <c r="J246" s="19"/>
      <c r="K246" s="15">
        <f t="shared" si="21"/>
        <v>269.31917758270862</v>
      </c>
      <c r="L246" s="15">
        <f t="shared" si="20"/>
        <v>270.03217758270864</v>
      </c>
      <c r="M246" s="16">
        <f t="shared" si="19"/>
        <v>0.19921331729136682</v>
      </c>
      <c r="N246" s="16"/>
      <c r="O246" s="15"/>
    </row>
    <row r="247" spans="1:15" x14ac:dyDescent="0.25">
      <c r="A247" s="20"/>
      <c r="B247" s="17">
        <v>286800</v>
      </c>
      <c r="C247" s="17">
        <v>95802.665999999997</v>
      </c>
      <c r="D247" s="18">
        <v>655407.11110214901</v>
      </c>
      <c r="E247" s="18">
        <v>3371917.6112820301</v>
      </c>
      <c r="F247" s="18">
        <v>269.59917889999997</v>
      </c>
      <c r="G247" s="18">
        <f t="shared" si="18"/>
        <v>270.34117889999999</v>
      </c>
      <c r="H247" s="9">
        <v>1176207.2842270599</v>
      </c>
      <c r="I247" s="17"/>
      <c r="J247" s="19"/>
      <c r="K247" s="15">
        <f t="shared" si="21"/>
        <v>269.39995533523921</v>
      </c>
      <c r="L247" s="15">
        <f t="shared" si="20"/>
        <v>270.11295533523923</v>
      </c>
      <c r="M247" s="16">
        <f t="shared" si="19"/>
        <v>0.1992235647607572</v>
      </c>
      <c r="N247" s="16"/>
      <c r="O247" s="15"/>
    </row>
    <row r="248" spans="1:15" x14ac:dyDescent="0.25">
      <c r="A248" s="20"/>
      <c r="B248" s="17">
        <v>286820</v>
      </c>
      <c r="C248" s="17">
        <v>95822.665999999997</v>
      </c>
      <c r="D248" s="18">
        <v>655390.84070114803</v>
      </c>
      <c r="E248" s="18">
        <v>3371929.2419556901</v>
      </c>
      <c r="F248" s="18">
        <v>269.67971969999996</v>
      </c>
      <c r="G248" s="18">
        <f t="shared" si="18"/>
        <v>270.42171969999998</v>
      </c>
      <c r="H248" s="9">
        <v>1176227.2841900229</v>
      </c>
      <c r="I248" s="17"/>
      <c r="J248" s="19"/>
      <c r="K248" s="15">
        <f t="shared" si="21"/>
        <v>269.48048345153381</v>
      </c>
      <c r="L248" s="15">
        <f t="shared" si="20"/>
        <v>270.19348345153384</v>
      </c>
      <c r="M248" s="16">
        <f t="shared" si="19"/>
        <v>0.19923624846614985</v>
      </c>
      <c r="N248" s="16"/>
      <c r="O248" s="15"/>
    </row>
    <row r="249" spans="1:15" x14ac:dyDescent="0.25">
      <c r="A249" s="20"/>
      <c r="B249" s="17">
        <v>286840</v>
      </c>
      <c r="C249" s="17">
        <v>95842.713000000003</v>
      </c>
      <c r="D249" s="18">
        <v>655374.60470133403</v>
      </c>
      <c r="E249" s="18">
        <v>3371941.0009356299</v>
      </c>
      <c r="F249" s="18">
        <v>269.76045210000001</v>
      </c>
      <c r="G249" s="18">
        <f t="shared" si="18"/>
        <v>270.50245210000003</v>
      </c>
      <c r="H249" s="9">
        <v>1176247.3311673307</v>
      </c>
      <c r="I249" s="17"/>
      <c r="J249" s="19"/>
      <c r="K249" s="15">
        <f t="shared" si="21"/>
        <v>269.56120086701088</v>
      </c>
      <c r="L249" s="15">
        <f t="shared" si="20"/>
        <v>270.2742008670109</v>
      </c>
      <c r="M249" s="16">
        <f t="shared" si="19"/>
        <v>0.19925123298912695</v>
      </c>
      <c r="N249" s="16"/>
      <c r="O249" s="15"/>
    </row>
    <row r="250" spans="1:15" x14ac:dyDescent="0.25">
      <c r="A250" s="20"/>
      <c r="B250" s="17">
        <v>286860</v>
      </c>
      <c r="C250" s="17">
        <v>95862.751000000004</v>
      </c>
      <c r="D250" s="18">
        <v>655358.41744810797</v>
      </c>
      <c r="E250" s="18">
        <v>3371952.8117000698</v>
      </c>
      <c r="F250" s="18">
        <v>269.8411433</v>
      </c>
      <c r="G250" s="18">
        <f t="shared" si="18"/>
        <v>270.58314330000002</v>
      </c>
      <c r="H250" s="9">
        <v>1176267.3691643279</v>
      </c>
      <c r="I250" s="17"/>
      <c r="J250" s="19"/>
      <c r="K250" s="15">
        <f t="shared" si="21"/>
        <v>269.64188212404554</v>
      </c>
      <c r="L250" s="15">
        <f t="shared" si="20"/>
        <v>270.35488212404556</v>
      </c>
      <c r="M250" s="16">
        <f t="shared" si="19"/>
        <v>0.19926117595446158</v>
      </c>
      <c r="N250" s="16"/>
      <c r="O250" s="15"/>
    </row>
    <row r="251" spans="1:15" x14ac:dyDescent="0.25">
      <c r="A251" s="20"/>
      <c r="B251" s="17">
        <v>286880</v>
      </c>
      <c r="C251" s="17">
        <v>95882.788</v>
      </c>
      <c r="D251" s="18">
        <v>655342.23866196803</v>
      </c>
      <c r="E251" s="18">
        <v>3371964.6323704501</v>
      </c>
      <c r="F251" s="18">
        <v>269.92183439999997</v>
      </c>
      <c r="G251" s="18">
        <f t="shared" si="18"/>
        <v>270.66383439999998</v>
      </c>
      <c r="H251" s="9">
        <v>1176287.4061643328</v>
      </c>
      <c r="I251" s="17"/>
      <c r="J251" s="19"/>
      <c r="K251" s="15">
        <f t="shared" si="21"/>
        <v>269.72255936677749</v>
      </c>
      <c r="L251" s="15">
        <f t="shared" si="20"/>
        <v>270.43555936677751</v>
      </c>
      <c r="M251" s="16">
        <f t="shared" si="19"/>
        <v>0.1992750332224773</v>
      </c>
      <c r="N251" s="16"/>
      <c r="O251" s="15"/>
    </row>
    <row r="252" spans="1:15" x14ac:dyDescent="0.25">
      <c r="A252" s="20"/>
      <c r="B252" s="17">
        <v>286900</v>
      </c>
      <c r="C252" s="17">
        <v>95902.788</v>
      </c>
      <c r="D252" s="18">
        <v>655326.08975221997</v>
      </c>
      <c r="E252" s="18">
        <v>3371976.4312141999</v>
      </c>
      <c r="F252" s="18">
        <v>270.00237490000001</v>
      </c>
      <c r="G252" s="18">
        <f t="shared" si="18"/>
        <v>270.74437490000003</v>
      </c>
      <c r="H252" s="9">
        <v>1176307.4061643297</v>
      </c>
      <c r="I252" s="17"/>
      <c r="J252" s="19"/>
      <c r="K252" s="15">
        <f t="shared" si="21"/>
        <v>269.80308763218648</v>
      </c>
      <c r="L252" s="15">
        <f t="shared" si="20"/>
        <v>270.5160876321865</v>
      </c>
      <c r="M252" s="16">
        <f t="shared" si="19"/>
        <v>0.19928726781353134</v>
      </c>
      <c r="N252" s="16"/>
      <c r="O252" s="15"/>
    </row>
    <row r="253" spans="1:15" x14ac:dyDescent="0.25">
      <c r="A253" s="20"/>
      <c r="B253" s="17">
        <v>286920</v>
      </c>
      <c r="C253" s="17">
        <v>95922.805999999997</v>
      </c>
      <c r="D253" s="18">
        <v>655309.92630845204</v>
      </c>
      <c r="E253" s="18">
        <v>3371988.2406769102</v>
      </c>
      <c r="F253" s="18">
        <v>270.08298450000001</v>
      </c>
      <c r="G253" s="18">
        <f t="shared" si="18"/>
        <v>270.82498450000003</v>
      </c>
      <c r="H253" s="9">
        <v>1176327.4241643283</v>
      </c>
      <c r="I253" s="17"/>
      <c r="J253" s="19"/>
      <c r="K253" s="15">
        <f t="shared" si="21"/>
        <v>269.88368837304057</v>
      </c>
      <c r="L253" s="15">
        <f t="shared" si="20"/>
        <v>270.59668837304059</v>
      </c>
      <c r="M253" s="16">
        <f t="shared" si="19"/>
        <v>0.19929612695943888</v>
      </c>
      <c r="N253" s="16"/>
      <c r="O253" s="15"/>
    </row>
    <row r="254" spans="1:15" x14ac:dyDescent="0.25">
      <c r="A254" s="20"/>
      <c r="B254" s="17">
        <v>286940</v>
      </c>
      <c r="C254" s="17">
        <v>95942.805999999997</v>
      </c>
      <c r="D254" s="18">
        <v>655293.77739870397</v>
      </c>
      <c r="E254" s="18">
        <v>3372000.0395206702</v>
      </c>
      <c r="F254" s="18">
        <v>270.16352539999997</v>
      </c>
      <c r="G254" s="18">
        <f t="shared" si="18"/>
        <v>270.90552539999999</v>
      </c>
      <c r="H254" s="9">
        <v>1176347.4241643313</v>
      </c>
      <c r="I254" s="17"/>
      <c r="J254" s="19"/>
      <c r="K254" s="15">
        <f t="shared" si="21"/>
        <v>269.96421663847394</v>
      </c>
      <c r="L254" s="15">
        <f t="shared" si="20"/>
        <v>270.67721663847396</v>
      </c>
      <c r="M254" s="16">
        <f t="shared" si="19"/>
        <v>0.1993087615260265</v>
      </c>
      <c r="N254" s="16"/>
      <c r="O254" s="15"/>
    </row>
    <row r="255" spans="1:15" x14ac:dyDescent="0.25">
      <c r="A255" s="20"/>
      <c r="B255" s="17">
        <v>286960</v>
      </c>
      <c r="C255" s="17">
        <v>95962.797999999995</v>
      </c>
      <c r="D255" s="18">
        <v>655277.63494851894</v>
      </c>
      <c r="E255" s="18">
        <v>3372011.83364488</v>
      </c>
      <c r="F255" s="18">
        <v>270.24403379999995</v>
      </c>
      <c r="G255" s="18">
        <f t="shared" si="18"/>
        <v>270.98603379999997</v>
      </c>
      <c r="H255" s="9">
        <v>1176367.4161643276</v>
      </c>
      <c r="I255" s="17"/>
      <c r="J255" s="19"/>
      <c r="K255" s="15">
        <f t="shared" si="21"/>
        <v>270.04471269257431</v>
      </c>
      <c r="L255" s="15">
        <f t="shared" si="20"/>
        <v>270.75771269257433</v>
      </c>
      <c r="M255" s="16">
        <f t="shared" si="19"/>
        <v>0.19932110742564646</v>
      </c>
      <c r="N255" s="16"/>
      <c r="O255" s="15"/>
    </row>
    <row r="256" spans="1:15" x14ac:dyDescent="0.25">
      <c r="A256" s="20"/>
      <c r="B256" s="17">
        <v>286980</v>
      </c>
      <c r="C256" s="17">
        <v>95982.797999999995</v>
      </c>
      <c r="D256" s="18">
        <v>655261.48603876994</v>
      </c>
      <c r="E256" s="18">
        <v>3372023.63248864</v>
      </c>
      <c r="F256" s="18">
        <v>270.32457449999998</v>
      </c>
      <c r="G256" s="18">
        <f t="shared" si="18"/>
        <v>271.0665745</v>
      </c>
      <c r="H256" s="9">
        <v>1176387.4161643316</v>
      </c>
      <c r="I256" s="17"/>
      <c r="J256" s="19"/>
      <c r="K256" s="15">
        <f t="shared" si="21"/>
        <v>270.12524095801143</v>
      </c>
      <c r="L256" s="15">
        <f t="shared" si="20"/>
        <v>270.83824095801145</v>
      </c>
      <c r="M256" s="16">
        <f t="shared" si="19"/>
        <v>0.19933354198855113</v>
      </c>
      <c r="N256" s="16"/>
      <c r="O256" s="15"/>
    </row>
    <row r="257" spans="1:15" x14ac:dyDescent="0.25">
      <c r="A257" s="20">
        <v>287</v>
      </c>
      <c r="B257" s="17">
        <v>287000</v>
      </c>
      <c r="C257" s="17">
        <v>96002.994000000006</v>
      </c>
      <c r="D257" s="18">
        <v>655245.178869706</v>
      </c>
      <c r="E257" s="18">
        <v>3372035.5469610598</v>
      </c>
      <c r="F257" s="18">
        <v>270.40513239999996</v>
      </c>
      <c r="G257" s="18">
        <f t="shared" si="18"/>
        <v>271.14713239999998</v>
      </c>
      <c r="H257" s="9">
        <v>1176407.6129999999</v>
      </c>
      <c r="I257" s="17"/>
      <c r="J257" s="19"/>
      <c r="K257" s="15">
        <f t="shared" si="21"/>
        <v>270.20656176517963</v>
      </c>
      <c r="L257" s="15">
        <f t="shared" si="20"/>
        <v>270.91956176517965</v>
      </c>
      <c r="M257" s="16">
        <f t="shared" si="19"/>
        <v>0.198570634820328</v>
      </c>
      <c r="N257" s="16"/>
      <c r="O257" s="15"/>
    </row>
    <row r="258" spans="1:15" x14ac:dyDescent="0.25">
      <c r="A258" s="20">
        <v>287</v>
      </c>
      <c r="B258" s="17">
        <v>287000</v>
      </c>
      <c r="C258" s="17">
        <v>96002.994000000006</v>
      </c>
      <c r="D258" s="18">
        <v>655245.178869706</v>
      </c>
      <c r="E258" s="18">
        <v>3372035.5469610598</v>
      </c>
      <c r="F258" s="18">
        <v>270.40513239999996</v>
      </c>
      <c r="G258" s="18">
        <f t="shared" si="18"/>
        <v>271.14713239999998</v>
      </c>
      <c r="H258" s="9">
        <v>1176407.6129999999</v>
      </c>
      <c r="I258" s="17"/>
      <c r="J258" s="19"/>
      <c r="K258" s="15">
        <f t="shared" si="21"/>
        <v>270.20656176517963</v>
      </c>
      <c r="L258" s="15">
        <f t="shared" si="20"/>
        <v>270.91956176517965</v>
      </c>
      <c r="M258" s="16">
        <f t="shared" si="19"/>
        <v>0.198570634820328</v>
      </c>
      <c r="N258" s="16"/>
      <c r="O258" s="15"/>
    </row>
    <row r="259" spans="1:15" x14ac:dyDescent="0.25">
      <c r="A259" s="20"/>
      <c r="B259" s="17">
        <v>287020</v>
      </c>
      <c r="C259" s="17">
        <v>96022.803</v>
      </c>
      <c r="D259" s="18">
        <v>655229.18418204505</v>
      </c>
      <c r="E259" s="18">
        <v>3372047.2331258599</v>
      </c>
      <c r="F259" s="18">
        <v>270.48567320000001</v>
      </c>
      <c r="G259" s="18">
        <f t="shared" si="18"/>
        <v>271.22767320000003</v>
      </c>
      <c r="H259" s="9">
        <v>1176427.4220000026</v>
      </c>
      <c r="I259" s="17"/>
      <c r="J259" s="19"/>
      <c r="K259" s="15">
        <f t="shared" si="21"/>
        <v>270.28632098567681</v>
      </c>
      <c r="L259" s="15">
        <f t="shared" si="20"/>
        <v>270.99932098567683</v>
      </c>
      <c r="M259" s="16">
        <f t="shared" si="19"/>
        <v>0.1993522143231985</v>
      </c>
      <c r="N259" s="16"/>
      <c r="O259" s="15"/>
    </row>
    <row r="260" spans="1:15" x14ac:dyDescent="0.25">
      <c r="A260" s="20"/>
      <c r="B260" s="17">
        <v>287040</v>
      </c>
      <c r="C260" s="17">
        <v>96042.803</v>
      </c>
      <c r="D260" s="18">
        <v>655213.03527229698</v>
      </c>
      <c r="E260" s="18">
        <v>3372059.0319696101</v>
      </c>
      <c r="F260" s="18">
        <v>270.56621100000001</v>
      </c>
      <c r="G260" s="18">
        <f t="shared" si="18"/>
        <v>271.30821100000003</v>
      </c>
      <c r="H260" s="9">
        <v>1176447.422</v>
      </c>
      <c r="I260" s="17"/>
      <c r="J260" s="19"/>
      <c r="K260" s="15">
        <f t="shared" si="21"/>
        <v>270.36684925108767</v>
      </c>
      <c r="L260" s="15">
        <f t="shared" si="20"/>
        <v>271.07984925108769</v>
      </c>
      <c r="M260" s="16">
        <f t="shared" si="19"/>
        <v>0.19936174891233804</v>
      </c>
      <c r="N260" s="16"/>
      <c r="O260" s="15"/>
    </row>
    <row r="261" spans="1:15" x14ac:dyDescent="0.25">
      <c r="A261" s="20"/>
      <c r="B261" s="17">
        <v>287060</v>
      </c>
      <c r="C261" s="17">
        <v>96062.803</v>
      </c>
      <c r="D261" s="18">
        <v>655196.88636254799</v>
      </c>
      <c r="E261" s="18">
        <v>3372070.8308133702</v>
      </c>
      <c r="F261" s="18">
        <v>270.6467518</v>
      </c>
      <c r="G261" s="18">
        <f t="shared" ref="G261:G324" si="22">F261+0.742</f>
        <v>271.38875180000002</v>
      </c>
      <c r="H261" s="9">
        <v>1176467.422000004</v>
      </c>
      <c r="I261" s="17"/>
      <c r="J261" s="19"/>
      <c r="K261" s="15">
        <f t="shared" si="21"/>
        <v>270.4473775165248</v>
      </c>
      <c r="L261" s="15">
        <f t="shared" si="20"/>
        <v>271.16037751652482</v>
      </c>
      <c r="M261" s="16">
        <f t="shared" ref="M261:M324" si="23">(F261-K261)</f>
        <v>0.19937428347520836</v>
      </c>
      <c r="N261" s="16"/>
      <c r="O261" s="15"/>
    </row>
    <row r="262" spans="1:15" x14ac:dyDescent="0.25">
      <c r="A262" s="20"/>
      <c r="B262" s="17">
        <v>287080</v>
      </c>
      <c r="C262" s="17">
        <v>96082.803</v>
      </c>
      <c r="D262" s="18">
        <v>655180.73331091402</v>
      </c>
      <c r="E262" s="18">
        <v>3372082.6239837902</v>
      </c>
      <c r="F262" s="18">
        <v>270.72729469999996</v>
      </c>
      <c r="G262" s="18">
        <f t="shared" si="22"/>
        <v>271.46929469999998</v>
      </c>
      <c r="H262" s="9">
        <v>1176487.4219986452</v>
      </c>
      <c r="I262" s="17"/>
      <c r="J262" s="19"/>
      <c r="K262" s="15">
        <f t="shared" si="21"/>
        <v>270.52790577647488</v>
      </c>
      <c r="L262" s="15">
        <f t="shared" si="20"/>
        <v>271.2409057764749</v>
      </c>
      <c r="M262" s="16">
        <f t="shared" si="23"/>
        <v>0.19938892352507764</v>
      </c>
      <c r="N262" s="16"/>
      <c r="O262" s="15"/>
    </row>
    <row r="263" spans="1:15" x14ac:dyDescent="0.25">
      <c r="A263" s="20"/>
      <c r="B263" s="17">
        <v>287100</v>
      </c>
      <c r="C263" s="17">
        <v>96102.804000000004</v>
      </c>
      <c r="D263" s="18">
        <v>655164.546069743</v>
      </c>
      <c r="E263" s="18">
        <v>3372094.3718591202</v>
      </c>
      <c r="F263" s="18">
        <v>270.80783679999996</v>
      </c>
      <c r="G263" s="18">
        <f t="shared" si="22"/>
        <v>271.54983679999998</v>
      </c>
      <c r="H263" s="9">
        <v>1176507.4229824084</v>
      </c>
      <c r="I263" s="17"/>
      <c r="J263" s="19"/>
      <c r="K263" s="15">
        <f t="shared" si="21"/>
        <v>270.60843800293344</v>
      </c>
      <c r="L263" s="15">
        <f t="shared" si="20"/>
        <v>271.32143800293346</v>
      </c>
      <c r="M263" s="16">
        <f t="shared" si="23"/>
        <v>0.19939879706652164</v>
      </c>
      <c r="N263" s="16"/>
      <c r="O263" s="15"/>
    </row>
    <row r="264" spans="1:15" x14ac:dyDescent="0.25">
      <c r="A264" s="20"/>
      <c r="B264" s="17">
        <v>287120</v>
      </c>
      <c r="C264" s="17">
        <v>96122.790999999997</v>
      </c>
      <c r="D264" s="18">
        <v>655148.31339637598</v>
      </c>
      <c r="E264" s="18">
        <v>3372106.0328905098</v>
      </c>
      <c r="F264" s="18">
        <v>270.88832529999996</v>
      </c>
      <c r="G264" s="18">
        <f t="shared" si="22"/>
        <v>271.63032529999998</v>
      </c>
      <c r="H264" s="9">
        <v>1176527.4099616127</v>
      </c>
      <c r="I264" s="17"/>
      <c r="J264" s="19"/>
      <c r="K264" s="15">
        <f t="shared" si="21"/>
        <v>270.6889138412497</v>
      </c>
      <c r="L264" s="15">
        <f t="shared" si="20"/>
        <v>271.40191384124972</v>
      </c>
      <c r="M264" s="16">
        <f t="shared" si="23"/>
        <v>0.19941145875026223</v>
      </c>
      <c r="N264" s="16"/>
      <c r="O264" s="15"/>
    </row>
    <row r="265" spans="1:15" x14ac:dyDescent="0.25">
      <c r="A265" s="20"/>
      <c r="B265" s="17">
        <v>287140</v>
      </c>
      <c r="C265" s="17">
        <v>96142.793000000005</v>
      </c>
      <c r="D265" s="18">
        <v>655132.01041093306</v>
      </c>
      <c r="E265" s="18">
        <v>3372117.6213259599</v>
      </c>
      <c r="F265" s="18">
        <v>270.96887449999997</v>
      </c>
      <c r="G265" s="18">
        <f t="shared" si="22"/>
        <v>271.71087449999999</v>
      </c>
      <c r="H265" s="9">
        <v>1176547.4119407781</v>
      </c>
      <c r="I265" s="17"/>
      <c r="J265" s="19"/>
      <c r="K265" s="15">
        <f t="shared" si="21"/>
        <v>270.76945007560903</v>
      </c>
      <c r="L265" s="15">
        <f t="shared" si="20"/>
        <v>271.48245007560905</v>
      </c>
      <c r="M265" s="16">
        <f t="shared" si="23"/>
        <v>0.19942442439094066</v>
      </c>
      <c r="N265" s="16"/>
      <c r="O265" s="15"/>
    </row>
    <row r="266" spans="1:15" x14ac:dyDescent="0.25">
      <c r="A266" s="20"/>
      <c r="B266" s="17">
        <v>287160</v>
      </c>
      <c r="C266" s="17">
        <v>96162.804999999993</v>
      </c>
      <c r="D266" s="18">
        <v>655115.64302980795</v>
      </c>
      <c r="E266" s="18">
        <v>3372129.1360259298</v>
      </c>
      <c r="F266" s="18">
        <v>271.04946089999999</v>
      </c>
      <c r="G266" s="18">
        <f t="shared" si="22"/>
        <v>271.7914609</v>
      </c>
      <c r="H266" s="9">
        <v>1176567.4239241953</v>
      </c>
      <c r="I266" s="17"/>
      <c r="J266" s="19"/>
      <c r="K266" s="15">
        <f t="shared" si="21"/>
        <v>270.85002659122028</v>
      </c>
      <c r="L266" s="15">
        <f t="shared" si="20"/>
        <v>271.56302659122031</v>
      </c>
      <c r="M266" s="16">
        <f t="shared" si="23"/>
        <v>0.19943430877970059</v>
      </c>
      <c r="N266" s="16"/>
      <c r="O266" s="15"/>
    </row>
    <row r="267" spans="1:15" x14ac:dyDescent="0.25">
      <c r="A267" s="20"/>
      <c r="B267" s="17">
        <v>287180</v>
      </c>
      <c r="C267" s="17">
        <v>96182.81</v>
      </c>
      <c r="D267" s="18">
        <v>655099.24809338304</v>
      </c>
      <c r="E267" s="18">
        <v>3372140.5992726502</v>
      </c>
      <c r="F267" s="18">
        <v>271.13002309999996</v>
      </c>
      <c r="G267" s="18">
        <f t="shared" si="22"/>
        <v>271.87202309999998</v>
      </c>
      <c r="H267" s="9">
        <v>1176587.4289227144</v>
      </c>
      <c r="I267" s="17"/>
      <c r="J267" s="19"/>
      <c r="K267" s="15">
        <f t="shared" si="21"/>
        <v>270.93057498274504</v>
      </c>
      <c r="L267" s="15">
        <f t="shared" si="20"/>
        <v>271.64357498274506</v>
      </c>
      <c r="M267" s="16">
        <f t="shared" si="23"/>
        <v>0.19944811725491718</v>
      </c>
      <c r="N267" s="16"/>
      <c r="O267" s="15"/>
    </row>
    <row r="268" spans="1:15" x14ac:dyDescent="0.25">
      <c r="A268" s="20"/>
      <c r="B268" s="17">
        <v>287200</v>
      </c>
      <c r="C268" s="17">
        <v>96202.805999999997</v>
      </c>
      <c r="D268" s="18">
        <v>655082.85623985704</v>
      </c>
      <c r="E268" s="18">
        <v>3372152.0512224399</v>
      </c>
      <c r="F268" s="18">
        <v>271.21054559999999</v>
      </c>
      <c r="G268" s="18">
        <f t="shared" si="22"/>
        <v>271.95254560000001</v>
      </c>
      <c r="H268" s="9">
        <v>1176607.4249227145</v>
      </c>
      <c r="I268" s="17"/>
      <c r="J268" s="19"/>
      <c r="K268" s="15">
        <f t="shared" si="21"/>
        <v>271.0110871425133</v>
      </c>
      <c r="L268" s="15">
        <f t="shared" si="20"/>
        <v>271.72408714251333</v>
      </c>
      <c r="M268" s="16">
        <f t="shared" si="23"/>
        <v>0.19945845748668489</v>
      </c>
      <c r="N268" s="16"/>
      <c r="O268" s="15"/>
    </row>
    <row r="269" spans="1:15" x14ac:dyDescent="0.25">
      <c r="A269" s="20"/>
      <c r="B269" s="17">
        <v>287220</v>
      </c>
      <c r="C269" s="17">
        <v>96222.811000000002</v>
      </c>
      <c r="D269" s="18">
        <v>655066.45700852002</v>
      </c>
      <c r="E269" s="18">
        <v>3372163.5083266399</v>
      </c>
      <c r="F269" s="18">
        <v>271.29110679999997</v>
      </c>
      <c r="G269" s="18">
        <f t="shared" si="22"/>
        <v>272.03310679999998</v>
      </c>
      <c r="H269" s="9">
        <v>1176627.4299227169</v>
      </c>
      <c r="I269" s="17"/>
      <c r="J269" s="19"/>
      <c r="K269" s="15">
        <f t="shared" si="21"/>
        <v>271.09163554001066</v>
      </c>
      <c r="L269" s="15">
        <f t="shared" si="20"/>
        <v>271.80463554001068</v>
      </c>
      <c r="M269" s="16">
        <f t="shared" si="23"/>
        <v>0.19947125998930915</v>
      </c>
      <c r="N269" s="16"/>
      <c r="O269" s="15"/>
    </row>
    <row r="270" spans="1:15" x14ac:dyDescent="0.25">
      <c r="A270" s="20"/>
      <c r="B270" s="17">
        <v>287240</v>
      </c>
      <c r="C270" s="17">
        <v>96242.834000000003</v>
      </c>
      <c r="D270" s="18">
        <v>655050.04302156402</v>
      </c>
      <c r="E270" s="18">
        <v>3372174.97573965</v>
      </c>
      <c r="F270" s="18">
        <v>271.37174210000001</v>
      </c>
      <c r="G270" s="18">
        <f t="shared" si="22"/>
        <v>272.11374210000002</v>
      </c>
      <c r="H270" s="9">
        <v>1176647.4529227153</v>
      </c>
      <c r="I270" s="17"/>
      <c r="J270" s="19"/>
      <c r="K270" s="15">
        <f t="shared" si="21"/>
        <v>271.17225641293066</v>
      </c>
      <c r="L270" s="15">
        <f t="shared" si="20"/>
        <v>271.88525641293069</v>
      </c>
      <c r="M270" s="16">
        <f t="shared" si="23"/>
        <v>0.19948568706934111</v>
      </c>
      <c r="N270" s="16"/>
      <c r="O270" s="15"/>
    </row>
    <row r="271" spans="1:15" x14ac:dyDescent="0.25">
      <c r="A271" s="20"/>
      <c r="B271" s="17">
        <v>287260</v>
      </c>
      <c r="C271" s="17">
        <v>96262.84</v>
      </c>
      <c r="D271" s="18">
        <v>655033.64297047094</v>
      </c>
      <c r="E271" s="18">
        <v>3372186.4334165598</v>
      </c>
      <c r="F271" s="18">
        <v>271.4523064</v>
      </c>
      <c r="G271" s="18">
        <f t="shared" si="22"/>
        <v>272.19430640000002</v>
      </c>
      <c r="H271" s="9">
        <v>1176667.4589227161</v>
      </c>
      <c r="I271" s="17"/>
      <c r="J271" s="19"/>
      <c r="K271" s="15">
        <f t="shared" si="21"/>
        <v>271.2528088368345</v>
      </c>
      <c r="L271" s="15">
        <f t="shared" si="20"/>
        <v>271.96580883683453</v>
      </c>
      <c r="M271" s="16">
        <f t="shared" si="23"/>
        <v>0.19949756316549383</v>
      </c>
      <c r="N271" s="16"/>
      <c r="O271" s="15"/>
    </row>
    <row r="272" spans="1:15" x14ac:dyDescent="0.25">
      <c r="A272" s="20"/>
      <c r="B272" s="17">
        <v>287280</v>
      </c>
      <c r="C272" s="17">
        <v>96282.827999999994</v>
      </c>
      <c r="D272" s="18">
        <v>655017.25767499697</v>
      </c>
      <c r="E272" s="18">
        <v>3372197.8807846499</v>
      </c>
      <c r="F272" s="18">
        <v>271.53279789999999</v>
      </c>
      <c r="G272" s="18">
        <f t="shared" si="22"/>
        <v>272.27479790000001</v>
      </c>
      <c r="H272" s="9">
        <v>1176687.4469227151</v>
      </c>
      <c r="I272" s="17"/>
      <c r="J272" s="19"/>
      <c r="K272" s="15">
        <f t="shared" si="21"/>
        <v>271.33328878529227</v>
      </c>
      <c r="L272" s="15">
        <f t="shared" si="20"/>
        <v>272.04628878529229</v>
      </c>
      <c r="M272" s="16">
        <f t="shared" si="23"/>
        <v>0.19950911470772326</v>
      </c>
      <c r="N272" s="16"/>
      <c r="O272" s="15"/>
    </row>
    <row r="273" spans="1:15" x14ac:dyDescent="0.25">
      <c r="A273" s="20"/>
      <c r="B273" s="17">
        <v>287300</v>
      </c>
      <c r="C273" s="17">
        <v>96302.832999999999</v>
      </c>
      <c r="D273" s="18">
        <v>655000.85950434103</v>
      </c>
      <c r="E273" s="18">
        <v>3372209.33940661</v>
      </c>
      <c r="F273" s="18">
        <v>271.6133595</v>
      </c>
      <c r="G273" s="18">
        <f t="shared" si="22"/>
        <v>272.35535950000002</v>
      </c>
      <c r="H273" s="9">
        <v>1176707.4519225422</v>
      </c>
      <c r="I273" s="17"/>
      <c r="J273" s="19"/>
      <c r="K273" s="15">
        <f t="shared" si="21"/>
        <v>271.41383718208374</v>
      </c>
      <c r="L273" s="15">
        <f t="shared" si="20"/>
        <v>272.12683718208376</v>
      </c>
      <c r="M273" s="16">
        <f t="shared" si="23"/>
        <v>0.19952231791626218</v>
      </c>
      <c r="N273" s="16"/>
      <c r="O273" s="15"/>
    </row>
    <row r="274" spans="1:15" x14ac:dyDescent="0.25">
      <c r="A274" s="20"/>
      <c r="B274" s="17">
        <v>287320</v>
      </c>
      <c r="C274" s="17">
        <v>96322.85</v>
      </c>
      <c r="D274" s="18">
        <v>654984.47000531398</v>
      </c>
      <c r="E274" s="18">
        <v>3372220.8313308498</v>
      </c>
      <c r="F274" s="18">
        <v>271.69396519999998</v>
      </c>
      <c r="G274" s="18">
        <f t="shared" si="22"/>
        <v>272.4359652</v>
      </c>
      <c r="H274" s="9">
        <v>1176727.4689153505</v>
      </c>
      <c r="I274" s="17"/>
      <c r="J274" s="19"/>
      <c r="K274" s="15">
        <f t="shared" si="21"/>
        <v>271.49443386757383</v>
      </c>
      <c r="L274" s="15">
        <f t="shared" si="20"/>
        <v>272.20743386757385</v>
      </c>
      <c r="M274" s="16">
        <f t="shared" si="23"/>
        <v>0.1995313324261474</v>
      </c>
      <c r="N274" s="16"/>
      <c r="O274" s="15"/>
    </row>
    <row r="275" spans="1:15" x14ac:dyDescent="0.25">
      <c r="A275" s="20"/>
      <c r="B275" s="17">
        <v>287340</v>
      </c>
      <c r="C275" s="17">
        <v>96342.846000000005</v>
      </c>
      <c r="D275" s="18">
        <v>654968.13994391903</v>
      </c>
      <c r="E275" s="18">
        <v>3372232.3711999101</v>
      </c>
      <c r="F275" s="18">
        <v>271.77448949999996</v>
      </c>
      <c r="G275" s="18">
        <f t="shared" si="22"/>
        <v>272.51648949999998</v>
      </c>
      <c r="H275" s="9">
        <v>1176747.4649020252</v>
      </c>
      <c r="I275" s="17"/>
      <c r="J275" s="19"/>
      <c r="K275" s="15">
        <f t="shared" si="21"/>
        <v>271.57494597368867</v>
      </c>
      <c r="L275" s="15">
        <f t="shared" si="20"/>
        <v>272.28794597368869</v>
      </c>
      <c r="M275" s="16">
        <f t="shared" si="23"/>
        <v>0.19954352631128813</v>
      </c>
      <c r="N275" s="16"/>
      <c r="O275" s="15"/>
    </row>
    <row r="276" spans="1:15" x14ac:dyDescent="0.25">
      <c r="A276" s="20"/>
      <c r="B276" s="17">
        <v>287360</v>
      </c>
      <c r="C276" s="17">
        <v>96362.846000000005</v>
      </c>
      <c r="D276" s="18">
        <v>654951.85291047301</v>
      </c>
      <c r="E276" s="18">
        <v>3372243.97861169</v>
      </c>
      <c r="F276" s="18">
        <v>271.85503269999998</v>
      </c>
      <c r="G276" s="18">
        <f t="shared" si="22"/>
        <v>272.5970327</v>
      </c>
      <c r="H276" s="9">
        <v>1176767.4648886926</v>
      </c>
      <c r="I276" s="17"/>
      <c r="J276" s="19"/>
      <c r="K276" s="15">
        <f t="shared" si="21"/>
        <v>271.65547418542735</v>
      </c>
      <c r="L276" s="15">
        <f t="shared" si="20"/>
        <v>272.36847418542737</v>
      </c>
      <c r="M276" s="16">
        <f t="shared" si="23"/>
        <v>0.19955851457262952</v>
      </c>
      <c r="N276" s="16"/>
      <c r="O276" s="15"/>
    </row>
    <row r="277" spans="1:15" x14ac:dyDescent="0.25">
      <c r="A277" s="20"/>
      <c r="B277" s="17">
        <v>287380</v>
      </c>
      <c r="C277" s="17">
        <v>96382.82</v>
      </c>
      <c r="D277" s="18">
        <v>654935.63351912401</v>
      </c>
      <c r="E277" s="18">
        <v>3372255.6358622098</v>
      </c>
      <c r="F277" s="18">
        <v>271.93546509999999</v>
      </c>
      <c r="G277" s="18">
        <f t="shared" si="22"/>
        <v>272.67746510000001</v>
      </c>
      <c r="H277" s="9">
        <v>1176787.4388754107</v>
      </c>
      <c r="I277" s="17"/>
      <c r="J277" s="19"/>
      <c r="K277" s="15">
        <f t="shared" si="21"/>
        <v>271.73589771062507</v>
      </c>
      <c r="L277" s="15">
        <f t="shared" si="20"/>
        <v>272.44889771062509</v>
      </c>
      <c r="M277" s="16">
        <f t="shared" si="23"/>
        <v>0.19956738937491991</v>
      </c>
      <c r="N277" s="16"/>
      <c r="O277" s="15"/>
    </row>
    <row r="278" spans="1:15" x14ac:dyDescent="0.25">
      <c r="A278" s="20"/>
      <c r="B278" s="17">
        <v>287400</v>
      </c>
      <c r="C278" s="17">
        <v>96402.880999999994</v>
      </c>
      <c r="D278" s="18">
        <v>654919.39048518101</v>
      </c>
      <c r="E278" s="18">
        <v>3372267.4090108802</v>
      </c>
      <c r="F278" s="18">
        <v>272.01625439999998</v>
      </c>
      <c r="G278" s="18">
        <f t="shared" si="22"/>
        <v>272.7582544</v>
      </c>
      <c r="H278" s="9">
        <v>1176807.4998619589</v>
      </c>
      <c r="I278" s="17"/>
      <c r="J278" s="19"/>
      <c r="K278" s="15">
        <f t="shared" si="21"/>
        <v>271.81667153309326</v>
      </c>
      <c r="L278" s="15">
        <f t="shared" si="20"/>
        <v>272.52967153309328</v>
      </c>
      <c r="M278" s="16">
        <f t="shared" si="23"/>
        <v>0.19958286690672367</v>
      </c>
      <c r="N278" s="16"/>
      <c r="O278" s="15"/>
    </row>
    <row r="279" spans="1:15" x14ac:dyDescent="0.25">
      <c r="A279" s="20"/>
      <c r="B279" s="17">
        <v>287420</v>
      </c>
      <c r="C279" s="17">
        <v>96422.881999999998</v>
      </c>
      <c r="D279" s="18">
        <v>654903.24231949996</v>
      </c>
      <c r="E279" s="18">
        <v>3372279.21054861</v>
      </c>
      <c r="F279" s="18">
        <v>272.09679560000001</v>
      </c>
      <c r="G279" s="18">
        <f t="shared" si="22"/>
        <v>272.83879560000003</v>
      </c>
      <c r="H279" s="9">
        <v>1176827.5008506258</v>
      </c>
      <c r="I279" s="17"/>
      <c r="J279" s="19"/>
      <c r="K279" s="15">
        <f t="shared" si="21"/>
        <v>271.89720377929592</v>
      </c>
      <c r="L279" s="15">
        <f t="shared" si="20"/>
        <v>272.61020377929594</v>
      </c>
      <c r="M279" s="16">
        <f t="shared" si="23"/>
        <v>0.19959182070408588</v>
      </c>
      <c r="N279" s="16"/>
      <c r="O279" s="15"/>
    </row>
    <row r="280" spans="1:15" x14ac:dyDescent="0.25">
      <c r="A280" s="20"/>
      <c r="B280" s="17">
        <v>287440</v>
      </c>
      <c r="C280" s="17">
        <v>96442.854999999996</v>
      </c>
      <c r="D280" s="18">
        <v>654887.14621952199</v>
      </c>
      <c r="E280" s="18">
        <v>3372291.03578613</v>
      </c>
      <c r="F280" s="18">
        <v>272.1772307</v>
      </c>
      <c r="G280" s="18">
        <f t="shared" si="22"/>
        <v>272.91923070000001</v>
      </c>
      <c r="H280" s="9">
        <v>1176847.4738493217</v>
      </c>
      <c r="I280" s="17"/>
      <c r="J280" s="19"/>
      <c r="K280" s="15">
        <f t="shared" si="21"/>
        <v>271.97762332630799</v>
      </c>
      <c r="L280" s="15">
        <f t="shared" si="20"/>
        <v>272.69062332630801</v>
      </c>
      <c r="M280" s="16">
        <f t="shared" si="23"/>
        <v>0.19960737369200388</v>
      </c>
      <c r="N280" s="16"/>
      <c r="O280" s="15"/>
    </row>
    <row r="281" spans="1:15" x14ac:dyDescent="0.25">
      <c r="A281" s="20"/>
      <c r="B281" s="17">
        <v>287460</v>
      </c>
      <c r="C281" s="17">
        <v>96462.854999999996</v>
      </c>
      <c r="D281" s="18">
        <v>654871.03290087101</v>
      </c>
      <c r="E281" s="18">
        <v>3372302.8831893099</v>
      </c>
      <c r="F281" s="18">
        <v>272.24781759999996</v>
      </c>
      <c r="G281" s="18">
        <f t="shared" si="22"/>
        <v>272.98981759999998</v>
      </c>
      <c r="H281" s="9">
        <v>1176867.4738493231</v>
      </c>
      <c r="I281" s="17"/>
      <c r="J281" s="19"/>
      <c r="K281" s="15">
        <f t="shared" si="21"/>
        <v>272.05815159173477</v>
      </c>
      <c r="L281" s="15">
        <f t="shared" ref="L281:L344" si="24">K281+0.713</f>
        <v>272.77115159173479</v>
      </c>
      <c r="M281" s="16">
        <f t="shared" si="23"/>
        <v>0.18966600826519198</v>
      </c>
      <c r="N281" s="16"/>
      <c r="O281" s="15"/>
    </row>
    <row r="282" spans="1:15" x14ac:dyDescent="0.25">
      <c r="A282" s="21"/>
      <c r="B282" s="21"/>
      <c r="C282" s="21"/>
      <c r="D282" s="21"/>
      <c r="E282" s="21"/>
      <c r="F282" s="21"/>
      <c r="G282" s="18"/>
      <c r="H282" s="13">
        <v>1176886.8099999998</v>
      </c>
      <c r="I282" s="21"/>
      <c r="J282" s="14">
        <v>0</v>
      </c>
      <c r="K282" s="22">
        <v>272.13599999999997</v>
      </c>
      <c r="L282" s="15">
        <f t="shared" si="24"/>
        <v>272.84899999999999</v>
      </c>
      <c r="M282" s="16"/>
      <c r="N282" s="16"/>
      <c r="O282" s="15"/>
    </row>
    <row r="283" spans="1:15" x14ac:dyDescent="0.25">
      <c r="A283" s="20"/>
      <c r="B283" s="17">
        <v>287480</v>
      </c>
      <c r="C283" s="17">
        <v>96482.856</v>
      </c>
      <c r="D283" s="18">
        <v>654854.91877655406</v>
      </c>
      <c r="E283" s="18">
        <v>3372314.73118485</v>
      </c>
      <c r="F283" s="18">
        <v>272.25799999999998</v>
      </c>
      <c r="G283" s="18">
        <f t="shared" si="22"/>
        <v>273</v>
      </c>
      <c r="H283" s="9">
        <v>1176887.4748493186</v>
      </c>
      <c r="I283" s="17"/>
      <c r="J283" s="19"/>
      <c r="K283" s="15">
        <f>K282+(0/0.000000001)*(H283-H282)</f>
        <v>272.13599999999997</v>
      </c>
      <c r="L283" s="15">
        <f t="shared" si="24"/>
        <v>272.84899999999999</v>
      </c>
      <c r="M283" s="16">
        <f t="shared" si="23"/>
        <v>0.1220000000000141</v>
      </c>
      <c r="N283" s="16"/>
      <c r="O283" s="15"/>
    </row>
    <row r="284" spans="1:15" x14ac:dyDescent="0.25">
      <c r="A284" s="20"/>
      <c r="B284" s="17">
        <v>287500</v>
      </c>
      <c r="C284" s="17">
        <v>96503.043999999994</v>
      </c>
      <c r="D284" s="18">
        <v>654838.65399270796</v>
      </c>
      <c r="E284" s="18">
        <v>3372326.6899536201</v>
      </c>
      <c r="F284" s="18">
        <v>272.25799999999998</v>
      </c>
      <c r="G284" s="18">
        <f t="shared" si="22"/>
        <v>273</v>
      </c>
      <c r="H284" s="9">
        <v>1176907.6629999999</v>
      </c>
      <c r="I284" s="17"/>
      <c r="J284" s="19"/>
      <c r="K284" s="15">
        <f t="shared" ref="K284:K297" si="25">K283+(0/0.000000001)*(H284-H283)</f>
        <v>272.13599999999997</v>
      </c>
      <c r="L284" s="15">
        <f t="shared" si="24"/>
        <v>272.84899999999999</v>
      </c>
      <c r="M284" s="16">
        <f t="shared" si="23"/>
        <v>0.1220000000000141</v>
      </c>
      <c r="N284" s="16"/>
      <c r="O284" s="15"/>
    </row>
    <row r="285" spans="1:15" x14ac:dyDescent="0.25">
      <c r="A285" s="20"/>
      <c r="B285" s="17">
        <v>287500</v>
      </c>
      <c r="C285" s="17">
        <v>96502.856135800001</v>
      </c>
      <c r="D285" s="18">
        <v>654838.65399270796</v>
      </c>
      <c r="E285" s="18">
        <v>3372326.6899536201</v>
      </c>
      <c r="F285" s="18">
        <v>272.25799999999998</v>
      </c>
      <c r="G285" s="18">
        <f t="shared" si="22"/>
        <v>273</v>
      </c>
      <c r="H285" s="9">
        <v>1176907.6629999999</v>
      </c>
      <c r="I285" s="17"/>
      <c r="J285" s="19"/>
      <c r="K285" s="15">
        <f t="shared" si="25"/>
        <v>272.13599999999997</v>
      </c>
      <c r="L285" s="15">
        <f t="shared" si="24"/>
        <v>272.84899999999999</v>
      </c>
      <c r="M285" s="16">
        <f t="shared" si="23"/>
        <v>0.1220000000000141</v>
      </c>
      <c r="N285" s="16"/>
      <c r="O285" s="15"/>
    </row>
    <row r="286" spans="1:15" x14ac:dyDescent="0.25">
      <c r="A286" s="20"/>
      <c r="B286" s="17">
        <v>287520</v>
      </c>
      <c r="C286" s="17">
        <v>96522.8323351</v>
      </c>
      <c r="D286" s="18">
        <v>654822.71066956897</v>
      </c>
      <c r="E286" s="18">
        <v>3372338.4123666999</v>
      </c>
      <c r="F286" s="18">
        <v>272.25799999999998</v>
      </c>
      <c r="G286" s="18">
        <f t="shared" si="22"/>
        <v>273</v>
      </c>
      <c r="H286" s="9">
        <v>1176927.4520000031</v>
      </c>
      <c r="I286" s="17"/>
      <c r="J286" s="19"/>
      <c r="K286" s="15">
        <f t="shared" si="25"/>
        <v>272.13599999999997</v>
      </c>
      <c r="L286" s="15">
        <f t="shared" si="24"/>
        <v>272.84899999999999</v>
      </c>
      <c r="M286" s="16">
        <f t="shared" si="23"/>
        <v>0.1220000000000141</v>
      </c>
      <c r="N286" s="16"/>
      <c r="O286" s="15"/>
    </row>
    <row r="287" spans="1:15" x14ac:dyDescent="0.25">
      <c r="A287" s="20"/>
      <c r="B287" s="17">
        <v>287540</v>
      </c>
      <c r="C287" s="17">
        <v>96542.898633000004</v>
      </c>
      <c r="D287" s="18">
        <v>654806.54417696595</v>
      </c>
      <c r="E287" s="18">
        <v>3372350.2988662999</v>
      </c>
      <c r="F287" s="18">
        <v>272.25799999999998</v>
      </c>
      <c r="G287" s="18">
        <f t="shared" si="22"/>
        <v>273</v>
      </c>
      <c r="H287" s="9">
        <v>1176947.5179999988</v>
      </c>
      <c r="I287" s="17"/>
      <c r="J287" s="19"/>
      <c r="K287" s="15">
        <f t="shared" si="25"/>
        <v>272.13599999999997</v>
      </c>
      <c r="L287" s="15">
        <f t="shared" si="24"/>
        <v>272.84899999999999</v>
      </c>
      <c r="M287" s="16">
        <f t="shared" si="23"/>
        <v>0.1220000000000141</v>
      </c>
      <c r="N287" s="16"/>
      <c r="O287" s="15"/>
    </row>
    <row r="288" spans="1:15" x14ac:dyDescent="0.25">
      <c r="A288" s="20"/>
      <c r="B288" s="17">
        <v>287560</v>
      </c>
      <c r="C288" s="17">
        <v>96562.898697500001</v>
      </c>
      <c r="D288" s="18">
        <v>654790.43085831497</v>
      </c>
      <c r="E288" s="18">
        <v>3372362.1462694802</v>
      </c>
      <c r="F288" s="18">
        <v>272.25799999999998</v>
      </c>
      <c r="G288" s="18">
        <f t="shared" si="22"/>
        <v>273</v>
      </c>
      <c r="H288" s="9">
        <v>1176967.5180000004</v>
      </c>
      <c r="I288" s="17"/>
      <c r="J288" s="19"/>
      <c r="K288" s="15">
        <f t="shared" si="25"/>
        <v>272.13599999999997</v>
      </c>
      <c r="L288" s="15">
        <f t="shared" si="24"/>
        <v>272.84899999999999</v>
      </c>
      <c r="M288" s="16">
        <f t="shared" si="23"/>
        <v>0.1220000000000141</v>
      </c>
      <c r="N288" s="16"/>
      <c r="O288" s="15"/>
    </row>
    <row r="289" spans="1:15" x14ac:dyDescent="0.25">
      <c r="A289" s="20"/>
      <c r="B289" s="17">
        <v>287580</v>
      </c>
      <c r="C289" s="17">
        <v>96582.824005600007</v>
      </c>
      <c r="D289" s="18">
        <v>654774.37715894298</v>
      </c>
      <c r="E289" s="18">
        <v>3372373.9498372702</v>
      </c>
      <c r="F289" s="18">
        <v>272.25799999999998</v>
      </c>
      <c r="G289" s="18">
        <f t="shared" si="22"/>
        <v>273</v>
      </c>
      <c r="H289" s="9">
        <v>1176987.4440000029</v>
      </c>
      <c r="I289" s="17"/>
      <c r="J289" s="19"/>
      <c r="K289" s="15">
        <f t="shared" si="25"/>
        <v>272.13599999999997</v>
      </c>
      <c r="L289" s="15">
        <f t="shared" si="24"/>
        <v>272.84899999999999</v>
      </c>
      <c r="M289" s="16">
        <f t="shared" si="23"/>
        <v>0.1220000000000141</v>
      </c>
      <c r="N289" s="16"/>
      <c r="O289" s="15"/>
    </row>
    <row r="290" spans="1:15" x14ac:dyDescent="0.25">
      <c r="A290" s="20"/>
      <c r="B290" s="17">
        <v>287600</v>
      </c>
      <c r="C290" s="17">
        <v>96602.878530100003</v>
      </c>
      <c r="D290" s="18">
        <v>654758.22033433197</v>
      </c>
      <c r="E290" s="18">
        <v>3372385.8292284301</v>
      </c>
      <c r="F290" s="18">
        <v>272.25799999999998</v>
      </c>
      <c r="G290" s="18">
        <f t="shared" si="22"/>
        <v>273</v>
      </c>
      <c r="H290" s="9">
        <v>1177007.497999999</v>
      </c>
      <c r="I290" s="17"/>
      <c r="J290" s="19"/>
      <c r="K290" s="15">
        <f t="shared" si="25"/>
        <v>272.13599999999997</v>
      </c>
      <c r="L290" s="15">
        <f t="shared" si="24"/>
        <v>272.84899999999999</v>
      </c>
      <c r="M290" s="16">
        <f t="shared" si="23"/>
        <v>0.1220000000000141</v>
      </c>
      <c r="N290" s="16"/>
      <c r="O290" s="15"/>
    </row>
    <row r="291" spans="1:15" x14ac:dyDescent="0.25">
      <c r="A291" s="20"/>
      <c r="B291" s="17">
        <v>287620</v>
      </c>
      <c r="C291" s="17">
        <v>96622.878543600003</v>
      </c>
      <c r="D291" s="18">
        <v>654742.10701568099</v>
      </c>
      <c r="E291" s="18">
        <v>3372397.6766316099</v>
      </c>
      <c r="F291" s="18">
        <v>272.25799999999998</v>
      </c>
      <c r="G291" s="18">
        <f t="shared" si="22"/>
        <v>273</v>
      </c>
      <c r="H291" s="9">
        <v>1177027.4980000004</v>
      </c>
      <c r="I291" s="17"/>
      <c r="J291" s="19"/>
      <c r="K291" s="15">
        <f t="shared" si="25"/>
        <v>272.13599999999997</v>
      </c>
      <c r="L291" s="15">
        <f t="shared" si="24"/>
        <v>272.84899999999999</v>
      </c>
      <c r="M291" s="16">
        <f t="shared" si="23"/>
        <v>0.1220000000000141</v>
      </c>
      <c r="N291" s="16"/>
      <c r="O291" s="15"/>
    </row>
    <row r="292" spans="1:15" x14ac:dyDescent="0.25">
      <c r="A292" s="20"/>
      <c r="B292" s="17">
        <v>287640</v>
      </c>
      <c r="C292" s="17">
        <v>96642.878557000004</v>
      </c>
      <c r="D292" s="18">
        <v>654725.99369703</v>
      </c>
      <c r="E292" s="18">
        <v>3372409.5240347902</v>
      </c>
      <c r="F292" s="18">
        <v>272.25799999999998</v>
      </c>
      <c r="G292" s="18">
        <f t="shared" si="22"/>
        <v>273</v>
      </c>
      <c r="H292" s="9">
        <v>1177047.498000002</v>
      </c>
      <c r="I292" s="17"/>
      <c r="J292" s="19"/>
      <c r="K292" s="15">
        <f t="shared" si="25"/>
        <v>272.13599999999997</v>
      </c>
      <c r="L292" s="15">
        <f t="shared" si="24"/>
        <v>272.84899999999999</v>
      </c>
      <c r="M292" s="16">
        <f t="shared" si="23"/>
        <v>0.1220000000000141</v>
      </c>
      <c r="N292" s="16"/>
      <c r="O292" s="15"/>
    </row>
    <row r="293" spans="1:15" x14ac:dyDescent="0.25">
      <c r="A293" s="20"/>
      <c r="B293" s="17">
        <v>287660</v>
      </c>
      <c r="C293" s="17">
        <v>96662.853734200005</v>
      </c>
      <c r="D293" s="18">
        <v>654709.90052002796</v>
      </c>
      <c r="E293" s="18">
        <v>3372421.3566287099</v>
      </c>
      <c r="F293" s="18">
        <v>272.25799999999998</v>
      </c>
      <c r="G293" s="18">
        <f t="shared" si="22"/>
        <v>273</v>
      </c>
      <c r="H293" s="9">
        <v>1177067.4729999993</v>
      </c>
      <c r="I293" s="17"/>
      <c r="J293" s="19"/>
      <c r="K293" s="15">
        <f t="shared" si="25"/>
        <v>272.13599999999997</v>
      </c>
      <c r="L293" s="15">
        <f t="shared" si="24"/>
        <v>272.84899999999999</v>
      </c>
      <c r="M293" s="16">
        <f t="shared" si="23"/>
        <v>0.1220000000000141</v>
      </c>
      <c r="N293" s="16"/>
      <c r="O293" s="15"/>
    </row>
    <row r="294" spans="1:15" x14ac:dyDescent="0.25">
      <c r="A294" s="20"/>
      <c r="B294" s="17">
        <v>287680</v>
      </c>
      <c r="C294" s="17">
        <v>96682.888225200004</v>
      </c>
      <c r="D294" s="18">
        <v>654693.75900306902</v>
      </c>
      <c r="E294" s="18">
        <v>3372433.22476485</v>
      </c>
      <c r="F294" s="18">
        <v>272.25799999999998</v>
      </c>
      <c r="G294" s="18">
        <f t="shared" si="22"/>
        <v>273</v>
      </c>
      <c r="H294" s="9">
        <v>1177087.5080000036</v>
      </c>
      <c r="I294" s="17"/>
      <c r="J294" s="19"/>
      <c r="K294" s="15">
        <f t="shared" si="25"/>
        <v>272.13599999999997</v>
      </c>
      <c r="L294" s="15">
        <f t="shared" si="24"/>
        <v>272.84899999999999</v>
      </c>
      <c r="M294" s="16">
        <f t="shared" si="23"/>
        <v>0.1220000000000141</v>
      </c>
      <c r="N294" s="16"/>
      <c r="O294" s="15"/>
    </row>
    <row r="295" spans="1:15" x14ac:dyDescent="0.25">
      <c r="A295" s="20"/>
      <c r="B295" s="17">
        <v>287700</v>
      </c>
      <c r="C295" s="17">
        <v>96702.863357900002</v>
      </c>
      <c r="D295" s="18">
        <v>654677.66582606698</v>
      </c>
      <c r="E295" s="18">
        <v>3372445.0573587702</v>
      </c>
      <c r="F295" s="18">
        <v>272.25799999999998</v>
      </c>
      <c r="G295" s="18">
        <f t="shared" si="22"/>
        <v>273</v>
      </c>
      <c r="H295" s="9">
        <v>1177107.4830000012</v>
      </c>
      <c r="I295" s="17"/>
      <c r="J295" s="19"/>
      <c r="K295" s="15">
        <f t="shared" si="25"/>
        <v>272.13599999999997</v>
      </c>
      <c r="L295" s="15">
        <f t="shared" si="24"/>
        <v>272.84899999999999</v>
      </c>
      <c r="M295" s="16">
        <f t="shared" si="23"/>
        <v>0.1220000000000141</v>
      </c>
      <c r="N295" s="16"/>
      <c r="O295" s="15"/>
    </row>
    <row r="296" spans="1:15" x14ac:dyDescent="0.25">
      <c r="A296" s="20"/>
      <c r="B296" s="17">
        <v>287720</v>
      </c>
      <c r="C296" s="17">
        <v>96722.860827500001</v>
      </c>
      <c r="D296" s="18">
        <v>654661.55492441403</v>
      </c>
      <c r="E296" s="18">
        <v>3372456.9029848399</v>
      </c>
      <c r="F296" s="18">
        <v>272.25799999999998</v>
      </c>
      <c r="G296" s="18">
        <f t="shared" si="22"/>
        <v>273</v>
      </c>
      <c r="H296" s="9">
        <v>1177127.4800000025</v>
      </c>
      <c r="I296" s="17"/>
      <c r="J296" s="19"/>
      <c r="K296" s="15">
        <f t="shared" si="25"/>
        <v>272.13599999999997</v>
      </c>
      <c r="L296" s="15">
        <f t="shared" si="24"/>
        <v>272.84899999999999</v>
      </c>
      <c r="M296" s="16">
        <f t="shared" si="23"/>
        <v>0.1220000000000141</v>
      </c>
      <c r="N296" s="16"/>
      <c r="O296" s="15"/>
    </row>
    <row r="297" spans="1:15" x14ac:dyDescent="0.25">
      <c r="A297" s="20"/>
      <c r="B297" s="17">
        <v>287740</v>
      </c>
      <c r="C297" s="17">
        <v>96742.860827600001</v>
      </c>
      <c r="D297" s="18">
        <v>654645.44160576304</v>
      </c>
      <c r="E297" s="18">
        <v>3372468.7503880202</v>
      </c>
      <c r="F297" s="18">
        <v>272.25799999999998</v>
      </c>
      <c r="G297" s="18">
        <f t="shared" si="22"/>
        <v>273</v>
      </c>
      <c r="H297" s="9">
        <v>1177147.4800000042</v>
      </c>
      <c r="I297" s="17"/>
      <c r="J297" s="19"/>
      <c r="K297" s="15">
        <f t="shared" si="25"/>
        <v>272.13599999999997</v>
      </c>
      <c r="L297" s="15">
        <f t="shared" si="24"/>
        <v>272.84899999999999</v>
      </c>
      <c r="M297" s="16">
        <f t="shared" si="23"/>
        <v>0.1220000000000141</v>
      </c>
      <c r="N297" s="16"/>
      <c r="O297" s="15"/>
    </row>
    <row r="298" spans="1:15" x14ac:dyDescent="0.25">
      <c r="A298" s="21"/>
      <c r="B298" s="21"/>
      <c r="C298" s="17"/>
      <c r="D298" s="21"/>
      <c r="E298" s="21"/>
      <c r="F298" s="21"/>
      <c r="G298" s="18">
        <f t="shared" si="22"/>
        <v>0.74199999999999999</v>
      </c>
      <c r="H298" s="13">
        <v>1177160.9799999997</v>
      </c>
      <c r="I298" s="21"/>
      <c r="J298" s="14">
        <v>-243.68899999999999</v>
      </c>
      <c r="K298" s="22">
        <v>272.13599999999997</v>
      </c>
      <c r="L298" s="15">
        <f t="shared" si="24"/>
        <v>272.84899999999999</v>
      </c>
      <c r="M298" s="16"/>
      <c r="N298" s="16"/>
      <c r="O298" s="15"/>
    </row>
    <row r="299" spans="1:15" x14ac:dyDescent="0.25">
      <c r="A299" s="20"/>
      <c r="B299" s="17">
        <v>287760</v>
      </c>
      <c r="C299" s="17">
        <v>96762.855227799999</v>
      </c>
      <c r="D299" s="18">
        <v>654629.33232414501</v>
      </c>
      <c r="E299" s="18">
        <v>3372480.5948411799</v>
      </c>
      <c r="F299" s="18">
        <v>272.25799999999998</v>
      </c>
      <c r="G299" s="18">
        <f t="shared" si="22"/>
        <v>273</v>
      </c>
      <c r="H299" s="9">
        <v>1177167.4750000017</v>
      </c>
      <c r="I299" s="17"/>
      <c r="J299" s="19"/>
      <c r="K299" s="15">
        <f>K298+(1/$J$298)*(H299-H298)</f>
        <v>272.1093471761057</v>
      </c>
      <c r="L299" s="15">
        <f t="shared" si="24"/>
        <v>272.82234717610572</v>
      </c>
      <c r="M299" s="16">
        <f t="shared" si="23"/>
        <v>0.14865282389428103</v>
      </c>
      <c r="N299" s="16"/>
      <c r="O299" s="15"/>
    </row>
    <row r="300" spans="1:15" x14ac:dyDescent="0.25">
      <c r="A300" s="20"/>
      <c r="B300" s="17">
        <v>287780</v>
      </c>
      <c r="C300" s="17">
        <v>96782.855151600001</v>
      </c>
      <c r="D300" s="18">
        <v>654613.22800012003</v>
      </c>
      <c r="E300" s="18">
        <v>3372492.4544619098</v>
      </c>
      <c r="F300" s="18">
        <v>272.25799999999998</v>
      </c>
      <c r="G300" s="18">
        <f t="shared" si="22"/>
        <v>273</v>
      </c>
      <c r="H300" s="9">
        <v>1177187.4749964057</v>
      </c>
      <c r="I300" s="17"/>
      <c r="J300" s="19"/>
      <c r="K300" s="15">
        <f t="shared" ref="K300:K341" si="26">K299+(1/$J$298)*(H300-H299)</f>
        <v>272.02727536981189</v>
      </c>
      <c r="L300" s="15">
        <f t="shared" si="24"/>
        <v>272.74027536981191</v>
      </c>
      <c r="M300" s="16">
        <f t="shared" si="23"/>
        <v>0.23072463018809231</v>
      </c>
      <c r="N300" s="16"/>
      <c r="O300" s="15"/>
    </row>
    <row r="301" spans="1:15" x14ac:dyDescent="0.25">
      <c r="A301" s="20"/>
      <c r="B301" s="17">
        <v>287800</v>
      </c>
      <c r="C301" s="17">
        <v>96802.846813800003</v>
      </c>
      <c r="D301" s="18">
        <v>654597.17487642402</v>
      </c>
      <c r="E301" s="18">
        <v>3372504.36816571</v>
      </c>
      <c r="F301" s="18">
        <v>272.25799999999998</v>
      </c>
      <c r="G301" s="18">
        <f t="shared" si="22"/>
        <v>273</v>
      </c>
      <c r="H301" s="9">
        <v>1177207.4659723358</v>
      </c>
      <c r="I301" s="17"/>
      <c r="J301" s="19"/>
      <c r="K301" s="15">
        <f t="shared" si="26"/>
        <v>271.9452405798537</v>
      </c>
      <c r="L301" s="15">
        <f t="shared" si="24"/>
        <v>272.65824057985373</v>
      </c>
      <c r="M301" s="16">
        <f t="shared" si="23"/>
        <v>0.31275942014627844</v>
      </c>
      <c r="N301" s="16"/>
      <c r="O301" s="15"/>
    </row>
    <row r="302" spans="1:15" x14ac:dyDescent="0.25">
      <c r="A302" s="20"/>
      <c r="B302" s="17">
        <v>287820</v>
      </c>
      <c r="C302" s="17">
        <v>96822.848239700004</v>
      </c>
      <c r="D302" s="18">
        <v>654581.18802553602</v>
      </c>
      <c r="E302" s="18">
        <v>3372516.3889444098</v>
      </c>
      <c r="F302" s="18">
        <v>272.24620829999998</v>
      </c>
      <c r="G302" s="18">
        <f t="shared" si="22"/>
        <v>272.9882083</v>
      </c>
      <c r="H302" s="9">
        <v>1177227.467935286</v>
      </c>
      <c r="I302" s="17"/>
      <c r="J302" s="19"/>
      <c r="K302" s="15">
        <f t="shared" si="26"/>
        <v>271.86316070365814</v>
      </c>
      <c r="L302" s="15">
        <f t="shared" si="24"/>
        <v>272.57616070365816</v>
      </c>
      <c r="M302" s="16">
        <f t="shared" si="23"/>
        <v>0.38304759634183938</v>
      </c>
      <c r="N302" s="16"/>
      <c r="O302" s="15"/>
    </row>
    <row r="303" spans="1:15" x14ac:dyDescent="0.25">
      <c r="A303" s="20"/>
      <c r="B303" s="17">
        <v>287840</v>
      </c>
      <c r="C303" s="17">
        <v>96842.860277</v>
      </c>
      <c r="D303" s="18">
        <v>654565.27374379896</v>
      </c>
      <c r="E303" s="18">
        <v>3372528.5221342598</v>
      </c>
      <c r="F303" s="18">
        <v>272.16618789999995</v>
      </c>
      <c r="G303" s="18">
        <f t="shared" si="22"/>
        <v>272.90818789999997</v>
      </c>
      <c r="H303" s="9">
        <v>1177247.4798981869</v>
      </c>
      <c r="I303" s="17"/>
      <c r="J303" s="19"/>
      <c r="K303" s="15">
        <f t="shared" si="26"/>
        <v>271.78103979175455</v>
      </c>
      <c r="L303" s="15">
        <f t="shared" si="24"/>
        <v>272.49403979175457</v>
      </c>
      <c r="M303" s="16">
        <f t="shared" si="23"/>
        <v>0.38514810824540291</v>
      </c>
      <c r="N303" s="16"/>
      <c r="O303" s="15"/>
    </row>
    <row r="304" spans="1:15" x14ac:dyDescent="0.25">
      <c r="A304" s="20"/>
      <c r="B304" s="17">
        <v>287860</v>
      </c>
      <c r="C304" s="17">
        <v>96862.874805300002</v>
      </c>
      <c r="D304" s="18">
        <v>654549.43386992905</v>
      </c>
      <c r="E304" s="18">
        <v>3372540.7555989702</v>
      </c>
      <c r="F304" s="18">
        <v>272.07521279999997</v>
      </c>
      <c r="G304" s="18">
        <f t="shared" si="22"/>
        <v>272.81721279999999</v>
      </c>
      <c r="H304" s="9">
        <v>1177267.4938748791</v>
      </c>
      <c r="I304" s="17"/>
      <c r="J304" s="19"/>
      <c r="K304" s="15">
        <f t="shared" si="26"/>
        <v>271.69891061607478</v>
      </c>
      <c r="L304" s="15">
        <f t="shared" si="24"/>
        <v>272.41191061607481</v>
      </c>
      <c r="M304" s="16">
        <f t="shared" si="23"/>
        <v>0.37630218392519055</v>
      </c>
      <c r="N304" s="16"/>
      <c r="O304" s="15"/>
    </row>
    <row r="305" spans="1:15" x14ac:dyDescent="0.25">
      <c r="A305" s="20"/>
      <c r="B305" s="17">
        <v>287880</v>
      </c>
      <c r="C305" s="17">
        <v>96882.882205799993</v>
      </c>
      <c r="D305" s="18">
        <v>654533.642876753</v>
      </c>
      <c r="E305" s="18">
        <v>3372553.0423588199</v>
      </c>
      <c r="F305" s="18">
        <v>271.9842701</v>
      </c>
      <c r="G305" s="18">
        <f t="shared" si="22"/>
        <v>272.72627010000002</v>
      </c>
      <c r="H305" s="9">
        <v>1177287.5018716077</v>
      </c>
      <c r="I305" s="17"/>
      <c r="J305" s="19"/>
      <c r="K305" s="15">
        <f t="shared" si="26"/>
        <v>271.61680597972008</v>
      </c>
      <c r="L305" s="15">
        <f t="shared" si="24"/>
        <v>272.32980597972011</v>
      </c>
      <c r="M305" s="16">
        <f t="shared" si="23"/>
        <v>0.36746412027991937</v>
      </c>
      <c r="N305" s="16"/>
      <c r="O305" s="15"/>
    </row>
    <row r="306" spans="1:15" x14ac:dyDescent="0.25">
      <c r="A306" s="20"/>
      <c r="B306" s="17">
        <v>287900</v>
      </c>
      <c r="C306" s="17">
        <v>96902.903999999995</v>
      </c>
      <c r="D306" s="18">
        <v>654517.87230146001</v>
      </c>
      <c r="E306" s="18">
        <v>3372565.3309309101</v>
      </c>
      <c r="F306" s="18">
        <v>271.89339039999999</v>
      </c>
      <c r="G306" s="18">
        <f t="shared" si="22"/>
        <v>272.63539040000001</v>
      </c>
      <c r="H306" s="9">
        <v>1177307.4948716098</v>
      </c>
      <c r="I306" s="17"/>
      <c r="J306" s="19"/>
      <c r="K306" s="15">
        <f t="shared" si="26"/>
        <v>271.53476288379818</v>
      </c>
      <c r="L306" s="15">
        <f t="shared" si="24"/>
        <v>272.2477628837982</v>
      </c>
      <c r="M306" s="16">
        <f t="shared" si="23"/>
        <v>0.35862751620180688</v>
      </c>
      <c r="N306" s="16"/>
      <c r="O306" s="15"/>
    </row>
    <row r="307" spans="1:15" x14ac:dyDescent="0.25">
      <c r="A307" s="20"/>
      <c r="B307" s="17">
        <v>287920</v>
      </c>
      <c r="C307" s="17">
        <v>96922.911999999997</v>
      </c>
      <c r="D307" s="18">
        <v>654502.08910871495</v>
      </c>
      <c r="E307" s="18">
        <v>3372577.6293416899</v>
      </c>
      <c r="F307" s="18">
        <v>271.80244349999998</v>
      </c>
      <c r="G307" s="18">
        <f t="shared" si="22"/>
        <v>272.5444435</v>
      </c>
      <c r="H307" s="9">
        <v>1177327.5038716083</v>
      </c>
      <c r="I307" s="17"/>
      <c r="J307" s="19"/>
      <c r="K307" s="15">
        <f t="shared" si="26"/>
        <v>271.4526541304345</v>
      </c>
      <c r="L307" s="15">
        <f t="shared" si="24"/>
        <v>272.16565413043452</v>
      </c>
      <c r="M307" s="16">
        <f t="shared" si="23"/>
        <v>0.34978936956548523</v>
      </c>
      <c r="N307" s="16"/>
      <c r="O307" s="15"/>
    </row>
    <row r="308" spans="1:15" x14ac:dyDescent="0.25">
      <c r="A308" s="20"/>
      <c r="B308" s="17">
        <v>287940</v>
      </c>
      <c r="C308" s="17">
        <v>96942.936000000002</v>
      </c>
      <c r="D308" s="18">
        <v>654486.29450675496</v>
      </c>
      <c r="E308" s="18">
        <v>3372589.9358877698</v>
      </c>
      <c r="F308" s="18">
        <v>271.71142609999998</v>
      </c>
      <c r="G308" s="18">
        <f t="shared" si="22"/>
        <v>272.4534261</v>
      </c>
      <c r="H308" s="9">
        <v>1177347.5268715706</v>
      </c>
      <c r="I308" s="17"/>
      <c r="J308" s="19"/>
      <c r="K308" s="15">
        <f t="shared" si="26"/>
        <v>271.37048792694429</v>
      </c>
      <c r="L308" s="15">
        <f t="shared" si="24"/>
        <v>272.08348792694431</v>
      </c>
      <c r="M308" s="16">
        <f t="shared" si="23"/>
        <v>0.34093817305569019</v>
      </c>
      <c r="N308" s="16"/>
      <c r="O308" s="15"/>
    </row>
    <row r="309" spans="1:15" x14ac:dyDescent="0.25">
      <c r="A309" s="20"/>
      <c r="B309" s="17">
        <v>287960</v>
      </c>
      <c r="C309" s="17">
        <v>96962.944000000003</v>
      </c>
      <c r="D309" s="18">
        <v>654470.49378624198</v>
      </c>
      <c r="E309" s="18">
        <v>3372602.2101278398</v>
      </c>
      <c r="F309" s="18">
        <v>271.62048279999999</v>
      </c>
      <c r="G309" s="18">
        <f t="shared" si="22"/>
        <v>272.36248280000001</v>
      </c>
      <c r="H309" s="9">
        <v>1177367.5348634245</v>
      </c>
      <c r="I309" s="17"/>
      <c r="J309" s="19"/>
      <c r="K309" s="15">
        <f t="shared" si="26"/>
        <v>271.28838331059364</v>
      </c>
      <c r="L309" s="15">
        <f t="shared" si="24"/>
        <v>272.00138331059367</v>
      </c>
      <c r="M309" s="16">
        <f t="shared" si="23"/>
        <v>0.33209948940634604</v>
      </c>
      <c r="N309" s="16"/>
      <c r="O309" s="15"/>
    </row>
    <row r="310" spans="1:15" x14ac:dyDescent="0.25">
      <c r="A310" s="20"/>
      <c r="B310" s="17">
        <v>287980</v>
      </c>
      <c r="C310" s="17">
        <v>96982.944000000003</v>
      </c>
      <c r="D310" s="18">
        <v>654454.63905404205</v>
      </c>
      <c r="E310" s="18">
        <v>3372614.40299412</v>
      </c>
      <c r="F310" s="18">
        <v>271.52956810000001</v>
      </c>
      <c r="G310" s="18">
        <f t="shared" si="22"/>
        <v>272.27156810000002</v>
      </c>
      <c r="H310" s="9">
        <v>1177387.5358264328</v>
      </c>
      <c r="I310" s="17"/>
      <c r="J310" s="19"/>
      <c r="K310" s="15">
        <f t="shared" si="26"/>
        <v>271.20630753775094</v>
      </c>
      <c r="L310" s="15">
        <f t="shared" si="24"/>
        <v>271.91930753775097</v>
      </c>
      <c r="M310" s="16">
        <f t="shared" si="23"/>
        <v>0.32326056224906097</v>
      </c>
      <c r="N310" s="16"/>
      <c r="O310" s="15"/>
    </row>
    <row r="311" spans="1:15" x14ac:dyDescent="0.25">
      <c r="A311" s="20">
        <v>288</v>
      </c>
      <c r="B311" s="17">
        <v>288000</v>
      </c>
      <c r="C311" s="17">
        <v>97002.948999999993</v>
      </c>
      <c r="D311" s="18">
        <v>654438.54203239502</v>
      </c>
      <c r="E311" s="18">
        <v>3372626.5765840402</v>
      </c>
      <c r="F311" s="18">
        <v>271.43862369999999</v>
      </c>
      <c r="G311" s="18">
        <f t="shared" si="22"/>
        <v>272.18062370000001</v>
      </c>
      <c r="H311" s="9">
        <v>1177407.7177588835</v>
      </c>
      <c r="I311" s="17"/>
      <c r="J311" s="19"/>
      <c r="K311" s="15">
        <f t="shared" si="26"/>
        <v>271.12348914032333</v>
      </c>
      <c r="L311" s="15">
        <f t="shared" si="24"/>
        <v>271.83648914032335</v>
      </c>
      <c r="M311" s="16">
        <f t="shared" si="23"/>
        <v>0.31513455967666459</v>
      </c>
      <c r="N311" s="16"/>
      <c r="O311" s="15"/>
    </row>
    <row r="312" spans="1:15" x14ac:dyDescent="0.25">
      <c r="A312" s="20">
        <v>288</v>
      </c>
      <c r="B312" s="17">
        <v>288000</v>
      </c>
      <c r="C312" s="17">
        <v>97002.948999999993</v>
      </c>
      <c r="D312" s="18">
        <v>654438.54203239502</v>
      </c>
      <c r="E312" s="18">
        <v>3372626.5765840402</v>
      </c>
      <c r="F312" s="18">
        <v>271.43862369999999</v>
      </c>
      <c r="G312" s="18">
        <f t="shared" si="22"/>
        <v>272.18062370000001</v>
      </c>
      <c r="H312" s="9">
        <v>1177407.7177588835</v>
      </c>
      <c r="I312" s="17"/>
      <c r="J312" s="19"/>
      <c r="K312" s="15">
        <f t="shared" si="26"/>
        <v>271.12348914032333</v>
      </c>
      <c r="L312" s="15">
        <f t="shared" si="24"/>
        <v>271.83648914032335</v>
      </c>
      <c r="M312" s="16">
        <f t="shared" si="23"/>
        <v>0.31513455967666459</v>
      </c>
      <c r="N312" s="16"/>
      <c r="O312" s="15"/>
    </row>
    <row r="313" spans="1:15" x14ac:dyDescent="0.25">
      <c r="A313" s="20"/>
      <c r="B313" s="17">
        <v>288020</v>
      </c>
      <c r="C313" s="17">
        <v>97022.95</v>
      </c>
      <c r="D313" s="18">
        <v>654422.616606461</v>
      </c>
      <c r="E313" s="18">
        <v>3372638.4055745602</v>
      </c>
      <c r="F313" s="18">
        <v>271.34768579999997</v>
      </c>
      <c r="G313" s="18">
        <f t="shared" si="22"/>
        <v>272.08968579999998</v>
      </c>
      <c r="H313" s="9">
        <v>1177427.5557075653</v>
      </c>
      <c r="I313" s="17"/>
      <c r="J313" s="19"/>
      <c r="K313" s="15">
        <f t="shared" si="26"/>
        <v>271.04208231161221</v>
      </c>
      <c r="L313" s="15">
        <f t="shared" si="24"/>
        <v>271.75508231161223</v>
      </c>
      <c r="M313" s="16">
        <f t="shared" si="23"/>
        <v>0.30560348838776008</v>
      </c>
      <c r="N313" s="16"/>
      <c r="O313" s="15"/>
    </row>
    <row r="314" spans="1:15" x14ac:dyDescent="0.25">
      <c r="A314" s="20"/>
      <c r="B314" s="17">
        <v>288040</v>
      </c>
      <c r="C314" s="17">
        <v>97042.951000000001</v>
      </c>
      <c r="D314" s="18">
        <v>654406.48459597398</v>
      </c>
      <c r="E314" s="18">
        <v>3372650.2342511802</v>
      </c>
      <c r="F314" s="18">
        <v>271.2567578</v>
      </c>
      <c r="G314" s="18">
        <f t="shared" si="22"/>
        <v>271.99875780000002</v>
      </c>
      <c r="H314" s="9">
        <v>1177447.5596909919</v>
      </c>
      <c r="I314" s="17"/>
      <c r="J314" s="19"/>
      <c r="K314" s="15">
        <f t="shared" si="26"/>
        <v>270.95999414420783</v>
      </c>
      <c r="L314" s="15">
        <f t="shared" si="24"/>
        <v>271.67299414420785</v>
      </c>
      <c r="M314" s="16">
        <f t="shared" si="23"/>
        <v>0.29676365579217645</v>
      </c>
      <c r="N314" s="16"/>
      <c r="O314" s="15"/>
    </row>
    <row r="315" spans="1:15" x14ac:dyDescent="0.25">
      <c r="A315" s="20"/>
      <c r="B315" s="17">
        <v>288060</v>
      </c>
      <c r="C315" s="17">
        <v>97062.941999999995</v>
      </c>
      <c r="D315" s="18">
        <v>654390.32916569104</v>
      </c>
      <c r="E315" s="18">
        <v>3372662.0139826601</v>
      </c>
      <c r="F315" s="18">
        <v>271.16587579999998</v>
      </c>
      <c r="G315" s="18">
        <f t="shared" si="22"/>
        <v>271.9078758</v>
      </c>
      <c r="H315" s="9">
        <v>1177467.5536901257</v>
      </c>
      <c r="I315" s="17"/>
      <c r="J315" s="19"/>
      <c r="K315" s="15">
        <f t="shared" si="26"/>
        <v>270.877946948258</v>
      </c>
      <c r="L315" s="15">
        <f t="shared" si="24"/>
        <v>271.59094694825802</v>
      </c>
      <c r="M315" s="16">
        <f t="shared" si="23"/>
        <v>0.28792885174198091</v>
      </c>
      <c r="N315" s="16"/>
      <c r="O315" s="15"/>
    </row>
    <row r="316" spans="1:15" x14ac:dyDescent="0.25">
      <c r="A316" s="20"/>
      <c r="B316" s="17">
        <v>288080</v>
      </c>
      <c r="C316" s="17">
        <v>97082.941999999995</v>
      </c>
      <c r="D316" s="18">
        <v>654374.16516486905</v>
      </c>
      <c r="E316" s="18">
        <v>3372673.79384168</v>
      </c>
      <c r="F316" s="18">
        <v>271.07496329999998</v>
      </c>
      <c r="G316" s="18">
        <f t="shared" si="22"/>
        <v>271.8169633</v>
      </c>
      <c r="H316" s="9">
        <v>1177487.5546901282</v>
      </c>
      <c r="I316" s="17"/>
      <c r="J316" s="19"/>
      <c r="K316" s="15">
        <f t="shared" si="26"/>
        <v>270.79587102360614</v>
      </c>
      <c r="L316" s="15">
        <f t="shared" si="24"/>
        <v>271.50887102360616</v>
      </c>
      <c r="M316" s="16">
        <f t="shared" si="23"/>
        <v>0.27909227639383971</v>
      </c>
      <c r="N316" s="16"/>
      <c r="O316" s="15"/>
    </row>
    <row r="317" spans="1:15" x14ac:dyDescent="0.25">
      <c r="A317" s="20"/>
      <c r="B317" s="17">
        <v>288100</v>
      </c>
      <c r="C317" s="17">
        <v>97102.956999999995</v>
      </c>
      <c r="D317" s="18">
        <v>654357.99146613199</v>
      </c>
      <c r="E317" s="18">
        <v>3372685.5807682602</v>
      </c>
      <c r="F317" s="18">
        <v>270.98399559999996</v>
      </c>
      <c r="G317" s="18">
        <f t="shared" si="22"/>
        <v>271.72599559999998</v>
      </c>
      <c r="H317" s="9">
        <v>1177507.5676901292</v>
      </c>
      <c r="I317" s="17"/>
      <c r="J317" s="19"/>
      <c r="K317" s="15">
        <f t="shared" si="26"/>
        <v>270.7137458558679</v>
      </c>
      <c r="L317" s="15">
        <f t="shared" si="24"/>
        <v>271.42674585586792</v>
      </c>
      <c r="M317" s="16">
        <f t="shared" si="23"/>
        <v>0.27024974413205882</v>
      </c>
      <c r="N317" s="16"/>
      <c r="O317" s="15"/>
    </row>
    <row r="318" spans="1:15" x14ac:dyDescent="0.25">
      <c r="A318" s="20"/>
      <c r="B318" s="17">
        <v>288120</v>
      </c>
      <c r="C318" s="17">
        <v>97122.956999999995</v>
      </c>
      <c r="D318" s="18">
        <v>654341.82827347005</v>
      </c>
      <c r="E318" s="18">
        <v>3372697.3600383098</v>
      </c>
      <c r="F318" s="18">
        <v>270.89308649999998</v>
      </c>
      <c r="G318" s="18">
        <f t="shared" si="22"/>
        <v>271.6350865</v>
      </c>
      <c r="H318" s="9">
        <v>1177527.5676901273</v>
      </c>
      <c r="I318" s="17"/>
      <c r="J318" s="19"/>
      <c r="K318" s="15">
        <f t="shared" si="26"/>
        <v>270.63167403482493</v>
      </c>
      <c r="L318" s="15">
        <f t="shared" si="24"/>
        <v>271.34467403482495</v>
      </c>
      <c r="M318" s="16">
        <f t="shared" si="23"/>
        <v>0.26141246517505579</v>
      </c>
      <c r="N318" s="16"/>
      <c r="O318" s="15"/>
    </row>
    <row r="319" spans="1:15" x14ac:dyDescent="0.25">
      <c r="A319" s="20"/>
      <c r="B319" s="17">
        <v>288140</v>
      </c>
      <c r="C319" s="17">
        <v>97142.962</v>
      </c>
      <c r="D319" s="18">
        <v>654325.66184816905</v>
      </c>
      <c r="E319" s="18">
        <v>3372709.14166422</v>
      </c>
      <c r="F319" s="18">
        <v>270.80215779999997</v>
      </c>
      <c r="G319" s="18">
        <f t="shared" si="22"/>
        <v>271.54415779999999</v>
      </c>
      <c r="H319" s="9">
        <v>1177547.5716901298</v>
      </c>
      <c r="I319" s="17"/>
      <c r="J319" s="19"/>
      <c r="K319" s="15">
        <f t="shared" si="26"/>
        <v>270.54958579939978</v>
      </c>
      <c r="L319" s="15">
        <f t="shared" si="24"/>
        <v>271.2625857993998</v>
      </c>
      <c r="M319" s="16">
        <f t="shared" si="23"/>
        <v>0.25257200060019613</v>
      </c>
      <c r="N319" s="16"/>
      <c r="O319" s="15"/>
    </row>
    <row r="320" spans="1:15" x14ac:dyDescent="0.25">
      <c r="A320" s="20"/>
      <c r="B320" s="17">
        <v>288160</v>
      </c>
      <c r="C320" s="17">
        <v>97162.962</v>
      </c>
      <c r="D320" s="18">
        <v>654309.49865550699</v>
      </c>
      <c r="E320" s="18">
        <v>3372720.9209342701</v>
      </c>
      <c r="F320" s="18">
        <v>270.71124849999995</v>
      </c>
      <c r="G320" s="18">
        <f t="shared" si="22"/>
        <v>271.45324849999997</v>
      </c>
      <c r="H320" s="9">
        <v>1177567.5716901284</v>
      </c>
      <c r="I320" s="17"/>
      <c r="J320" s="19"/>
      <c r="K320" s="15">
        <f t="shared" si="26"/>
        <v>270.46751397835493</v>
      </c>
      <c r="L320" s="15">
        <f t="shared" si="24"/>
        <v>271.18051397835495</v>
      </c>
      <c r="M320" s="16">
        <f t="shared" si="23"/>
        <v>0.24373452164502396</v>
      </c>
      <c r="N320" s="16"/>
      <c r="O320" s="15"/>
    </row>
    <row r="321" spans="1:15" x14ac:dyDescent="0.25">
      <c r="A321" s="20"/>
      <c r="B321" s="17">
        <v>288180</v>
      </c>
      <c r="C321" s="17">
        <v>97182.96</v>
      </c>
      <c r="D321" s="18">
        <v>654293.33627100498</v>
      </c>
      <c r="E321" s="18">
        <v>3372732.6996153598</v>
      </c>
      <c r="F321" s="18">
        <v>270.6203448</v>
      </c>
      <c r="G321" s="18">
        <f t="shared" si="22"/>
        <v>271.36234480000002</v>
      </c>
      <c r="H321" s="9">
        <v>1177587.5706901285</v>
      </c>
      <c r="I321" s="17"/>
      <c r="J321" s="19"/>
      <c r="K321" s="15">
        <f t="shared" si="26"/>
        <v>270.38544626089509</v>
      </c>
      <c r="L321" s="15">
        <f t="shared" si="24"/>
        <v>271.09844626089512</v>
      </c>
      <c r="M321" s="16">
        <f t="shared" si="23"/>
        <v>0.2348985391049041</v>
      </c>
      <c r="N321" s="16"/>
      <c r="O321" s="15"/>
    </row>
    <row r="322" spans="1:15" x14ac:dyDescent="0.25">
      <c r="A322" s="20"/>
      <c r="B322" s="17">
        <v>288200</v>
      </c>
      <c r="C322" s="17">
        <v>97202.96</v>
      </c>
      <c r="D322" s="18">
        <v>654277.17608315905</v>
      </c>
      <c r="E322" s="18">
        <v>3372744.4830060001</v>
      </c>
      <c r="F322" s="18">
        <v>270.5294356</v>
      </c>
      <c r="G322" s="18">
        <f t="shared" si="22"/>
        <v>271.27143560000002</v>
      </c>
      <c r="H322" s="9">
        <v>1177607.5706892833</v>
      </c>
      <c r="I322" s="17"/>
      <c r="J322" s="19"/>
      <c r="K322" s="15">
        <f t="shared" si="26"/>
        <v>270.30337444331275</v>
      </c>
      <c r="L322" s="15">
        <f t="shared" si="24"/>
        <v>271.01637444331277</v>
      </c>
      <c r="M322" s="16">
        <f t="shared" si="23"/>
        <v>0.22606115668725124</v>
      </c>
      <c r="N322" s="16"/>
      <c r="O322" s="15"/>
    </row>
    <row r="323" spans="1:15" x14ac:dyDescent="0.25">
      <c r="A323" s="20"/>
      <c r="B323" s="17">
        <v>288220</v>
      </c>
      <c r="C323" s="17">
        <v>97223</v>
      </c>
      <c r="D323" s="18">
        <v>654261.01574409101</v>
      </c>
      <c r="E323" s="18">
        <v>3372756.3305489598</v>
      </c>
      <c r="F323" s="18">
        <v>270.4383522</v>
      </c>
      <c r="G323" s="18">
        <f t="shared" si="22"/>
        <v>271.18035220000002</v>
      </c>
      <c r="H323" s="9">
        <v>1177627.6086740368</v>
      </c>
      <c r="I323" s="17"/>
      <c r="J323" s="19"/>
      <c r="K323" s="15">
        <f t="shared" si="26"/>
        <v>270.22114674836757</v>
      </c>
      <c r="L323" s="15">
        <f t="shared" si="24"/>
        <v>270.9341467483676</v>
      </c>
      <c r="M323" s="16">
        <f t="shared" si="23"/>
        <v>0.21720545163242377</v>
      </c>
      <c r="N323" s="16"/>
      <c r="O323" s="15"/>
    </row>
    <row r="324" spans="1:15" x14ac:dyDescent="0.25">
      <c r="A324" s="20"/>
      <c r="B324" s="17">
        <v>288240</v>
      </c>
      <c r="C324" s="17">
        <v>97243.001999999993</v>
      </c>
      <c r="D324" s="18">
        <v>654244.95549252897</v>
      </c>
      <c r="E324" s="18">
        <v>3372768.2513879002</v>
      </c>
      <c r="F324" s="18">
        <v>270.34744129999996</v>
      </c>
      <c r="G324" s="18">
        <f t="shared" si="22"/>
        <v>271.08944129999998</v>
      </c>
      <c r="H324" s="9">
        <v>1177647.6096260461</v>
      </c>
      <c r="I324" s="17"/>
      <c r="J324" s="19"/>
      <c r="K324" s="15">
        <f t="shared" si="26"/>
        <v>270.13907102065997</v>
      </c>
      <c r="L324" s="15">
        <f t="shared" si="24"/>
        <v>270.85207102065999</v>
      </c>
      <c r="M324" s="16">
        <f t="shared" si="23"/>
        <v>0.20837027933998797</v>
      </c>
      <c r="N324" s="16"/>
      <c r="O324" s="15"/>
    </row>
    <row r="325" spans="1:15" x14ac:dyDescent="0.25">
      <c r="A325" s="20"/>
      <c r="B325" s="17">
        <v>288260</v>
      </c>
      <c r="C325" s="17">
        <v>97263.123000000007</v>
      </c>
      <c r="D325" s="18">
        <v>654228.91405463498</v>
      </c>
      <c r="E325" s="18">
        <v>3372780.3840566999</v>
      </c>
      <c r="F325" s="18">
        <v>270.25601549999999</v>
      </c>
      <c r="G325" s="18">
        <f t="shared" ref="G325:G367" si="27">F325+0.742</f>
        <v>270.99801550000001</v>
      </c>
      <c r="H325" s="9">
        <v>1177667.7225418445</v>
      </c>
      <c r="I325" s="17"/>
      <c r="J325" s="19"/>
      <c r="K325" s="15">
        <f t="shared" si="26"/>
        <v>270.05653583934969</v>
      </c>
      <c r="L325" s="15">
        <f t="shared" si="24"/>
        <v>270.76953583934971</v>
      </c>
      <c r="M325" s="16">
        <f t="shared" ref="M325:M389" si="28">(F325-K325)</f>
        <v>0.19947966065029732</v>
      </c>
      <c r="N325" s="16"/>
      <c r="O325" s="15"/>
    </row>
    <row r="326" spans="1:15" x14ac:dyDescent="0.25">
      <c r="A326" s="20"/>
      <c r="B326" s="17">
        <v>288280</v>
      </c>
      <c r="C326" s="17">
        <v>97283.202999999994</v>
      </c>
      <c r="D326" s="18">
        <v>654213.02295195695</v>
      </c>
      <c r="E326" s="18">
        <v>3372792.6557947202</v>
      </c>
      <c r="F326" s="18">
        <v>270.16475509999998</v>
      </c>
      <c r="G326" s="18">
        <f t="shared" si="27"/>
        <v>270.9067551</v>
      </c>
      <c r="H326" s="9">
        <v>1177687.8004575321</v>
      </c>
      <c r="I326" s="17"/>
      <c r="J326" s="19"/>
      <c r="K326" s="15">
        <f t="shared" si="26"/>
        <v>269.97414428418068</v>
      </c>
      <c r="L326" s="15">
        <f t="shared" si="24"/>
        <v>270.6871442841807</v>
      </c>
      <c r="M326" s="16">
        <f t="shared" si="28"/>
        <v>0.19061081581929784</v>
      </c>
      <c r="N326" s="16"/>
      <c r="O326" s="15"/>
    </row>
    <row r="327" spans="1:15" x14ac:dyDescent="0.25">
      <c r="A327" s="20"/>
      <c r="B327" s="17">
        <v>288300</v>
      </c>
      <c r="C327" s="17">
        <v>97303.203999999998</v>
      </c>
      <c r="D327" s="18">
        <v>654197.31685481698</v>
      </c>
      <c r="E327" s="18">
        <v>3372805.0378454099</v>
      </c>
      <c r="F327" s="18">
        <v>270.07384159999998</v>
      </c>
      <c r="G327" s="18">
        <f t="shared" si="27"/>
        <v>270.8158416</v>
      </c>
      <c r="H327" s="9">
        <v>1177707.8003741982</v>
      </c>
      <c r="I327" s="17"/>
      <c r="J327" s="19"/>
      <c r="K327" s="15">
        <f t="shared" si="26"/>
        <v>269.892072805098</v>
      </c>
      <c r="L327" s="15">
        <f t="shared" si="24"/>
        <v>270.60507280509802</v>
      </c>
      <c r="M327" s="16">
        <f t="shared" si="28"/>
        <v>0.18176879490198417</v>
      </c>
      <c r="N327" s="16"/>
      <c r="O327" s="15"/>
    </row>
    <row r="328" spans="1:15" x14ac:dyDescent="0.25">
      <c r="A328" s="20"/>
      <c r="B328" s="17">
        <v>288320</v>
      </c>
      <c r="C328" s="17">
        <v>97323.285999999993</v>
      </c>
      <c r="D328" s="18">
        <v>654181.67328774405</v>
      </c>
      <c r="E328" s="18">
        <v>3372817.6268017702</v>
      </c>
      <c r="F328" s="18">
        <v>269.98256999999995</v>
      </c>
      <c r="G328" s="18">
        <f t="shared" si="27"/>
        <v>270.72456999999997</v>
      </c>
      <c r="H328" s="9">
        <v>1177727.8802898605</v>
      </c>
      <c r="I328" s="17"/>
      <c r="J328" s="19"/>
      <c r="K328" s="15">
        <f t="shared" si="26"/>
        <v>269.80967304285065</v>
      </c>
      <c r="L328" s="15">
        <f t="shared" si="24"/>
        <v>270.52267304285067</v>
      </c>
      <c r="M328" s="16">
        <f t="shared" si="28"/>
        <v>0.17289695714930531</v>
      </c>
      <c r="N328" s="16"/>
      <c r="O328" s="15"/>
    </row>
    <row r="329" spans="1:15" x14ac:dyDescent="0.25">
      <c r="A329" s="20"/>
      <c r="B329" s="17">
        <v>288340</v>
      </c>
      <c r="C329" s="17">
        <v>97343.285999999993</v>
      </c>
      <c r="D329" s="18">
        <v>654166.21846398397</v>
      </c>
      <c r="E329" s="18">
        <v>3372830.32109534</v>
      </c>
      <c r="F329" s="18">
        <v>269.89166039999998</v>
      </c>
      <c r="G329" s="18">
        <f t="shared" si="27"/>
        <v>270.6336604</v>
      </c>
      <c r="H329" s="9">
        <v>1177747.8802065277</v>
      </c>
      <c r="I329" s="17"/>
      <c r="J329" s="19"/>
      <c r="K329" s="15">
        <f t="shared" si="26"/>
        <v>269.7276015637641</v>
      </c>
      <c r="L329" s="15">
        <f t="shared" si="24"/>
        <v>270.44060156376412</v>
      </c>
      <c r="M329" s="16">
        <f t="shared" si="28"/>
        <v>0.16405883623588124</v>
      </c>
      <c r="N329" s="16"/>
      <c r="O329" s="15"/>
    </row>
    <row r="330" spans="1:15" x14ac:dyDescent="0.25">
      <c r="A330" s="20"/>
      <c r="B330" s="17">
        <v>288360</v>
      </c>
      <c r="C330" s="17">
        <v>97363.381999999998</v>
      </c>
      <c r="D330" s="18">
        <v>654150.81521299295</v>
      </c>
      <c r="E330" s="18">
        <v>3372843.2248173198</v>
      </c>
      <c r="F330" s="18">
        <v>269.8003233</v>
      </c>
      <c r="G330" s="18">
        <f t="shared" si="27"/>
        <v>270.54232330000002</v>
      </c>
      <c r="H330" s="9">
        <v>1177767.9741404885</v>
      </c>
      <c r="I330" s="17"/>
      <c r="J330" s="19"/>
      <c r="K330" s="15">
        <f t="shared" si="26"/>
        <v>269.64514427615205</v>
      </c>
      <c r="L330" s="15">
        <f t="shared" si="24"/>
        <v>270.35814427615207</v>
      </c>
      <c r="M330" s="16">
        <f t="shared" si="28"/>
        <v>0.15517902384794979</v>
      </c>
      <c r="N330" s="16"/>
      <c r="O330" s="15"/>
    </row>
    <row r="331" spans="1:15" x14ac:dyDescent="0.25">
      <c r="A331" s="20"/>
      <c r="B331" s="17">
        <v>288380</v>
      </c>
      <c r="C331" s="17">
        <v>97383.445999999996</v>
      </c>
      <c r="D331" s="18">
        <v>654135.52877337998</v>
      </c>
      <c r="E331" s="18">
        <v>3372856.2189586102</v>
      </c>
      <c r="F331" s="18">
        <v>269.70912799999996</v>
      </c>
      <c r="G331" s="18">
        <f t="shared" si="27"/>
        <v>270.45112799999998</v>
      </c>
      <c r="H331" s="9">
        <v>1177788.037114942</v>
      </c>
      <c r="I331" s="17"/>
      <c r="J331" s="19"/>
      <c r="K331" s="15">
        <f t="shared" si="26"/>
        <v>269.5628140336978</v>
      </c>
      <c r="L331" s="15">
        <f t="shared" si="24"/>
        <v>270.27581403369783</v>
      </c>
      <c r="M331" s="16">
        <f t="shared" si="28"/>
        <v>0.14631396630215932</v>
      </c>
      <c r="N331" s="16"/>
      <c r="O331" s="15"/>
    </row>
    <row r="332" spans="1:15" x14ac:dyDescent="0.25">
      <c r="A332" s="20"/>
      <c r="B332" s="17">
        <v>288400</v>
      </c>
      <c r="C332" s="17">
        <v>97403.448999999993</v>
      </c>
      <c r="D332" s="18">
        <v>654120.33855432295</v>
      </c>
      <c r="E332" s="18">
        <v>3372869.2319171</v>
      </c>
      <c r="F332" s="18">
        <v>269.61821069999996</v>
      </c>
      <c r="G332" s="18">
        <f t="shared" si="27"/>
        <v>270.36021069999998</v>
      </c>
      <c r="H332" s="9">
        <v>1177808.0391109339</v>
      </c>
      <c r="I332" s="17"/>
      <c r="J332" s="19"/>
      <c r="K332" s="15">
        <f t="shared" si="26"/>
        <v>269.48073402191261</v>
      </c>
      <c r="L332" s="15">
        <f t="shared" si="24"/>
        <v>270.19373402191263</v>
      </c>
      <c r="M332" s="16">
        <f t="shared" si="28"/>
        <v>0.13747667808735287</v>
      </c>
      <c r="N332" s="16"/>
      <c r="O332" s="15"/>
    </row>
    <row r="333" spans="1:15" x14ac:dyDescent="0.25">
      <c r="A333" s="20"/>
      <c r="B333" s="17">
        <v>288420</v>
      </c>
      <c r="C333" s="17">
        <v>97423.505000000005</v>
      </c>
      <c r="D333" s="18">
        <v>654105.118975044</v>
      </c>
      <c r="E333" s="18">
        <v>3372882.2920637601</v>
      </c>
      <c r="F333" s="18">
        <v>269.52705309999999</v>
      </c>
      <c r="G333" s="18">
        <f t="shared" si="27"/>
        <v>270.26905310000001</v>
      </c>
      <c r="H333" s="9">
        <v>1177828.0941109143</v>
      </c>
      <c r="I333" s="17"/>
      <c r="J333" s="19"/>
      <c r="K333" s="15">
        <f t="shared" si="26"/>
        <v>269.39843650343465</v>
      </c>
      <c r="L333" s="15">
        <f t="shared" si="24"/>
        <v>270.11143650343467</v>
      </c>
      <c r="M333" s="16">
        <f t="shared" si="28"/>
        <v>0.12861659656533675</v>
      </c>
      <c r="N333" s="16"/>
      <c r="O333" s="15"/>
    </row>
    <row r="334" spans="1:15" x14ac:dyDescent="0.25">
      <c r="A334" s="20"/>
      <c r="B334" s="17">
        <v>288440</v>
      </c>
      <c r="C334" s="17">
        <v>97443.58</v>
      </c>
      <c r="D334" s="18">
        <v>654089.88499970001</v>
      </c>
      <c r="E334" s="18">
        <v>3372895.3646102301</v>
      </c>
      <c r="F334" s="18">
        <v>269.4358052</v>
      </c>
      <c r="G334" s="18">
        <f t="shared" si="27"/>
        <v>270.17780520000002</v>
      </c>
      <c r="H334" s="9">
        <v>1177848.1681109141</v>
      </c>
      <c r="I334" s="17"/>
      <c r="J334" s="19"/>
      <c r="K334" s="15">
        <f t="shared" si="26"/>
        <v>269.31606101664704</v>
      </c>
      <c r="L334" s="15">
        <f t="shared" si="24"/>
        <v>270.02906101664706</v>
      </c>
      <c r="M334" s="16">
        <f t="shared" si="28"/>
        <v>0.11974418335296377</v>
      </c>
      <c r="N334" s="16"/>
      <c r="O334" s="15"/>
    </row>
    <row r="335" spans="1:15" x14ac:dyDescent="0.25">
      <c r="A335" s="20"/>
      <c r="B335" s="17">
        <v>288460</v>
      </c>
      <c r="C335" s="17">
        <v>97463.635999999999</v>
      </c>
      <c r="D335" s="18">
        <v>654074.66544328199</v>
      </c>
      <c r="E335" s="18">
        <v>3372908.42478356</v>
      </c>
      <c r="F335" s="18">
        <v>269.3446477</v>
      </c>
      <c r="G335" s="18">
        <f t="shared" si="27"/>
        <v>270.08664770000001</v>
      </c>
      <c r="H335" s="9">
        <v>1177868.2231109133</v>
      </c>
      <c r="I335" s="17"/>
      <c r="J335" s="19"/>
      <c r="K335" s="15">
        <f t="shared" si="26"/>
        <v>269.23376349809166</v>
      </c>
      <c r="L335" s="15">
        <f t="shared" si="24"/>
        <v>269.94676349809168</v>
      </c>
      <c r="M335" s="16">
        <f t="shared" si="28"/>
        <v>0.11088420190833403</v>
      </c>
      <c r="N335" s="16"/>
      <c r="O335" s="15"/>
    </row>
    <row r="336" spans="1:15" x14ac:dyDescent="0.25">
      <c r="A336" s="20"/>
      <c r="B336" s="17">
        <v>288480</v>
      </c>
      <c r="C336" s="17">
        <v>97483.635999999999</v>
      </c>
      <c r="D336" s="18">
        <v>654059.48762586305</v>
      </c>
      <c r="E336" s="18">
        <v>3372921.4491399098</v>
      </c>
      <c r="F336" s="18">
        <v>269.25373859999996</v>
      </c>
      <c r="G336" s="18">
        <f t="shared" si="27"/>
        <v>269.99573859999998</v>
      </c>
      <c r="H336" s="9">
        <v>1177888.2231109117</v>
      </c>
      <c r="I336" s="17"/>
      <c r="J336" s="19"/>
      <c r="K336" s="15">
        <f t="shared" si="26"/>
        <v>269.15169167704772</v>
      </c>
      <c r="L336" s="15">
        <f t="shared" si="24"/>
        <v>269.86469167704774</v>
      </c>
      <c r="M336" s="16">
        <f t="shared" si="28"/>
        <v>0.10204692295224049</v>
      </c>
      <c r="N336" s="16"/>
      <c r="O336" s="15"/>
    </row>
    <row r="337" spans="1:15" x14ac:dyDescent="0.25">
      <c r="A337" s="20"/>
      <c r="B337" s="17">
        <v>288500</v>
      </c>
      <c r="C337" s="17">
        <v>97503.635999999999</v>
      </c>
      <c r="D337" s="18">
        <v>654043.78776509606</v>
      </c>
      <c r="E337" s="18">
        <v>3372934.9185481202</v>
      </c>
      <c r="F337" s="18">
        <v>269.16282889999997</v>
      </c>
      <c r="G337" s="18">
        <f t="shared" si="27"/>
        <v>269.90482889999998</v>
      </c>
      <c r="H337" s="9">
        <v>1177908.9091106614</v>
      </c>
      <c r="I337" s="17"/>
      <c r="J337" s="19"/>
      <c r="K337" s="15">
        <f t="shared" si="26"/>
        <v>269.06680479356226</v>
      </c>
      <c r="L337" s="15">
        <f t="shared" si="24"/>
        <v>269.77980479356228</v>
      </c>
      <c r="M337" s="16">
        <f t="shared" si="28"/>
        <v>9.6024106437710088E-2</v>
      </c>
      <c r="N337" s="16"/>
      <c r="O337" s="15"/>
    </row>
    <row r="338" spans="1:15" x14ac:dyDescent="0.25">
      <c r="A338" s="20"/>
      <c r="B338" s="17">
        <v>288500</v>
      </c>
      <c r="C338" s="17">
        <v>97503.635999999999</v>
      </c>
      <c r="D338" s="18">
        <v>654043.78776509606</v>
      </c>
      <c r="E338" s="18">
        <v>3372934.9185481202</v>
      </c>
      <c r="F338" s="18">
        <v>269.16282889999997</v>
      </c>
      <c r="G338" s="18">
        <f t="shared" si="27"/>
        <v>269.90482889999998</v>
      </c>
      <c r="H338" s="9">
        <v>1177908.9091106614</v>
      </c>
      <c r="I338" s="17"/>
      <c r="J338" s="19"/>
      <c r="K338" s="15">
        <f t="shared" si="26"/>
        <v>269.06680479356226</v>
      </c>
      <c r="L338" s="15">
        <f t="shared" si="24"/>
        <v>269.77980479356228</v>
      </c>
      <c r="M338" s="16">
        <f t="shared" si="28"/>
        <v>9.6024106437710088E-2</v>
      </c>
      <c r="N338" s="16"/>
      <c r="O338" s="15"/>
    </row>
    <row r="339" spans="1:15" x14ac:dyDescent="0.25">
      <c r="A339" s="20"/>
      <c r="B339" s="17">
        <v>288520</v>
      </c>
      <c r="C339" s="17">
        <v>97523.635999999999</v>
      </c>
      <c r="D339" s="18">
        <v>654029.05930258497</v>
      </c>
      <c r="E339" s="18">
        <v>3372947.5067435298</v>
      </c>
      <c r="F339" s="18">
        <v>269.07191949999998</v>
      </c>
      <c r="G339" s="18">
        <f t="shared" si="27"/>
        <v>269.8139195</v>
      </c>
      <c r="H339" s="9">
        <v>1177928.2849908802</v>
      </c>
      <c r="I339" s="17"/>
      <c r="J339" s="19"/>
      <c r="K339" s="15">
        <f t="shared" si="26"/>
        <v>268.98729410486146</v>
      </c>
      <c r="L339" s="15">
        <f t="shared" si="24"/>
        <v>269.70029410486148</v>
      </c>
      <c r="M339" s="16">
        <f t="shared" si="28"/>
        <v>8.4625395138516524E-2</v>
      </c>
      <c r="N339" s="16"/>
      <c r="O339" s="15"/>
    </row>
    <row r="340" spans="1:15" x14ac:dyDescent="0.25">
      <c r="A340" s="20"/>
      <c r="B340" s="17">
        <v>288540</v>
      </c>
      <c r="C340" s="17">
        <v>97543.618000000002</v>
      </c>
      <c r="D340" s="18">
        <v>654013.80538990803</v>
      </c>
      <c r="E340" s="18">
        <v>3372960.4139904198</v>
      </c>
      <c r="F340" s="18">
        <v>268.98109219999998</v>
      </c>
      <c r="G340" s="18">
        <f t="shared" si="27"/>
        <v>269.7230922</v>
      </c>
      <c r="H340" s="9">
        <v>1177948.2669546034</v>
      </c>
      <c r="I340" s="17"/>
      <c r="J340" s="19"/>
      <c r="K340" s="15">
        <f t="shared" si="26"/>
        <v>268.90529629731498</v>
      </c>
      <c r="L340" s="15">
        <f t="shared" si="24"/>
        <v>269.618296297315</v>
      </c>
      <c r="M340" s="16">
        <f t="shared" si="28"/>
        <v>7.5795902685001693E-2</v>
      </c>
      <c r="N340" s="16"/>
      <c r="O340" s="15"/>
    </row>
    <row r="341" spans="1:15" x14ac:dyDescent="0.25">
      <c r="A341" s="20"/>
      <c r="B341" s="17">
        <v>288560</v>
      </c>
      <c r="C341" s="17">
        <v>97563.615999999995</v>
      </c>
      <c r="D341" s="18">
        <v>653998.44289992505</v>
      </c>
      <c r="E341" s="18">
        <v>3372973.2152317101</v>
      </c>
      <c r="F341" s="18">
        <v>268.89027549999997</v>
      </c>
      <c r="G341" s="18">
        <f t="shared" si="27"/>
        <v>269.63227549999999</v>
      </c>
      <c r="H341" s="9">
        <v>1177968.2639012965</v>
      </c>
      <c r="I341" s="17"/>
      <c r="J341" s="19"/>
      <c r="K341" s="15">
        <f t="shared" si="26"/>
        <v>268.82323700578701</v>
      </c>
      <c r="L341" s="15">
        <f t="shared" si="24"/>
        <v>269.53623700578703</v>
      </c>
      <c r="M341" s="16">
        <f t="shared" si="28"/>
        <v>6.7038494212965816E-2</v>
      </c>
      <c r="N341" s="16"/>
      <c r="O341" s="15"/>
    </row>
    <row r="342" spans="1:15" x14ac:dyDescent="0.25">
      <c r="A342" s="21"/>
      <c r="B342" s="21"/>
      <c r="C342" s="17"/>
      <c r="D342" s="21"/>
      <c r="E342" s="21"/>
      <c r="F342" s="21"/>
      <c r="G342" s="18"/>
      <c r="H342" s="13">
        <v>1177986.1099999999</v>
      </c>
      <c r="I342" s="21"/>
      <c r="J342" s="14">
        <v>-507.74099999999999</v>
      </c>
      <c r="K342" s="22">
        <v>268.75</v>
      </c>
      <c r="L342" s="15">
        <f t="shared" si="24"/>
        <v>269.46300000000002</v>
      </c>
      <c r="M342" s="16"/>
      <c r="N342" s="16"/>
      <c r="O342" s="15"/>
    </row>
    <row r="343" spans="1:15" x14ac:dyDescent="0.25">
      <c r="A343" s="20"/>
      <c r="B343" s="17">
        <v>288580</v>
      </c>
      <c r="C343" s="17">
        <v>97583.531000000003</v>
      </c>
      <c r="D343" s="18">
        <v>653982.973076839</v>
      </c>
      <c r="E343" s="18">
        <v>3372985.89759957</v>
      </c>
      <c r="F343" s="18">
        <v>268.8233826</v>
      </c>
      <c r="G343" s="18">
        <f t="shared" si="27"/>
        <v>269.56538260000002</v>
      </c>
      <c r="H343" s="9">
        <v>1177988.2678479282</v>
      </c>
      <c r="I343" s="17"/>
      <c r="J343" s="19"/>
      <c r="K343" s="15">
        <f>K342+(1/$J$342)*(H343-H342)</f>
        <v>268.74575010107839</v>
      </c>
      <c r="L343" s="15">
        <f t="shared" si="24"/>
        <v>269.45875010107841</v>
      </c>
      <c r="M343" s="16">
        <f t="shared" si="28"/>
        <v>7.7632498921616389E-2</v>
      </c>
      <c r="N343" s="16"/>
      <c r="O343" s="15"/>
    </row>
    <row r="344" spans="1:15" x14ac:dyDescent="0.25">
      <c r="A344" s="20"/>
      <c r="B344" s="17">
        <v>288600</v>
      </c>
      <c r="C344" s="17">
        <v>97603.53</v>
      </c>
      <c r="D344" s="18">
        <v>653967.47567358497</v>
      </c>
      <c r="E344" s="18">
        <v>3372998.3970594499</v>
      </c>
      <c r="F344" s="18">
        <v>268.78899999999999</v>
      </c>
      <c r="G344" s="18">
        <f t="shared" si="27"/>
        <v>269.53100000000001</v>
      </c>
      <c r="H344" s="9">
        <v>1178008.177795314</v>
      </c>
      <c r="I344" s="17"/>
      <c r="J344" s="19"/>
      <c r="K344" s="15">
        <f t="shared" ref="K344:K361" si="29">K343+(1/$J$342)*(H344-H343)</f>
        <v>268.70653729891001</v>
      </c>
      <c r="L344" s="15">
        <f t="shared" si="24"/>
        <v>269.41953729891003</v>
      </c>
      <c r="M344" s="16">
        <f t="shared" si="28"/>
        <v>8.2462701089980328E-2</v>
      </c>
      <c r="N344" s="16"/>
      <c r="O344" s="15"/>
    </row>
    <row r="345" spans="1:15" x14ac:dyDescent="0.25">
      <c r="A345" s="20"/>
      <c r="B345" s="17">
        <v>288620</v>
      </c>
      <c r="C345" s="17">
        <v>97623.434999999998</v>
      </c>
      <c r="D345" s="18">
        <v>653951.883146237</v>
      </c>
      <c r="E345" s="18">
        <v>3373010.7696106299</v>
      </c>
      <c r="F345" s="18">
        <v>268.7498166222818</v>
      </c>
      <c r="G345" s="18">
        <f t="shared" si="27"/>
        <v>269.49181662228182</v>
      </c>
      <c r="H345" s="9">
        <v>1178028.0827427341</v>
      </c>
      <c r="I345" s="17"/>
      <c r="J345" s="19"/>
      <c r="K345" s="15">
        <f t="shared" si="29"/>
        <v>268.6673343442144</v>
      </c>
      <c r="L345" s="15">
        <f t="shared" ref="L345:L367" si="30">K345+0.713</f>
        <v>269.38033434421442</v>
      </c>
      <c r="M345" s="16">
        <f t="shared" si="28"/>
        <v>8.2482278067402603E-2</v>
      </c>
      <c r="N345" s="16"/>
      <c r="O345" s="15"/>
    </row>
    <row r="346" spans="1:15" x14ac:dyDescent="0.25">
      <c r="A346" s="20"/>
      <c r="B346" s="17">
        <v>288640</v>
      </c>
      <c r="C346" s="17">
        <v>97643.437000000005</v>
      </c>
      <c r="D346" s="18">
        <v>653936.11274025706</v>
      </c>
      <c r="E346" s="18">
        <v>3373023.0794520401</v>
      </c>
      <c r="F346" s="18">
        <v>268.71043633984408</v>
      </c>
      <c r="G346" s="18">
        <f t="shared" si="27"/>
        <v>269.4524363398441</v>
      </c>
      <c r="H346" s="9">
        <v>1178048.088689358</v>
      </c>
      <c r="I346" s="17"/>
      <c r="J346" s="19"/>
      <c r="K346" s="15">
        <f t="shared" si="29"/>
        <v>268.62793247077133</v>
      </c>
      <c r="L346" s="15">
        <f t="shared" si="30"/>
        <v>269.34093247077135</v>
      </c>
      <c r="M346" s="16">
        <f t="shared" si="28"/>
        <v>8.2503869072752423E-2</v>
      </c>
      <c r="N346" s="16"/>
      <c r="O346" s="15"/>
    </row>
    <row r="347" spans="1:15" x14ac:dyDescent="0.25">
      <c r="A347" s="20"/>
      <c r="B347" s="17">
        <v>288660</v>
      </c>
      <c r="C347" s="17">
        <v>97663.305999999997</v>
      </c>
      <c r="D347" s="18">
        <v>653920.35332897003</v>
      </c>
      <c r="E347" s="18">
        <v>3373035.1797015802</v>
      </c>
      <c r="F347" s="18">
        <v>268.6713240305229</v>
      </c>
      <c r="G347" s="18">
        <f t="shared" si="27"/>
        <v>269.41332403052292</v>
      </c>
      <c r="H347" s="9">
        <v>1178067.9576370665</v>
      </c>
      <c r="I347" s="17"/>
      <c r="J347" s="19"/>
      <c r="K347" s="15">
        <f t="shared" si="29"/>
        <v>268.58880041779844</v>
      </c>
      <c r="L347" s="15">
        <f t="shared" si="30"/>
        <v>269.30180041779846</v>
      </c>
      <c r="M347" s="16">
        <f t="shared" si="28"/>
        <v>8.2523612724457962E-2</v>
      </c>
      <c r="N347" s="16"/>
      <c r="O347" s="15"/>
    </row>
    <row r="348" spans="1:15" x14ac:dyDescent="0.25">
      <c r="A348" s="20"/>
      <c r="B348" s="17">
        <v>288680</v>
      </c>
      <c r="C348" s="17">
        <v>97683.312000000005</v>
      </c>
      <c r="D348" s="18">
        <v>653904.38859531796</v>
      </c>
      <c r="E348" s="18">
        <v>3373047.2364498698</v>
      </c>
      <c r="F348" s="18">
        <v>268.63194124398245</v>
      </c>
      <c r="G348" s="18">
        <f t="shared" si="27"/>
        <v>269.37394124398247</v>
      </c>
      <c r="H348" s="9">
        <v>1178087.9635836799</v>
      </c>
      <c r="I348" s="17"/>
      <c r="J348" s="19"/>
      <c r="K348" s="15">
        <f t="shared" si="29"/>
        <v>268.549398544376</v>
      </c>
      <c r="L348" s="15">
        <f t="shared" si="30"/>
        <v>269.26239854437603</v>
      </c>
      <c r="M348" s="16">
        <f t="shared" si="28"/>
        <v>8.2542699606449332E-2</v>
      </c>
      <c r="N348" s="16"/>
      <c r="O348" s="15"/>
    </row>
    <row r="349" spans="1:15" x14ac:dyDescent="0.25">
      <c r="A349" s="20"/>
      <c r="B349" s="17">
        <v>288700</v>
      </c>
      <c r="C349" s="17">
        <v>97703.240999999995</v>
      </c>
      <c r="D349" s="18">
        <v>653888.389083624</v>
      </c>
      <c r="E349" s="18">
        <v>3373059.11998562</v>
      </c>
      <c r="F349" s="18">
        <v>268.59271001588843</v>
      </c>
      <c r="G349" s="18">
        <f t="shared" si="27"/>
        <v>269.33471001588845</v>
      </c>
      <c r="H349" s="9">
        <v>1178107.8935309043</v>
      </c>
      <c r="I349" s="17"/>
      <c r="J349" s="19"/>
      <c r="K349" s="15">
        <f t="shared" si="29"/>
        <v>268.51014635236385</v>
      </c>
      <c r="L349" s="15">
        <f t="shared" si="30"/>
        <v>269.22314635236387</v>
      </c>
      <c r="M349" s="16">
        <f t="shared" si="28"/>
        <v>8.2563663524581443E-2</v>
      </c>
      <c r="N349" s="16"/>
      <c r="O349" s="15"/>
    </row>
    <row r="350" spans="1:15" x14ac:dyDescent="0.25">
      <c r="A350" s="20"/>
      <c r="B350" s="17">
        <v>288720</v>
      </c>
      <c r="C350" s="17">
        <v>97723.251999999993</v>
      </c>
      <c r="D350" s="18">
        <v>653872.23125981004</v>
      </c>
      <c r="E350" s="18">
        <v>3373070.9251956702</v>
      </c>
      <c r="F350" s="18">
        <v>268.5533170144127</v>
      </c>
      <c r="G350" s="18">
        <f t="shared" si="27"/>
        <v>269.29531701441272</v>
      </c>
      <c r="H350" s="9">
        <v>1178127.9044842732</v>
      </c>
      <c r="I350" s="17"/>
      <c r="J350" s="19"/>
      <c r="K350" s="15">
        <f t="shared" si="29"/>
        <v>268.47073461809606</v>
      </c>
      <c r="L350" s="15">
        <f t="shared" si="30"/>
        <v>269.18373461809608</v>
      </c>
      <c r="M350" s="16">
        <f t="shared" si="28"/>
        <v>8.2582396316638551E-2</v>
      </c>
      <c r="N350" s="16"/>
      <c r="O350" s="15"/>
    </row>
    <row r="351" spans="1:15" x14ac:dyDescent="0.25">
      <c r="A351" s="20"/>
      <c r="B351" s="17">
        <v>288740</v>
      </c>
      <c r="C351" s="17">
        <v>97743.104000000007</v>
      </c>
      <c r="D351" s="18">
        <v>653856.12652022205</v>
      </c>
      <c r="E351" s="18">
        <v>3373082.5448602801</v>
      </c>
      <c r="F351" s="18">
        <v>268.51422428393215</v>
      </c>
      <c r="G351" s="18">
        <f t="shared" si="27"/>
        <v>269.25622428393217</v>
      </c>
      <c r="H351" s="9">
        <v>1178147.7634682059</v>
      </c>
      <c r="I351" s="17"/>
      <c r="J351" s="19"/>
      <c r="K351" s="15">
        <f t="shared" si="29"/>
        <v>268.43162218885999</v>
      </c>
      <c r="L351" s="15">
        <f t="shared" si="30"/>
        <v>269.14462218886001</v>
      </c>
      <c r="M351" s="16">
        <f t="shared" si="28"/>
        <v>8.2602095072161319E-2</v>
      </c>
      <c r="N351" s="16"/>
      <c r="O351" s="15"/>
    </row>
    <row r="352" spans="1:15" x14ac:dyDescent="0.25">
      <c r="A352" s="20"/>
      <c r="B352" s="17">
        <v>288760</v>
      </c>
      <c r="C352" s="17">
        <v>97763.01</v>
      </c>
      <c r="D352" s="18">
        <v>653839.95422383805</v>
      </c>
      <c r="E352" s="18">
        <v>3373094.1442731</v>
      </c>
      <c r="F352" s="18">
        <v>268.47504725237525</v>
      </c>
      <c r="G352" s="18">
        <f t="shared" si="27"/>
        <v>269.21704725237527</v>
      </c>
      <c r="H352" s="9">
        <v>1178167.6654668015</v>
      </c>
      <c r="I352" s="17"/>
      <c r="J352" s="19"/>
      <c r="K352" s="15">
        <f t="shared" si="29"/>
        <v>268.39242504189809</v>
      </c>
      <c r="L352" s="15">
        <f t="shared" si="30"/>
        <v>269.10542504189812</v>
      </c>
      <c r="M352" s="16">
        <f t="shared" si="28"/>
        <v>8.2622210477154567E-2</v>
      </c>
      <c r="N352" s="16"/>
      <c r="O352" s="15"/>
    </row>
    <row r="353" spans="1:15" x14ac:dyDescent="0.25">
      <c r="A353" s="20"/>
      <c r="B353" s="17">
        <v>288780</v>
      </c>
      <c r="C353" s="17">
        <v>97783.016000000003</v>
      </c>
      <c r="D353" s="18">
        <v>653823.69309621002</v>
      </c>
      <c r="E353" s="18">
        <v>3373105.7982751699</v>
      </c>
      <c r="F353" s="18">
        <v>268.43566658677116</v>
      </c>
      <c r="G353" s="18">
        <f t="shared" si="27"/>
        <v>269.17766658677118</v>
      </c>
      <c r="H353" s="9">
        <v>1178187.6714668011</v>
      </c>
      <c r="I353" s="17"/>
      <c r="J353" s="19"/>
      <c r="K353" s="15">
        <f t="shared" si="29"/>
        <v>268.35302306333108</v>
      </c>
      <c r="L353" s="15">
        <f t="shared" si="30"/>
        <v>269.0660230633311</v>
      </c>
      <c r="M353" s="16">
        <f t="shared" si="28"/>
        <v>8.26435234400833E-2</v>
      </c>
      <c r="N353" s="16"/>
      <c r="O353" s="15"/>
    </row>
    <row r="354" spans="1:15" x14ac:dyDescent="0.25">
      <c r="A354" s="20"/>
      <c r="B354" s="17">
        <v>288800</v>
      </c>
      <c r="C354" s="17">
        <v>97802.895000000004</v>
      </c>
      <c r="D354" s="18">
        <v>653807.53763421299</v>
      </c>
      <c r="E354" s="18">
        <v>3373117.3765489501</v>
      </c>
      <c r="F354" s="18">
        <v>268.39654056397529</v>
      </c>
      <c r="G354" s="18">
        <f t="shared" si="27"/>
        <v>269.13854056397531</v>
      </c>
      <c r="H354" s="9">
        <v>1178207.5474668026</v>
      </c>
      <c r="I354" s="17"/>
      <c r="J354" s="19"/>
      <c r="K354" s="15">
        <f t="shared" si="29"/>
        <v>268.31387712081005</v>
      </c>
      <c r="L354" s="15">
        <f t="shared" si="30"/>
        <v>269.02687712081007</v>
      </c>
      <c r="M354" s="16">
        <f t="shared" si="28"/>
        <v>8.2663443165245098E-2</v>
      </c>
      <c r="N354" s="16"/>
      <c r="O354" s="15"/>
    </row>
    <row r="355" spans="1:15" x14ac:dyDescent="0.25">
      <c r="A355" s="20"/>
      <c r="B355" s="17">
        <v>288820</v>
      </c>
      <c r="C355" s="17">
        <v>97822.896999999997</v>
      </c>
      <c r="D355" s="18">
        <v>653791.27975783497</v>
      </c>
      <c r="E355" s="18">
        <v>3373129.0282209199</v>
      </c>
      <c r="F355" s="18">
        <v>268.35716656202368</v>
      </c>
      <c r="G355" s="18">
        <f t="shared" si="27"/>
        <v>269.0991665620237</v>
      </c>
      <c r="H355" s="9">
        <v>1178227.549466803</v>
      </c>
      <c r="I355" s="17"/>
      <c r="J355" s="19"/>
      <c r="K355" s="15">
        <f t="shared" si="29"/>
        <v>268.27448302027392</v>
      </c>
      <c r="L355" s="15">
        <f t="shared" si="30"/>
        <v>268.98748302027394</v>
      </c>
      <c r="M355" s="16">
        <f t="shared" si="28"/>
        <v>8.2683541749759115E-2</v>
      </c>
      <c r="N355" s="16"/>
      <c r="O355" s="15"/>
    </row>
    <row r="356" spans="1:15" x14ac:dyDescent="0.25">
      <c r="A356" s="20"/>
      <c r="B356" s="17">
        <v>288840</v>
      </c>
      <c r="C356" s="17">
        <v>97842.876000000004</v>
      </c>
      <c r="D356" s="18">
        <v>653775.04138895904</v>
      </c>
      <c r="E356" s="18">
        <v>3373140.6659122799</v>
      </c>
      <c r="F356" s="18">
        <v>268.31783851183769</v>
      </c>
      <c r="G356" s="18">
        <f t="shared" si="27"/>
        <v>269.05983851183771</v>
      </c>
      <c r="H356" s="9">
        <v>1178247.5274668015</v>
      </c>
      <c r="I356" s="17"/>
      <c r="J356" s="19"/>
      <c r="K356" s="15">
        <f t="shared" si="29"/>
        <v>268.23513618793521</v>
      </c>
      <c r="L356" s="15">
        <f t="shared" si="30"/>
        <v>268.94813618793523</v>
      </c>
      <c r="M356" s="16">
        <f t="shared" si="28"/>
        <v>8.2702323902481112E-2</v>
      </c>
      <c r="N356" s="16"/>
      <c r="O356" s="15"/>
    </row>
    <row r="357" spans="1:15" x14ac:dyDescent="0.25">
      <c r="A357" s="20"/>
      <c r="B357" s="17">
        <v>288860</v>
      </c>
      <c r="C357" s="17">
        <v>97862.844313599999</v>
      </c>
      <c r="D357" s="18">
        <v>653758.78351258195</v>
      </c>
      <c r="E357" s="18">
        <v>3373152.3175842501</v>
      </c>
      <c r="F357" s="18">
        <v>268.27846533826585</v>
      </c>
      <c r="G357" s="18">
        <f t="shared" si="27"/>
        <v>269.02046533826586</v>
      </c>
      <c r="H357" s="9">
        <v>1178267.5294668013</v>
      </c>
      <c r="I357" s="17"/>
      <c r="J357" s="19"/>
      <c r="K357" s="15">
        <f t="shared" si="29"/>
        <v>268.19574208739999</v>
      </c>
      <c r="L357" s="15">
        <f t="shared" si="30"/>
        <v>268.90874208740001</v>
      </c>
      <c r="M357" s="16">
        <f t="shared" si="28"/>
        <v>8.272325086585397E-2</v>
      </c>
      <c r="N357" s="16"/>
      <c r="O357" s="15"/>
    </row>
    <row r="358" spans="1:15" x14ac:dyDescent="0.25">
      <c r="A358" s="20"/>
      <c r="B358" s="17">
        <v>288880</v>
      </c>
      <c r="C358" s="17">
        <v>97882.845840900001</v>
      </c>
      <c r="D358" s="18">
        <v>653742.52644901699</v>
      </c>
      <c r="E358" s="18">
        <v>3373163.9686737</v>
      </c>
      <c r="F358" s="18">
        <v>268.23909225302435</v>
      </c>
      <c r="G358" s="18">
        <f t="shared" si="27"/>
        <v>268.98109225302437</v>
      </c>
      <c r="H358" s="9">
        <v>1178287.5304668045</v>
      </c>
      <c r="I358" s="17"/>
      <c r="J358" s="19"/>
      <c r="K358" s="15">
        <f t="shared" si="29"/>
        <v>268.15634995636628</v>
      </c>
      <c r="L358" s="15">
        <f t="shared" si="30"/>
        <v>268.86934995636631</v>
      </c>
      <c r="M358" s="16">
        <f t="shared" si="28"/>
        <v>8.2742296658068426E-2</v>
      </c>
      <c r="N358" s="16"/>
      <c r="O358" s="15"/>
    </row>
    <row r="359" spans="1:15" x14ac:dyDescent="0.25">
      <c r="A359" s="20"/>
      <c r="B359" s="17">
        <v>288900</v>
      </c>
      <c r="C359" s="17">
        <v>97902.847291800004</v>
      </c>
      <c r="D359" s="18">
        <v>653726.27352148597</v>
      </c>
      <c r="E359" s="18">
        <v>3373175.6272448301</v>
      </c>
      <c r="F359" s="18">
        <v>268.19971932149417</v>
      </c>
      <c r="G359" s="18">
        <f t="shared" si="27"/>
        <v>268.94171932149419</v>
      </c>
      <c r="H359" s="9">
        <v>1178307.5324650579</v>
      </c>
      <c r="I359" s="17"/>
      <c r="J359" s="19"/>
      <c r="K359" s="15">
        <f t="shared" si="29"/>
        <v>268.11695585927072</v>
      </c>
      <c r="L359" s="15">
        <f t="shared" si="30"/>
        <v>268.82995585927074</v>
      </c>
      <c r="M359" s="16">
        <f t="shared" si="28"/>
        <v>8.2763462223454098E-2</v>
      </c>
      <c r="N359" s="16"/>
      <c r="O359" s="15"/>
    </row>
    <row r="360" spans="1:15" x14ac:dyDescent="0.25">
      <c r="A360" s="20"/>
      <c r="B360" s="17">
        <v>288920</v>
      </c>
      <c r="C360" s="17">
        <v>97922.832872300001</v>
      </c>
      <c r="D360" s="18">
        <v>653710.06997692795</v>
      </c>
      <c r="E360" s="18">
        <v>3373187.3253055401</v>
      </c>
      <c r="F360" s="18">
        <v>268.16037766436961</v>
      </c>
      <c r="G360" s="18">
        <f t="shared" si="27"/>
        <v>268.90237766436962</v>
      </c>
      <c r="H360" s="9">
        <v>1178327.5174464344</v>
      </c>
      <c r="I360" s="17"/>
      <c r="J360" s="19"/>
      <c r="K360" s="15">
        <f t="shared" si="29"/>
        <v>268.07759527705173</v>
      </c>
      <c r="L360" s="15">
        <f t="shared" si="30"/>
        <v>268.79059527705175</v>
      </c>
      <c r="M360" s="16">
        <f t="shared" si="28"/>
        <v>8.2782387317877237E-2</v>
      </c>
      <c r="N360" s="16"/>
      <c r="O360" s="15"/>
    </row>
    <row r="361" spans="1:15" x14ac:dyDescent="0.25">
      <c r="A361" s="20"/>
      <c r="B361" s="17">
        <v>288940</v>
      </c>
      <c r="C361" s="17">
        <v>97942.833034700001</v>
      </c>
      <c r="D361" s="18">
        <v>653693.92426614603</v>
      </c>
      <c r="E361" s="18">
        <v>3373199.1284637102</v>
      </c>
      <c r="F361" s="18">
        <v>268.12100733877719</v>
      </c>
      <c r="G361" s="18">
        <f t="shared" si="27"/>
        <v>268.86300733877721</v>
      </c>
      <c r="H361" s="9">
        <v>1178347.5174094203</v>
      </c>
      <c r="I361" s="17"/>
      <c r="J361" s="19"/>
      <c r="K361" s="15">
        <f t="shared" si="29"/>
        <v>268.03820518843179</v>
      </c>
      <c r="L361" s="15">
        <f t="shared" si="30"/>
        <v>268.75120518843181</v>
      </c>
      <c r="M361" s="16">
        <f t="shared" si="28"/>
        <v>8.280215034540106E-2</v>
      </c>
      <c r="N361" s="16"/>
      <c r="O361" s="15"/>
    </row>
    <row r="362" spans="1:15" x14ac:dyDescent="0.25">
      <c r="A362" s="21"/>
      <c r="B362" s="21"/>
      <c r="C362" s="17"/>
      <c r="D362" s="21"/>
      <c r="E362" s="21"/>
      <c r="F362" s="21"/>
      <c r="G362" s="18"/>
      <c r="H362" s="13">
        <v>1178356.7599999998</v>
      </c>
      <c r="I362" s="21"/>
      <c r="J362" s="14">
        <v>3410</v>
      </c>
      <c r="K362" s="22">
        <v>268.02</v>
      </c>
      <c r="L362" s="15">
        <f t="shared" si="30"/>
        <v>268.733</v>
      </c>
      <c r="M362" s="16"/>
      <c r="N362" s="16"/>
      <c r="O362" s="15"/>
    </row>
    <row r="363" spans="1:15" x14ac:dyDescent="0.25">
      <c r="A363" s="20"/>
      <c r="B363" s="17">
        <v>288960</v>
      </c>
      <c r="C363" s="17">
        <v>97962.840357499997</v>
      </c>
      <c r="D363" s="18">
        <v>653677.85118627199</v>
      </c>
      <c r="E363" s="18">
        <v>3373211.0437766998</v>
      </c>
      <c r="F363" s="18">
        <v>268.09399999999999</v>
      </c>
      <c r="G363" s="18">
        <f t="shared" si="27"/>
        <v>268.83600000000001</v>
      </c>
      <c r="H363" s="9">
        <v>1178367.525372342</v>
      </c>
      <c r="I363" s="17"/>
      <c r="J363" s="19"/>
      <c r="K363" s="15">
        <f>K362+(1/$J$362)*(H363-H362)</f>
        <v>268.02315700068687</v>
      </c>
      <c r="L363" s="15">
        <f t="shared" si="30"/>
        <v>268.73615700068689</v>
      </c>
      <c r="M363" s="16">
        <f t="shared" si="28"/>
        <v>7.0842999313128985E-2</v>
      </c>
      <c r="N363" s="16"/>
      <c r="O363" s="15"/>
    </row>
    <row r="364" spans="1:15" x14ac:dyDescent="0.25">
      <c r="A364" s="20"/>
      <c r="B364" s="17">
        <v>288980</v>
      </c>
      <c r="C364" s="17">
        <v>97982.841547999997</v>
      </c>
      <c r="D364" s="18">
        <v>653661.86351182696</v>
      </c>
      <c r="E364" s="18">
        <v>3373223.0617958801</v>
      </c>
      <c r="F364" s="18">
        <v>268.09899999999999</v>
      </c>
      <c r="G364" s="18">
        <f t="shared" si="27"/>
        <v>268.84100000000001</v>
      </c>
      <c r="H364" s="9">
        <v>1178387.5263352983</v>
      </c>
      <c r="I364" s="17"/>
      <c r="J364" s="19"/>
      <c r="K364" s="15">
        <f t="shared" ref="K364:K367" si="31">K363+(1/$J$362)*(H364-H363)</f>
        <v>268.02902238571806</v>
      </c>
      <c r="L364" s="15">
        <f t="shared" si="30"/>
        <v>268.74202238571809</v>
      </c>
      <c r="M364" s="16">
        <f t="shared" si="28"/>
        <v>6.9977614281924616E-2</v>
      </c>
      <c r="N364" s="16"/>
      <c r="O364" s="15"/>
    </row>
    <row r="365" spans="1:15" x14ac:dyDescent="0.25">
      <c r="A365" s="20"/>
      <c r="B365" s="17">
        <v>289000</v>
      </c>
      <c r="C365" s="17">
        <v>98002.835183100004</v>
      </c>
      <c r="D365" s="18">
        <v>653645.69627409603</v>
      </c>
      <c r="E365" s="18">
        <v>3373235.38275326</v>
      </c>
      <c r="F365" s="18">
        <v>268.10599999999999</v>
      </c>
      <c r="G365" s="18">
        <f t="shared" si="27"/>
        <v>268.84800000000001</v>
      </c>
      <c r="H365" s="9">
        <v>1178407.8533017864</v>
      </c>
      <c r="I365" s="17"/>
      <c r="J365" s="19"/>
      <c r="K365" s="15">
        <f t="shared" si="31"/>
        <v>268.03498337295798</v>
      </c>
      <c r="L365" s="15">
        <f t="shared" si="30"/>
        <v>268.747983372958</v>
      </c>
      <c r="M365" s="16">
        <f t="shared" si="28"/>
        <v>7.101662704201317E-2</v>
      </c>
      <c r="N365" s="16"/>
      <c r="O365" s="15"/>
    </row>
    <row r="366" spans="1:15" x14ac:dyDescent="0.25">
      <c r="A366" s="20"/>
      <c r="B366" s="17">
        <v>289020</v>
      </c>
      <c r="C366" s="17">
        <v>98022.94</v>
      </c>
      <c r="D366" s="18">
        <v>653630.07972957694</v>
      </c>
      <c r="E366" s="18">
        <v>3373247.39983558</v>
      </c>
      <c r="F366" s="18">
        <v>268.113</v>
      </c>
      <c r="G366" s="18">
        <f t="shared" si="27"/>
        <v>268.85500000000002</v>
      </c>
      <c r="H366" s="9">
        <v>1178427.558294306</v>
      </c>
      <c r="I366" s="17"/>
      <c r="J366" s="19"/>
      <c r="K366" s="15">
        <f t="shared" si="31"/>
        <v>268.04076196313969</v>
      </c>
      <c r="L366" s="15">
        <f t="shared" si="30"/>
        <v>268.75376196313971</v>
      </c>
      <c r="M366" s="16">
        <f t="shared" si="28"/>
        <v>7.2238036860312604E-2</v>
      </c>
      <c r="N366" s="16"/>
      <c r="O366" s="15"/>
    </row>
    <row r="367" spans="1:15" x14ac:dyDescent="0.25">
      <c r="A367" s="20"/>
      <c r="B367" s="17">
        <v>289037.92700000003</v>
      </c>
      <c r="C367" s="17">
        <v>98042.94</v>
      </c>
      <c r="D367" s="18">
        <v>653614.24739777099</v>
      </c>
      <c r="E367" s="18">
        <v>3373259.6201984002</v>
      </c>
      <c r="F367" s="18">
        <v>268.11900000000003</v>
      </c>
      <c r="G367" s="18">
        <f t="shared" si="27"/>
        <v>268.86100000000005</v>
      </c>
      <c r="H367" s="9">
        <v>1178447.558294306</v>
      </c>
      <c r="I367" s="17"/>
      <c r="J367" s="19"/>
      <c r="K367" s="15">
        <f t="shared" si="31"/>
        <v>268.04662706577898</v>
      </c>
      <c r="L367" s="15">
        <f t="shared" si="30"/>
        <v>268.759627065779</v>
      </c>
      <c r="M367" s="16">
        <f t="shared" si="28"/>
        <v>7.23729342210504E-2</v>
      </c>
      <c r="N367" s="16"/>
      <c r="O367" s="15"/>
    </row>
    <row r="368" spans="1:15" ht="18.75" x14ac:dyDescent="0.25">
      <c r="A368" s="81"/>
      <c r="B368" s="82"/>
      <c r="C368" s="82"/>
      <c r="D368" s="62"/>
      <c r="E368" s="84" t="s">
        <v>46</v>
      </c>
      <c r="F368" s="62"/>
      <c r="G368" s="62"/>
      <c r="H368" s="83"/>
      <c r="I368" s="82"/>
      <c r="J368" s="19"/>
      <c r="K368" s="15"/>
      <c r="L368" s="15"/>
      <c r="M368" s="16"/>
      <c r="N368" s="16"/>
      <c r="O368" s="15"/>
    </row>
    <row r="369" spans="1:15" s="74" customFormat="1" x14ac:dyDescent="0.25">
      <c r="A369" s="67"/>
      <c r="B369" s="67"/>
      <c r="C369" s="67"/>
      <c r="D369" s="67"/>
      <c r="E369" s="67"/>
      <c r="F369" s="67"/>
      <c r="G369" s="68"/>
      <c r="H369" s="69">
        <v>1178455.6599999997</v>
      </c>
      <c r="I369" s="67"/>
      <c r="J369" s="70">
        <v>3407.5010000000002</v>
      </c>
      <c r="K369" s="71">
        <v>268.04899999999998</v>
      </c>
      <c r="L369" s="72">
        <f>K369+0.671</f>
        <v>268.71999999999997</v>
      </c>
      <c r="M369" s="73"/>
      <c r="N369" s="73"/>
      <c r="O369" s="72"/>
    </row>
    <row r="370" spans="1:15" x14ac:dyDescent="0.25">
      <c r="A370" s="20"/>
      <c r="B370" s="60">
        <v>289037.92700000003</v>
      </c>
      <c r="C370" s="60">
        <v>289037.59999999998</v>
      </c>
      <c r="D370" s="28">
        <f>VLOOKUP($B370,'Old LS-Reports'!$B$346:$V$397,9,)</f>
        <v>3373258.3565000002</v>
      </c>
      <c r="E370" s="28">
        <f>VLOOKUP($B370,'Old LS-Reports'!$B$346:$V$397,8,)</f>
        <v>653615.88439999998</v>
      </c>
      <c r="F370" s="28">
        <f>VLOOKUP($B370,'Old LS-Reports'!$B$346:$V$397,10,)</f>
        <v>268.11900000000003</v>
      </c>
      <c r="G370" s="28">
        <f>VLOOKUP($B370,'Old LS-Reports'!$B$346:$V$397,11,)</f>
        <v>268.75700000000001</v>
      </c>
      <c r="H370" s="13">
        <v>1178467.558294306</v>
      </c>
      <c r="I370" s="29"/>
      <c r="J370" s="63"/>
      <c r="K370" s="28">
        <f>K369+(1/$J$369)*(H370-H369)</f>
        <v>268.05249179480984</v>
      </c>
      <c r="L370" s="28">
        <f>K370+0.671</f>
        <v>268.72349179480983</v>
      </c>
      <c r="M370" s="13">
        <f t="shared" si="28"/>
        <v>6.6508205190189074E-2</v>
      </c>
      <c r="N370" s="16"/>
      <c r="O370" s="15"/>
    </row>
    <row r="371" spans="1:15" x14ac:dyDescent="0.25">
      <c r="A371" s="20"/>
      <c r="B371" s="60">
        <v>289040</v>
      </c>
      <c r="C371" s="60">
        <v>289039.7</v>
      </c>
      <c r="D371" s="28">
        <f>VLOOKUP($B371,'Old LS-Reports'!$B$346:$V$397,9,)</f>
        <v>3373260.3790000002</v>
      </c>
      <c r="E371" s="28">
        <f>VLOOKUP($B371,'Old LS-Reports'!$B$346:$V$397,8,)</f>
        <v>653613.26439999999</v>
      </c>
      <c r="F371" s="28">
        <f>VLOOKUP($B371,'Old LS-Reports'!$B$346:$V$397,10,)</f>
        <v>268.12</v>
      </c>
      <c r="G371" s="28">
        <f>VLOOKUP($B371,'Old LS-Reports'!$B$346:$V$397,11,)</f>
        <v>268.75799999999998</v>
      </c>
      <c r="H371" s="13">
        <f>H370+(C371-C370)</f>
        <v>1178469.6582943061</v>
      </c>
      <c r="I371" s="28"/>
      <c r="J371" s="63"/>
      <c r="K371" s="28">
        <f t="shared" ref="K371:K401" si="32">K370+(1/$J$369)*(H371-H370)</f>
        <v>268.05310808222987</v>
      </c>
      <c r="L371" s="28">
        <f t="shared" ref="L371:L423" si="33">K371+0.671</f>
        <v>268.72410808222986</v>
      </c>
      <c r="M371" s="13">
        <f t="shared" si="28"/>
        <v>6.6891917770135478E-2</v>
      </c>
      <c r="N371" s="16"/>
      <c r="O371" s="15"/>
    </row>
    <row r="372" spans="1:15" x14ac:dyDescent="0.25">
      <c r="A372" s="20"/>
      <c r="B372" s="60">
        <v>289060</v>
      </c>
      <c r="C372" s="60">
        <v>289059.7</v>
      </c>
      <c r="D372" s="28">
        <f>VLOOKUP($B372,'Old LS-Reports'!$B$346:$V$397,9,)</f>
        <v>3373272.6</v>
      </c>
      <c r="E372" s="28">
        <f>VLOOKUP($B372,'Old LS-Reports'!$B$346:$V$397,8,)</f>
        <v>653597.43259999994</v>
      </c>
      <c r="F372" s="28">
        <f>VLOOKUP($B372,'Old LS-Reports'!$B$346:$V$397,10,)</f>
        <v>268.12700000000001</v>
      </c>
      <c r="G372" s="28">
        <f>VLOOKUP($B372,'Old LS-Reports'!$B$346:$V$397,11,)</f>
        <v>268.76499999999999</v>
      </c>
      <c r="H372" s="13">
        <f t="shared" ref="H372:H423" si="34">H371+(C372-C371)</f>
        <v>1178489.6582943061</v>
      </c>
      <c r="I372" s="28"/>
      <c r="J372" s="63"/>
      <c r="K372" s="28">
        <f t="shared" si="32"/>
        <v>268.05897748623005</v>
      </c>
      <c r="L372" s="28">
        <f t="shared" si="33"/>
        <v>268.72997748623004</v>
      </c>
      <c r="M372" s="13">
        <f t="shared" si="28"/>
        <v>6.8022513769960824E-2</v>
      </c>
      <c r="N372" s="16"/>
      <c r="O372" s="15"/>
    </row>
    <row r="373" spans="1:15" x14ac:dyDescent="0.25">
      <c r="A373" s="20"/>
      <c r="B373" s="60">
        <v>289080</v>
      </c>
      <c r="C373" s="60">
        <v>289079.7</v>
      </c>
      <c r="D373" s="28">
        <f>VLOOKUP($B373,'Old LS-Reports'!$B$346:$V$397,9,)</f>
        <v>3373284.821</v>
      </c>
      <c r="E373" s="28">
        <f>VLOOKUP($B373,'Old LS-Reports'!$B$346:$V$397,8,)</f>
        <v>653581.60069999995</v>
      </c>
      <c r="F373" s="28">
        <f>VLOOKUP($B373,'Old LS-Reports'!$B$346:$V$397,10,)</f>
        <v>268.13299999999998</v>
      </c>
      <c r="G373" s="28">
        <f>VLOOKUP($B373,'Old LS-Reports'!$B$346:$V$397,11,)</f>
        <v>268.77099999999996</v>
      </c>
      <c r="H373" s="13">
        <f t="shared" si="34"/>
        <v>1178509.6582943061</v>
      </c>
      <c r="I373" s="18"/>
      <c r="J373" s="63"/>
      <c r="K373" s="28">
        <f t="shared" si="32"/>
        <v>268.06484689023023</v>
      </c>
      <c r="L373" s="28">
        <f t="shared" si="33"/>
        <v>268.73584689023022</v>
      </c>
      <c r="M373" s="13">
        <f t="shared" si="28"/>
        <v>6.8153109769752973E-2</v>
      </c>
      <c r="N373" s="16"/>
      <c r="O373" s="15"/>
    </row>
    <row r="374" spans="1:15" x14ac:dyDescent="0.25">
      <c r="A374" s="21"/>
      <c r="B374" s="61">
        <v>289100</v>
      </c>
      <c r="C374" s="60">
        <v>289100</v>
      </c>
      <c r="D374" s="28">
        <f>VLOOKUP($B374,'Old LS-Reports'!$B$346:$V$397,9,)</f>
        <v>3373297.0419999999</v>
      </c>
      <c r="E374" s="28">
        <f>VLOOKUP($B374,'Old LS-Reports'!$B$346:$V$397,8,)</f>
        <v>653565.76890000002</v>
      </c>
      <c r="F374" s="28">
        <f>VLOOKUP($B374,'Old LS-Reports'!$B$346:$V$397,10,)</f>
        <v>268.14</v>
      </c>
      <c r="G374" s="28">
        <f>VLOOKUP($B374,'Old LS-Reports'!$B$346:$V$397,11,)</f>
        <v>268.77799999999996</v>
      </c>
      <c r="H374" s="13">
        <f t="shared" si="34"/>
        <v>1178529.9582943062</v>
      </c>
      <c r="I374" s="21"/>
      <c r="K374" s="28">
        <f t="shared" si="32"/>
        <v>268.0708043352904</v>
      </c>
      <c r="L374" s="28">
        <f t="shared" si="33"/>
        <v>268.7418043352904</v>
      </c>
      <c r="M374" s="13">
        <f t="shared" si="28"/>
        <v>6.9195664709582161E-2</v>
      </c>
      <c r="N374" s="16"/>
      <c r="O374" s="15"/>
    </row>
    <row r="375" spans="1:15" x14ac:dyDescent="0.25">
      <c r="A375" s="21"/>
      <c r="B375" s="61">
        <v>289120</v>
      </c>
      <c r="C375" s="60">
        <v>289120</v>
      </c>
      <c r="D375" s="28">
        <f>VLOOKUP($B375,'Old LS-Reports'!$B$346:$V$397,9,)</f>
        <v>3373309.2629999998</v>
      </c>
      <c r="E375" s="28">
        <f>VLOOKUP($B375,'Old LS-Reports'!$B$346:$V$397,8,)</f>
        <v>653549.93709999998</v>
      </c>
      <c r="F375" s="28">
        <f>VLOOKUP($B375,'Old LS-Reports'!$B$346:$V$397,10,)</f>
        <v>268.14699999999999</v>
      </c>
      <c r="G375" s="28">
        <f>VLOOKUP($B375,'Old LS-Reports'!$B$346:$V$397,11,)</f>
        <v>268.78499999999997</v>
      </c>
      <c r="H375" s="13">
        <f t="shared" si="34"/>
        <v>1178549.9582943062</v>
      </c>
      <c r="I375" s="21"/>
      <c r="K375" s="28">
        <f t="shared" si="32"/>
        <v>268.07667373929058</v>
      </c>
      <c r="L375" s="28">
        <f t="shared" si="33"/>
        <v>268.74767373929058</v>
      </c>
      <c r="M375" s="13">
        <f t="shared" si="28"/>
        <v>7.0326260709407507E-2</v>
      </c>
      <c r="N375" s="16"/>
      <c r="O375" s="15"/>
    </row>
    <row r="376" spans="1:15" x14ac:dyDescent="0.25">
      <c r="A376" s="21"/>
      <c r="B376" s="61">
        <v>289140</v>
      </c>
      <c r="C376" s="60">
        <v>289140</v>
      </c>
      <c r="D376" s="28">
        <f>VLOOKUP($B376,'Old LS-Reports'!$B$346:$V$397,9,)</f>
        <v>3373321.4840000002</v>
      </c>
      <c r="E376" s="28">
        <f>VLOOKUP($B376,'Old LS-Reports'!$B$346:$V$397,8,)</f>
        <v>653534.10519999999</v>
      </c>
      <c r="F376" s="28">
        <f>VLOOKUP($B376,'Old LS-Reports'!$B$346:$V$397,10,)</f>
        <v>268.154</v>
      </c>
      <c r="G376" s="28">
        <f>VLOOKUP($B376,'Old LS-Reports'!$B$346:$V$397,11,)</f>
        <v>268.79199999999997</v>
      </c>
      <c r="H376" s="13">
        <f t="shared" si="34"/>
        <v>1178569.9582943062</v>
      </c>
      <c r="I376" s="21"/>
      <c r="J376" s="66"/>
      <c r="K376" s="28">
        <f t="shared" si="32"/>
        <v>268.08254314329076</v>
      </c>
      <c r="L376" s="28">
        <f t="shared" si="33"/>
        <v>268.75354314329076</v>
      </c>
      <c r="M376" s="13">
        <f t="shared" si="28"/>
        <v>7.1456856709232852E-2</v>
      </c>
    </row>
    <row r="377" spans="1:15" x14ac:dyDescent="0.25">
      <c r="A377" s="21"/>
      <c r="B377" s="61">
        <v>289160</v>
      </c>
      <c r="C377" s="60">
        <v>289160</v>
      </c>
      <c r="D377" s="28">
        <f>VLOOKUP($B377,'Old LS-Reports'!$B$346:$V$397,9,)</f>
        <v>3373333.7050000001</v>
      </c>
      <c r="E377" s="28">
        <f>VLOOKUP($B377,'Old LS-Reports'!$B$346:$V$397,8,)</f>
        <v>653518.27339999995</v>
      </c>
      <c r="F377" s="28">
        <f>VLOOKUP($B377,'Old LS-Reports'!$B$346:$V$397,10,)</f>
        <v>268.161</v>
      </c>
      <c r="G377" s="28">
        <f>VLOOKUP($B377,'Old LS-Reports'!$B$346:$V$397,11,)</f>
        <v>268.79899999999998</v>
      </c>
      <c r="H377" s="13">
        <f t="shared" si="34"/>
        <v>1178589.9582943062</v>
      </c>
      <c r="I377" s="21"/>
      <c r="J377" s="66"/>
      <c r="K377" s="28">
        <f t="shared" si="32"/>
        <v>268.08841254729094</v>
      </c>
      <c r="L377" s="28">
        <f t="shared" si="33"/>
        <v>268.75941254729094</v>
      </c>
      <c r="M377" s="13">
        <f t="shared" si="28"/>
        <v>7.2587452709058198E-2</v>
      </c>
    </row>
    <row r="378" spans="1:15" x14ac:dyDescent="0.25">
      <c r="A378" s="21"/>
      <c r="B378" s="61">
        <v>289180</v>
      </c>
      <c r="C378" s="60">
        <v>289180</v>
      </c>
      <c r="D378" s="28">
        <f>VLOOKUP($B378,'Old LS-Reports'!$B$346:$V$397,9,)</f>
        <v>3373345.926</v>
      </c>
      <c r="E378" s="28">
        <f>VLOOKUP($B378,'Old LS-Reports'!$B$346:$V$397,8,)</f>
        <v>653502.44149999996</v>
      </c>
      <c r="F378" s="28">
        <f>VLOOKUP($B378,'Old LS-Reports'!$B$346:$V$397,10,)</f>
        <v>268.16800000000001</v>
      </c>
      <c r="G378" s="28">
        <f>VLOOKUP($B378,'Old LS-Reports'!$B$346:$V$397,11,)</f>
        <v>268.80599999999998</v>
      </c>
      <c r="H378" s="13">
        <f t="shared" si="34"/>
        <v>1178609.9582943062</v>
      </c>
      <c r="I378" s="21"/>
      <c r="J378" s="66"/>
      <c r="K378" s="28">
        <f t="shared" si="32"/>
        <v>268.09428195129112</v>
      </c>
      <c r="L378" s="28">
        <f t="shared" si="33"/>
        <v>268.76528195129112</v>
      </c>
      <c r="M378" s="13">
        <f t="shared" si="28"/>
        <v>7.3718048708883543E-2</v>
      </c>
    </row>
    <row r="379" spans="1:15" x14ac:dyDescent="0.25">
      <c r="A379" s="21"/>
      <c r="B379" s="61">
        <v>289200</v>
      </c>
      <c r="C379" s="60">
        <v>289200</v>
      </c>
      <c r="D379" s="28">
        <f>VLOOKUP($B379,'Old LS-Reports'!$B$346:$V$397,9,)</f>
        <v>3373358.1469999999</v>
      </c>
      <c r="E379" s="28">
        <f>VLOOKUP($B379,'Old LS-Reports'!$B$346:$V$397,8,)</f>
        <v>653486.60970000003</v>
      </c>
      <c r="F379" s="28">
        <f>VLOOKUP($B379,'Old LS-Reports'!$B$346:$V$397,10,)</f>
        <v>268.17500000000001</v>
      </c>
      <c r="G379" s="28">
        <f>VLOOKUP($B379,'Old LS-Reports'!$B$346:$V$397,11,)</f>
        <v>268.81299999999999</v>
      </c>
      <c r="H379" s="13">
        <f t="shared" si="34"/>
        <v>1178629.9582943062</v>
      </c>
      <c r="I379" s="21"/>
      <c r="J379" s="66"/>
      <c r="K379" s="28">
        <f t="shared" si="32"/>
        <v>268.1001513552913</v>
      </c>
      <c r="L379" s="28">
        <f t="shared" si="33"/>
        <v>268.77115135529129</v>
      </c>
      <c r="M379" s="13">
        <f t="shared" si="28"/>
        <v>7.4848644708708889E-2</v>
      </c>
    </row>
    <row r="380" spans="1:15" x14ac:dyDescent="0.25">
      <c r="A380" s="21"/>
      <c r="B380" s="61">
        <v>289220</v>
      </c>
      <c r="C380" s="60">
        <v>289220</v>
      </c>
      <c r="D380" s="28">
        <f>VLOOKUP($B380,'Old LS-Reports'!$B$346:$V$397,9,)</f>
        <v>3373370.3675000002</v>
      </c>
      <c r="E380" s="28">
        <f>VLOOKUP($B380,'Old LS-Reports'!$B$346:$V$397,8,)</f>
        <v>653470.77749999997</v>
      </c>
      <c r="F380" s="28">
        <f>VLOOKUP($B380,'Old LS-Reports'!$B$346:$V$397,10,)</f>
        <v>268.18099999999998</v>
      </c>
      <c r="G380" s="28">
        <f>VLOOKUP($B380,'Old LS-Reports'!$B$346:$V$397,11,)</f>
        <v>268.81899999999996</v>
      </c>
      <c r="H380" s="13">
        <f t="shared" si="34"/>
        <v>1178649.9582943062</v>
      </c>
      <c r="I380" s="21"/>
      <c r="J380" s="66"/>
      <c r="K380" s="28">
        <f t="shared" si="32"/>
        <v>268.10602075929148</v>
      </c>
      <c r="L380" s="28">
        <f t="shared" si="33"/>
        <v>268.77702075929147</v>
      </c>
      <c r="M380" s="13">
        <f t="shared" si="28"/>
        <v>7.4979240708501038E-2</v>
      </c>
    </row>
    <row r="381" spans="1:15" x14ac:dyDescent="0.25">
      <c r="A381" s="21"/>
      <c r="B381" s="61">
        <v>289240</v>
      </c>
      <c r="C381" s="60">
        <v>289240</v>
      </c>
      <c r="D381" s="28">
        <f>VLOOKUP($B381,'Old LS-Reports'!$B$346:$V$397,9,)</f>
        <v>3373382.5573</v>
      </c>
      <c r="E381" s="28">
        <f>VLOOKUP($B381,'Old LS-Reports'!$B$346:$V$397,8,)</f>
        <v>653454.9216</v>
      </c>
      <c r="F381" s="28">
        <f>VLOOKUP($B381,'Old LS-Reports'!$B$346:$V$397,10,)</f>
        <v>268.18799999999999</v>
      </c>
      <c r="G381" s="28">
        <f>VLOOKUP($B381,'Old LS-Reports'!$B$346:$V$397,11,)</f>
        <v>268.82599999999996</v>
      </c>
      <c r="H381" s="13">
        <f t="shared" si="34"/>
        <v>1178669.9582943062</v>
      </c>
      <c r="I381" s="21"/>
      <c r="J381" s="66"/>
      <c r="K381" s="28">
        <f t="shared" si="32"/>
        <v>268.11189016329166</v>
      </c>
      <c r="L381" s="28">
        <f t="shared" si="33"/>
        <v>268.78289016329165</v>
      </c>
      <c r="M381" s="13">
        <f t="shared" si="28"/>
        <v>7.6109836708326384E-2</v>
      </c>
    </row>
    <row r="382" spans="1:15" x14ac:dyDescent="0.25">
      <c r="A382" s="21"/>
      <c r="B382" s="61">
        <v>289260</v>
      </c>
      <c r="C382" s="60">
        <v>289259.8</v>
      </c>
      <c r="D382" s="28">
        <f>VLOOKUP($B382,'Old LS-Reports'!$B$346:$V$397,9,)</f>
        <v>3373394.6411000001</v>
      </c>
      <c r="E382" s="28">
        <f>VLOOKUP($B382,'Old LS-Reports'!$B$346:$V$397,8,)</f>
        <v>653438.98490000004</v>
      </c>
      <c r="F382" s="28">
        <f>VLOOKUP($B382,'Old LS-Reports'!$B$346:$V$397,10,)</f>
        <v>268.19499999999999</v>
      </c>
      <c r="G382" s="28">
        <f>VLOOKUP($B382,'Old LS-Reports'!$B$346:$V$397,11,)</f>
        <v>268.83299999999997</v>
      </c>
      <c r="H382" s="13">
        <f t="shared" si="34"/>
        <v>1178689.7582943062</v>
      </c>
      <c r="I382" s="21"/>
      <c r="J382" s="66"/>
      <c r="K382" s="28">
        <f t="shared" si="32"/>
        <v>268.11770087325186</v>
      </c>
      <c r="L382" s="28">
        <f t="shared" si="33"/>
        <v>268.78870087325186</v>
      </c>
      <c r="M382" s="13">
        <f t="shared" si="28"/>
        <v>7.729912674813022E-2</v>
      </c>
    </row>
    <row r="383" spans="1:15" x14ac:dyDescent="0.25">
      <c r="A383" s="21"/>
      <c r="B383" s="61">
        <v>289280</v>
      </c>
      <c r="C383" s="60">
        <v>289279.8</v>
      </c>
      <c r="D383" s="28">
        <f>VLOOKUP($B383,'Old LS-Reports'!$B$346:$V$397,9,)</f>
        <v>3373406.5688</v>
      </c>
      <c r="E383" s="28">
        <f>VLOOKUP($B383,'Old LS-Reports'!$B$346:$V$397,8,)</f>
        <v>653422.93099999998</v>
      </c>
      <c r="F383" s="28">
        <f>VLOOKUP($B383,'Old LS-Reports'!$B$346:$V$397,10,)</f>
        <v>268.202</v>
      </c>
      <c r="G383" s="28">
        <f>VLOOKUP($B383,'Old LS-Reports'!$B$346:$V$397,11,)</f>
        <v>268.83999999999997</v>
      </c>
      <c r="H383" s="13">
        <f t="shared" si="34"/>
        <v>1178709.7582943062</v>
      </c>
      <c r="I383" s="21"/>
      <c r="J383" s="66"/>
      <c r="K383" s="28">
        <f t="shared" si="32"/>
        <v>268.12357027725204</v>
      </c>
      <c r="L383" s="28">
        <f t="shared" si="33"/>
        <v>268.79457027725203</v>
      </c>
      <c r="M383" s="13">
        <f t="shared" si="28"/>
        <v>7.8429722747955566E-2</v>
      </c>
    </row>
    <row r="384" spans="1:15" x14ac:dyDescent="0.25">
      <c r="A384" s="21"/>
      <c r="B384" s="61">
        <v>289300</v>
      </c>
      <c r="C384" s="60">
        <v>289299.8</v>
      </c>
      <c r="D384" s="28">
        <f>VLOOKUP($B384,'Old LS-Reports'!$B$346:$V$397,9,)</f>
        <v>3373418.3352999999</v>
      </c>
      <c r="E384" s="28">
        <f>VLOOKUP($B384,'Old LS-Reports'!$B$346:$V$397,8,)</f>
        <v>653406.75859999994</v>
      </c>
      <c r="F384" s="28">
        <f>VLOOKUP($B384,'Old LS-Reports'!$B$346:$V$397,10,)</f>
        <v>268.209</v>
      </c>
      <c r="G384" s="28">
        <f>VLOOKUP($B384,'Old LS-Reports'!$B$346:$V$397,11,)</f>
        <v>268.84699999999998</v>
      </c>
      <c r="H384" s="13">
        <f t="shared" si="34"/>
        <v>1178729.7582943062</v>
      </c>
      <c r="I384" s="21"/>
      <c r="J384" s="66"/>
      <c r="K384" s="28">
        <f t="shared" si="32"/>
        <v>268.12943968125222</v>
      </c>
      <c r="L384" s="28">
        <f t="shared" si="33"/>
        <v>268.80043968125221</v>
      </c>
      <c r="M384" s="13">
        <f t="shared" si="28"/>
        <v>7.9560318747780912E-2</v>
      </c>
    </row>
    <row r="385" spans="1:13" x14ac:dyDescent="0.25">
      <c r="A385" s="21"/>
      <c r="B385" s="61">
        <v>289320</v>
      </c>
      <c r="C385" s="60">
        <v>289319.8</v>
      </c>
      <c r="D385" s="28">
        <f>VLOOKUP($B385,'Old LS-Reports'!$B$346:$V$397,9,)</f>
        <v>3373429.9396000002</v>
      </c>
      <c r="E385" s="28">
        <f>VLOOKUP($B385,'Old LS-Reports'!$B$346:$V$397,8,)</f>
        <v>653390.46939999994</v>
      </c>
      <c r="F385" s="28">
        <f>VLOOKUP($B385,'Old LS-Reports'!$B$346:$V$397,10,)</f>
        <v>268.21600000000001</v>
      </c>
      <c r="G385" s="28">
        <f>VLOOKUP($B385,'Old LS-Reports'!$B$346:$V$397,11,)</f>
        <v>268.85399999999998</v>
      </c>
      <c r="H385" s="13">
        <f t="shared" si="34"/>
        <v>1178749.7582943062</v>
      </c>
      <c r="I385" s="21"/>
      <c r="J385" s="66"/>
      <c r="K385" s="28">
        <f t="shared" si="32"/>
        <v>268.1353090852524</v>
      </c>
      <c r="L385" s="28">
        <f t="shared" si="33"/>
        <v>268.80630908525239</v>
      </c>
      <c r="M385" s="13">
        <f t="shared" si="28"/>
        <v>8.0690914747606257E-2</v>
      </c>
    </row>
    <row r="386" spans="1:13" x14ac:dyDescent="0.25">
      <c r="A386" s="21"/>
      <c r="B386" s="61">
        <v>289340</v>
      </c>
      <c r="C386" s="60">
        <v>289339.7</v>
      </c>
      <c r="D386" s="28">
        <f>VLOOKUP($B386,'Old LS-Reports'!$B$346:$V$397,9,)</f>
        <v>3373441.4004000002</v>
      </c>
      <c r="E386" s="28">
        <f>VLOOKUP($B386,'Old LS-Reports'!$B$346:$V$397,8,)</f>
        <v>653374.07900000003</v>
      </c>
      <c r="F386" s="28">
        <f>VLOOKUP($B386,'Old LS-Reports'!$B$346:$V$397,10,)</f>
        <v>268.22199999999998</v>
      </c>
      <c r="G386" s="28">
        <f>VLOOKUP($B386,'Old LS-Reports'!$B$346:$V$397,11,)</f>
        <v>268.85999999999996</v>
      </c>
      <c r="H386" s="13">
        <f t="shared" si="34"/>
        <v>1178769.6582943061</v>
      </c>
      <c r="I386" s="21"/>
      <c r="J386" s="66"/>
      <c r="K386" s="28">
        <f t="shared" si="32"/>
        <v>268.14114914223256</v>
      </c>
      <c r="L386" s="28">
        <f t="shared" si="33"/>
        <v>268.81214914223256</v>
      </c>
      <c r="M386" s="13">
        <f t="shared" si="28"/>
        <v>8.0850857767416073E-2</v>
      </c>
    </row>
    <row r="387" spans="1:13" x14ac:dyDescent="0.25">
      <c r="A387" s="21"/>
      <c r="B387" s="61">
        <v>289360</v>
      </c>
      <c r="C387" s="60">
        <v>289359.7</v>
      </c>
      <c r="D387" s="28">
        <f>VLOOKUP($B387,'Old LS-Reports'!$B$346:$V$397,9,)</f>
        <v>3373452.7903999998</v>
      </c>
      <c r="E387" s="28">
        <f>VLOOKUP($B387,'Old LS-Reports'!$B$346:$V$397,8,)</f>
        <v>653357.63919999998</v>
      </c>
      <c r="F387" s="28">
        <f>VLOOKUP($B387,'Old LS-Reports'!$B$346:$V$397,10,)</f>
        <v>268.22899999999998</v>
      </c>
      <c r="G387" s="28">
        <f>VLOOKUP($B387,'Old LS-Reports'!$B$346:$V$397,11,)</f>
        <v>268.86699999999996</v>
      </c>
      <c r="H387" s="13">
        <f t="shared" si="34"/>
        <v>1178789.6582943061</v>
      </c>
      <c r="I387" s="21"/>
      <c r="J387" s="66"/>
      <c r="K387" s="28">
        <f t="shared" si="32"/>
        <v>268.14701854623274</v>
      </c>
      <c r="L387" s="28">
        <f t="shared" si="33"/>
        <v>268.81801854623274</v>
      </c>
      <c r="M387" s="13">
        <f t="shared" si="28"/>
        <v>8.1981453767241419E-2</v>
      </c>
    </row>
    <row r="388" spans="1:13" x14ac:dyDescent="0.25">
      <c r="A388" s="21"/>
      <c r="B388" s="61">
        <v>289380</v>
      </c>
      <c r="C388" s="60">
        <v>289379.7</v>
      </c>
      <c r="D388" s="28">
        <f>VLOOKUP($B388,'Old LS-Reports'!$B$346:$V$397,9,)</f>
        <v>3373464.1716</v>
      </c>
      <c r="E388" s="28">
        <f>VLOOKUP($B388,'Old LS-Reports'!$B$346:$V$397,8,)</f>
        <v>653341.19319999998</v>
      </c>
      <c r="F388" s="28">
        <f>VLOOKUP($B388,'Old LS-Reports'!$B$346:$V$397,10,)</f>
        <v>268.23599999999999</v>
      </c>
      <c r="G388" s="28">
        <f>VLOOKUP($B388,'Old LS-Reports'!$B$346:$V$397,11,)</f>
        <v>268.87399999999997</v>
      </c>
      <c r="H388" s="13">
        <f t="shared" si="34"/>
        <v>1178809.6582943061</v>
      </c>
      <c r="I388" s="21"/>
      <c r="J388" s="66"/>
      <c r="K388" s="28">
        <f t="shared" si="32"/>
        <v>268.15288795023292</v>
      </c>
      <c r="L388" s="28">
        <f t="shared" si="33"/>
        <v>268.82388795023292</v>
      </c>
      <c r="M388" s="13">
        <f t="shared" si="28"/>
        <v>8.3112049767066765E-2</v>
      </c>
    </row>
    <row r="389" spans="1:13" x14ac:dyDescent="0.25">
      <c r="A389" s="21"/>
      <c r="B389" s="61">
        <v>289400</v>
      </c>
      <c r="C389" s="60">
        <v>289399.7</v>
      </c>
      <c r="D389" s="28">
        <f>VLOOKUP($B389,'Old LS-Reports'!$B$346:$V$397,9,)</f>
        <v>3373475.5528000002</v>
      </c>
      <c r="E389" s="28">
        <f>VLOOKUP($B389,'Old LS-Reports'!$B$346:$V$397,8,)</f>
        <v>653324.74730000005</v>
      </c>
      <c r="F389" s="28">
        <f>VLOOKUP($B389,'Old LS-Reports'!$B$346:$V$397,10,)</f>
        <v>268.24299999999999</v>
      </c>
      <c r="G389" s="28">
        <f>VLOOKUP($B389,'Old LS-Reports'!$B$346:$V$397,11,)</f>
        <v>268.88099999999997</v>
      </c>
      <c r="H389" s="13">
        <f t="shared" si="34"/>
        <v>1178829.6582943061</v>
      </c>
      <c r="I389" s="21"/>
      <c r="J389" s="66"/>
      <c r="K389" s="28">
        <f t="shared" si="32"/>
        <v>268.1587573542331</v>
      </c>
      <c r="L389" s="28">
        <f t="shared" si="33"/>
        <v>268.8297573542331</v>
      </c>
      <c r="M389" s="13">
        <f t="shared" si="28"/>
        <v>8.424264576689211E-2</v>
      </c>
    </row>
    <row r="390" spans="1:13" x14ac:dyDescent="0.25">
      <c r="A390" s="21"/>
      <c r="B390" s="61">
        <v>289420</v>
      </c>
      <c r="C390" s="60">
        <v>289419.7</v>
      </c>
      <c r="D390" s="28">
        <f>VLOOKUP($B390,'Old LS-Reports'!$B$346:$V$397,9,)</f>
        <v>3373486.9339999999</v>
      </c>
      <c r="E390" s="28">
        <f>VLOOKUP($B390,'Old LS-Reports'!$B$346:$V$397,8,)</f>
        <v>653308.3014</v>
      </c>
      <c r="F390" s="28">
        <f>VLOOKUP($B390,'Old LS-Reports'!$B$346:$V$397,10,)</f>
        <v>268.25</v>
      </c>
      <c r="G390" s="28">
        <f>VLOOKUP($B390,'Old LS-Reports'!$B$346:$V$397,11,)</f>
        <v>268.88799999999998</v>
      </c>
      <c r="H390" s="13">
        <f t="shared" si="34"/>
        <v>1178849.6582943061</v>
      </c>
      <c r="I390" s="21"/>
      <c r="J390" s="66"/>
      <c r="K390" s="28">
        <f t="shared" si="32"/>
        <v>268.16462675823328</v>
      </c>
      <c r="L390" s="28">
        <f t="shared" si="33"/>
        <v>268.83562675823327</v>
      </c>
      <c r="M390" s="13">
        <f t="shared" ref="M390:M423" si="35">(F390-K390)</f>
        <v>8.5373241766717456E-2</v>
      </c>
    </row>
    <row r="391" spans="1:13" x14ac:dyDescent="0.25">
      <c r="A391" s="21"/>
      <c r="B391" s="61">
        <v>289440</v>
      </c>
      <c r="C391" s="60">
        <v>289439.8</v>
      </c>
      <c r="D391" s="28">
        <f>VLOOKUP($B391,'Old LS-Reports'!$B$346:$V$397,9,)</f>
        <v>3373498.3152000001</v>
      </c>
      <c r="E391" s="28">
        <f>VLOOKUP($B391,'Old LS-Reports'!$B$346:$V$397,8,)</f>
        <v>653291.85549999995</v>
      </c>
      <c r="F391" s="28">
        <f>VLOOKUP($B391,'Old LS-Reports'!$B$346:$V$397,10,)</f>
        <v>268.25700000000001</v>
      </c>
      <c r="G391" s="28">
        <f>VLOOKUP($B391,'Old LS-Reports'!$B$346:$V$397,11,)</f>
        <v>268.89499999999998</v>
      </c>
      <c r="H391" s="13">
        <f t="shared" si="34"/>
        <v>1178869.7582943062</v>
      </c>
      <c r="I391" s="21"/>
      <c r="J391" s="66"/>
      <c r="K391" s="28">
        <f t="shared" si="32"/>
        <v>268.17052550925348</v>
      </c>
      <c r="L391" s="28">
        <f t="shared" si="33"/>
        <v>268.84152550925347</v>
      </c>
      <c r="M391" s="13">
        <f t="shared" si="35"/>
        <v>8.6474490746525134E-2</v>
      </c>
    </row>
    <row r="392" spans="1:13" x14ac:dyDescent="0.25">
      <c r="A392" s="21"/>
      <c r="B392" s="61">
        <v>289460</v>
      </c>
      <c r="C392" s="60">
        <v>289459.7</v>
      </c>
      <c r="D392" s="28">
        <f>VLOOKUP($B392,'Old LS-Reports'!$B$346:$V$397,9,)</f>
        <v>3373509.6963999998</v>
      </c>
      <c r="E392" s="28">
        <f>VLOOKUP($B392,'Old LS-Reports'!$B$346:$V$397,8,)</f>
        <v>653275.40960000001</v>
      </c>
      <c r="F392" s="28">
        <f>VLOOKUP($B392,'Old LS-Reports'!$B$346:$V$397,10,)</f>
        <v>268.26299999999998</v>
      </c>
      <c r="G392" s="28">
        <f>VLOOKUP($B392,'Old LS-Reports'!$B$346:$V$397,11,)</f>
        <v>268.90099999999995</v>
      </c>
      <c r="H392" s="13">
        <f t="shared" si="34"/>
        <v>1178889.6582943061</v>
      </c>
      <c r="I392" s="21"/>
      <c r="J392" s="66"/>
      <c r="K392" s="28">
        <f t="shared" si="32"/>
        <v>268.17636556623364</v>
      </c>
      <c r="L392" s="28">
        <f t="shared" si="33"/>
        <v>268.84736556623363</v>
      </c>
      <c r="M392" s="13">
        <f t="shared" si="35"/>
        <v>8.6634433766334951E-2</v>
      </c>
    </row>
    <row r="393" spans="1:13" x14ac:dyDescent="0.25">
      <c r="A393" s="21"/>
      <c r="B393" s="61">
        <v>289480</v>
      </c>
      <c r="C393" s="60">
        <v>289479.8</v>
      </c>
      <c r="D393" s="28">
        <f>VLOOKUP($B393,'Old LS-Reports'!$B$346:$V$397,9,)</f>
        <v>3373521.0776</v>
      </c>
      <c r="E393" s="28">
        <f>VLOOKUP($B393,'Old LS-Reports'!$B$346:$V$397,8,)</f>
        <v>653258.96369999996</v>
      </c>
      <c r="F393" s="28">
        <f>VLOOKUP($B393,'Old LS-Reports'!$B$346:$V$397,10,)</f>
        <v>268.27</v>
      </c>
      <c r="G393" s="28">
        <f>VLOOKUP($B393,'Old LS-Reports'!$B$346:$V$397,11,)</f>
        <v>268.90799999999996</v>
      </c>
      <c r="H393" s="13">
        <f t="shared" si="34"/>
        <v>1178909.7582943062</v>
      </c>
      <c r="I393" s="21"/>
      <c r="J393" s="66"/>
      <c r="K393" s="28">
        <f t="shared" si="32"/>
        <v>268.18226431725384</v>
      </c>
      <c r="L393" s="28">
        <f t="shared" si="33"/>
        <v>268.85326431725383</v>
      </c>
      <c r="M393" s="13">
        <f t="shared" si="35"/>
        <v>8.7735682746142629E-2</v>
      </c>
    </row>
    <row r="394" spans="1:13" x14ac:dyDescent="0.25">
      <c r="A394" s="21"/>
      <c r="B394" s="61">
        <v>289500</v>
      </c>
      <c r="C394" s="60">
        <v>289499.8</v>
      </c>
      <c r="D394" s="28">
        <f>VLOOKUP($B394,'Old LS-Reports'!$B$346:$V$397,9,)</f>
        <v>3373532.4607000002</v>
      </c>
      <c r="E394" s="28">
        <f>VLOOKUP($B394,'Old LS-Reports'!$B$346:$V$397,8,)</f>
        <v>653242.51899999997</v>
      </c>
      <c r="F394" s="28">
        <f>VLOOKUP($B394,'Old LS-Reports'!$B$346:$V$397,10,)</f>
        <v>268.27699999999999</v>
      </c>
      <c r="G394" s="28">
        <f>VLOOKUP($B394,'Old LS-Reports'!$B$346:$V$397,11,)</f>
        <v>268.91499999999996</v>
      </c>
      <c r="H394" s="13">
        <f t="shared" si="34"/>
        <v>1178929.7582943062</v>
      </c>
      <c r="I394" s="21"/>
      <c r="J394" s="66"/>
      <c r="K394" s="28">
        <f t="shared" si="32"/>
        <v>268.18813372125402</v>
      </c>
      <c r="L394" s="28">
        <f t="shared" si="33"/>
        <v>268.85913372125401</v>
      </c>
      <c r="M394" s="13">
        <f t="shared" si="35"/>
        <v>8.8866278745967975E-2</v>
      </c>
    </row>
    <row r="395" spans="1:13" x14ac:dyDescent="0.25">
      <c r="A395" s="21"/>
      <c r="B395" s="61">
        <v>289500</v>
      </c>
      <c r="C395" s="60">
        <v>289499.8</v>
      </c>
      <c r="D395" s="28">
        <f>VLOOKUP($B395,'Old LS-Reports'!$B$346:$V$397,9,)</f>
        <v>3373532.4607000002</v>
      </c>
      <c r="E395" s="28">
        <f>VLOOKUP($B395,'Old LS-Reports'!$B$346:$V$397,8,)</f>
        <v>653242.51899999997</v>
      </c>
      <c r="F395" s="28">
        <f>VLOOKUP($B395,'Old LS-Reports'!$B$346:$V$397,10,)</f>
        <v>268.27699999999999</v>
      </c>
      <c r="G395" s="28">
        <f>VLOOKUP($B395,'Old LS-Reports'!$B$346:$V$397,11,)</f>
        <v>268.91499999999996</v>
      </c>
      <c r="H395" s="13">
        <f t="shared" si="34"/>
        <v>1178929.7582943062</v>
      </c>
      <c r="I395" s="21"/>
      <c r="J395" s="66"/>
      <c r="K395" s="28">
        <f t="shared" si="32"/>
        <v>268.18813372125402</v>
      </c>
      <c r="L395" s="28">
        <f t="shared" si="33"/>
        <v>268.85913372125401</v>
      </c>
      <c r="M395" s="13">
        <f t="shared" si="35"/>
        <v>8.8866278745967975E-2</v>
      </c>
    </row>
    <row r="396" spans="1:13" x14ac:dyDescent="0.25">
      <c r="A396" s="21"/>
      <c r="B396" s="61">
        <v>289520</v>
      </c>
      <c r="C396" s="60">
        <v>289519.8</v>
      </c>
      <c r="D396" s="28">
        <f>VLOOKUP($B396,'Old LS-Reports'!$B$346:$V$397,9,)</f>
        <v>3373543.318</v>
      </c>
      <c r="E396" s="28">
        <f>VLOOKUP($B396,'Old LS-Reports'!$B$346:$V$397,8,)</f>
        <v>653226.83600000001</v>
      </c>
      <c r="F396" s="28">
        <f>VLOOKUP($B396,'Old LS-Reports'!$B$346:$V$397,10,)</f>
        <v>268.28399999999999</v>
      </c>
      <c r="G396" s="28">
        <v>268.94400000000002</v>
      </c>
      <c r="H396" s="13">
        <f t="shared" si="34"/>
        <v>1178949.7582943062</v>
      </c>
      <c r="I396" s="21"/>
      <c r="J396" s="66"/>
      <c r="K396" s="28">
        <f t="shared" si="32"/>
        <v>268.1940031252542</v>
      </c>
      <c r="L396" s="28">
        <f t="shared" si="33"/>
        <v>268.86500312525419</v>
      </c>
      <c r="M396" s="13">
        <f t="shared" si="35"/>
        <v>8.999687474579332E-2</v>
      </c>
    </row>
    <row r="397" spans="1:13" x14ac:dyDescent="0.25">
      <c r="A397" s="21"/>
      <c r="B397" s="61">
        <v>289540</v>
      </c>
      <c r="C397" s="60">
        <v>289539.8</v>
      </c>
      <c r="D397" s="28">
        <f>VLOOKUP($B397,'Old LS-Reports'!$B$346:$V$397,9,)</f>
        <v>3373554.7310000001</v>
      </c>
      <c r="E397" s="28">
        <f>VLOOKUP($B397,'Old LS-Reports'!$B$346:$V$397,8,)</f>
        <v>653210.41200000001</v>
      </c>
      <c r="F397" s="28">
        <f>VLOOKUP($B397,'Old LS-Reports'!$B$346:$V$397,10,)</f>
        <v>268.291</v>
      </c>
      <c r="G397" s="28">
        <f>VLOOKUP($B397,'Old LS-Reports'!$B$346:$V$397,11,)</f>
        <v>268.95799999999997</v>
      </c>
      <c r="H397" s="13">
        <f t="shared" si="34"/>
        <v>1178969.7582943062</v>
      </c>
      <c r="I397" s="21"/>
      <c r="J397" s="66"/>
      <c r="K397" s="28">
        <f t="shared" si="32"/>
        <v>268.19987252925438</v>
      </c>
      <c r="L397" s="28">
        <f t="shared" si="33"/>
        <v>268.87087252925437</v>
      </c>
      <c r="M397" s="13">
        <f t="shared" si="35"/>
        <v>9.1127470745618666E-2</v>
      </c>
    </row>
    <row r="398" spans="1:13" x14ac:dyDescent="0.25">
      <c r="A398" s="21"/>
      <c r="B398" s="61">
        <v>289560</v>
      </c>
      <c r="C398" s="60">
        <v>289559.8</v>
      </c>
      <c r="D398" s="28">
        <f>VLOOKUP($B398,'Old LS-Reports'!$B$346:$V$397,9,)</f>
        <v>3373566.16</v>
      </c>
      <c r="E398" s="28">
        <f>VLOOKUP($B398,'Old LS-Reports'!$B$346:$V$397,8,)</f>
        <v>653194</v>
      </c>
      <c r="F398" s="28">
        <f>VLOOKUP($B398,'Old LS-Reports'!$B$346:$V$397,10,)</f>
        <v>268.298</v>
      </c>
      <c r="G398" s="28">
        <f>VLOOKUP($B398,'Old LS-Reports'!$B$346:$V$397,11,)</f>
        <v>268.96499999999997</v>
      </c>
      <c r="H398" s="13">
        <f t="shared" si="34"/>
        <v>1178989.7582943062</v>
      </c>
      <c r="I398" s="21"/>
      <c r="J398" s="66"/>
      <c r="K398" s="28">
        <f t="shared" si="32"/>
        <v>268.20574193325456</v>
      </c>
      <c r="L398" s="28">
        <f t="shared" si="33"/>
        <v>268.87674193325455</v>
      </c>
      <c r="M398" s="13">
        <f t="shared" si="35"/>
        <v>9.2258066745444012E-2</v>
      </c>
    </row>
    <row r="399" spans="1:13" x14ac:dyDescent="0.25">
      <c r="A399" s="21"/>
      <c r="B399" s="61">
        <v>289580</v>
      </c>
      <c r="C399" s="60">
        <v>289579.8</v>
      </c>
      <c r="D399" s="28">
        <f>VLOOKUP($B399,'Old LS-Reports'!$B$346:$V$397,9,)</f>
        <v>3373577.5989999999</v>
      </c>
      <c r="E399" s="28">
        <f>VLOOKUP($B399,'Old LS-Reports'!$B$346:$V$397,8,)</f>
        <v>653177.59400000004</v>
      </c>
      <c r="F399" s="28">
        <f>VLOOKUP($B399,'Old LS-Reports'!$B$346:$V$397,10,)</f>
        <v>268.30500000000001</v>
      </c>
      <c r="G399" s="28">
        <f>VLOOKUP($B399,'Old LS-Reports'!$B$346:$V$397,11,)</f>
        <v>268.97199999999998</v>
      </c>
      <c r="H399" s="13">
        <f t="shared" si="34"/>
        <v>1179009.7582943062</v>
      </c>
      <c r="I399" s="21"/>
      <c r="J399" s="66"/>
      <c r="K399" s="28">
        <f t="shared" si="32"/>
        <v>268.21161133725474</v>
      </c>
      <c r="L399" s="28">
        <f t="shared" si="33"/>
        <v>268.88261133725473</v>
      </c>
      <c r="M399" s="13">
        <f t="shared" si="35"/>
        <v>9.3388662745269357E-2</v>
      </c>
    </row>
    <row r="400" spans="1:13" x14ac:dyDescent="0.25">
      <c r="A400" s="21"/>
      <c r="B400" s="61"/>
      <c r="C400" s="60"/>
      <c r="D400" s="28"/>
      <c r="E400" s="28"/>
      <c r="F400" s="28"/>
      <c r="G400" s="28"/>
      <c r="H400" s="13">
        <v>1179017.8999999999</v>
      </c>
      <c r="I400" s="21"/>
      <c r="J400" s="64">
        <v>587.12699999999995</v>
      </c>
      <c r="K400" s="28">
        <f t="shared" si="32"/>
        <v>268.2140006852531</v>
      </c>
      <c r="L400" s="28">
        <f t="shared" si="33"/>
        <v>268.88500068525309</v>
      </c>
      <c r="M400" s="13"/>
    </row>
    <row r="401" spans="1:13" x14ac:dyDescent="0.25">
      <c r="A401" s="21"/>
      <c r="B401" s="61">
        <v>289600</v>
      </c>
      <c r="C401" s="60">
        <v>289599.90000000002</v>
      </c>
      <c r="D401" s="28">
        <f>VLOOKUP($B401,'Old LS-Reports'!$B$346:$V$397,9,)</f>
        <v>3373589.04</v>
      </c>
      <c r="E401" s="28">
        <f>VLOOKUP($B401,'Old LS-Reports'!$B$346:$V$397,8,)</f>
        <v>653161.18999999994</v>
      </c>
      <c r="F401" s="28">
        <f>VLOOKUP($B401,'Old LS-Reports'!$B$346:$V$397,10,)</f>
        <v>268.31099999999998</v>
      </c>
      <c r="G401" s="28">
        <f>VLOOKUP($B401,'Old LS-Reports'!$B$346:$V$397,11,)</f>
        <v>268.97799999999995</v>
      </c>
      <c r="H401" s="13">
        <f>H399+(C401-C399)</f>
        <v>1179029.8582943063</v>
      </c>
      <c r="I401" s="21"/>
      <c r="K401" s="28">
        <f>K400+(1/$J$400)*(H401-H400)</f>
        <v>268.23436815993307</v>
      </c>
      <c r="L401" s="28">
        <f t="shared" si="33"/>
        <v>268.90536815993306</v>
      </c>
      <c r="M401" s="13">
        <f t="shared" si="35"/>
        <v>7.6631840066909263E-2</v>
      </c>
    </row>
    <row r="402" spans="1:13" x14ac:dyDescent="0.25">
      <c r="A402" s="21"/>
      <c r="B402" s="61">
        <v>289620</v>
      </c>
      <c r="C402" s="60">
        <v>289619.90000000002</v>
      </c>
      <c r="D402" s="28">
        <f>VLOOKUP($B402,'Old LS-Reports'!$B$346:$V$397,9,)</f>
        <v>3373600.4810000001</v>
      </c>
      <c r="E402" s="28">
        <f>VLOOKUP($B402,'Old LS-Reports'!$B$346:$V$397,8,)</f>
        <v>653144.78500000003</v>
      </c>
      <c r="F402" s="28">
        <f>VLOOKUP($B402,'Old LS-Reports'!$B$346:$V$397,10,)</f>
        <v>268.32900000000001</v>
      </c>
      <c r="G402" s="28">
        <f>VLOOKUP($B402,'Old LS-Reports'!$B$346:$V$397,11,)</f>
        <v>268.99599999999998</v>
      </c>
      <c r="H402" s="13">
        <f t="shared" si="34"/>
        <v>1179049.8582943063</v>
      </c>
      <c r="I402" s="21"/>
      <c r="J402" s="66"/>
      <c r="K402" s="28">
        <f t="shared" ref="K402:K415" si="36">K401+(1/$J$400)*(H402-H401)</f>
        <v>268.26843234025523</v>
      </c>
      <c r="L402" s="28">
        <f t="shared" si="33"/>
        <v>268.93943234025522</v>
      </c>
      <c r="M402" s="13">
        <f t="shared" si="35"/>
        <v>6.0567659744776847E-2</v>
      </c>
    </row>
    <row r="403" spans="1:13" x14ac:dyDescent="0.25">
      <c r="A403" s="21"/>
      <c r="B403" s="61">
        <v>289640</v>
      </c>
      <c r="C403" s="60">
        <v>289639.8</v>
      </c>
      <c r="D403" s="28">
        <f>VLOOKUP($B403,'Old LS-Reports'!$B$346:$V$397,9,)</f>
        <v>3373611.9219999998</v>
      </c>
      <c r="E403" s="28">
        <f>VLOOKUP($B403,'Old LS-Reports'!$B$346:$V$397,8,)</f>
        <v>653128.38</v>
      </c>
      <c r="F403" s="28">
        <f>VLOOKUP($B403,'Old LS-Reports'!$B$346:$V$397,10,)</f>
        <v>268.358</v>
      </c>
      <c r="G403" s="28">
        <f>VLOOKUP($B403,'Old LS-Reports'!$B$346:$V$397,11,)</f>
        <v>269.02499999999998</v>
      </c>
      <c r="H403" s="13">
        <f t="shared" si="34"/>
        <v>1179069.7582943062</v>
      </c>
      <c r="I403" s="21"/>
      <c r="J403" s="66"/>
      <c r="K403" s="28">
        <f t="shared" si="36"/>
        <v>268.30232619967563</v>
      </c>
      <c r="L403" s="28">
        <f t="shared" si="33"/>
        <v>268.97332619967563</v>
      </c>
      <c r="M403" s="13">
        <f t="shared" si="35"/>
        <v>5.5673800324370859E-2</v>
      </c>
    </row>
    <row r="404" spans="1:13" x14ac:dyDescent="0.25">
      <c r="A404" s="21"/>
      <c r="B404" s="61">
        <v>289660</v>
      </c>
      <c r="C404" s="60">
        <v>289659.8</v>
      </c>
      <c r="D404" s="28">
        <f>VLOOKUP($B404,'Old LS-Reports'!$B$346:$V$397,9,)</f>
        <v>3373623.338</v>
      </c>
      <c r="E404" s="28">
        <f>VLOOKUP($B404,'Old LS-Reports'!$B$346:$V$397,8,)</f>
        <v>653111.95900000003</v>
      </c>
      <c r="F404" s="28">
        <f>VLOOKUP($B404,'Old LS-Reports'!$B$346:$V$397,10,)</f>
        <v>268.387</v>
      </c>
      <c r="G404" s="28">
        <f>VLOOKUP($B404,'Old LS-Reports'!$B$346:$V$397,11,)</f>
        <v>269.05399999999997</v>
      </c>
      <c r="H404" s="13">
        <f t="shared" si="34"/>
        <v>1179089.7582943062</v>
      </c>
      <c r="I404" s="21"/>
      <c r="J404" s="66"/>
      <c r="K404" s="28">
        <f t="shared" si="36"/>
        <v>268.33639037999779</v>
      </c>
      <c r="L404" s="28">
        <f t="shared" si="33"/>
        <v>269.00739037999779</v>
      </c>
      <c r="M404" s="13">
        <f t="shared" si="35"/>
        <v>5.0609620002205702E-2</v>
      </c>
    </row>
    <row r="405" spans="1:13" x14ac:dyDescent="0.25">
      <c r="A405" s="21"/>
      <c r="B405" s="61">
        <v>289680</v>
      </c>
      <c r="C405" s="60">
        <v>289679.8</v>
      </c>
      <c r="D405" s="28">
        <f>VLOOKUP($B405,'Old LS-Reports'!$B$346:$V$397,9,)</f>
        <v>3373634.693</v>
      </c>
      <c r="E405" s="28">
        <f>VLOOKUP($B405,'Old LS-Reports'!$B$346:$V$397,8,)</f>
        <v>653095.495</v>
      </c>
      <c r="F405" s="28">
        <f>VLOOKUP($B405,'Old LS-Reports'!$B$346:$V$397,10,)</f>
        <v>268.416</v>
      </c>
      <c r="G405" s="28">
        <f>VLOOKUP($B405,'Old LS-Reports'!$B$346:$V$397,11,)</f>
        <v>269.08299999999997</v>
      </c>
      <c r="H405" s="13">
        <f t="shared" si="34"/>
        <v>1179109.7582943062</v>
      </c>
      <c r="I405" s="21"/>
      <c r="J405" s="66"/>
      <c r="K405" s="28">
        <f t="shared" si="36"/>
        <v>268.37045456031996</v>
      </c>
      <c r="L405" s="28">
        <f t="shared" si="33"/>
        <v>269.04145456031995</v>
      </c>
      <c r="M405" s="13">
        <f t="shared" si="35"/>
        <v>4.5545439680040545E-2</v>
      </c>
    </row>
    <row r="406" spans="1:13" x14ac:dyDescent="0.25">
      <c r="A406" s="21"/>
      <c r="B406" s="61">
        <v>289700</v>
      </c>
      <c r="C406" s="60">
        <v>289699.8</v>
      </c>
      <c r="D406" s="28">
        <f>VLOOKUP($B406,'Old LS-Reports'!$B$346:$V$397,9,)</f>
        <v>3373646.0320000001</v>
      </c>
      <c r="E406" s="28">
        <f>VLOOKUP($B406,'Old LS-Reports'!$B$346:$V$397,8,)</f>
        <v>653079.02099999995</v>
      </c>
      <c r="F406" s="28">
        <f>VLOOKUP($B406,'Old LS-Reports'!$B$346:$V$397,10,)</f>
        <v>268.44499999999999</v>
      </c>
      <c r="G406" s="28">
        <f>VLOOKUP($B406,'Old LS-Reports'!$B$346:$V$397,11,)</f>
        <v>269.11199999999997</v>
      </c>
      <c r="H406" s="13">
        <f t="shared" si="34"/>
        <v>1179129.7582943062</v>
      </c>
      <c r="I406" s="21"/>
      <c r="J406" s="66"/>
      <c r="K406" s="28">
        <f t="shared" si="36"/>
        <v>268.40451874064212</v>
      </c>
      <c r="L406" s="28">
        <f t="shared" si="33"/>
        <v>269.07551874064211</v>
      </c>
      <c r="M406" s="13">
        <f t="shared" si="35"/>
        <v>4.0481259357875388E-2</v>
      </c>
    </row>
    <row r="407" spans="1:13" x14ac:dyDescent="0.25">
      <c r="A407" s="21"/>
      <c r="B407" s="61">
        <v>289720</v>
      </c>
      <c r="C407" s="60">
        <v>289719.90000000002</v>
      </c>
      <c r="D407" s="28">
        <f>VLOOKUP($B407,'Old LS-Reports'!$B$346:$V$397,9,)</f>
        <v>3373657.372</v>
      </c>
      <c r="E407" s="28">
        <f>VLOOKUP($B407,'Old LS-Reports'!$B$346:$V$397,8,)</f>
        <v>653062.54700000002</v>
      </c>
      <c r="F407" s="28">
        <f>VLOOKUP($B407,'Old LS-Reports'!$B$346:$V$397,10,)</f>
        <v>268.47500000000002</v>
      </c>
      <c r="G407" s="28">
        <f>VLOOKUP($B407,'Old LS-Reports'!$B$346:$V$397,11,)</f>
        <v>269.142</v>
      </c>
      <c r="H407" s="13">
        <f t="shared" si="34"/>
        <v>1179149.8582943063</v>
      </c>
      <c r="I407" s="21"/>
      <c r="J407" s="66"/>
      <c r="K407" s="28">
        <f t="shared" si="36"/>
        <v>268.43875324186604</v>
      </c>
      <c r="L407" s="28">
        <f t="shared" si="33"/>
        <v>269.10975324186603</v>
      </c>
      <c r="M407" s="13">
        <f t="shared" si="35"/>
        <v>3.6246758133984258E-2</v>
      </c>
    </row>
    <row r="408" spans="1:13" x14ac:dyDescent="0.25">
      <c r="A408" s="21"/>
      <c r="B408" s="61">
        <v>289740</v>
      </c>
      <c r="C408" s="60">
        <v>289739.90000000002</v>
      </c>
      <c r="D408" s="28">
        <f>VLOOKUP($B408,'Old LS-Reports'!$B$346:$V$397,9,)</f>
        <v>3373668.7119999998</v>
      </c>
      <c r="E408" s="28">
        <f>VLOOKUP($B408,'Old LS-Reports'!$B$346:$V$397,8,)</f>
        <v>653046.07299999997</v>
      </c>
      <c r="F408" s="28">
        <f>VLOOKUP($B408,'Old LS-Reports'!$B$346:$V$397,10,)</f>
        <v>268.50400000000002</v>
      </c>
      <c r="G408" s="28">
        <f>VLOOKUP($B408,'Old LS-Reports'!$B$346:$V$397,11,)</f>
        <v>269.17099999999999</v>
      </c>
      <c r="H408" s="13">
        <f t="shared" si="34"/>
        <v>1179169.8582943063</v>
      </c>
      <c r="I408" s="21"/>
      <c r="J408" s="66"/>
      <c r="K408" s="28">
        <f t="shared" si="36"/>
        <v>268.4728174221882</v>
      </c>
      <c r="L408" s="28">
        <f t="shared" si="33"/>
        <v>269.14381742218819</v>
      </c>
      <c r="M408" s="13">
        <f t="shared" si="35"/>
        <v>3.1182577811819101E-2</v>
      </c>
    </row>
    <row r="409" spans="1:13" x14ac:dyDescent="0.25">
      <c r="A409" s="21"/>
      <c r="B409" s="61">
        <v>289760</v>
      </c>
      <c r="C409" s="60">
        <v>289759.90000000002</v>
      </c>
      <c r="D409" s="28">
        <f>VLOOKUP($B409,'Old LS-Reports'!$B$346:$V$397,9,)</f>
        <v>3373680.0520000001</v>
      </c>
      <c r="E409" s="28">
        <f>VLOOKUP($B409,'Old LS-Reports'!$B$346:$V$397,8,)</f>
        <v>653029.59900000005</v>
      </c>
      <c r="F409" s="28">
        <f>VLOOKUP($B409,'Old LS-Reports'!$B$346:$V$397,10,)</f>
        <v>268.53300000000002</v>
      </c>
      <c r="G409" s="28">
        <f>VLOOKUP($B409,'Old LS-Reports'!$B$346:$V$397,11,)</f>
        <v>269.2</v>
      </c>
      <c r="H409" s="13">
        <f t="shared" si="34"/>
        <v>1179189.8582943063</v>
      </c>
      <c r="I409" s="21"/>
      <c r="J409" s="66"/>
      <c r="K409" s="28">
        <f t="shared" si="36"/>
        <v>268.50688160251036</v>
      </c>
      <c r="L409" s="28">
        <f t="shared" si="33"/>
        <v>269.17788160251035</v>
      </c>
      <c r="M409" s="13">
        <f t="shared" si="35"/>
        <v>2.6118397489653944E-2</v>
      </c>
    </row>
    <row r="410" spans="1:13" x14ac:dyDescent="0.25">
      <c r="A410" s="21"/>
      <c r="B410" s="61">
        <v>289780</v>
      </c>
      <c r="C410" s="60">
        <v>289779.90000000002</v>
      </c>
      <c r="D410" s="28">
        <f>VLOOKUP($B410,'Old LS-Reports'!$B$346:$V$397,9,)</f>
        <v>3373691.392</v>
      </c>
      <c r="E410" s="28">
        <f>VLOOKUP($B410,'Old LS-Reports'!$B$346:$V$397,8,)</f>
        <v>653013.125</v>
      </c>
      <c r="F410" s="28">
        <f>VLOOKUP($B410,'Old LS-Reports'!$B$346:$V$397,10,)</f>
        <v>268.56200000000001</v>
      </c>
      <c r="G410" s="28">
        <f>VLOOKUP($B410,'Old LS-Reports'!$B$346:$V$397,11,)</f>
        <v>269.22899999999998</v>
      </c>
      <c r="H410" s="13">
        <f t="shared" si="34"/>
        <v>1179209.8582943063</v>
      </c>
      <c r="I410" s="21"/>
      <c r="J410" s="66"/>
      <c r="K410" s="28">
        <f t="shared" si="36"/>
        <v>268.54094578283252</v>
      </c>
      <c r="L410" s="28">
        <f t="shared" si="33"/>
        <v>269.21194578283252</v>
      </c>
      <c r="M410" s="13">
        <f t="shared" si="35"/>
        <v>2.1054217167488787E-2</v>
      </c>
    </row>
    <row r="411" spans="1:13" x14ac:dyDescent="0.25">
      <c r="A411" s="21"/>
      <c r="B411" s="61">
        <v>289800</v>
      </c>
      <c r="C411" s="60">
        <v>289799.90000000002</v>
      </c>
      <c r="D411" s="28">
        <f>VLOOKUP($B411,'Old LS-Reports'!$B$346:$V$397,9,)</f>
        <v>3373702.8080000002</v>
      </c>
      <c r="E411" s="28">
        <f>VLOOKUP($B411,'Old LS-Reports'!$B$346:$V$397,8,)</f>
        <v>652996.69499999995</v>
      </c>
      <c r="F411" s="28">
        <f>VLOOKUP($B411,'Old LS-Reports'!$B$346:$V$397,10,)</f>
        <v>268.59199999999998</v>
      </c>
      <c r="G411" s="28">
        <f>VLOOKUP($B411,'Old LS-Reports'!$B$346:$V$397,11,)</f>
        <v>269.25899999999996</v>
      </c>
      <c r="H411" s="13">
        <f t="shared" si="34"/>
        <v>1179229.8582943063</v>
      </c>
      <c r="I411" s="21"/>
      <c r="J411" s="66"/>
      <c r="K411" s="28">
        <f t="shared" si="36"/>
        <v>268.57500996315468</v>
      </c>
      <c r="L411" s="28">
        <f t="shared" si="33"/>
        <v>269.24600996315468</v>
      </c>
      <c r="M411" s="13">
        <f t="shared" si="35"/>
        <v>1.6990036845299983E-2</v>
      </c>
    </row>
    <row r="412" spans="1:13" x14ac:dyDescent="0.25">
      <c r="A412" s="21"/>
      <c r="B412" s="61">
        <v>289820</v>
      </c>
      <c r="C412" s="60">
        <v>289819.90000000002</v>
      </c>
      <c r="D412" s="28">
        <f>VLOOKUP($B412,'Old LS-Reports'!$B$346:$V$397,9,)</f>
        <v>3373714.41</v>
      </c>
      <c r="E412" s="28">
        <f>VLOOKUP($B412,'Old LS-Reports'!$B$346:$V$397,8,)</f>
        <v>652980.39500000002</v>
      </c>
      <c r="F412" s="28">
        <f>VLOOKUP($B412,'Old LS-Reports'!$B$346:$V$397,10,)</f>
        <v>268.57600000000002</v>
      </c>
      <c r="G412" s="28">
        <f>VLOOKUP($B412,'Old LS-Reports'!$B$346:$V$397,11,)</f>
        <v>269.24299999999999</v>
      </c>
      <c r="H412" s="13">
        <f t="shared" si="34"/>
        <v>1179249.8582943063</v>
      </c>
      <c r="I412" s="21"/>
      <c r="J412" s="66"/>
      <c r="K412" s="28">
        <f t="shared" si="36"/>
        <v>268.60907414347685</v>
      </c>
      <c r="L412" s="28">
        <f t="shared" si="33"/>
        <v>269.28007414347684</v>
      </c>
      <c r="M412" s="13">
        <f t="shared" si="35"/>
        <v>-3.3074143476824247E-2</v>
      </c>
    </row>
    <row r="413" spans="1:13" x14ac:dyDescent="0.25">
      <c r="A413" s="21"/>
      <c r="B413" s="61">
        <v>289840</v>
      </c>
      <c r="C413" s="60">
        <v>289839.90000000002</v>
      </c>
      <c r="D413" s="28">
        <f>VLOOKUP($B413,'Old LS-Reports'!$B$346:$V$397,9,)</f>
        <v>3373726.182</v>
      </c>
      <c r="E413" s="28">
        <f>VLOOKUP($B413,'Old LS-Reports'!$B$346:$V$397,8,)</f>
        <v>652964.22699999996</v>
      </c>
      <c r="F413" s="28">
        <f>VLOOKUP($B413,'Old LS-Reports'!$B$346:$V$397,10,)</f>
        <v>268.54300000000001</v>
      </c>
      <c r="G413" s="28">
        <f>VLOOKUP($B413,'Old LS-Reports'!$B$346:$V$397,11,)</f>
        <v>269.20999999999998</v>
      </c>
      <c r="H413" s="13">
        <f t="shared" si="34"/>
        <v>1179269.8582943063</v>
      </c>
      <c r="I413" s="21"/>
      <c r="J413" s="66"/>
      <c r="K413" s="28">
        <f t="shared" si="36"/>
        <v>268.64313832379901</v>
      </c>
      <c r="L413" s="28">
        <f t="shared" si="33"/>
        <v>269.314138323799</v>
      </c>
      <c r="M413" s="13">
        <f t="shared" si="35"/>
        <v>-0.10013832379900123</v>
      </c>
    </row>
    <row r="414" spans="1:13" x14ac:dyDescent="0.25">
      <c r="A414" s="21"/>
      <c r="B414" s="61"/>
      <c r="C414" s="60"/>
      <c r="D414" s="28"/>
      <c r="E414" s="28"/>
      <c r="F414" s="28"/>
      <c r="G414" s="28"/>
      <c r="H414" s="13">
        <v>1179182.8799999999</v>
      </c>
      <c r="I414" s="21"/>
      <c r="J414" s="64">
        <v>-673.20299999999997</v>
      </c>
      <c r="K414" s="28">
        <f t="shared" si="36"/>
        <v>268.49499610873067</v>
      </c>
      <c r="L414" s="28">
        <f t="shared" si="33"/>
        <v>269.16599610873067</v>
      </c>
      <c r="M414" s="13"/>
    </row>
    <row r="415" spans="1:13" x14ac:dyDescent="0.25">
      <c r="A415" s="21"/>
      <c r="B415" s="61">
        <v>289860</v>
      </c>
      <c r="C415" s="60">
        <v>289859.90000000002</v>
      </c>
      <c r="D415" s="28">
        <f>VLOOKUP($B415,'Old LS-Reports'!$B$346:$V$397,9,)</f>
        <v>3373737.9929999998</v>
      </c>
      <c r="E415" s="28">
        <f>VLOOKUP($B415,'Old LS-Reports'!$B$346:$V$397,8,)</f>
        <v>652948.09400000004</v>
      </c>
      <c r="F415" s="28">
        <f>VLOOKUP($B415,'Old LS-Reports'!$B$346:$V$397,10,)</f>
        <v>268.51</v>
      </c>
      <c r="G415" s="28">
        <f>VLOOKUP($B415,'Old LS-Reports'!$B$346:$V$397,11,)</f>
        <v>269.17699999999996</v>
      </c>
      <c r="H415" s="13">
        <f>H413+(C415-C413)</f>
        <v>1179289.8582943063</v>
      </c>
      <c r="I415" s="21"/>
      <c r="J415" s="66"/>
      <c r="K415" s="28">
        <f>K414+(1/$J$414)*(H415-H414)</f>
        <v>268.33608669462166</v>
      </c>
      <c r="L415" s="28">
        <f t="shared" si="33"/>
        <v>269.00708669462165</v>
      </c>
      <c r="M415" s="13">
        <f t="shared" si="35"/>
        <v>0.17391330537833483</v>
      </c>
    </row>
    <row r="416" spans="1:13" x14ac:dyDescent="0.25">
      <c r="A416" s="21"/>
      <c r="B416" s="61">
        <v>289880</v>
      </c>
      <c r="C416" s="60">
        <v>289879.90000000002</v>
      </c>
      <c r="D416" s="28">
        <f>VLOOKUP($B416,'Old LS-Reports'!$B$346:$V$397,9,)</f>
        <v>3373750.0219999999</v>
      </c>
      <c r="E416" s="28">
        <f>VLOOKUP($B416,'Old LS-Reports'!$B$346:$V$397,8,)</f>
        <v>652932.13300000003</v>
      </c>
      <c r="F416" s="28">
        <f>VLOOKUP($B416,'Old LS-Reports'!$B$346:$V$397,10,)</f>
        <v>268.476</v>
      </c>
      <c r="G416" s="28">
        <f>VLOOKUP($B416,'Old LS-Reports'!$B$346:$V$397,11,)</f>
        <v>269.14299999999997</v>
      </c>
      <c r="H416" s="13">
        <f t="shared" si="34"/>
        <v>1179309.8582943063</v>
      </c>
      <c r="I416" s="21"/>
      <c r="J416" s="66"/>
      <c r="K416" s="28">
        <f t="shared" ref="K416:K423" si="37">K415+(1/$J$414)*(H416-H415)</f>
        <v>268.30637797377517</v>
      </c>
      <c r="L416" s="28">
        <f t="shared" si="33"/>
        <v>268.97737797377516</v>
      </c>
      <c r="M416" s="13">
        <f t="shared" si="35"/>
        <v>0.16962202622482891</v>
      </c>
    </row>
    <row r="417" spans="1:13" x14ac:dyDescent="0.25">
      <c r="A417" s="21"/>
      <c r="B417" s="61">
        <v>289900</v>
      </c>
      <c r="C417" s="60">
        <v>289899.90000000002</v>
      </c>
      <c r="D417" s="28">
        <f>VLOOKUP($B417,'Old LS-Reports'!$B$346:$V$397,9,)</f>
        <v>3373762.4649999999</v>
      </c>
      <c r="E417" s="28">
        <f>VLOOKUP($B417,'Old LS-Reports'!$B$346:$V$397,8,)</f>
        <v>652916.49600000004</v>
      </c>
      <c r="F417" s="28">
        <f>VLOOKUP($B417,'Old LS-Reports'!$B$346:$V$397,10,)</f>
        <v>268.44200000000001</v>
      </c>
      <c r="G417" s="28">
        <f>VLOOKUP($B417,'Old LS-Reports'!$B$346:$V$397,11,)</f>
        <v>269.10899999999998</v>
      </c>
      <c r="H417" s="13">
        <f t="shared" si="34"/>
        <v>1179329.8582943063</v>
      </c>
      <c r="I417" s="21"/>
      <c r="J417" s="66"/>
      <c r="K417" s="28">
        <f t="shared" si="37"/>
        <v>268.27666925292868</v>
      </c>
      <c r="L417" s="28">
        <f t="shared" si="33"/>
        <v>268.94766925292868</v>
      </c>
      <c r="M417" s="13">
        <f t="shared" si="35"/>
        <v>0.165330747071323</v>
      </c>
    </row>
    <row r="418" spans="1:13" x14ac:dyDescent="0.25">
      <c r="A418" s="21">
        <v>290000</v>
      </c>
      <c r="B418" s="85">
        <v>290000</v>
      </c>
      <c r="C418" s="60">
        <v>289921.2</v>
      </c>
      <c r="D418" s="28">
        <f>VLOOKUP($B418,'Old LS-Reports'!$B$346:$V$397,9,)</f>
        <v>3373775.3169999998</v>
      </c>
      <c r="E418" s="28">
        <f>VLOOKUP($B418,'Old LS-Reports'!$B$346:$V$397,8,)</f>
        <v>652901.18999999994</v>
      </c>
      <c r="F418" s="28">
        <f>VLOOKUP($B418,'Old LS-Reports'!$B$346:$V$397,10,)</f>
        <v>268.40800000000002</v>
      </c>
      <c r="G418" s="28">
        <f>VLOOKUP($B418,'Old LS-Reports'!$B$346:$V$397,11,)</f>
        <v>269.07499999999999</v>
      </c>
      <c r="H418" s="13">
        <f t="shared" si="34"/>
        <v>1179351.1582943064</v>
      </c>
      <c r="I418" s="21"/>
      <c r="J418" s="66"/>
      <c r="K418" s="28">
        <f t="shared" si="37"/>
        <v>268.24502946522716</v>
      </c>
      <c r="L418" s="28">
        <f t="shared" si="33"/>
        <v>268.91602946522715</v>
      </c>
      <c r="M418" s="13">
        <f t="shared" si="35"/>
        <v>0.16297053477285317</v>
      </c>
    </row>
    <row r="419" spans="1:13" x14ac:dyDescent="0.25">
      <c r="A419" s="21"/>
      <c r="B419" s="61">
        <v>290020</v>
      </c>
      <c r="C419" s="60">
        <v>289941.2</v>
      </c>
      <c r="D419" s="28">
        <f>VLOOKUP($B419,'Old LS-Reports'!$B$346:$V$397,9,)</f>
        <v>3373788.5720000002</v>
      </c>
      <c r="E419" s="28">
        <f>VLOOKUP($B419,'Old LS-Reports'!$B$346:$V$397,8,)</f>
        <v>652886.22100000002</v>
      </c>
      <c r="F419" s="28">
        <f>VLOOKUP($B419,'Old LS-Reports'!$B$346:$V$397,10,)</f>
        <v>268.37400000000002</v>
      </c>
      <c r="G419" s="28">
        <f>VLOOKUP($B419,'Old LS-Reports'!$B$346:$V$397,11,)</f>
        <v>269.041</v>
      </c>
      <c r="H419" s="13">
        <f t="shared" si="34"/>
        <v>1179371.1582943064</v>
      </c>
      <c r="I419" s="21"/>
      <c r="J419" s="66"/>
      <c r="K419" s="28">
        <f t="shared" si="37"/>
        <v>268.21532074438068</v>
      </c>
      <c r="L419" s="28">
        <f t="shared" si="33"/>
        <v>268.88632074438067</v>
      </c>
      <c r="M419" s="13">
        <f t="shared" si="35"/>
        <v>0.15867925561934726</v>
      </c>
    </row>
    <row r="420" spans="1:13" x14ac:dyDescent="0.25">
      <c r="A420" s="21"/>
      <c r="B420" s="61">
        <v>290040</v>
      </c>
      <c r="C420" s="60">
        <v>289961.2</v>
      </c>
      <c r="D420" s="28">
        <f>VLOOKUP($B420,'Old LS-Reports'!$B$346:$V$397,9,)</f>
        <v>3373801.9070000001</v>
      </c>
      <c r="E420" s="28">
        <f>VLOOKUP($B420,'Old LS-Reports'!$B$346:$V$397,8,)</f>
        <v>652871.31599999999</v>
      </c>
      <c r="F420" s="28">
        <f>VLOOKUP($B420,'Old LS-Reports'!$B$346:$V$397,10,)</f>
        <v>268.34300000000002</v>
      </c>
      <c r="G420" s="28">
        <f>VLOOKUP($B420,'Old LS-Reports'!$B$346:$V$397,11,)</f>
        <v>269.01</v>
      </c>
      <c r="H420" s="13">
        <f t="shared" si="34"/>
        <v>1179391.1582943064</v>
      </c>
      <c r="I420" s="21"/>
      <c r="J420" s="66"/>
      <c r="K420" s="28">
        <f t="shared" si="37"/>
        <v>268.18561202353419</v>
      </c>
      <c r="L420" s="28">
        <f t="shared" si="33"/>
        <v>268.85661202353418</v>
      </c>
      <c r="M420" s="13">
        <f t="shared" si="35"/>
        <v>0.15738797646582725</v>
      </c>
    </row>
    <row r="421" spans="1:13" x14ac:dyDescent="0.25">
      <c r="A421" s="21"/>
      <c r="B421" s="61">
        <v>290060</v>
      </c>
      <c r="C421" s="60">
        <v>289981.2</v>
      </c>
      <c r="D421" s="28">
        <f>VLOOKUP($B421,'Old LS-Reports'!$B$346:$V$397,9,)</f>
        <v>3373814.71</v>
      </c>
      <c r="E421" s="28">
        <f>VLOOKUP($B421,'Old LS-Reports'!$B$346:$V$397,8,)</f>
        <v>652855.95299999998</v>
      </c>
      <c r="F421" s="28">
        <f>VLOOKUP($B421,'Old LS-Reports'!$B$346:$V$397,10,)</f>
        <v>268.31200000000001</v>
      </c>
      <c r="G421" s="28">
        <f>VLOOKUP($B421,'Old LS-Reports'!$B$346:$V$397,11,)</f>
        <v>268.97899999999998</v>
      </c>
      <c r="H421" s="13">
        <f t="shared" si="34"/>
        <v>1179411.1582943064</v>
      </c>
      <c r="I421" s="21"/>
      <c r="J421" s="66"/>
      <c r="K421" s="28">
        <f t="shared" si="37"/>
        <v>268.1559033026877</v>
      </c>
      <c r="L421" s="28">
        <f t="shared" si="33"/>
        <v>268.8269033026877</v>
      </c>
      <c r="M421" s="13">
        <f t="shared" si="35"/>
        <v>0.15609669731230724</v>
      </c>
    </row>
    <row r="422" spans="1:13" x14ac:dyDescent="0.25">
      <c r="A422" s="21"/>
      <c r="B422" s="61">
        <v>290080</v>
      </c>
      <c r="C422" s="60">
        <v>290001.3</v>
      </c>
      <c r="D422" s="28">
        <f>VLOOKUP($B422,'Old LS-Reports'!$B$346:$V$397,9,)</f>
        <v>3373827.1838000002</v>
      </c>
      <c r="E422" s="28">
        <f>VLOOKUP($B422,'Old LS-Reports'!$B$346:$V$397,8,)</f>
        <v>652839.82900000003</v>
      </c>
      <c r="F422" s="28">
        <f>VLOOKUP($B422,'Old LS-Reports'!$B$346:$V$397,10,)</f>
        <v>268.28100000000001</v>
      </c>
      <c r="G422" s="28">
        <f>VLOOKUP($B422,'Old LS-Reports'!$B$346:$V$397,11,)</f>
        <v>268.94799999999998</v>
      </c>
      <c r="H422" s="13">
        <f t="shared" si="34"/>
        <v>1179431.2582943062</v>
      </c>
      <c r="I422" s="21"/>
      <c r="J422" s="66"/>
      <c r="K422" s="28">
        <f t="shared" si="37"/>
        <v>268.12604603823723</v>
      </c>
      <c r="L422" s="28">
        <f t="shared" si="33"/>
        <v>268.79704603823723</v>
      </c>
      <c r="M422" s="13">
        <f t="shared" si="35"/>
        <v>0.15495396176277154</v>
      </c>
    </row>
    <row r="423" spans="1:13" x14ac:dyDescent="0.25">
      <c r="A423" s="21"/>
      <c r="B423" s="61">
        <v>290081.7</v>
      </c>
      <c r="C423" s="60">
        <v>290003.59999999998</v>
      </c>
      <c r="D423" s="28">
        <f>VLOOKUP($B423,'Old LS-Reports'!$B$346:$V$397,9,)</f>
        <v>3373830.0876000002</v>
      </c>
      <c r="E423" s="28">
        <f>VLOOKUP($B423,'Old LS-Reports'!$B$346:$V$397,8,)</f>
        <v>652835.9057</v>
      </c>
      <c r="F423" s="28">
        <f>VLOOKUP($B423,'Old LS-Reports'!$B$346:$V$397,10,)</f>
        <v>268.25200000000001</v>
      </c>
      <c r="G423" s="28">
        <f>VLOOKUP($B423,'Old LS-Reports'!$B$346:$V$397,11,)</f>
        <v>268.91899999999998</v>
      </c>
      <c r="H423" s="13">
        <f t="shared" si="34"/>
        <v>1179433.5582943063</v>
      </c>
      <c r="I423" s="21"/>
      <c r="J423" s="66"/>
      <c r="K423" s="28">
        <f t="shared" si="37"/>
        <v>268.1226295353398</v>
      </c>
      <c r="L423" s="28">
        <f t="shared" si="33"/>
        <v>268.79362953533979</v>
      </c>
      <c r="M423" s="13">
        <f t="shared" si="35"/>
        <v>0.12937046466021229</v>
      </c>
    </row>
    <row r="424" spans="1:13" x14ac:dyDescent="0.25">
      <c r="A424" s="21"/>
      <c r="B424" s="21"/>
      <c r="C424" s="21"/>
      <c r="D424" s="21"/>
      <c r="E424" s="21"/>
      <c r="F424" s="21"/>
      <c r="G424" s="21"/>
      <c r="H424" s="65"/>
      <c r="I424" s="21"/>
      <c r="J424" s="66"/>
      <c r="K424" s="66"/>
      <c r="L424" s="28"/>
      <c r="M424" s="64"/>
    </row>
  </sheetData>
  <autoFilter ref="A2:O375" xr:uid="{00000000-0001-0000-0000-000000000000}"/>
  <sortState xmlns:xlrd2="http://schemas.microsoft.com/office/spreadsheetml/2017/richdata2" ref="A4:M375">
    <sortCondition ref="H4:H375"/>
  </sortState>
  <mergeCells count="4">
    <mergeCell ref="A1:I1"/>
    <mergeCell ref="J1:J2"/>
    <mergeCell ref="K1:L1"/>
    <mergeCell ref="M1:M2"/>
  </mergeCells>
  <conditionalFormatting sqref="J3:K3 J5:J361">
    <cfRule type="cellIs" dxfId="1" priority="1" operator="lessThan">
      <formula>-0.001</formula>
    </cfRule>
    <cfRule type="cellIs" dxfId="0" priority="2" operator="greaterThan">
      <formula>0.001</formula>
    </cfRule>
  </conditionalFormatting>
  <printOptions horizontalCentered="1"/>
  <pageMargins left="1" right="0.7" top="0.75" bottom="1.5" header="0.3" footer="0.5"/>
  <pageSetup paperSize="9" scale="43" fitToHeight="100" orientation="portrait" r:id="rId1"/>
  <headerFooter>
    <oddFooter>&amp;LGIL-TPL JV&amp;CENGINEER&amp;R&amp;P/&amp;N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9A0C6-609F-4BBD-9F9D-19A8EA613CFC}">
  <dimension ref="A1:P407"/>
  <sheetViews>
    <sheetView view="pageBreakPreview" zoomScaleNormal="100" zoomScaleSheetLayoutView="100" workbookViewId="0">
      <pane xSplit="1" ySplit="1" topLeftCell="B347" activePane="bottomRight" state="frozen"/>
      <selection pane="topRight" activeCell="B1" sqref="B1"/>
      <selection pane="bottomLeft" activeCell="A2" sqref="A2"/>
      <selection pane="bottomRight" activeCell="I356" sqref="I356"/>
    </sheetView>
  </sheetViews>
  <sheetFormatPr defaultColWidth="19.42578125" defaultRowHeight="15" x14ac:dyDescent="0.25"/>
  <cols>
    <col min="1" max="1" width="10.7109375" style="42" bestFit="1" customWidth="1"/>
    <col min="2" max="2" width="13.5703125" style="42" bestFit="1" customWidth="1"/>
    <col min="3" max="3" width="13.85546875" style="42" customWidth="1"/>
    <col min="4" max="4" width="13" style="37" customWidth="1"/>
    <col min="5" max="5" width="11.5703125" style="37" bestFit="1" customWidth="1"/>
    <col min="6" max="6" width="9.140625" style="37" customWidth="1"/>
    <col min="7" max="7" width="12.42578125" style="37" bestFit="1" customWidth="1"/>
    <col min="8" max="9" width="9.140625" style="37" customWidth="1"/>
    <col min="10" max="10" width="9" style="37" bestFit="1" customWidth="1"/>
    <col min="11" max="11" width="15.7109375" style="37" bestFit="1" customWidth="1"/>
    <col min="12" max="12" width="7.85546875" style="37" bestFit="1" customWidth="1"/>
    <col min="13" max="13" width="14.140625" style="37" customWidth="1"/>
    <col min="14" max="14" width="16.7109375" style="37" customWidth="1"/>
    <col min="15" max="15" width="10.7109375" style="37" customWidth="1"/>
    <col min="16" max="16" width="19.42578125" style="43"/>
    <col min="17" max="16384" width="19.42578125" style="37"/>
  </cols>
  <sheetData>
    <row r="1" spans="1:16" ht="75" x14ac:dyDescent="0.25">
      <c r="A1" s="32" t="s">
        <v>5</v>
      </c>
      <c r="B1" s="32" t="s">
        <v>6</v>
      </c>
      <c r="C1" s="33" t="s">
        <v>45</v>
      </c>
      <c r="D1" s="34" t="s">
        <v>31</v>
      </c>
      <c r="E1" s="45" t="s">
        <v>32</v>
      </c>
      <c r="F1" s="31" t="s">
        <v>28</v>
      </c>
      <c r="G1" s="31" t="s">
        <v>16</v>
      </c>
      <c r="H1" s="31" t="s">
        <v>33</v>
      </c>
      <c r="I1" s="31" t="s">
        <v>2</v>
      </c>
      <c r="J1" s="31" t="s">
        <v>34</v>
      </c>
      <c r="K1" s="46" t="s">
        <v>41</v>
      </c>
      <c r="L1" s="45" t="s">
        <v>35</v>
      </c>
      <c r="M1" s="35" t="s">
        <v>42</v>
      </c>
      <c r="N1" s="35" t="s">
        <v>36</v>
      </c>
      <c r="O1" s="31" t="s">
        <v>37</v>
      </c>
      <c r="P1" s="36"/>
    </row>
    <row r="2" spans="1:16" x14ac:dyDescent="0.25">
      <c r="A2" s="39">
        <v>282253.32520000002</v>
      </c>
      <c r="B2" s="39">
        <v>91255.985000000001</v>
      </c>
      <c r="C2" s="40">
        <f>VLOOKUP($B2,'Correlation sheet'!$C$4:$M$373,6,FALSE)</f>
        <v>1171660.6030000001</v>
      </c>
      <c r="D2" s="16">
        <f>VLOOKUP($B2,'Correlation sheet'!$C$4:$N$373,11,FALSE)</f>
        <v>0.16058197194786317</v>
      </c>
      <c r="E2" s="38">
        <f>VLOOKUP($B2,'Old LS-Reports'!$A$4:$V$344,5,FALSE)-D2</f>
        <v>270.32676482805215</v>
      </c>
      <c r="F2" s="16">
        <f>VLOOKUP($B2,'Correlation sheet'!$C$4:$M$373,10,FALSE)</f>
        <v>271.09270412805216</v>
      </c>
      <c r="G2" s="38">
        <f t="shared" ref="G2:G66" si="0">F2-E2</f>
        <v>0.76593930000001365</v>
      </c>
      <c r="H2" s="38">
        <f>VLOOKUP($B2,'Old LS-Reports'!$A$4:$V$344,6,FALSE)-D2</f>
        <v>269.63876482805216</v>
      </c>
      <c r="I2" s="16">
        <f>VLOOKUP($B2,'Correlation sheet'!$C$4:$M$373,9,FALSE)</f>
        <v>270.37970412805214</v>
      </c>
      <c r="J2" s="38">
        <f t="shared" ref="J2:J66" si="1">I2-H2</f>
        <v>0.74093929999997954</v>
      </c>
      <c r="K2" s="38">
        <f>VLOOKUP($B2,'Old LS-Reports'!$A$4:$V$344,16,FALSE)-D2</f>
        <v>267.45322652805214</v>
      </c>
      <c r="L2" s="38">
        <f>VLOOKUP($B2,'Old LS-Reports'!$A$4:$V$344,19,FALSE)-D2</f>
        <v>268.17002132805214</v>
      </c>
      <c r="M2" s="38">
        <f t="shared" ref="M2:M66" si="2">I2-L2</f>
        <v>2.209682799999996</v>
      </c>
      <c r="N2" s="38">
        <f>VLOOKUP($B2,'Old LS-Reports'!$A$4:$V$344,8,FALSE)</f>
        <v>-10.564107999999999</v>
      </c>
      <c r="P2" s="41"/>
    </row>
    <row r="3" spans="1:16" x14ac:dyDescent="0.25">
      <c r="A3" s="39">
        <v>282260</v>
      </c>
      <c r="B3" s="39">
        <v>91262.659</v>
      </c>
      <c r="C3" s="40">
        <f>VLOOKUP($B3,'Correlation sheet'!$C$4:$M$373,6,FALSE)</f>
        <v>1171667.277</v>
      </c>
      <c r="D3" s="16">
        <f>VLOOKUP($B3,'Correlation sheet'!$C$4:$N$373,11,FALSE)</f>
        <v>0.15775651090189058</v>
      </c>
      <c r="E3" s="38">
        <f>VLOOKUP($B3,'Old LS-Reports'!$A$4:$V$344,5,FALSE)-D3</f>
        <v>270.32003518909812</v>
      </c>
      <c r="F3" s="16">
        <f>VLOOKUP($B3,'Correlation sheet'!$C$4:$M$373,10,FALSE)</f>
        <v>271.09693558909811</v>
      </c>
      <c r="G3" s="38">
        <f t="shared" si="0"/>
        <v>0.77690039999998817</v>
      </c>
      <c r="H3" s="38">
        <f>VLOOKUP($B3,'Old LS-Reports'!$A$4:$V$344,6,FALSE)-D3</f>
        <v>269.63203518909813</v>
      </c>
      <c r="I3" s="16">
        <f>VLOOKUP($B3,'Correlation sheet'!$C$4:$M$373,9,FALSE)</f>
        <v>270.38393558909809</v>
      </c>
      <c r="J3" s="38">
        <f t="shared" si="1"/>
        <v>0.75190039999995406</v>
      </c>
      <c r="K3" s="38">
        <f>VLOOKUP($B3,'Old LS-Reports'!$A$4:$V$344,16,FALSE)-D3</f>
        <v>267.54368078909812</v>
      </c>
      <c r="L3" s="38">
        <f>VLOOKUP($B3,'Old LS-Reports'!$A$4:$V$344,19,FALSE)-D3</f>
        <v>268.54321548909809</v>
      </c>
      <c r="M3" s="38">
        <f t="shared" si="2"/>
        <v>1.8407200999999986</v>
      </c>
      <c r="N3" s="38">
        <f>VLOOKUP($B3,'Old LS-Reports'!$A$4:$V$344,8,FALSE)</f>
        <v>-10.5629165</v>
      </c>
      <c r="P3" s="41"/>
    </row>
    <row r="4" spans="1:16" x14ac:dyDescent="0.25">
      <c r="A4" s="39">
        <v>282280</v>
      </c>
      <c r="B4" s="39">
        <v>91282.663</v>
      </c>
      <c r="C4" s="40">
        <f>VLOOKUP($B4,'Correlation sheet'!$C$4:$M$373,6,FALSE)</f>
        <v>1171687.281</v>
      </c>
      <c r="D4" s="16">
        <f>VLOOKUP($B4,'Correlation sheet'!$C$4:$N$373,11,FALSE)</f>
        <v>0.1492874401550921</v>
      </c>
      <c r="E4" s="38">
        <f>VLOOKUP($B4,'Old LS-Reports'!$A$4:$V$344,5,FALSE)-D4</f>
        <v>270.29638445984489</v>
      </c>
      <c r="F4" s="16">
        <f>VLOOKUP($B4,'Correlation sheet'!$C$4:$M$373,10,FALSE)</f>
        <v>271.10961855984493</v>
      </c>
      <c r="G4" s="38">
        <f t="shared" si="0"/>
        <v>0.81323410000004515</v>
      </c>
      <c r="H4" s="38">
        <f>VLOOKUP($B4,'Old LS-Reports'!$A$4:$V$344,6,FALSE)-D4</f>
        <v>269.6083844598449</v>
      </c>
      <c r="I4" s="16">
        <f>VLOOKUP($B4,'Correlation sheet'!$C$4:$M$373,9,FALSE)</f>
        <v>270.39661855984491</v>
      </c>
      <c r="J4" s="38">
        <f t="shared" si="1"/>
        <v>0.78823410000001104</v>
      </c>
      <c r="K4" s="38">
        <f>VLOOKUP($B4,'Old LS-Reports'!$A$4:$V$344,16,FALSE)-D4</f>
        <v>267.38583085984493</v>
      </c>
      <c r="L4" s="38">
        <f>VLOOKUP($B4,'Old LS-Reports'!$A$4:$V$344,19,FALSE)-D4</f>
        <v>268.66936145984494</v>
      </c>
      <c r="M4" s="38">
        <f t="shared" si="2"/>
        <v>1.7272570999999743</v>
      </c>
      <c r="N4" s="38">
        <f>VLOOKUP($B4,'Old LS-Reports'!$A$4:$V$344,8,FALSE)</f>
        <v>-10.5661571</v>
      </c>
      <c r="P4" s="41"/>
    </row>
    <row r="5" spans="1:16" x14ac:dyDescent="0.25">
      <c r="A5" s="39">
        <v>282300</v>
      </c>
      <c r="B5" s="39">
        <v>91302.661999999997</v>
      </c>
      <c r="C5" s="40">
        <f>VLOOKUP($B5,'Correlation sheet'!$C$4:$M$373,6,FALSE)</f>
        <v>1171707.28</v>
      </c>
      <c r="D5" s="16">
        <f>VLOOKUP($B5,'Correlation sheet'!$C$4:$N$373,11,FALSE)</f>
        <v>0.14088983951683076</v>
      </c>
      <c r="E5" s="38">
        <f>VLOOKUP($B5,'Old LS-Reports'!$A$4:$V$344,5,FALSE)-D5</f>
        <v>270.27473026048318</v>
      </c>
      <c r="F5" s="16">
        <f>VLOOKUP($B5,'Correlation sheet'!$C$4:$M$373,10,FALSE)</f>
        <v>271.12229836048317</v>
      </c>
      <c r="G5" s="38">
        <f t="shared" si="0"/>
        <v>0.8475680999999895</v>
      </c>
      <c r="H5" s="38">
        <f>VLOOKUP($B5,'Old LS-Reports'!$A$4:$V$344,6,FALSE)-D5</f>
        <v>269.58673026048319</v>
      </c>
      <c r="I5" s="16">
        <f>VLOOKUP($B5,'Correlation sheet'!$C$4:$M$373,9,FALSE)</f>
        <v>270.40929836048315</v>
      </c>
      <c r="J5" s="38">
        <f t="shared" si="1"/>
        <v>0.82256809999995539</v>
      </c>
      <c r="K5" s="38">
        <f>VLOOKUP($B5,'Old LS-Reports'!$A$4:$V$344,16,FALSE)-D5</f>
        <v>267.06210956048318</v>
      </c>
      <c r="L5" s="38">
        <f>VLOOKUP($B5,'Old LS-Reports'!$A$4:$V$344,19,FALSE)-D5</f>
        <v>268.47534246048315</v>
      </c>
      <c r="M5" s="38">
        <f t="shared" si="2"/>
        <v>1.9339559000000008</v>
      </c>
      <c r="N5" s="38">
        <f>VLOOKUP($B5,'Old LS-Reports'!$A$4:$V$344,8,FALSE)</f>
        <v>-10.5699276</v>
      </c>
      <c r="P5" s="41"/>
    </row>
    <row r="6" spans="1:16" x14ac:dyDescent="0.25">
      <c r="A6" s="39">
        <v>282320</v>
      </c>
      <c r="B6" s="39">
        <v>91322.661999999997</v>
      </c>
      <c r="C6" s="40">
        <f>VLOOKUP($B6,'Correlation sheet'!$C$4:$M$373,6,FALSE)</f>
        <v>1171727.28</v>
      </c>
      <c r="D6" s="16">
        <f>VLOOKUP($B6,'Correlation sheet'!$C$4:$N$373,11,FALSE)</f>
        <v>0.14066550485688367</v>
      </c>
      <c r="E6" s="38">
        <f>VLOOKUP($B6,'Old LS-Reports'!$A$4:$V$344,5,FALSE)-D6</f>
        <v>270.2695731951431</v>
      </c>
      <c r="F6" s="16">
        <f>VLOOKUP($B6,'Correlation sheet'!$C$4:$M$373,10,FALSE)</f>
        <v>271.13497879514313</v>
      </c>
      <c r="G6" s="38">
        <f t="shared" si="0"/>
        <v>0.86540560000003097</v>
      </c>
      <c r="H6" s="38">
        <f>VLOOKUP($B6,'Old LS-Reports'!$A$4:$V$344,6,FALSE)-D6</f>
        <v>269.58157319514311</v>
      </c>
      <c r="I6" s="16">
        <f>VLOOKUP($B6,'Correlation sheet'!$C$4:$M$373,9,FALSE)</f>
        <v>270.4219787951431</v>
      </c>
      <c r="J6" s="38">
        <f t="shared" si="1"/>
        <v>0.84040559999999687</v>
      </c>
      <c r="K6" s="38">
        <f>VLOOKUP($B6,'Old LS-Reports'!$A$4:$V$344,16,FALSE)-D6</f>
        <v>266.66256309514313</v>
      </c>
      <c r="L6" s="38">
        <f>VLOOKUP($B6,'Old LS-Reports'!$A$4:$V$344,19,FALSE)-D6</f>
        <v>267.8303214951431</v>
      </c>
      <c r="M6" s="38">
        <f t="shared" si="2"/>
        <v>2.5916573000000085</v>
      </c>
      <c r="N6" s="38">
        <f>VLOOKUP($B6,'Old LS-Reports'!$A$4:$V$344,8,FALSE)</f>
        <v>-10.5716226</v>
      </c>
      <c r="P6" s="41"/>
    </row>
    <row r="7" spans="1:16" x14ac:dyDescent="0.25">
      <c r="A7" s="39">
        <v>282340</v>
      </c>
      <c r="B7" s="39">
        <v>91342.675000000003</v>
      </c>
      <c r="C7" s="40">
        <f>VLOOKUP($B7,'Correlation sheet'!$C$4:$M$373,6,FALSE)</f>
        <v>1171747.2930000001</v>
      </c>
      <c r="D7" s="16">
        <f>VLOOKUP($B7,'Correlation sheet'!$C$4:$N$373,11,FALSE)</f>
        <v>0.14605122791436997</v>
      </c>
      <c r="E7" s="38">
        <f>VLOOKUP($B7,'Old LS-Reports'!$A$4:$V$344,5,FALSE)-D7</f>
        <v>270.26453797208563</v>
      </c>
      <c r="F7" s="16">
        <f>VLOOKUP($B7,'Correlation sheet'!$C$4:$M$373,10,FALSE)</f>
        <v>271.14766747208563</v>
      </c>
      <c r="G7" s="38">
        <f t="shared" si="0"/>
        <v>0.88312949999999546</v>
      </c>
      <c r="H7" s="38">
        <f>VLOOKUP($B7,'Old LS-Reports'!$A$4:$V$344,6,FALSE)-D7</f>
        <v>269.57653797208565</v>
      </c>
      <c r="I7" s="16">
        <f>VLOOKUP($B7,'Correlation sheet'!$C$4:$M$373,9,FALSE)</f>
        <v>270.43466747208561</v>
      </c>
      <c r="J7" s="38">
        <f t="shared" si="1"/>
        <v>0.85812949999996135</v>
      </c>
      <c r="K7" s="38">
        <f>VLOOKUP($B7,'Old LS-Reports'!$A$4:$V$344,16,FALSE)-D7</f>
        <v>266.80701747208565</v>
      </c>
      <c r="L7" s="38">
        <f>VLOOKUP($B7,'Old LS-Reports'!$A$4:$V$344,19,FALSE)-D7</f>
        <v>268.47194487208566</v>
      </c>
      <c r="M7" s="38">
        <f t="shared" si="2"/>
        <v>1.9627225999999496</v>
      </c>
      <c r="N7" s="38">
        <f>VLOOKUP($B7,'Old LS-Reports'!$A$4:$V$344,8,FALSE)</f>
        <v>-10.5970333</v>
      </c>
      <c r="P7" s="41"/>
    </row>
    <row r="8" spans="1:16" x14ac:dyDescent="0.25">
      <c r="A8" s="39">
        <v>282360</v>
      </c>
      <c r="B8" s="39">
        <v>91362.633000000002</v>
      </c>
      <c r="C8" s="40">
        <f>VLOOKUP($B8,'Correlation sheet'!$C$4:$M$373,6,FALSE)</f>
        <v>1171767.2510000002</v>
      </c>
      <c r="D8" s="16">
        <f>VLOOKUP($B8,'Correlation sheet'!$C$4:$N$373,11,FALSE)</f>
        <v>0.15142212216716189</v>
      </c>
      <c r="E8" s="38">
        <f>VLOOKUP($B8,'Old LS-Reports'!$A$4:$V$344,5,FALSE)-D8</f>
        <v>270.25350747783284</v>
      </c>
      <c r="F8" s="16">
        <f>VLOOKUP($B8,'Correlation sheet'!$C$4:$M$373,10,FALSE)</f>
        <v>271.16032127783285</v>
      </c>
      <c r="G8" s="38">
        <f t="shared" si="0"/>
        <v>0.906813800000009</v>
      </c>
      <c r="H8" s="38">
        <f>VLOOKUP($B8,'Old LS-Reports'!$A$4:$V$344,6,FALSE)-D8</f>
        <v>269.56550747783285</v>
      </c>
      <c r="I8" s="16">
        <f>VLOOKUP($B8,'Correlation sheet'!$C$4:$M$373,9,FALSE)</f>
        <v>270.44732127783283</v>
      </c>
      <c r="J8" s="38">
        <f t="shared" si="1"/>
        <v>0.88181379999997489</v>
      </c>
      <c r="K8" s="38">
        <f>VLOOKUP($B8,'Old LS-Reports'!$A$4:$V$344,16,FALSE)-D8</f>
        <v>266.52332877783283</v>
      </c>
      <c r="L8" s="38">
        <f>VLOOKUP($B8,'Old LS-Reports'!$A$4:$V$344,19,FALSE)-D8</f>
        <v>267.63111117783285</v>
      </c>
      <c r="M8" s="38">
        <f t="shared" si="2"/>
        <v>2.816210099999978</v>
      </c>
      <c r="N8" s="38">
        <f>VLOOKUP($B8,'Old LS-Reports'!$A$4:$V$344,8,FALSE)</f>
        <v>-10.597217300000001</v>
      </c>
      <c r="P8" s="41"/>
    </row>
    <row r="9" spans="1:16" x14ac:dyDescent="0.25">
      <c r="A9" s="39">
        <v>282380</v>
      </c>
      <c r="B9" s="39">
        <v>91382.633000000002</v>
      </c>
      <c r="C9" s="40">
        <f>VLOOKUP($B9,'Correlation sheet'!$C$4:$M$373,6,FALSE)</f>
        <v>1171787.2510000002</v>
      </c>
      <c r="D9" s="16">
        <f>VLOOKUP($B9,'Correlation sheet'!$C$4:$N$373,11,FALSE)</f>
        <v>0.15680428750721376</v>
      </c>
      <c r="E9" s="38">
        <f>VLOOKUP($B9,'Old LS-Reports'!$A$4:$V$344,5,FALSE)-D9</f>
        <v>270.22992751249279</v>
      </c>
      <c r="F9" s="16">
        <f>VLOOKUP($B9,'Correlation sheet'!$C$4:$M$373,10,FALSE)</f>
        <v>271.17300171249281</v>
      </c>
      <c r="G9" s="38">
        <f t="shared" si="0"/>
        <v>0.9430742000000123</v>
      </c>
      <c r="H9" s="38">
        <f>VLOOKUP($B9,'Old LS-Reports'!$A$4:$V$344,6,FALSE)-D9</f>
        <v>269.5419275124928</v>
      </c>
      <c r="I9" s="16">
        <f>VLOOKUP($B9,'Correlation sheet'!$C$4:$M$373,9,FALSE)</f>
        <v>270.46000171249278</v>
      </c>
      <c r="J9" s="38">
        <f t="shared" si="1"/>
        <v>0.91807419999997819</v>
      </c>
      <c r="K9" s="38">
        <f>VLOOKUP($B9,'Old LS-Reports'!$A$4:$V$344,16,FALSE)-D9</f>
        <v>266.38038831249281</v>
      </c>
      <c r="L9" s="38">
        <f>VLOOKUP($B9,'Old LS-Reports'!$A$4:$V$344,19,FALSE)-D9</f>
        <v>267.04157071249278</v>
      </c>
      <c r="M9" s="38">
        <f t="shared" si="2"/>
        <v>3.4184309999999982</v>
      </c>
      <c r="N9" s="38">
        <f>VLOOKUP($B9,'Old LS-Reports'!$A$4:$V$344,8,FALSE)</f>
        <v>-10.544741500000001</v>
      </c>
      <c r="P9" s="41"/>
    </row>
    <row r="10" spans="1:16" x14ac:dyDescent="0.25">
      <c r="A10" s="39">
        <v>282400</v>
      </c>
      <c r="B10" s="39">
        <v>91402.644</v>
      </c>
      <c r="C10" s="40">
        <f>VLOOKUP($B10,'Correlation sheet'!$C$4:$M$373,6,FALSE)</f>
        <v>1171807.2620000001</v>
      </c>
      <c r="D10" s="16">
        <f>VLOOKUP($B10,'Correlation sheet'!$C$4:$N$373,11,FALSE)</f>
        <v>0.16218887860821951</v>
      </c>
      <c r="E10" s="38">
        <f>VLOOKUP($B10,'Old LS-Reports'!$A$4:$V$344,5,FALSE)-D10</f>
        <v>270.22269312139179</v>
      </c>
      <c r="F10" s="16">
        <f>VLOOKUP($B10,'Correlation sheet'!$C$4:$M$373,10,FALSE)</f>
        <v>271.18568912139176</v>
      </c>
      <c r="G10" s="38">
        <f t="shared" si="0"/>
        <v>0.96299599999997554</v>
      </c>
      <c r="H10" s="38">
        <f>VLOOKUP($B10,'Old LS-Reports'!$A$4:$V$344,6,FALSE)-D10</f>
        <v>269.5346931213918</v>
      </c>
      <c r="I10" s="16">
        <f>VLOOKUP($B10,'Correlation sheet'!$C$4:$M$373,9,FALSE)</f>
        <v>270.47268912139174</v>
      </c>
      <c r="J10" s="38">
        <f t="shared" si="1"/>
        <v>0.93799599999994143</v>
      </c>
      <c r="K10" s="38">
        <f>VLOOKUP($B10,'Old LS-Reports'!$A$4:$V$344,16,FALSE)-D10</f>
        <v>266.3695744213918</v>
      </c>
      <c r="L10" s="38">
        <f>VLOOKUP($B10,'Old LS-Reports'!$A$4:$V$344,19,FALSE)-D10</f>
        <v>267.71667322139177</v>
      </c>
      <c r="M10" s="38">
        <f t="shared" si="2"/>
        <v>2.7560158999999658</v>
      </c>
      <c r="N10" s="38">
        <f>VLOOKUP($B10,'Old LS-Reports'!$A$4:$V$344,8,FALSE)</f>
        <v>-10.505868100000001</v>
      </c>
      <c r="P10" s="41"/>
    </row>
    <row r="11" spans="1:16" x14ac:dyDescent="0.25">
      <c r="A11" s="39">
        <v>282420</v>
      </c>
      <c r="B11" s="39">
        <v>91422.675000000003</v>
      </c>
      <c r="C11" s="40">
        <f>VLOOKUP($B11,'Correlation sheet'!$C$4:$M$373,6,FALSE)</f>
        <v>1171827.2930000001</v>
      </c>
      <c r="D11" s="16">
        <f>VLOOKUP($B11,'Correlation sheet'!$C$4:$N$373,11,FALSE)</f>
        <v>0.16757898927460246</v>
      </c>
      <c r="E11" s="38">
        <f>VLOOKUP($B11,'Old LS-Reports'!$A$4:$V$344,5,FALSE)-D11</f>
        <v>270.21925141072541</v>
      </c>
      <c r="F11" s="16">
        <f>VLOOKUP($B11,'Correlation sheet'!$C$4:$M$373,10,FALSE)</f>
        <v>271.1983892107254</v>
      </c>
      <c r="G11" s="38">
        <f t="shared" si="0"/>
        <v>0.97913779999998951</v>
      </c>
      <c r="H11" s="38">
        <f>VLOOKUP($B11,'Old LS-Reports'!$A$4:$V$344,6,FALSE)-D11</f>
        <v>269.53125141072542</v>
      </c>
      <c r="I11" s="16">
        <f>VLOOKUP($B11,'Correlation sheet'!$C$4:$M$373,9,FALSE)</f>
        <v>270.48538921072537</v>
      </c>
      <c r="J11" s="38">
        <f t="shared" si="1"/>
        <v>0.9541377999999554</v>
      </c>
      <c r="K11" s="38">
        <f>VLOOKUP($B11,'Old LS-Reports'!$A$4:$V$344,16,FALSE)-D11</f>
        <v>266.6488044107254</v>
      </c>
      <c r="L11" s="38">
        <f>VLOOKUP($B11,'Old LS-Reports'!$A$4:$V$344,19,FALSE)-D11</f>
        <v>267.82436741072542</v>
      </c>
      <c r="M11" s="38">
        <f t="shared" si="2"/>
        <v>2.6610217999999577</v>
      </c>
      <c r="N11" s="38">
        <f>VLOOKUP($B11,'Old LS-Reports'!$A$4:$V$344,8,FALSE)</f>
        <v>-10.4789385</v>
      </c>
      <c r="P11" s="41"/>
    </row>
    <row r="12" spans="1:16" x14ac:dyDescent="0.25">
      <c r="A12" s="39">
        <v>282440</v>
      </c>
      <c r="B12" s="39">
        <v>91442.675000000003</v>
      </c>
      <c r="C12" s="40">
        <f>VLOOKUP($B12,'Correlation sheet'!$C$4:$M$373,6,FALSE)</f>
        <v>1171847.2930000001</v>
      </c>
      <c r="D12" s="16">
        <f>VLOOKUP($B12,'Correlation sheet'!$C$4:$N$373,11,FALSE)</f>
        <v>0.17296115461465433</v>
      </c>
      <c r="E12" s="38">
        <f>VLOOKUP($B12,'Old LS-Reports'!$A$4:$V$344,5,FALSE)-D12</f>
        <v>270.18115014538535</v>
      </c>
      <c r="F12" s="16">
        <f>VLOOKUP($B12,'Correlation sheet'!$C$4:$M$373,10,FALSE)</f>
        <v>271.21106964538535</v>
      </c>
      <c r="G12" s="38">
        <f t="shared" si="0"/>
        <v>1.0299195000000054</v>
      </c>
      <c r="H12" s="38">
        <f>VLOOKUP($B12,'Old LS-Reports'!$A$4:$V$344,6,FALSE)-D12</f>
        <v>269.49315014538536</v>
      </c>
      <c r="I12" s="16">
        <f>VLOOKUP($B12,'Correlation sheet'!$C$4:$M$373,9,FALSE)</f>
        <v>270.49806964538533</v>
      </c>
      <c r="J12" s="38">
        <f t="shared" si="1"/>
        <v>1.0049194999999713</v>
      </c>
      <c r="K12" s="38">
        <f>VLOOKUP($B12,'Old LS-Reports'!$A$4:$V$344,16,FALSE)-D12</f>
        <v>266.69682984538537</v>
      </c>
      <c r="L12" s="38">
        <f>VLOOKUP($B12,'Old LS-Reports'!$A$4:$V$344,19,FALSE)-D12</f>
        <v>268.05156444538534</v>
      </c>
      <c r="M12" s="38">
        <f t="shared" si="2"/>
        <v>2.4465051999999901</v>
      </c>
      <c r="N12" s="38">
        <f>VLOOKUP($B12,'Old LS-Reports'!$A$4:$V$344,8,FALSE)</f>
        <v>-10.5048008</v>
      </c>
      <c r="P12" s="41"/>
    </row>
    <row r="13" spans="1:16" x14ac:dyDescent="0.25">
      <c r="A13" s="39">
        <v>282460</v>
      </c>
      <c r="B13" s="39">
        <v>91462.672000000006</v>
      </c>
      <c r="C13" s="40">
        <f>VLOOKUP($B13,'Correlation sheet'!$C$4:$M$373,6,FALSE)</f>
        <v>1171867.29</v>
      </c>
      <c r="D13" s="16">
        <f>VLOOKUP($B13,'Correlation sheet'!$C$4:$N$373,11,FALSE)</f>
        <v>0.17834282201988572</v>
      </c>
      <c r="E13" s="38">
        <f>VLOOKUP($B13,'Old LS-Reports'!$A$4:$V$344,5,FALSE)-D13</f>
        <v>270.15176327798014</v>
      </c>
      <c r="F13" s="16">
        <f>VLOOKUP($B13,'Correlation sheet'!$C$4:$M$373,10,FALSE)</f>
        <v>271.2237481779801</v>
      </c>
      <c r="G13" s="38">
        <f t="shared" si="0"/>
        <v>1.0719848999999613</v>
      </c>
      <c r="H13" s="38">
        <f>VLOOKUP($B13,'Old LS-Reports'!$A$4:$V$344,6,FALSE)-D13</f>
        <v>269.46376327798015</v>
      </c>
      <c r="I13" s="16">
        <f>VLOOKUP($B13,'Correlation sheet'!$C$4:$M$373,9,FALSE)</f>
        <v>270.51074817798008</v>
      </c>
      <c r="J13" s="38">
        <f t="shared" si="1"/>
        <v>1.0469848999999272</v>
      </c>
      <c r="K13" s="38">
        <f>VLOOKUP($B13,'Old LS-Reports'!$A$4:$V$344,16,FALSE)-D13</f>
        <v>266.7484284779801</v>
      </c>
      <c r="L13" s="38">
        <f>VLOOKUP($B13,'Old LS-Reports'!$A$4:$V$344,19,FALSE)-D13</f>
        <v>268.23659397798014</v>
      </c>
      <c r="M13" s="38">
        <f t="shared" si="2"/>
        <v>2.2741541999999413</v>
      </c>
      <c r="N13" s="38">
        <f>VLOOKUP($B13,'Old LS-Reports'!$A$4:$V$344,8,FALSE)</f>
        <v>-10.528038499999999</v>
      </c>
      <c r="P13" s="41"/>
    </row>
    <row r="14" spans="1:16" x14ac:dyDescent="0.25">
      <c r="A14" s="39">
        <v>282480</v>
      </c>
      <c r="B14" s="39">
        <v>91482.672000000006</v>
      </c>
      <c r="C14" s="40">
        <f>VLOOKUP($B14,'Correlation sheet'!$C$4:$M$373,6,FALSE)</f>
        <v>1171887.29</v>
      </c>
      <c r="D14" s="16">
        <f>VLOOKUP($B14,'Correlation sheet'!$C$4:$N$373,11,FALSE)</f>
        <v>0.18372498735993759</v>
      </c>
      <c r="E14" s="38">
        <f>VLOOKUP($B14,'Old LS-Reports'!$A$4:$V$344,5,FALSE)-D14</f>
        <v>270.12986701264009</v>
      </c>
      <c r="F14" s="16">
        <f>VLOOKUP($B14,'Correlation sheet'!$C$4:$M$373,10,FALSE)</f>
        <v>271.23642861264005</v>
      </c>
      <c r="G14" s="38">
        <f t="shared" si="0"/>
        <v>1.1065615999999636</v>
      </c>
      <c r="H14" s="38">
        <f>VLOOKUP($B14,'Old LS-Reports'!$A$4:$V$344,6,FALSE)-D14</f>
        <v>269.4418670126401</v>
      </c>
      <c r="I14" s="16">
        <f>VLOOKUP($B14,'Correlation sheet'!$C$4:$M$373,9,FALSE)</f>
        <v>270.52342861264003</v>
      </c>
      <c r="J14" s="38">
        <f t="shared" si="1"/>
        <v>1.0815615999999295</v>
      </c>
      <c r="K14" s="38">
        <f>VLOOKUP($B14,'Old LS-Reports'!$A$4:$V$344,16,FALSE)-D14</f>
        <v>267.20314111264008</v>
      </c>
      <c r="L14" s="38">
        <f>VLOOKUP($B14,'Old LS-Reports'!$A$4:$V$344,19,FALSE)-D14</f>
        <v>268.43638421264006</v>
      </c>
      <c r="M14" s="38">
        <f t="shared" si="2"/>
        <v>2.0870443999999679</v>
      </c>
      <c r="N14" s="38">
        <f>VLOOKUP($B14,'Old LS-Reports'!$A$4:$V$344,8,FALSE)</f>
        <v>-10.5490256</v>
      </c>
      <c r="P14" s="41"/>
    </row>
    <row r="15" spans="1:16" x14ac:dyDescent="0.25">
      <c r="A15" s="39">
        <v>282500</v>
      </c>
      <c r="B15" s="39">
        <v>91502.668000000005</v>
      </c>
      <c r="C15" s="40">
        <f>VLOOKUP($B15,'Correlation sheet'!$C$4:$M$373,6,FALSE)</f>
        <v>1171907.2860000001</v>
      </c>
      <c r="D15" s="16">
        <f>VLOOKUP($B15,'Correlation sheet'!$C$4:$N$373,11,FALSE)</f>
        <v>0.18910568878692402</v>
      </c>
      <c r="E15" s="38">
        <f>VLOOKUP($B15,'Old LS-Reports'!$A$4:$V$344,5,FALSE)-D15</f>
        <v>270.12953841121305</v>
      </c>
      <c r="F15" s="16">
        <f>VLOOKUP($B15,'Correlation sheet'!$C$4:$M$373,10,FALSE)</f>
        <v>271.24910651121309</v>
      </c>
      <c r="G15" s="38">
        <f t="shared" si="0"/>
        <v>1.1195681000000377</v>
      </c>
      <c r="H15" s="38">
        <f>VLOOKUP($B15,'Old LS-Reports'!$A$4:$V$344,6,FALSE)-D15</f>
        <v>269.44153841121306</v>
      </c>
      <c r="I15" s="16">
        <f>VLOOKUP($B15,'Correlation sheet'!$C$4:$M$373,9,FALSE)</f>
        <v>270.53610651121306</v>
      </c>
      <c r="J15" s="38">
        <f t="shared" si="1"/>
        <v>1.0945681000000036</v>
      </c>
      <c r="K15" s="38">
        <f>VLOOKUP($B15,'Old LS-Reports'!$A$4:$V$344,16,FALSE)-D15</f>
        <v>267.11324591121308</v>
      </c>
      <c r="L15" s="38">
        <f>VLOOKUP($B15,'Old LS-Reports'!$A$4:$V$344,19,FALSE)-D15</f>
        <v>268.19073621121305</v>
      </c>
      <c r="M15" s="38">
        <f t="shared" si="2"/>
        <v>2.3453703000000132</v>
      </c>
      <c r="N15" s="38">
        <f>VLOOKUP($B15,'Old LS-Reports'!$A$4:$V$344,8,FALSE)</f>
        <v>-10.564038</v>
      </c>
      <c r="P15" s="41"/>
    </row>
    <row r="16" spans="1:16" x14ac:dyDescent="0.25">
      <c r="A16" s="39">
        <v>282520</v>
      </c>
      <c r="B16" s="39">
        <v>91522.659</v>
      </c>
      <c r="C16" s="40">
        <f>VLOOKUP($B16,'Correlation sheet'!$C$4:$M$373,6,FALSE)</f>
        <v>1171927.277</v>
      </c>
      <c r="D16" s="16">
        <f>VLOOKUP($B16,'Correlation sheet'!$C$4:$N$373,11,FALSE)</f>
        <v>0.19448576032266374</v>
      </c>
      <c r="E16" s="38">
        <f>VLOOKUP($B16,'Old LS-Reports'!$A$4:$V$344,5,FALSE)-D16</f>
        <v>270.13184953967732</v>
      </c>
      <c r="F16" s="16">
        <f>VLOOKUP($B16,'Correlation sheet'!$C$4:$M$373,10,FALSE)</f>
        <v>271.26178123967736</v>
      </c>
      <c r="G16" s="38">
        <f t="shared" si="0"/>
        <v>1.1299317000000428</v>
      </c>
      <c r="H16" s="38">
        <f>VLOOKUP($B16,'Old LS-Reports'!$A$4:$V$344,6,FALSE)-D16</f>
        <v>269.44384953967733</v>
      </c>
      <c r="I16" s="16">
        <f>VLOOKUP($B16,'Correlation sheet'!$C$4:$M$373,9,FALSE)</f>
        <v>270.54878123967734</v>
      </c>
      <c r="J16" s="38">
        <f t="shared" si="1"/>
        <v>1.1049317000000087</v>
      </c>
      <c r="K16" s="38">
        <f>VLOOKUP($B16,'Old LS-Reports'!$A$4:$V$344,16,FALSE)-D16</f>
        <v>267.60640933967733</v>
      </c>
      <c r="L16" s="38">
        <f>VLOOKUP($B16,'Old LS-Reports'!$A$4:$V$344,19,FALSE)-D16</f>
        <v>267.99700103967734</v>
      </c>
      <c r="M16" s="38">
        <f t="shared" si="2"/>
        <v>2.5517801999999961</v>
      </c>
      <c r="N16" s="38">
        <f>VLOOKUP($B16,'Old LS-Reports'!$A$4:$V$344,8,FALSE)</f>
        <v>-10.5719032</v>
      </c>
      <c r="P16" s="41"/>
    </row>
    <row r="17" spans="1:16" x14ac:dyDescent="0.25">
      <c r="A17" s="39">
        <v>282540</v>
      </c>
      <c r="B17" s="39">
        <v>91542.659</v>
      </c>
      <c r="C17" s="40">
        <f>VLOOKUP($B17,'Correlation sheet'!$C$4:$M$373,6,FALSE)</f>
        <v>1171947.277</v>
      </c>
      <c r="D17" s="16">
        <f>VLOOKUP($B17,'Correlation sheet'!$C$4:$N$373,11,FALSE)</f>
        <v>0.19986782566269312</v>
      </c>
      <c r="E17" s="38">
        <f>VLOOKUP($B17,'Old LS-Reports'!$A$4:$V$344,5,FALSE)-D17</f>
        <v>270.12091167433732</v>
      </c>
      <c r="F17" s="16">
        <f>VLOOKUP($B17,'Correlation sheet'!$C$4:$M$373,10,FALSE)</f>
        <v>271.27446167433732</v>
      </c>
      <c r="G17" s="38">
        <f t="shared" si="0"/>
        <v>1.1535499999999956</v>
      </c>
      <c r="H17" s="38">
        <f>VLOOKUP($B17,'Old LS-Reports'!$A$4:$V$344,6,FALSE)-D17</f>
        <v>269.43291167433733</v>
      </c>
      <c r="I17" s="16">
        <f>VLOOKUP($B17,'Correlation sheet'!$C$4:$M$373,9,FALSE)</f>
        <v>270.56146167433729</v>
      </c>
      <c r="J17" s="38">
        <f t="shared" si="1"/>
        <v>1.1285499999999615</v>
      </c>
      <c r="K17" s="38">
        <f>VLOOKUP($B17,'Old LS-Reports'!$A$4:$V$344,16,FALSE)-D17</f>
        <v>267.87937887433731</v>
      </c>
      <c r="L17" s="38">
        <f>VLOOKUP($B17,'Old LS-Reports'!$A$4:$V$344,19,FALSE)-D17</f>
        <v>267.79867027433733</v>
      </c>
      <c r="M17" s="38">
        <f t="shared" si="2"/>
        <v>2.7627913999999691</v>
      </c>
      <c r="N17" s="38">
        <f>VLOOKUP($B17,'Old LS-Reports'!$A$4:$V$344,8,FALSE)</f>
        <v>-10.568436699999999</v>
      </c>
      <c r="P17" s="41"/>
    </row>
    <row r="18" spans="1:16" x14ac:dyDescent="0.25">
      <c r="A18" s="39">
        <v>282560</v>
      </c>
      <c r="B18" s="39">
        <v>91562.67</v>
      </c>
      <c r="C18" s="40">
        <f>VLOOKUP($B18,'Correlation sheet'!$C$4:$M$373,6,FALSE)</f>
        <v>1171967.2879999999</v>
      </c>
      <c r="D18" s="16">
        <f>VLOOKUP($B18,'Correlation sheet'!$C$4:$N$373,11,FALSE)</f>
        <v>0.20525291676375446</v>
      </c>
      <c r="E18" s="38">
        <f>VLOOKUP($B18,'Old LS-Reports'!$A$4:$V$344,5,FALSE)-D18</f>
        <v>270.11604098323625</v>
      </c>
      <c r="F18" s="16">
        <f>VLOOKUP($B18,'Correlation sheet'!$C$4:$M$373,10,FALSE)</f>
        <v>271.28714908323627</v>
      </c>
      <c r="G18" s="38">
        <f t="shared" si="0"/>
        <v>1.1711081000000263</v>
      </c>
      <c r="H18" s="38">
        <f>VLOOKUP($B18,'Old LS-Reports'!$A$4:$V$344,6,FALSE)-D18</f>
        <v>269.42804098323626</v>
      </c>
      <c r="I18" s="16">
        <f>VLOOKUP($B18,'Correlation sheet'!$C$4:$M$373,9,FALSE)</f>
        <v>270.57414908323625</v>
      </c>
      <c r="J18" s="38">
        <f t="shared" si="1"/>
        <v>1.1461080999999922</v>
      </c>
      <c r="K18" s="38">
        <f>VLOOKUP($B18,'Old LS-Reports'!$A$4:$V$344,16,FALSE)-D18</f>
        <v>267.32132118323625</v>
      </c>
      <c r="L18" s="38">
        <f>VLOOKUP($B18,'Old LS-Reports'!$A$4:$V$344,19,FALSE)-D18</f>
        <v>266.85946158323623</v>
      </c>
      <c r="M18" s="38">
        <f t="shared" si="2"/>
        <v>3.714687500000025</v>
      </c>
      <c r="N18" s="38">
        <f>VLOOKUP($B18,'Old LS-Reports'!$A$4:$V$344,8,FALSE)</f>
        <v>-10.579125100000001</v>
      </c>
      <c r="P18" s="41"/>
    </row>
    <row r="19" spans="1:16" x14ac:dyDescent="0.25">
      <c r="A19" s="39">
        <v>282580</v>
      </c>
      <c r="B19" s="39">
        <v>91582.67</v>
      </c>
      <c r="C19" s="40">
        <f>VLOOKUP($B19,'Correlation sheet'!$C$4:$M$373,6,FALSE)</f>
        <v>1171987.287999999</v>
      </c>
      <c r="D19" s="16">
        <f>VLOOKUP($B19,'Correlation sheet'!$C$4:$N$373,11,FALSE)</f>
        <v>0.21063498210435228</v>
      </c>
      <c r="E19" s="38">
        <f>VLOOKUP($B19,'Old LS-Reports'!$A$4:$V$344,5,FALSE)-D19</f>
        <v>270.11403371789567</v>
      </c>
      <c r="F19" s="16">
        <f>VLOOKUP($B19,'Correlation sheet'!$C$4:$M$373,10,FALSE)</f>
        <v>271.29982951789566</v>
      </c>
      <c r="G19" s="38">
        <f t="shared" si="0"/>
        <v>1.185795799999994</v>
      </c>
      <c r="H19" s="38">
        <f>VLOOKUP($B19,'Old LS-Reports'!$A$4:$V$344,6,FALSE)-D19</f>
        <v>269.42603371789568</v>
      </c>
      <c r="I19" s="16">
        <f>VLOOKUP($B19,'Correlation sheet'!$C$4:$M$373,9,FALSE)</f>
        <v>270.58682951789564</v>
      </c>
      <c r="J19" s="38">
        <f t="shared" si="1"/>
        <v>1.1607957999999599</v>
      </c>
      <c r="K19" s="38">
        <f>VLOOKUP($B19,'Old LS-Reports'!$A$4:$V$344,16,FALSE)-D19</f>
        <v>267.20955411789566</v>
      </c>
      <c r="L19" s="38">
        <f>VLOOKUP($B19,'Old LS-Reports'!$A$4:$V$344,19,FALSE)-D19</f>
        <v>267.19253201789564</v>
      </c>
      <c r="M19" s="38">
        <f t="shared" si="2"/>
        <v>3.3942974999999933</v>
      </c>
      <c r="N19" s="38">
        <f>VLOOKUP($B19,'Old LS-Reports'!$A$4:$V$344,8,FALSE)</f>
        <v>-10.5964782</v>
      </c>
      <c r="P19" s="41"/>
    </row>
    <row r="20" spans="1:16" x14ac:dyDescent="0.25">
      <c r="A20" s="39">
        <v>282600</v>
      </c>
      <c r="B20" s="39">
        <v>91602.585999999996</v>
      </c>
      <c r="C20" s="40">
        <f>VLOOKUP($B20,'Correlation sheet'!$C$4:$M$373,6,FALSE)</f>
        <v>1172007.2040000022</v>
      </c>
      <c r="D20" s="16">
        <f>VLOOKUP($B20,'Correlation sheet'!$C$4:$N$373,11,FALSE)</f>
        <v>0.21599420526791846</v>
      </c>
      <c r="E20" s="38">
        <f>VLOOKUP($B20,'Old LS-Reports'!$A$4:$V$344,5,FALSE)-D20</f>
        <v>270.04010799473207</v>
      </c>
      <c r="F20" s="16">
        <f>VLOOKUP($B20,'Correlation sheet'!$C$4:$M$373,10,FALSE)</f>
        <v>271.31245669473208</v>
      </c>
      <c r="G20" s="38">
        <f t="shared" si="0"/>
        <v>1.2723487000000091</v>
      </c>
      <c r="H20" s="38">
        <f>VLOOKUP($B20,'Old LS-Reports'!$A$4:$V$344,6,FALSE)-D20</f>
        <v>269.35210799473208</v>
      </c>
      <c r="I20" s="16">
        <f>VLOOKUP($B20,'Correlation sheet'!$C$4:$M$373,9,FALSE)</f>
        <v>270.59945669473205</v>
      </c>
      <c r="J20" s="38">
        <f t="shared" si="1"/>
        <v>1.247348699999975</v>
      </c>
      <c r="K20" s="38">
        <f>VLOOKUP($B20,'Old LS-Reports'!$A$4:$V$344,16,FALSE)-D20</f>
        <v>267.39060629473209</v>
      </c>
      <c r="L20" s="38">
        <f>VLOOKUP($B20,'Old LS-Reports'!$A$4:$V$344,19,FALSE)-D20</f>
        <v>267.75713789473207</v>
      </c>
      <c r="M20" s="38">
        <f t="shared" si="2"/>
        <v>2.8423187999999868</v>
      </c>
      <c r="N20" s="38">
        <f>VLOOKUP($B20,'Old LS-Reports'!$A$4:$V$344,8,FALSE)</f>
        <v>-10.4698932</v>
      </c>
      <c r="P20" s="41"/>
    </row>
    <row r="21" spans="1:16" x14ac:dyDescent="0.25">
      <c r="A21" s="39">
        <v>282620</v>
      </c>
      <c r="B21" s="39">
        <v>91622.686000000002</v>
      </c>
      <c r="C21" s="40">
        <f>VLOOKUP($B21,'Correlation sheet'!$C$4:$M$373,6,FALSE)</f>
        <v>1172027.3040000002</v>
      </c>
      <c r="D21" s="16">
        <f>VLOOKUP($B21,'Correlation sheet'!$C$4:$N$373,11,FALSE)</f>
        <v>0.21866539169940324</v>
      </c>
      <c r="E21" s="38">
        <f>VLOOKUP($B21,'Old LS-Reports'!$A$4:$V$344,5,FALSE)-D21</f>
        <v>269.96288120830059</v>
      </c>
      <c r="F21" s="16">
        <f>VLOOKUP($B21,'Correlation sheet'!$C$4:$M$373,10,FALSE)</f>
        <v>271.32793790830061</v>
      </c>
      <c r="G21" s="38">
        <f t="shared" si="0"/>
        <v>1.3650567000000251</v>
      </c>
      <c r="H21" s="38">
        <f>VLOOKUP($B21,'Old LS-Reports'!$A$4:$V$344,6,FALSE)-D21</f>
        <v>269.2748812083006</v>
      </c>
      <c r="I21" s="16">
        <f>VLOOKUP($B21,'Correlation sheet'!$C$4:$M$373,9,FALSE)</f>
        <v>270.61493790830059</v>
      </c>
      <c r="J21" s="38">
        <f t="shared" si="1"/>
        <v>1.340056699999991</v>
      </c>
      <c r="K21" s="38">
        <f>VLOOKUP($B21,'Old LS-Reports'!$A$4:$V$344,16,FALSE)-D21</f>
        <v>267.22402420830059</v>
      </c>
      <c r="L21" s="38">
        <f>VLOOKUP($B21,'Old LS-Reports'!$A$4:$V$344,19,FALSE)-D21</f>
        <v>267.86458590830057</v>
      </c>
      <c r="M21" s="38">
        <f t="shared" si="2"/>
        <v>2.7503520000000208</v>
      </c>
      <c r="N21" s="38">
        <f>VLOOKUP($B21,'Old LS-Reports'!$A$4:$V$344,8,FALSE)</f>
        <v>-10.330508500000001</v>
      </c>
      <c r="P21" s="41"/>
    </row>
    <row r="22" spans="1:16" x14ac:dyDescent="0.25">
      <c r="A22" s="39">
        <v>282640</v>
      </c>
      <c r="B22" s="39">
        <v>91642.686000000002</v>
      </c>
      <c r="C22" s="40">
        <f>VLOOKUP($B22,'Correlation sheet'!$C$4:$M$373,6,FALSE)</f>
        <v>1172047.3039999995</v>
      </c>
      <c r="D22" s="16">
        <f>VLOOKUP($B22,'Correlation sheet'!$C$4:$N$373,11,FALSE)</f>
        <v>0.21981457233937363</v>
      </c>
      <c r="E22" s="38">
        <f>VLOOKUP($B22,'Old LS-Reports'!$A$4:$V$344,5,FALSE)-D22</f>
        <v>269.98935002766063</v>
      </c>
      <c r="F22" s="16">
        <f>VLOOKUP($B22,'Correlation sheet'!$C$4:$M$373,10,FALSE)</f>
        <v>271.34485132766065</v>
      </c>
      <c r="G22" s="38">
        <f t="shared" si="0"/>
        <v>1.3555013000000145</v>
      </c>
      <c r="H22" s="38">
        <f>VLOOKUP($B22,'Old LS-Reports'!$A$4:$V$344,6,FALSE)-D22</f>
        <v>269.30135002766065</v>
      </c>
      <c r="I22" s="16">
        <f>VLOOKUP($B22,'Correlation sheet'!$C$4:$M$373,9,FALSE)</f>
        <v>270.63185132766063</v>
      </c>
      <c r="J22" s="38">
        <f t="shared" si="1"/>
        <v>1.3305012999999803</v>
      </c>
      <c r="K22" s="38">
        <f>VLOOKUP($B22,'Old LS-Reports'!$A$4:$V$344,16,FALSE)-D22</f>
        <v>267.05245062766062</v>
      </c>
      <c r="L22" s="38">
        <f>VLOOKUP($B22,'Old LS-Reports'!$A$4:$V$344,19,FALSE)-D22</f>
        <v>267.71811722766063</v>
      </c>
      <c r="M22" s="38">
        <f t="shared" si="2"/>
        <v>2.9137340999999992</v>
      </c>
      <c r="N22" s="38">
        <f>VLOOKUP($B22,'Old LS-Reports'!$A$4:$V$344,8,FALSE)</f>
        <v>-10.3795932</v>
      </c>
      <c r="P22" s="41"/>
    </row>
    <row r="23" spans="1:16" x14ac:dyDescent="0.25">
      <c r="A23" s="39">
        <v>282660</v>
      </c>
      <c r="B23" s="39">
        <v>91662.663</v>
      </c>
      <c r="C23" s="40">
        <f>VLOOKUP($B23,'Correlation sheet'!$C$4:$M$373,6,FALSE)</f>
        <v>1172067.2810000041</v>
      </c>
      <c r="D23" s="16">
        <f>VLOOKUP($B23,'Correlation sheet'!$C$4:$N$373,11,FALSE)</f>
        <v>0.22096280340707608</v>
      </c>
      <c r="E23" s="38">
        <f>VLOOKUP($B23,'Old LS-Reports'!$A$4:$V$344,5,FALSE)-D23</f>
        <v>270.0153619965929</v>
      </c>
      <c r="F23" s="16">
        <f>VLOOKUP($B23,'Correlation sheet'!$C$4:$M$373,10,FALSE)</f>
        <v>271.36174529659291</v>
      </c>
      <c r="G23" s="38">
        <f t="shared" si="0"/>
        <v>1.3463833000000136</v>
      </c>
      <c r="H23" s="38">
        <f>VLOOKUP($B23,'Old LS-Reports'!$A$4:$V$344,6,FALSE)-D23</f>
        <v>269.32736199659291</v>
      </c>
      <c r="I23" s="16">
        <f>VLOOKUP($B23,'Correlation sheet'!$C$4:$M$373,9,FALSE)</f>
        <v>270.64874529659289</v>
      </c>
      <c r="J23" s="38">
        <f t="shared" si="1"/>
        <v>1.3213832999999795</v>
      </c>
      <c r="K23" s="38">
        <f>VLOOKUP($B23,'Old LS-Reports'!$A$4:$V$344,16,FALSE)-D23</f>
        <v>267.12372189659294</v>
      </c>
      <c r="L23" s="38">
        <f>VLOOKUP($B23,'Old LS-Reports'!$A$4:$V$344,19,FALSE)-D23</f>
        <v>267.42787159659292</v>
      </c>
      <c r="M23" s="38">
        <f t="shared" si="2"/>
        <v>3.2208736999999701</v>
      </c>
      <c r="N23" s="38">
        <f>VLOOKUP($B23,'Old LS-Reports'!$A$4:$V$344,8,FALSE)</f>
        <v>-10.419594500000001</v>
      </c>
      <c r="P23" s="41"/>
    </row>
    <row r="24" spans="1:16" x14ac:dyDescent="0.25">
      <c r="A24" s="39">
        <v>282680</v>
      </c>
      <c r="B24" s="39">
        <v>91682.663</v>
      </c>
      <c r="C24" s="40">
        <f>VLOOKUP($B24,'Correlation sheet'!$C$4:$M$373,6,FALSE)</f>
        <v>1172087.2810000035</v>
      </c>
      <c r="D24" s="16">
        <f>VLOOKUP($B24,'Correlation sheet'!$C$4:$N$373,11,FALSE)</f>
        <v>0.22211198404704646</v>
      </c>
      <c r="E24" s="38">
        <f>VLOOKUP($B24,'Old LS-Reports'!$A$4:$V$344,5,FALSE)-D24</f>
        <v>270.03964431595296</v>
      </c>
      <c r="F24" s="16">
        <f>VLOOKUP($B24,'Correlation sheet'!$C$4:$M$373,10,FALSE)</f>
        <v>271.37865871595295</v>
      </c>
      <c r="G24" s="38">
        <f t="shared" si="0"/>
        <v>1.3390143999999964</v>
      </c>
      <c r="H24" s="38">
        <f>VLOOKUP($B24,'Old LS-Reports'!$A$4:$V$344,6,FALSE)-D24</f>
        <v>269.35164431595297</v>
      </c>
      <c r="I24" s="16">
        <f>VLOOKUP($B24,'Correlation sheet'!$C$4:$M$373,9,FALSE)</f>
        <v>270.66565871595293</v>
      </c>
      <c r="J24" s="38">
        <f t="shared" si="1"/>
        <v>1.3140143999999623</v>
      </c>
      <c r="K24" s="38">
        <f>VLOOKUP($B24,'Old LS-Reports'!$A$4:$V$344,16,FALSE)-D24</f>
        <v>267.28236721595295</v>
      </c>
      <c r="L24" s="38">
        <f>VLOOKUP($B24,'Old LS-Reports'!$A$4:$V$344,19,FALSE)-D24</f>
        <v>267.15436891595294</v>
      </c>
      <c r="M24" s="38">
        <f t="shared" si="2"/>
        <v>3.5112897999999859</v>
      </c>
      <c r="N24" s="38">
        <f>VLOOKUP($B24,'Old LS-Reports'!$A$4:$V$344,8,FALSE)</f>
        <v>-10.425443899999999</v>
      </c>
      <c r="P24" s="41"/>
    </row>
    <row r="25" spans="1:16" x14ac:dyDescent="0.25">
      <c r="A25" s="39">
        <v>282700</v>
      </c>
      <c r="B25" s="39">
        <v>91702.67</v>
      </c>
      <c r="C25" s="40">
        <f>VLOOKUP($B25,'Correlation sheet'!$C$4:$M$373,6,FALSE)</f>
        <v>1172107.2880000013</v>
      </c>
      <c r="D25" s="16">
        <f>VLOOKUP($B25,'Correlation sheet'!$C$4:$N$373,11,FALSE)</f>
        <v>0.22326154499143058</v>
      </c>
      <c r="E25" s="38">
        <f>VLOOKUP($B25,'Old LS-Reports'!$A$4:$V$344,5,FALSE)-D25</f>
        <v>270.06473275500855</v>
      </c>
      <c r="F25" s="16">
        <f>VLOOKUP($B25,'Correlation sheet'!$C$4:$M$373,10,FALSE)</f>
        <v>271.39557805500857</v>
      </c>
      <c r="G25" s="38">
        <f t="shared" si="0"/>
        <v>1.3308453000000213</v>
      </c>
      <c r="H25" s="38">
        <f>VLOOKUP($B25,'Old LS-Reports'!$A$4:$V$344,6,FALSE)-D25</f>
        <v>269.37673275500856</v>
      </c>
      <c r="I25" s="16">
        <f>VLOOKUP($B25,'Correlation sheet'!$C$4:$M$373,9,FALSE)</f>
        <v>270.68257805500855</v>
      </c>
      <c r="J25" s="38">
        <f t="shared" si="1"/>
        <v>1.3058452999999872</v>
      </c>
      <c r="K25" s="38">
        <f>VLOOKUP($B25,'Old LS-Reports'!$A$4:$V$344,16,FALSE)-D25</f>
        <v>267.50273365500857</v>
      </c>
      <c r="L25" s="38">
        <f>VLOOKUP($B25,'Old LS-Reports'!$A$4:$V$344,19,FALSE)-D25</f>
        <v>267.29866595500857</v>
      </c>
      <c r="M25" s="38">
        <f t="shared" si="2"/>
        <v>3.383912099999975</v>
      </c>
      <c r="N25" s="38">
        <f>VLOOKUP($B25,'Old LS-Reports'!$A$4:$V$344,8,FALSE)</f>
        <v>-10.4383087</v>
      </c>
      <c r="P25" s="41"/>
    </row>
    <row r="26" spans="1:16" x14ac:dyDescent="0.25">
      <c r="A26" s="39">
        <v>282720</v>
      </c>
      <c r="B26" s="39">
        <v>91722.67</v>
      </c>
      <c r="C26" s="40">
        <f>VLOOKUP($B26,'Correlation sheet'!$C$4:$M$373,6,FALSE)</f>
        <v>1172127.2880000004</v>
      </c>
      <c r="D26" s="16">
        <f>VLOOKUP($B26,'Correlation sheet'!$C$4:$N$373,11,FALSE)</f>
        <v>0.22441062563160585</v>
      </c>
      <c r="E26" s="38">
        <f>VLOOKUP($B26,'Old LS-Reports'!$A$4:$V$344,5,FALSE)-D26</f>
        <v>270.09057027436842</v>
      </c>
      <c r="F26" s="16">
        <f>VLOOKUP($B26,'Correlation sheet'!$C$4:$M$373,10,FALSE)</f>
        <v>271.41249147436838</v>
      </c>
      <c r="G26" s="38">
        <f t="shared" si="0"/>
        <v>1.3219211999999629</v>
      </c>
      <c r="H26" s="38">
        <f>VLOOKUP($B26,'Old LS-Reports'!$A$4:$V$344,6,FALSE)-D26</f>
        <v>269.40257027436843</v>
      </c>
      <c r="I26" s="16">
        <f>VLOOKUP($B26,'Correlation sheet'!$C$4:$M$373,9,FALSE)</f>
        <v>270.69949147436836</v>
      </c>
      <c r="J26" s="38">
        <f t="shared" si="1"/>
        <v>1.2969211999999288</v>
      </c>
      <c r="K26" s="38">
        <f>VLOOKUP($B26,'Old LS-Reports'!$A$4:$V$344,16,FALSE)-D26</f>
        <v>267.63665147436842</v>
      </c>
      <c r="L26" s="38">
        <f>VLOOKUP($B26,'Old LS-Reports'!$A$4:$V$344,19,FALSE)-D26</f>
        <v>267.95002917436841</v>
      </c>
      <c r="M26" s="38">
        <f t="shared" si="2"/>
        <v>2.7494622999999478</v>
      </c>
      <c r="N26" s="38">
        <f>VLOOKUP($B26,'Old LS-Reports'!$A$4:$V$344,8,FALSE)</f>
        <v>-10.457678100000001</v>
      </c>
      <c r="P26" s="41"/>
    </row>
    <row r="27" spans="1:16" x14ac:dyDescent="0.25">
      <c r="A27" s="39">
        <v>282740</v>
      </c>
      <c r="B27" s="39">
        <v>91742.654999999999</v>
      </c>
      <c r="C27" s="40">
        <f>VLOOKUP($B27,'Correlation sheet'!$C$4:$M$373,6,FALSE)</f>
        <v>1172147.273000001</v>
      </c>
      <c r="D27" s="16">
        <f>VLOOKUP($B27,'Correlation sheet'!$C$4:$N$373,11,FALSE)</f>
        <v>0.22555909133501473</v>
      </c>
      <c r="E27" s="38">
        <f>VLOOKUP($B27,'Old LS-Reports'!$A$4:$V$344,5,FALSE)-D27</f>
        <v>270.11070240866496</v>
      </c>
      <c r="F27" s="16">
        <f>VLOOKUP($B27,'Correlation sheet'!$C$4:$M$373,10,FALSE)</f>
        <v>271.42939220866498</v>
      </c>
      <c r="G27" s="38">
        <f t="shared" si="0"/>
        <v>1.3186898000000156</v>
      </c>
      <c r="H27" s="38">
        <f>VLOOKUP($B27,'Old LS-Reports'!$A$4:$V$344,6,FALSE)-D27</f>
        <v>269.42270240866497</v>
      </c>
      <c r="I27" s="16">
        <f>VLOOKUP($B27,'Correlation sheet'!$C$4:$M$373,9,FALSE)</f>
        <v>270.71639220866496</v>
      </c>
      <c r="J27" s="38">
        <f t="shared" si="1"/>
        <v>1.2936897999999815</v>
      </c>
      <c r="K27" s="38">
        <f>VLOOKUP($B27,'Old LS-Reports'!$A$4:$V$344,16,FALSE)-D27</f>
        <v>267.69978230866496</v>
      </c>
      <c r="L27" s="38">
        <f>VLOOKUP($B27,'Old LS-Reports'!$A$4:$V$344,19,FALSE)-D27</f>
        <v>267.33630180866498</v>
      </c>
      <c r="M27" s="38">
        <f t="shared" si="2"/>
        <v>3.3800903999999719</v>
      </c>
      <c r="N27" s="38">
        <f>VLOOKUP($B27,'Old LS-Reports'!$A$4:$V$344,8,FALSE)</f>
        <v>-10.457126300000001</v>
      </c>
      <c r="P27" s="41"/>
    </row>
    <row r="28" spans="1:16" x14ac:dyDescent="0.25">
      <c r="A28" s="39">
        <v>282760</v>
      </c>
      <c r="B28" s="39">
        <v>91762.654999999999</v>
      </c>
      <c r="C28" s="40">
        <f>VLOOKUP($B28,'Correlation sheet'!$C$4:$M$373,6,FALSE)</f>
        <v>1172167.273</v>
      </c>
      <c r="D28" s="16">
        <f>VLOOKUP($B28,'Correlation sheet'!$C$4:$N$373,11,FALSE)</f>
        <v>0.22670817197519</v>
      </c>
      <c r="E28" s="38">
        <f>VLOOKUP($B28,'Old LS-Reports'!$A$4:$V$344,5,FALSE)-D28</f>
        <v>270.12845062802484</v>
      </c>
      <c r="F28" s="16">
        <f>VLOOKUP($B28,'Correlation sheet'!$C$4:$M$373,10,FALSE)</f>
        <v>271.44630562802479</v>
      </c>
      <c r="G28" s="38">
        <f t="shared" si="0"/>
        <v>1.3178549999999518</v>
      </c>
      <c r="H28" s="38">
        <f>VLOOKUP($B28,'Old LS-Reports'!$A$4:$V$344,6,FALSE)-D28</f>
        <v>269.44045062802485</v>
      </c>
      <c r="I28" s="16">
        <f>VLOOKUP($B28,'Correlation sheet'!$C$4:$M$373,9,FALSE)</f>
        <v>270.73330562802477</v>
      </c>
      <c r="J28" s="38">
        <f t="shared" si="1"/>
        <v>1.2928549999999177</v>
      </c>
      <c r="K28" s="38">
        <f>VLOOKUP($B28,'Old LS-Reports'!$A$4:$V$344,16,FALSE)-D28</f>
        <v>267.58458472802482</v>
      </c>
      <c r="L28" s="38">
        <f>VLOOKUP($B28,'Old LS-Reports'!$A$4:$V$344,19,FALSE)-D28</f>
        <v>267.64778612802479</v>
      </c>
      <c r="M28" s="38">
        <f t="shared" si="2"/>
        <v>3.0855194999999753</v>
      </c>
      <c r="N28" s="38">
        <f>VLOOKUP($B28,'Old LS-Reports'!$A$4:$V$344,8,FALSE)</f>
        <v>-10.448259500000001</v>
      </c>
      <c r="P28" s="41"/>
    </row>
    <row r="29" spans="1:16" x14ac:dyDescent="0.25">
      <c r="A29" s="39">
        <v>282780</v>
      </c>
      <c r="B29" s="39">
        <v>91782.668000000005</v>
      </c>
      <c r="C29" s="40">
        <f>VLOOKUP($B29,'Correlation sheet'!$C$4:$M$373,6,FALSE)</f>
        <v>1172187.2860000043</v>
      </c>
      <c r="D29" s="16">
        <f>VLOOKUP($B29,'Correlation sheet'!$C$4:$N$373,11,FALSE)</f>
        <v>0.22785765888846754</v>
      </c>
      <c r="E29" s="38">
        <f>VLOOKUP($B29,'Old LS-Reports'!$A$4:$V$344,5,FALSE)-D29</f>
        <v>270.13626684111154</v>
      </c>
      <c r="F29" s="16">
        <f>VLOOKUP($B29,'Correlation sheet'!$C$4:$M$373,10,FALSE)</f>
        <v>271.46323004111156</v>
      </c>
      <c r="G29" s="38">
        <f t="shared" si="0"/>
        <v>1.3269632000000229</v>
      </c>
      <c r="H29" s="38">
        <f>VLOOKUP($B29,'Old LS-Reports'!$A$4:$V$344,6,FALSE)-D29</f>
        <v>269.44826684111155</v>
      </c>
      <c r="I29" s="16">
        <f>VLOOKUP($B29,'Correlation sheet'!$C$4:$M$373,9,FALSE)</f>
        <v>270.75023004111154</v>
      </c>
      <c r="J29" s="38">
        <f t="shared" si="1"/>
        <v>1.3019631999999888</v>
      </c>
      <c r="K29" s="38">
        <f>VLOOKUP($B29,'Old LS-Reports'!$A$4:$V$344,16,FALSE)-D29</f>
        <v>267.74963384111152</v>
      </c>
      <c r="L29" s="38">
        <f>VLOOKUP($B29,'Old LS-Reports'!$A$4:$V$344,19,FALSE)-D29</f>
        <v>267.64450384111154</v>
      </c>
      <c r="M29" s="38">
        <f t="shared" si="2"/>
        <v>3.1057261999999923</v>
      </c>
      <c r="N29" s="38">
        <f>VLOOKUP($B29,'Old LS-Reports'!$A$4:$V$344,8,FALSE)</f>
        <v>-10.462222799999999</v>
      </c>
      <c r="P29" s="41"/>
    </row>
    <row r="30" spans="1:16" x14ac:dyDescent="0.25">
      <c r="A30" s="39">
        <v>282800</v>
      </c>
      <c r="B30" s="39">
        <v>91802.66</v>
      </c>
      <c r="C30" s="40">
        <f>VLOOKUP($B30,'Correlation sheet'!$C$4:$M$373,6,FALSE)</f>
        <v>1172207.278000003</v>
      </c>
      <c r="D30" s="16">
        <f>VLOOKUP($B30,'Correlation sheet'!$C$4:$N$373,11,FALSE)</f>
        <v>0.22900650489668806</v>
      </c>
      <c r="E30" s="38">
        <f>VLOOKUP($B30,'Old LS-Reports'!$A$4:$V$344,5,FALSE)-D30</f>
        <v>270.15141129510329</v>
      </c>
      <c r="F30" s="16">
        <f>VLOOKUP($B30,'Correlation sheet'!$C$4:$M$373,10,FALSE)</f>
        <v>271.48013669510334</v>
      </c>
      <c r="G30" s="38">
        <f t="shared" si="0"/>
        <v>1.328725400000053</v>
      </c>
      <c r="H30" s="38">
        <f>VLOOKUP($B30,'Old LS-Reports'!$A$4:$V$344,6,FALSE)-D30</f>
        <v>269.4634112951033</v>
      </c>
      <c r="I30" s="16">
        <f>VLOOKUP($B30,'Correlation sheet'!$C$4:$M$373,9,FALSE)</f>
        <v>270.76713669510332</v>
      </c>
      <c r="J30" s="38">
        <f t="shared" si="1"/>
        <v>1.3037254000000189</v>
      </c>
      <c r="K30" s="38">
        <f>VLOOKUP($B30,'Old LS-Reports'!$A$4:$V$344,16,FALSE)-D30</f>
        <v>267.43612109510332</v>
      </c>
      <c r="L30" s="38">
        <f>VLOOKUP($B30,'Old LS-Reports'!$A$4:$V$344,19,FALSE)-D30</f>
        <v>267.7082547951033</v>
      </c>
      <c r="M30" s="38">
        <f t="shared" si="2"/>
        <v>3.0588819000000171</v>
      </c>
      <c r="N30" s="38">
        <f>VLOOKUP($B30,'Old LS-Reports'!$A$4:$V$344,8,FALSE)</f>
        <v>-10.4726602</v>
      </c>
      <c r="P30" s="41"/>
    </row>
    <row r="31" spans="1:16" x14ac:dyDescent="0.25">
      <c r="A31" s="39">
        <v>282820</v>
      </c>
      <c r="B31" s="39">
        <v>91822.66</v>
      </c>
      <c r="C31" s="40">
        <f>VLOOKUP($B31,'Correlation sheet'!$C$4:$M$373,6,FALSE)</f>
        <v>1172227.278000002</v>
      </c>
      <c r="D31" s="16">
        <f>VLOOKUP($B31,'Correlation sheet'!$C$4:$N$373,11,FALSE)</f>
        <v>0.23015558553686333</v>
      </c>
      <c r="E31" s="38">
        <f>VLOOKUP($B31,'Old LS-Reports'!$A$4:$V$344,5,FALSE)-D31</f>
        <v>270.18398191446312</v>
      </c>
      <c r="F31" s="16">
        <f>VLOOKUP($B31,'Correlation sheet'!$C$4:$M$373,10,FALSE)</f>
        <v>271.49705011446315</v>
      </c>
      <c r="G31" s="38">
        <f t="shared" si="0"/>
        <v>1.313068200000032</v>
      </c>
      <c r="H31" s="38">
        <f>VLOOKUP($B31,'Old LS-Reports'!$A$4:$V$344,6,FALSE)-D31</f>
        <v>269.49598191446313</v>
      </c>
      <c r="I31" s="16">
        <f>VLOOKUP($B31,'Correlation sheet'!$C$4:$M$373,9,FALSE)</f>
        <v>270.78405011446313</v>
      </c>
      <c r="J31" s="38">
        <f t="shared" si="1"/>
        <v>1.2880681999999979</v>
      </c>
      <c r="K31" s="38">
        <f>VLOOKUP($B31,'Old LS-Reports'!$A$4:$V$344,16,FALSE)-D31</f>
        <v>267.17410661446314</v>
      </c>
      <c r="L31" s="38">
        <f>VLOOKUP($B31,'Old LS-Reports'!$A$4:$V$344,19,FALSE)-D31</f>
        <v>267.64905691446313</v>
      </c>
      <c r="M31" s="38">
        <f t="shared" si="2"/>
        <v>3.1349931999999967</v>
      </c>
      <c r="N31" s="38">
        <f>VLOOKUP($B31,'Old LS-Reports'!$A$4:$V$344,8,FALSE)</f>
        <v>-10.4728423</v>
      </c>
      <c r="P31" s="41"/>
    </row>
    <row r="32" spans="1:16" x14ac:dyDescent="0.25">
      <c r="A32" s="39">
        <v>282840</v>
      </c>
      <c r="B32" s="39">
        <v>91842.664000000004</v>
      </c>
      <c r="C32" s="40">
        <f>VLOOKUP($B32,'Correlation sheet'!$C$4:$M$373,6,FALSE)</f>
        <v>1172247.2820000022</v>
      </c>
      <c r="D32" s="16">
        <f>VLOOKUP($B32,'Correlation sheet'!$C$4:$N$373,11,FALSE)</f>
        <v>0.23130478349219175</v>
      </c>
      <c r="E32" s="38">
        <f>VLOOKUP($B32,'Old LS-Reports'!$A$4:$V$344,5,FALSE)-D32</f>
        <v>270.2017091165078</v>
      </c>
      <c r="F32" s="16">
        <f>VLOOKUP($B32,'Correlation sheet'!$C$4:$M$373,10,FALSE)</f>
        <v>271.5139669165078</v>
      </c>
      <c r="G32" s="38">
        <f t="shared" si="0"/>
        <v>1.3122577999999976</v>
      </c>
      <c r="H32" s="38">
        <f>VLOOKUP($B32,'Old LS-Reports'!$A$4:$V$344,6,FALSE)-D32</f>
        <v>269.51370911650781</v>
      </c>
      <c r="I32" s="16">
        <f>VLOOKUP($B32,'Correlation sheet'!$C$4:$M$373,9,FALSE)</f>
        <v>270.80096691650778</v>
      </c>
      <c r="J32" s="38">
        <f t="shared" si="1"/>
        <v>1.2872577999999635</v>
      </c>
      <c r="K32" s="38">
        <f>VLOOKUP($B32,'Old LS-Reports'!$A$4:$V$344,16,FALSE)-D32</f>
        <v>267.3118031165078</v>
      </c>
      <c r="L32" s="38">
        <f>VLOOKUP($B32,'Old LS-Reports'!$A$4:$V$344,19,FALSE)-D32</f>
        <v>268.02948541650778</v>
      </c>
      <c r="M32" s="38">
        <f t="shared" si="2"/>
        <v>2.771481499999993</v>
      </c>
      <c r="N32" s="38">
        <f>VLOOKUP($B32,'Old LS-Reports'!$A$4:$V$344,8,FALSE)</f>
        <v>-10.4771427</v>
      </c>
      <c r="P32" s="41"/>
    </row>
    <row r="33" spans="1:16" x14ac:dyDescent="0.25">
      <c r="A33" s="39">
        <v>282860</v>
      </c>
      <c r="B33" s="39">
        <v>91862.664000000004</v>
      </c>
      <c r="C33" s="40">
        <f>VLOOKUP($B33,'Correlation sheet'!$C$4:$M$373,6,FALSE)</f>
        <v>1172267.2820000015</v>
      </c>
      <c r="D33" s="16">
        <f>VLOOKUP($B33,'Correlation sheet'!$C$4:$N$373,11,FALSE)</f>
        <v>0.23184816413214548</v>
      </c>
      <c r="E33" s="38">
        <f>VLOOKUP($B33,'Old LS-Reports'!$A$4:$V$344,5,FALSE)-D33</f>
        <v>270.20834323586786</v>
      </c>
      <c r="F33" s="16">
        <f>VLOOKUP($B33,'Correlation sheet'!$C$4:$M$373,10,FALSE)</f>
        <v>271.53088033586783</v>
      </c>
      <c r="G33" s="38">
        <f t="shared" si="0"/>
        <v>1.3225370999999768</v>
      </c>
      <c r="H33" s="38">
        <f>VLOOKUP($B33,'Old LS-Reports'!$A$4:$V$344,6,FALSE)-D33</f>
        <v>269.52034323586787</v>
      </c>
      <c r="I33" s="16">
        <f>VLOOKUP($B33,'Correlation sheet'!$C$4:$M$373,9,FALSE)</f>
        <v>270.81788033586781</v>
      </c>
      <c r="J33" s="38">
        <f t="shared" si="1"/>
        <v>1.2975370999999427</v>
      </c>
      <c r="K33" s="38">
        <f>VLOOKUP($B33,'Old LS-Reports'!$A$4:$V$344,16,FALSE)-D33</f>
        <v>267.06762263586785</v>
      </c>
      <c r="L33" s="38">
        <f>VLOOKUP($B33,'Old LS-Reports'!$A$4:$V$344,19,FALSE)-D33</f>
        <v>268.19057783586783</v>
      </c>
      <c r="M33" s="38">
        <f t="shared" si="2"/>
        <v>2.6273024999999848</v>
      </c>
      <c r="N33" s="38">
        <f>VLOOKUP($B33,'Old LS-Reports'!$A$4:$V$344,8,FALSE)</f>
        <v>-10.484687600000001</v>
      </c>
      <c r="P33" s="41"/>
    </row>
    <row r="34" spans="1:16" x14ac:dyDescent="0.25">
      <c r="A34" s="39">
        <v>282880</v>
      </c>
      <c r="B34" s="39">
        <v>91882.657000000007</v>
      </c>
      <c r="C34" s="40">
        <f>VLOOKUP($B34,'Correlation sheet'!$C$4:$M$373,6,FALSE)</f>
        <v>1172287.2750000027</v>
      </c>
      <c r="D34" s="16">
        <f>VLOOKUP($B34,'Correlation sheet'!$C$4:$N$373,11,FALSE)</f>
        <v>0.21989966446733433</v>
      </c>
      <c r="E34" s="38">
        <f>VLOOKUP($B34,'Old LS-Reports'!$A$4:$V$344,5,FALSE)-D34</f>
        <v>270.21854633553266</v>
      </c>
      <c r="F34" s="16">
        <f>VLOOKUP($B34,'Correlation sheet'!$C$4:$M$373,10,FALSE)</f>
        <v>271.54778783553269</v>
      </c>
      <c r="G34" s="38">
        <f t="shared" si="0"/>
        <v>1.3292415000000233</v>
      </c>
      <c r="H34" s="38">
        <f>VLOOKUP($B34,'Old LS-Reports'!$A$4:$V$344,6,FALSE)-D34</f>
        <v>269.53054633553268</v>
      </c>
      <c r="I34" s="16">
        <f>VLOOKUP($B34,'Correlation sheet'!$C$4:$M$373,9,FALSE)</f>
        <v>270.83478783553267</v>
      </c>
      <c r="J34" s="38">
        <f t="shared" si="1"/>
        <v>1.3042414999999892</v>
      </c>
      <c r="K34" s="38">
        <f>VLOOKUP($B34,'Old LS-Reports'!$A$4:$V$344,16,FALSE)-D34</f>
        <v>267.04750153553266</v>
      </c>
      <c r="L34" s="38">
        <f>VLOOKUP($B34,'Old LS-Reports'!$A$4:$V$344,19,FALSE)-D34</f>
        <v>267.78656123553264</v>
      </c>
      <c r="M34" s="38">
        <f t="shared" si="2"/>
        <v>3.0482266000000209</v>
      </c>
      <c r="N34" s="38">
        <f>VLOOKUP($B34,'Old LS-Reports'!$A$4:$V$344,8,FALSE)</f>
        <v>-10.4822989</v>
      </c>
      <c r="P34" s="41"/>
    </row>
    <row r="35" spans="1:16" x14ac:dyDescent="0.25">
      <c r="A35" s="39">
        <v>282900</v>
      </c>
      <c r="B35" s="39">
        <v>91902.66</v>
      </c>
      <c r="C35" s="40">
        <f>VLOOKUP($B35,'Correlation sheet'!$C$4:$M$373,6,FALSE)</f>
        <v>1172307.2779999191</v>
      </c>
      <c r="D35" s="16">
        <f>VLOOKUP($B35,'Correlation sheet'!$C$4:$N$373,11,FALSE)</f>
        <v>0.20298370816448141</v>
      </c>
      <c r="E35" s="38">
        <f>VLOOKUP($B35,'Old LS-Reports'!$A$4:$V$344,5,FALSE)-D35</f>
        <v>270.2307101918355</v>
      </c>
      <c r="F35" s="16">
        <f>VLOOKUP($B35,'Correlation sheet'!$C$4:$M$373,10,FALSE)</f>
        <v>271.56470379183554</v>
      </c>
      <c r="G35" s="38">
        <f t="shared" si="0"/>
        <v>1.3339936000000421</v>
      </c>
      <c r="H35" s="38">
        <f>VLOOKUP($B35,'Old LS-Reports'!$A$4:$V$344,6,FALSE)-D35</f>
        <v>269.54271019183551</v>
      </c>
      <c r="I35" s="16">
        <f>VLOOKUP($B35,'Correlation sheet'!$C$4:$M$373,9,FALSE)</f>
        <v>270.85170379183552</v>
      </c>
      <c r="J35" s="38">
        <f t="shared" si="1"/>
        <v>1.308993600000008</v>
      </c>
      <c r="K35" s="38">
        <f>VLOOKUP($B35,'Old LS-Reports'!$A$4:$V$344,16,FALSE)-D35</f>
        <v>267.04962459183554</v>
      </c>
      <c r="L35" s="38">
        <f>VLOOKUP($B35,'Old LS-Reports'!$A$4:$V$344,19,FALSE)-D35</f>
        <v>267.4232948918355</v>
      </c>
      <c r="M35" s="38">
        <f t="shared" si="2"/>
        <v>3.4284089000000222</v>
      </c>
      <c r="N35" s="38">
        <f>VLOOKUP($B35,'Old LS-Reports'!$A$4:$V$344,8,FALSE)</f>
        <v>-10.4782834</v>
      </c>
      <c r="P35" s="41"/>
    </row>
    <row r="36" spans="1:16" x14ac:dyDescent="0.25">
      <c r="A36" s="39">
        <v>282920</v>
      </c>
      <c r="B36" s="39">
        <v>91922.66</v>
      </c>
      <c r="C36" s="40">
        <f>VLOOKUP($B36,'Correlation sheet'!$C$4:$M$373,6,FALSE)</f>
        <v>1172327.2779958958</v>
      </c>
      <c r="D36" s="16">
        <f>VLOOKUP($B36,'Correlation sheet'!$C$4:$N$373,11,FALSE)</f>
        <v>0.18607029220623872</v>
      </c>
      <c r="E36" s="38">
        <f>VLOOKUP($B36,'Old LS-Reports'!$A$4:$V$344,5,FALSE)-D36</f>
        <v>270.24285860779378</v>
      </c>
      <c r="F36" s="16">
        <f>VLOOKUP($B36,'Correlation sheet'!$C$4:$M$373,10,FALSE)</f>
        <v>271.58161720779378</v>
      </c>
      <c r="G36" s="38">
        <f t="shared" si="0"/>
        <v>1.3387586000000056</v>
      </c>
      <c r="H36" s="38">
        <f>VLOOKUP($B36,'Old LS-Reports'!$A$4:$V$344,6,FALSE)-D36</f>
        <v>269.55485860779379</v>
      </c>
      <c r="I36" s="16">
        <f>VLOOKUP($B36,'Correlation sheet'!$C$4:$M$373,9,FALSE)</f>
        <v>270.86861720779376</v>
      </c>
      <c r="J36" s="38">
        <f t="shared" si="1"/>
        <v>1.3137585999999715</v>
      </c>
      <c r="K36" s="38">
        <f>VLOOKUP($B36,'Old LS-Reports'!$A$4:$V$344,16,FALSE)-D36</f>
        <v>267.08497180779375</v>
      </c>
      <c r="L36" s="38">
        <f>VLOOKUP($B36,'Old LS-Reports'!$A$4:$V$344,19,FALSE)-D36</f>
        <v>267.94831240779376</v>
      </c>
      <c r="M36" s="38">
        <f t="shared" si="2"/>
        <v>2.9203047999999967</v>
      </c>
      <c r="N36" s="38">
        <f>VLOOKUP($B36,'Old LS-Reports'!$A$4:$V$344,8,FALSE)</f>
        <v>-10.503249</v>
      </c>
      <c r="P36" s="41"/>
    </row>
    <row r="37" spans="1:16" x14ac:dyDescent="0.25">
      <c r="A37" s="39">
        <v>282940</v>
      </c>
      <c r="B37" s="39">
        <v>91942.668999999994</v>
      </c>
      <c r="C37" s="40">
        <f>VLOOKUP($B37,'Correlation sheet'!$C$4:$M$373,6,FALSE)</f>
        <v>1172347.2869832495</v>
      </c>
      <c r="D37" s="16">
        <f>VLOOKUP($B37,'Correlation sheet'!$C$4:$N$373,11,FALSE)</f>
        <v>0.16914927250155642</v>
      </c>
      <c r="E37" s="38">
        <f>VLOOKUP($B37,'Old LS-Reports'!$A$4:$V$344,5,FALSE)-D37</f>
        <v>270.25880272749845</v>
      </c>
      <c r="F37" s="16">
        <f>VLOOKUP($B37,'Correlation sheet'!$C$4:$M$373,10,FALSE)</f>
        <v>271.59853822749847</v>
      </c>
      <c r="G37" s="38">
        <f t="shared" si="0"/>
        <v>1.3397355000000175</v>
      </c>
      <c r="H37" s="38">
        <f>VLOOKUP($B37,'Old LS-Reports'!$A$4:$V$344,6,FALSE)-D37</f>
        <v>269.57080272749846</v>
      </c>
      <c r="I37" s="16">
        <f>VLOOKUP($B37,'Correlation sheet'!$C$4:$M$373,9,FALSE)</f>
        <v>270.88553822749844</v>
      </c>
      <c r="J37" s="38">
        <f t="shared" si="1"/>
        <v>1.3147354999999834</v>
      </c>
      <c r="K37" s="38">
        <f>VLOOKUP($B37,'Old LS-Reports'!$A$4:$V$344,16,FALSE)-D37</f>
        <v>267.33562102749846</v>
      </c>
      <c r="L37" s="38">
        <f>VLOOKUP($B37,'Old LS-Reports'!$A$4:$V$344,19,FALSE)-D37</f>
        <v>267.91176912749842</v>
      </c>
      <c r="M37" s="38">
        <f t="shared" si="2"/>
        <v>2.9737691000000268</v>
      </c>
      <c r="N37" s="38">
        <f>VLOOKUP($B37,'Old LS-Reports'!$A$4:$V$344,8,FALSE)</f>
        <v>-10.596783500000001</v>
      </c>
      <c r="P37" s="41"/>
    </row>
    <row r="38" spans="1:16" x14ac:dyDescent="0.25">
      <c r="A38" s="39">
        <v>282960</v>
      </c>
      <c r="B38" s="39">
        <v>91962.668999999994</v>
      </c>
      <c r="C38" s="40">
        <f>VLOOKUP($B38,'Correlation sheet'!$C$4:$M$373,6,FALSE)</f>
        <v>1172367.2869701926</v>
      </c>
      <c r="D38" s="16">
        <f>VLOOKUP($B38,'Correlation sheet'!$C$4:$N$373,11,FALSE)</f>
        <v>0.15223586418278501</v>
      </c>
      <c r="E38" s="38">
        <f>VLOOKUP($B38,'Old LS-Reports'!$A$4:$V$344,5,FALSE)-D38</f>
        <v>270.28078183581721</v>
      </c>
      <c r="F38" s="16">
        <f>VLOOKUP($B38,'Correlation sheet'!$C$4:$M$373,10,FALSE)</f>
        <v>271.61545163581724</v>
      </c>
      <c r="G38" s="38">
        <f t="shared" si="0"/>
        <v>1.3346698000000288</v>
      </c>
      <c r="H38" s="38">
        <f>VLOOKUP($B38,'Old LS-Reports'!$A$4:$V$344,6,FALSE)-D38</f>
        <v>269.59278183581722</v>
      </c>
      <c r="I38" s="16">
        <f>VLOOKUP($B38,'Correlation sheet'!$C$4:$M$373,9,FALSE)</f>
        <v>270.90245163581721</v>
      </c>
      <c r="J38" s="38">
        <f t="shared" si="1"/>
        <v>1.3096697999999947</v>
      </c>
      <c r="K38" s="38">
        <f>VLOOKUP($B38,'Old LS-Reports'!$A$4:$V$344,16,FALSE)-D38</f>
        <v>267.29437863581722</v>
      </c>
      <c r="L38" s="38">
        <f>VLOOKUP($B38,'Old LS-Reports'!$A$4:$V$344,19,FALSE)-D38</f>
        <v>267.60117583581723</v>
      </c>
      <c r="M38" s="38">
        <f t="shared" si="2"/>
        <v>3.3012757999999849</v>
      </c>
      <c r="N38" s="38">
        <f>VLOOKUP($B38,'Old LS-Reports'!$A$4:$V$344,8,FALSE)</f>
        <v>-10.779537400000001</v>
      </c>
      <c r="P38" s="41"/>
    </row>
    <row r="39" spans="1:16" x14ac:dyDescent="0.25">
      <c r="A39" s="39">
        <v>282980</v>
      </c>
      <c r="B39" s="39">
        <v>91982.665999999997</v>
      </c>
      <c r="C39" s="40">
        <f>VLOOKUP($B39,'Correlation sheet'!$C$4:$M$373,6,FALSE)</f>
        <v>1172387.283965332</v>
      </c>
      <c r="D39" s="16">
        <f>VLOOKUP($B39,'Correlation sheet'!$C$4:$N$373,11,FALSE)</f>
        <v>0.13532498594554454</v>
      </c>
      <c r="E39" s="38">
        <f>VLOOKUP($B39,'Old LS-Reports'!$A$4:$V$344,5,FALSE)-D39</f>
        <v>270.32467601405443</v>
      </c>
      <c r="F39" s="16">
        <f>VLOOKUP($B39,'Correlation sheet'!$C$4:$M$373,10,FALSE)</f>
        <v>271.63236251405448</v>
      </c>
      <c r="G39" s="38">
        <f t="shared" si="0"/>
        <v>1.3076865000000453</v>
      </c>
      <c r="H39" s="38">
        <f>VLOOKUP($B39,'Old LS-Reports'!$A$4:$V$344,6,FALSE)-D39</f>
        <v>269.63667601405444</v>
      </c>
      <c r="I39" s="16">
        <f>VLOOKUP($B39,'Correlation sheet'!$C$4:$M$373,9,FALSE)</f>
        <v>270.91936251405446</v>
      </c>
      <c r="J39" s="38">
        <f t="shared" si="1"/>
        <v>1.2826865000000112</v>
      </c>
      <c r="K39" s="38">
        <f>VLOOKUP($B39,'Old LS-Reports'!$A$4:$V$344,16,FALSE)-D39</f>
        <v>267.17287241405444</v>
      </c>
      <c r="L39" s="38">
        <f>VLOOKUP($B39,'Old LS-Reports'!$A$4:$V$344,19,FALSE)-D39</f>
        <v>267.18267181405446</v>
      </c>
      <c r="M39" s="38">
        <f t="shared" si="2"/>
        <v>3.7366906999999969</v>
      </c>
      <c r="N39" s="38">
        <f>VLOOKUP($B39,'Old LS-Reports'!$A$4:$V$344,8,FALSE)</f>
        <v>-11.022061300000001</v>
      </c>
      <c r="P39" s="41"/>
    </row>
    <row r="40" spans="1:16" x14ac:dyDescent="0.25">
      <c r="A40" s="39">
        <v>283000</v>
      </c>
      <c r="B40" s="39">
        <v>92002.667000000001</v>
      </c>
      <c r="C40" s="40">
        <f>VLOOKUP($B40,'Correlation sheet'!$C$4:$M$373,6,FALSE)</f>
        <v>1172407.2849651487</v>
      </c>
      <c r="D40" s="16">
        <f>VLOOKUP($B40,'Correlation sheet'!$C$4:$N$373,11,FALSE)</f>
        <v>0.11841072106898309</v>
      </c>
      <c r="E40" s="38">
        <f>VLOOKUP($B40,'Old LS-Reports'!$A$4:$V$344,5,FALSE)-D40</f>
        <v>270.38266507893104</v>
      </c>
      <c r="F40" s="16">
        <f>VLOOKUP($B40,'Correlation sheet'!$C$4:$M$373,10,FALSE)</f>
        <v>271.64927677893104</v>
      </c>
      <c r="G40" s="38">
        <f t="shared" si="0"/>
        <v>1.2666116999999986</v>
      </c>
      <c r="H40" s="38">
        <f>VLOOKUP($B40,'Old LS-Reports'!$A$4:$V$344,6,FALSE)-D40</f>
        <v>269.69466507893105</v>
      </c>
      <c r="I40" s="16">
        <f>VLOOKUP($B40,'Correlation sheet'!$C$4:$M$373,9,FALSE)</f>
        <v>270.93627677893102</v>
      </c>
      <c r="J40" s="38">
        <f t="shared" si="1"/>
        <v>1.2416116999999645</v>
      </c>
      <c r="K40" s="38">
        <f>VLOOKUP($B40,'Old LS-Reports'!$A$4:$V$344,16,FALSE)-D40</f>
        <v>267.37790247893099</v>
      </c>
      <c r="L40" s="38">
        <f>VLOOKUP($B40,'Old LS-Reports'!$A$4:$V$344,19,FALSE)-D40</f>
        <v>267.60103887893104</v>
      </c>
      <c r="M40" s="38">
        <f t="shared" si="2"/>
        <v>3.3352378999999814</v>
      </c>
      <c r="N40" s="38">
        <f>VLOOKUP($B40,'Old LS-Reports'!$A$4:$V$344,8,FALSE)</f>
        <v>-11.289016500000001</v>
      </c>
      <c r="P40" s="41"/>
    </row>
    <row r="41" spans="1:16" x14ac:dyDescent="0.25">
      <c r="A41" s="39">
        <v>283000</v>
      </c>
      <c r="B41" s="39">
        <v>92002.667000000001</v>
      </c>
      <c r="C41" s="40">
        <f>VLOOKUP($B41,'Correlation sheet'!$C$4:$M$373,6,FALSE)</f>
        <v>1172407.2849651487</v>
      </c>
      <c r="D41" s="16">
        <f>VLOOKUP($B41,'Correlation sheet'!$C$4:$N$373,11,FALSE)</f>
        <v>0.11841072106898309</v>
      </c>
      <c r="E41" s="38">
        <f>VLOOKUP($B41,'Old LS-Reports'!$A$4:$V$344,5,FALSE)-D41</f>
        <v>270.38266507893104</v>
      </c>
      <c r="F41" s="16">
        <f>VLOOKUP($B41,'Correlation sheet'!$C$4:$M$373,10,FALSE)</f>
        <v>271.64927677893104</v>
      </c>
      <c r="G41" s="38">
        <f t="shared" si="0"/>
        <v>1.2666116999999986</v>
      </c>
      <c r="H41" s="38">
        <f>VLOOKUP($B41,'Old LS-Reports'!$A$4:$V$344,6,FALSE)-D41</f>
        <v>269.69466507893105</v>
      </c>
      <c r="I41" s="16">
        <f>VLOOKUP($B41,'Correlation sheet'!$C$4:$M$373,9,FALSE)</f>
        <v>270.93627677893102</v>
      </c>
      <c r="J41" s="38">
        <f t="shared" si="1"/>
        <v>1.2416116999999645</v>
      </c>
      <c r="K41" s="38">
        <f>VLOOKUP($B41,'Old LS-Reports'!$A$4:$V$344,16,FALSE)-D41</f>
        <v>267.37790247893099</v>
      </c>
      <c r="L41" s="38">
        <f>VLOOKUP($B41,'Old LS-Reports'!$A$4:$V$344,19,FALSE)-D41</f>
        <v>267.60103887893104</v>
      </c>
      <c r="M41" s="38">
        <f t="shared" si="2"/>
        <v>3.3352378999999814</v>
      </c>
      <c r="N41" s="38">
        <f>VLOOKUP($B41,'Old LS-Reports'!$A$4:$V$344,8,FALSE)</f>
        <v>-11.289016500000001</v>
      </c>
      <c r="P41" s="41"/>
    </row>
    <row r="42" spans="1:16" x14ac:dyDescent="0.25">
      <c r="A42" s="39">
        <v>283020</v>
      </c>
      <c r="B42" s="39">
        <v>92022.673999999999</v>
      </c>
      <c r="C42" s="40">
        <f>VLOOKUP($B42,'Correlation sheet'!$C$4:$M$373,6,FALSE)</f>
        <v>1172427.2919651505</v>
      </c>
      <c r="D42" s="16">
        <f>VLOOKUP($B42,'Correlation sheet'!$C$4:$N$373,11,FALSE)</f>
        <v>0.11368750000002592</v>
      </c>
      <c r="E42" s="38">
        <f>VLOOKUP($B42,'Old LS-Reports'!$A$4:$V$344,5,FALSE)-D42</f>
        <v>270.36534039999998</v>
      </c>
      <c r="F42" s="16">
        <f>VLOOKUP($B42,'Correlation sheet'!$C$4:$M$373,10,FALSE)</f>
        <v>271.654</v>
      </c>
      <c r="G42" s="38">
        <f t="shared" si="0"/>
        <v>1.2886596000000168</v>
      </c>
      <c r="H42" s="38">
        <f>VLOOKUP($B42,'Old LS-Reports'!$A$4:$V$344,6,FALSE)-D42</f>
        <v>269.67734039999999</v>
      </c>
      <c r="I42" s="16">
        <f>VLOOKUP($B42,'Correlation sheet'!$C$4:$M$373,9,FALSE)</f>
        <v>270.94099999999997</v>
      </c>
      <c r="J42" s="38">
        <f t="shared" si="1"/>
        <v>1.2636595999999827</v>
      </c>
      <c r="K42" s="38">
        <f>VLOOKUP($B42,'Old LS-Reports'!$A$4:$V$344,16,FALSE)-D42</f>
        <v>267.06958209999999</v>
      </c>
      <c r="L42" s="38">
        <f>VLOOKUP($B42,'Old LS-Reports'!$A$4:$V$344,19,FALSE)-D42</f>
        <v>267.38376869999996</v>
      </c>
      <c r="M42" s="38">
        <f t="shared" si="2"/>
        <v>3.5572313000000122</v>
      </c>
      <c r="N42" s="38">
        <f>VLOOKUP($B42,'Old LS-Reports'!$A$4:$V$344,8,FALSE)</f>
        <v>-11.565537300000001</v>
      </c>
      <c r="P42" s="41"/>
    </row>
    <row r="43" spans="1:16" x14ac:dyDescent="0.25">
      <c r="A43" s="39">
        <v>283040</v>
      </c>
      <c r="B43" s="39">
        <v>92042.671000000002</v>
      </c>
      <c r="C43" s="40">
        <f>VLOOKUP($B43,'Correlation sheet'!$C$4:$M$373,6,FALSE)</f>
        <v>1172447.28896515</v>
      </c>
      <c r="D43" s="16">
        <f>VLOOKUP($B43,'Correlation sheet'!$C$4:$N$373,11,FALSE)</f>
        <v>0.11368750000002592</v>
      </c>
      <c r="E43" s="38">
        <f>VLOOKUP($B43,'Old LS-Reports'!$A$4:$V$344,5,FALSE)-D43</f>
        <v>270.34562939999995</v>
      </c>
      <c r="F43" s="16">
        <f>VLOOKUP($B43,'Correlation sheet'!$C$4:$M$373,10,FALSE)</f>
        <v>271.654</v>
      </c>
      <c r="G43" s="38">
        <f t="shared" si="0"/>
        <v>1.3083706000000461</v>
      </c>
      <c r="H43" s="38">
        <f>VLOOKUP($B43,'Old LS-Reports'!$A$4:$V$344,6,FALSE)-D43</f>
        <v>269.65762939999996</v>
      </c>
      <c r="I43" s="16">
        <f>VLOOKUP($B43,'Correlation sheet'!$C$4:$M$373,9,FALSE)</f>
        <v>270.94099999999997</v>
      </c>
      <c r="J43" s="38">
        <f t="shared" si="1"/>
        <v>1.283370600000012</v>
      </c>
      <c r="K43" s="38">
        <f>VLOOKUP($B43,'Old LS-Reports'!$A$4:$V$344,16,FALSE)-D43</f>
        <v>267.41654969999996</v>
      </c>
      <c r="L43" s="38">
        <f>VLOOKUP($B43,'Old LS-Reports'!$A$4:$V$344,19,FALSE)-D43</f>
        <v>266.96551499999998</v>
      </c>
      <c r="M43" s="38">
        <f t="shared" si="2"/>
        <v>3.9754849999999919</v>
      </c>
      <c r="N43" s="38">
        <f>VLOOKUP($B43,'Old LS-Reports'!$A$4:$V$344,8,FALSE)</f>
        <v>-11.840903000000001</v>
      </c>
      <c r="P43" s="41"/>
    </row>
    <row r="44" spans="1:16" x14ac:dyDescent="0.25">
      <c r="A44" s="39">
        <v>283060</v>
      </c>
      <c r="B44" s="39">
        <v>92062.672999999995</v>
      </c>
      <c r="C44" s="40">
        <f>VLOOKUP($B44,'Correlation sheet'!$C$4:$M$373,6,FALSE)</f>
        <v>1172467.2909651478</v>
      </c>
      <c r="D44" s="16">
        <f>VLOOKUP($B44,'Correlation sheet'!$C$4:$N$373,11,FALSE)</f>
        <v>0.11368750000002592</v>
      </c>
      <c r="E44" s="38">
        <f>VLOOKUP($B44,'Old LS-Reports'!$A$4:$V$344,5,FALSE)-D44</f>
        <v>270.35167309999997</v>
      </c>
      <c r="F44" s="16">
        <f>VLOOKUP($B44,'Correlation sheet'!$C$4:$M$373,10,FALSE)</f>
        <v>271.654</v>
      </c>
      <c r="G44" s="38">
        <f t="shared" si="0"/>
        <v>1.3023269000000255</v>
      </c>
      <c r="H44" s="38">
        <f>VLOOKUP($B44,'Old LS-Reports'!$A$4:$V$344,6,FALSE)-D44</f>
        <v>269.66367309999998</v>
      </c>
      <c r="I44" s="16">
        <f>VLOOKUP($B44,'Correlation sheet'!$C$4:$M$373,9,FALSE)</f>
        <v>270.94099999999997</v>
      </c>
      <c r="J44" s="38">
        <f t="shared" si="1"/>
        <v>1.2773268999999914</v>
      </c>
      <c r="K44" s="38">
        <f>VLOOKUP($B44,'Old LS-Reports'!$A$4:$V$344,16,FALSE)-D44</f>
        <v>266.93221899999998</v>
      </c>
      <c r="L44" s="38">
        <f>VLOOKUP($B44,'Old LS-Reports'!$A$4:$V$344,19,FALSE)-D44</f>
        <v>267.51182829999999</v>
      </c>
      <c r="M44" s="38">
        <f t="shared" si="2"/>
        <v>3.4291716999999835</v>
      </c>
      <c r="N44" s="38">
        <f>VLOOKUP($B44,'Old LS-Reports'!$A$4:$V$344,8,FALSE)</f>
        <v>-12.110617599999999</v>
      </c>
      <c r="P44" s="41"/>
    </row>
    <row r="45" spans="1:16" x14ac:dyDescent="0.25">
      <c r="A45" s="39">
        <v>283080</v>
      </c>
      <c r="B45" s="39">
        <v>92082.663</v>
      </c>
      <c r="C45" s="40">
        <f>VLOOKUP($B45,'Correlation sheet'!$C$4:$M$373,6,FALSE)</f>
        <v>1172487.2809651492</v>
      </c>
      <c r="D45" s="16">
        <f>VLOOKUP($B45,'Correlation sheet'!$C$4:$N$373,11,FALSE)</f>
        <v>0.11368750000002592</v>
      </c>
      <c r="E45" s="38">
        <f>VLOOKUP($B45,'Old LS-Reports'!$A$4:$V$344,5,FALSE)-D45</f>
        <v>270.3569885</v>
      </c>
      <c r="F45" s="16">
        <f>VLOOKUP($B45,'Correlation sheet'!$C$4:$M$373,10,FALSE)</f>
        <v>271.654</v>
      </c>
      <c r="G45" s="38">
        <f t="shared" si="0"/>
        <v>1.2970114999999964</v>
      </c>
      <c r="H45" s="38">
        <f>VLOOKUP($B45,'Old LS-Reports'!$A$4:$V$344,6,FALSE)-D45</f>
        <v>269.66898850000001</v>
      </c>
      <c r="I45" s="16">
        <f>VLOOKUP($B45,'Correlation sheet'!$C$4:$M$373,9,FALSE)</f>
        <v>270.94099999999997</v>
      </c>
      <c r="J45" s="38">
        <f t="shared" si="1"/>
        <v>1.2720114999999623</v>
      </c>
      <c r="K45" s="38">
        <f>VLOOKUP($B45,'Old LS-Reports'!$A$4:$V$344,16,FALSE)-D45</f>
        <v>267.17383079999996</v>
      </c>
      <c r="L45" s="38">
        <f>VLOOKUP($B45,'Old LS-Reports'!$A$4:$V$344,19,FALSE)-D45</f>
        <v>268.36796759999999</v>
      </c>
      <c r="M45" s="38">
        <f t="shared" si="2"/>
        <v>2.5730323999999882</v>
      </c>
      <c r="N45" s="38">
        <f>VLOOKUP($B45,'Old LS-Reports'!$A$4:$V$344,8,FALSE)</f>
        <v>-12.3695471</v>
      </c>
      <c r="P45" s="41"/>
    </row>
    <row r="46" spans="1:16" x14ac:dyDescent="0.25">
      <c r="A46" s="39">
        <v>283100</v>
      </c>
      <c r="B46" s="39">
        <v>92102.664999999994</v>
      </c>
      <c r="C46" s="40">
        <f>VLOOKUP($B46,'Correlation sheet'!$C$4:$M$373,6,FALSE)</f>
        <v>1172507.2829651469</v>
      </c>
      <c r="D46" s="16">
        <f>VLOOKUP($B46,'Correlation sheet'!$C$4:$N$373,11,FALSE)</f>
        <v>0.11368750000002592</v>
      </c>
      <c r="E46" s="38">
        <f>VLOOKUP($B46,'Old LS-Reports'!$A$4:$V$344,5,FALSE)-D46</f>
        <v>270.36173459999998</v>
      </c>
      <c r="F46" s="16">
        <f>VLOOKUP($B46,'Correlation sheet'!$C$4:$M$373,10,FALSE)</f>
        <v>271.654</v>
      </c>
      <c r="G46" s="38">
        <f t="shared" si="0"/>
        <v>1.2922654000000193</v>
      </c>
      <c r="H46" s="38">
        <f>VLOOKUP($B46,'Old LS-Reports'!$A$4:$V$344,6,FALSE)-D46</f>
        <v>269.67373459999999</v>
      </c>
      <c r="I46" s="16">
        <f>VLOOKUP($B46,'Correlation sheet'!$C$4:$M$373,9,FALSE)</f>
        <v>270.94099999999997</v>
      </c>
      <c r="J46" s="38">
        <f t="shared" si="1"/>
        <v>1.2672653999999852</v>
      </c>
      <c r="K46" s="38">
        <f>VLOOKUP($B46,'Old LS-Reports'!$A$4:$V$344,16,FALSE)-D46</f>
        <v>268.52937009999999</v>
      </c>
      <c r="L46" s="38">
        <f>VLOOKUP($B46,'Old LS-Reports'!$A$4:$V$344,19,FALSE)-D46</f>
        <v>268.61247989999998</v>
      </c>
      <c r="M46" s="38">
        <f t="shared" si="2"/>
        <v>2.3285200999999915</v>
      </c>
      <c r="N46" s="38">
        <f>VLOOKUP($B46,'Old LS-Reports'!$A$4:$V$344,8,FALSE)</f>
        <v>-12.620316000000001</v>
      </c>
      <c r="P46" s="41"/>
    </row>
    <row r="47" spans="1:16" x14ac:dyDescent="0.25">
      <c r="A47" s="39">
        <v>283120</v>
      </c>
      <c r="B47" s="39">
        <v>92122.672999999995</v>
      </c>
      <c r="C47" s="40">
        <f>VLOOKUP($B47,'Correlation sheet'!$C$4:$M$373,6,FALSE)</f>
        <v>1172527.2909651462</v>
      </c>
      <c r="D47" s="16">
        <f>VLOOKUP($B47,'Correlation sheet'!$C$4:$N$373,11,FALSE)</f>
        <v>0.11368750000002592</v>
      </c>
      <c r="E47" s="38">
        <f>VLOOKUP($B47,'Old LS-Reports'!$A$4:$V$344,5,FALSE)-D47</f>
        <v>270.38813839999995</v>
      </c>
      <c r="F47" s="16">
        <f>VLOOKUP($B47,'Correlation sheet'!$C$4:$M$373,10,FALSE)</f>
        <v>271.654</v>
      </c>
      <c r="G47" s="38">
        <f t="shared" si="0"/>
        <v>1.2658616000000507</v>
      </c>
      <c r="H47" s="38">
        <f>VLOOKUP($B47,'Old LS-Reports'!$A$4:$V$344,6,FALSE)-D47</f>
        <v>269.70013839999996</v>
      </c>
      <c r="I47" s="16">
        <f>VLOOKUP($B47,'Correlation sheet'!$C$4:$M$373,9,FALSE)</f>
        <v>270.94099999999997</v>
      </c>
      <c r="J47" s="38">
        <f t="shared" si="1"/>
        <v>1.2408616000000166</v>
      </c>
      <c r="K47" s="38">
        <f>VLOOKUP($B47,'Old LS-Reports'!$A$4:$V$344,16,FALSE)-D47</f>
        <v>269.04286079999997</v>
      </c>
      <c r="L47" s="38">
        <f>VLOOKUP($B47,'Old LS-Reports'!$A$4:$V$344,19,FALSE)-D47</f>
        <v>269.6237835</v>
      </c>
      <c r="M47" s="38">
        <f t="shared" si="2"/>
        <v>1.3172164999999723</v>
      </c>
      <c r="N47" s="38">
        <f>VLOOKUP($B47,'Old LS-Reports'!$A$4:$V$344,8,FALSE)</f>
        <v>-12.879561199999999</v>
      </c>
      <c r="P47" s="41"/>
    </row>
    <row r="48" spans="1:16" x14ac:dyDescent="0.25">
      <c r="A48" s="39">
        <v>283140</v>
      </c>
      <c r="B48" s="39">
        <v>92142.676000000007</v>
      </c>
      <c r="C48" s="40">
        <f>VLOOKUP($B48,'Correlation sheet'!$C$4:$M$373,6,FALSE)</f>
        <v>1172547.2939651462</v>
      </c>
      <c r="D48" s="16">
        <f>VLOOKUP($B48,'Correlation sheet'!$C$4:$N$373,11,FALSE)</f>
        <v>0.11368750000002592</v>
      </c>
      <c r="E48" s="38">
        <f>VLOOKUP($B48,'Old LS-Reports'!$A$4:$V$344,5,FALSE)-D48</f>
        <v>270.41635819999999</v>
      </c>
      <c r="F48" s="16">
        <f>VLOOKUP($B48,'Correlation sheet'!$C$4:$M$373,10,FALSE)</f>
        <v>271.654</v>
      </c>
      <c r="G48" s="38">
        <f t="shared" si="0"/>
        <v>1.2376418000000058</v>
      </c>
      <c r="H48" s="38">
        <f>VLOOKUP($B48,'Old LS-Reports'!$A$4:$V$344,6,FALSE)-D48</f>
        <v>269.7283582</v>
      </c>
      <c r="I48" s="16">
        <f>VLOOKUP($B48,'Correlation sheet'!$C$4:$M$373,9,FALSE)</f>
        <v>270.94099999999997</v>
      </c>
      <c r="J48" s="38">
        <f t="shared" si="1"/>
        <v>1.2126417999999717</v>
      </c>
      <c r="K48" s="38">
        <f>VLOOKUP($B48,'Old LS-Reports'!$A$4:$V$344,16,FALSE)-D48</f>
        <v>268.7532865</v>
      </c>
      <c r="L48" s="38">
        <f>VLOOKUP($B48,'Old LS-Reports'!$A$4:$V$344,19,FALSE)-D48</f>
        <v>269.43605559999997</v>
      </c>
      <c r="M48" s="38">
        <f t="shared" si="2"/>
        <v>1.5049443999999994</v>
      </c>
      <c r="N48" s="38">
        <f>VLOOKUP($B48,'Old LS-Reports'!$A$4:$V$344,8,FALSE)</f>
        <v>-13.140102000000001</v>
      </c>
      <c r="P48" s="41"/>
    </row>
    <row r="49" spans="1:16" x14ac:dyDescent="0.25">
      <c r="A49" s="39">
        <v>283160</v>
      </c>
      <c r="B49" s="39">
        <v>92162.678</v>
      </c>
      <c r="C49" s="40">
        <f>VLOOKUP($B49,'Correlation sheet'!$C$4:$M$373,6,FALSE)</f>
        <v>1172567.2959651507</v>
      </c>
      <c r="D49" s="16">
        <f>VLOOKUP($B49,'Correlation sheet'!$C$4:$N$373,11,FALSE)</f>
        <v>0.11368750000002592</v>
      </c>
      <c r="E49" s="38">
        <f>VLOOKUP($B49,'Old LS-Reports'!$A$4:$V$344,5,FALSE)-D49</f>
        <v>270.43014119999998</v>
      </c>
      <c r="F49" s="16">
        <f>VLOOKUP($B49,'Correlation sheet'!$C$4:$M$373,10,FALSE)</f>
        <v>271.654</v>
      </c>
      <c r="G49" s="38">
        <f t="shared" si="0"/>
        <v>1.2238588000000163</v>
      </c>
      <c r="H49" s="38">
        <f>VLOOKUP($B49,'Old LS-Reports'!$A$4:$V$344,6,FALSE)-D49</f>
        <v>269.74214119999999</v>
      </c>
      <c r="I49" s="16">
        <f>VLOOKUP($B49,'Correlation sheet'!$C$4:$M$373,9,FALSE)</f>
        <v>270.94099999999997</v>
      </c>
      <c r="J49" s="38">
        <f t="shared" si="1"/>
        <v>1.1988587999999822</v>
      </c>
      <c r="K49" s="38">
        <f>VLOOKUP($B49,'Old LS-Reports'!$A$4:$V$344,16,FALSE)-D49</f>
        <v>269.1747087</v>
      </c>
      <c r="L49" s="38">
        <f>VLOOKUP($B49,'Old LS-Reports'!$A$4:$V$344,19,FALSE)-D49</f>
        <v>269.45460249999996</v>
      </c>
      <c r="M49" s="38">
        <f t="shared" si="2"/>
        <v>1.4863975000000096</v>
      </c>
      <c r="N49" s="38">
        <f>VLOOKUP($B49,'Old LS-Reports'!$A$4:$V$344,8,FALSE)</f>
        <v>-13.393678400000001</v>
      </c>
      <c r="P49" s="41"/>
    </row>
    <row r="50" spans="1:16" x14ac:dyDescent="0.25">
      <c r="A50" s="39">
        <v>283180</v>
      </c>
      <c r="B50" s="39">
        <v>92182.665999999997</v>
      </c>
      <c r="C50" s="40">
        <f>VLOOKUP($B50,'Correlation sheet'!$C$4:$M$373,6,FALSE)</f>
        <v>1172587.2839643587</v>
      </c>
      <c r="D50" s="16">
        <f>VLOOKUP($B50,'Correlation sheet'!$C$4:$N$373,11,FALSE)</f>
        <v>0.11368750000002592</v>
      </c>
      <c r="E50" s="38">
        <f>VLOOKUP($B50,'Old LS-Reports'!$A$4:$V$344,5,FALSE)-D50</f>
        <v>270.43664749999999</v>
      </c>
      <c r="F50" s="16">
        <f>VLOOKUP($B50,'Correlation sheet'!$C$4:$M$373,10,FALSE)</f>
        <v>271.654</v>
      </c>
      <c r="G50" s="38">
        <f t="shared" si="0"/>
        <v>1.2173525000000041</v>
      </c>
      <c r="H50" s="38">
        <f>VLOOKUP($B50,'Old LS-Reports'!$A$4:$V$344,6,FALSE)-D50</f>
        <v>269.7486475</v>
      </c>
      <c r="I50" s="16">
        <f>VLOOKUP($B50,'Correlation sheet'!$C$4:$M$373,9,FALSE)</f>
        <v>270.94099999999997</v>
      </c>
      <c r="J50" s="38">
        <f t="shared" si="1"/>
        <v>1.19235249999997</v>
      </c>
      <c r="K50" s="38">
        <f>VLOOKUP($B50,'Old LS-Reports'!$A$4:$V$344,16,FALSE)-D50</f>
        <v>268.32234749999998</v>
      </c>
      <c r="L50" s="38">
        <f>VLOOKUP($B50,'Old LS-Reports'!$A$4:$V$344,19,FALSE)-D50</f>
        <v>267.54112139999995</v>
      </c>
      <c r="M50" s="38">
        <f t="shared" si="2"/>
        <v>3.3998786000000223</v>
      </c>
      <c r="N50" s="38">
        <f>VLOOKUP($B50,'Old LS-Reports'!$A$4:$V$344,8,FALSE)</f>
        <v>-13.6016393</v>
      </c>
      <c r="P50" s="41"/>
    </row>
    <row r="51" spans="1:16" x14ac:dyDescent="0.25">
      <c r="A51" s="39">
        <v>283200</v>
      </c>
      <c r="B51" s="39">
        <v>92202.667000000001</v>
      </c>
      <c r="C51" s="40">
        <f>VLOOKUP($B51,'Correlation sheet'!$C$4:$M$373,6,FALSE)</f>
        <v>1172607.2849570333</v>
      </c>
      <c r="D51" s="16">
        <f>VLOOKUP($B51,'Correlation sheet'!$C$4:$N$373,11,FALSE)</f>
        <v>0.11368750000002592</v>
      </c>
      <c r="E51" s="38">
        <f>VLOOKUP($B51,'Old LS-Reports'!$A$4:$V$344,5,FALSE)-D51</f>
        <v>270.43725289999998</v>
      </c>
      <c r="F51" s="16">
        <f>VLOOKUP($B51,'Correlation sheet'!$C$4:$M$373,10,FALSE)</f>
        <v>271.654</v>
      </c>
      <c r="G51" s="38">
        <f t="shared" si="0"/>
        <v>1.2167471000000205</v>
      </c>
      <c r="H51" s="38">
        <f>VLOOKUP($B51,'Old LS-Reports'!$A$4:$V$344,6,FALSE)-D51</f>
        <v>269.74925289999999</v>
      </c>
      <c r="I51" s="16">
        <f>VLOOKUP($B51,'Correlation sheet'!$C$4:$M$373,9,FALSE)</f>
        <v>270.94099999999997</v>
      </c>
      <c r="J51" s="38">
        <f t="shared" si="1"/>
        <v>1.1917470999999864</v>
      </c>
      <c r="K51" s="38">
        <f>VLOOKUP($B51,'Old LS-Reports'!$A$4:$V$344,16,FALSE)-D51</f>
        <v>268.00836759999999</v>
      </c>
      <c r="L51" s="38">
        <f>VLOOKUP($B51,'Old LS-Reports'!$A$4:$V$344,19,FALSE)-D51</f>
        <v>267.87553839999998</v>
      </c>
      <c r="M51" s="38">
        <f t="shared" si="2"/>
        <v>3.0654615999999919</v>
      </c>
      <c r="N51" s="38">
        <f>VLOOKUP($B51,'Old LS-Reports'!$A$4:$V$344,8,FALSE)</f>
        <v>-13.761604999999999</v>
      </c>
      <c r="P51" s="41"/>
    </row>
    <row r="52" spans="1:16" x14ac:dyDescent="0.25">
      <c r="A52" s="39">
        <v>283220</v>
      </c>
      <c r="B52" s="39">
        <v>92222.678</v>
      </c>
      <c r="C52" s="40">
        <f>VLOOKUP($B52,'Correlation sheet'!$C$4:$M$373,6,FALSE)</f>
        <v>1172627.2959436856</v>
      </c>
      <c r="D52" s="16">
        <f>VLOOKUP($B52,'Correlation sheet'!$C$4:$N$373,11,FALSE)</f>
        <v>0.11368750000002592</v>
      </c>
      <c r="E52" s="38">
        <f>VLOOKUP($B52,'Old LS-Reports'!$A$4:$V$344,5,FALSE)-D52</f>
        <v>270.42913479999999</v>
      </c>
      <c r="F52" s="16">
        <f>VLOOKUP($B52,'Correlation sheet'!$C$4:$M$373,10,FALSE)</f>
        <v>271.654</v>
      </c>
      <c r="G52" s="38">
        <f t="shared" si="0"/>
        <v>1.2248652000000106</v>
      </c>
      <c r="H52" s="38">
        <f>VLOOKUP($B52,'Old LS-Reports'!$A$4:$V$344,6,FALSE)-D52</f>
        <v>269.7411348</v>
      </c>
      <c r="I52" s="16">
        <f>VLOOKUP($B52,'Correlation sheet'!$C$4:$M$373,9,FALSE)</f>
        <v>270.94099999999997</v>
      </c>
      <c r="J52" s="38">
        <f t="shared" si="1"/>
        <v>1.1998651999999765</v>
      </c>
      <c r="K52" s="38">
        <f>VLOOKUP($B52,'Old LS-Reports'!$A$4:$V$344,16,FALSE)-D52</f>
        <v>267.99227639999998</v>
      </c>
      <c r="L52" s="38">
        <f>VLOOKUP($B52,'Old LS-Reports'!$A$4:$V$344,19,FALSE)-D52</f>
        <v>268.16665939999996</v>
      </c>
      <c r="M52" s="38">
        <f t="shared" si="2"/>
        <v>2.7743406000000164</v>
      </c>
      <c r="N52" s="38">
        <f>VLOOKUP($B52,'Old LS-Reports'!$A$4:$V$344,8,FALSE)</f>
        <v>-13.895649499999999</v>
      </c>
      <c r="P52" s="41"/>
    </row>
    <row r="53" spans="1:16" x14ac:dyDescent="0.25">
      <c r="A53" s="39">
        <v>283240</v>
      </c>
      <c r="B53" s="39">
        <v>92242.664000000004</v>
      </c>
      <c r="C53" s="40">
        <f>VLOOKUP($B53,'Correlation sheet'!$C$4:$M$373,6,FALSE)</f>
        <v>1172647.281933005</v>
      </c>
      <c r="D53" s="16">
        <f>VLOOKUP($B53,'Correlation sheet'!$C$4:$N$373,11,FALSE)</f>
        <v>0.11368750000002592</v>
      </c>
      <c r="E53" s="38">
        <f>VLOOKUP($B53,'Old LS-Reports'!$A$4:$V$344,5,FALSE)-D53</f>
        <v>270.4370131</v>
      </c>
      <c r="F53" s="16">
        <f>VLOOKUP($B53,'Correlation sheet'!$C$4:$M$373,10,FALSE)</f>
        <v>271.654</v>
      </c>
      <c r="G53" s="38">
        <f t="shared" si="0"/>
        <v>1.2169868999999949</v>
      </c>
      <c r="H53" s="38">
        <f>VLOOKUP($B53,'Old LS-Reports'!$A$4:$V$344,6,FALSE)-D53</f>
        <v>269.74901310000001</v>
      </c>
      <c r="I53" s="16">
        <f>VLOOKUP($B53,'Correlation sheet'!$C$4:$M$373,9,FALSE)</f>
        <v>270.94099999999997</v>
      </c>
      <c r="J53" s="38">
        <f t="shared" si="1"/>
        <v>1.1919868999999608</v>
      </c>
      <c r="K53" s="38">
        <f>VLOOKUP($B53,'Old LS-Reports'!$A$4:$V$344,16,FALSE)-D53</f>
        <v>268.22987089999998</v>
      </c>
      <c r="L53" s="38">
        <f>VLOOKUP($B53,'Old LS-Reports'!$A$4:$V$344,19,FALSE)-D53</f>
        <v>268.52858579999997</v>
      </c>
      <c r="M53" s="38">
        <f t="shared" si="2"/>
        <v>2.4124142000000006</v>
      </c>
      <c r="N53" s="38">
        <f>VLOOKUP($B53,'Old LS-Reports'!$A$4:$V$344,8,FALSE)</f>
        <v>-13.9859484</v>
      </c>
      <c r="P53" s="41"/>
    </row>
    <row r="54" spans="1:16" x14ac:dyDescent="0.25">
      <c r="A54" s="39">
        <v>283260</v>
      </c>
      <c r="B54" s="39">
        <v>92262.664000000004</v>
      </c>
      <c r="C54" s="40">
        <f>VLOOKUP($B54,'Correlation sheet'!$C$4:$M$373,6,FALSE)</f>
        <v>1172667.2819307195</v>
      </c>
      <c r="D54" s="16">
        <f>VLOOKUP($B54,'Correlation sheet'!$C$4:$N$373,11,FALSE)</f>
        <v>0.11368750000002592</v>
      </c>
      <c r="E54" s="38">
        <f>VLOOKUP($B54,'Old LS-Reports'!$A$4:$V$344,5,FALSE)-D54</f>
        <v>270.49580689999999</v>
      </c>
      <c r="F54" s="16">
        <f>VLOOKUP($B54,'Correlation sheet'!$C$4:$M$373,10,FALSE)</f>
        <v>271.654</v>
      </c>
      <c r="G54" s="38">
        <f t="shared" si="0"/>
        <v>1.1581931000000054</v>
      </c>
      <c r="H54" s="38">
        <f>VLOOKUP($B54,'Old LS-Reports'!$A$4:$V$344,6,FALSE)-D54</f>
        <v>269.8078069</v>
      </c>
      <c r="I54" s="16">
        <f>VLOOKUP($B54,'Correlation sheet'!$C$4:$M$373,9,FALSE)</f>
        <v>270.94099999999997</v>
      </c>
      <c r="J54" s="38">
        <f t="shared" si="1"/>
        <v>1.1331930999999713</v>
      </c>
      <c r="K54" s="38">
        <f>VLOOKUP($B54,'Old LS-Reports'!$A$4:$V$344,16,FALSE)-D54</f>
        <v>268.98404599999998</v>
      </c>
      <c r="L54" s="38">
        <f>VLOOKUP($B54,'Old LS-Reports'!$A$4:$V$344,19,FALSE)-D54</f>
        <v>268.62182829999995</v>
      </c>
      <c r="M54" s="38">
        <f t="shared" si="2"/>
        <v>2.3191717000000267</v>
      </c>
      <c r="N54" s="38">
        <f>VLOOKUP($B54,'Old LS-Reports'!$A$4:$V$344,8,FALSE)</f>
        <v>-14.020933599999999</v>
      </c>
      <c r="P54" s="41"/>
    </row>
    <row r="55" spans="1:16" x14ac:dyDescent="0.25">
      <c r="A55" s="39">
        <v>283280</v>
      </c>
      <c r="B55" s="39">
        <v>92282.66</v>
      </c>
      <c r="C55" s="40">
        <f>VLOOKUP($B55,'Correlation sheet'!$C$4:$M$373,6,FALSE)</f>
        <v>1172687.2779306993</v>
      </c>
      <c r="D55" s="16">
        <f>VLOOKUP($B55,'Correlation sheet'!$C$4:$N$373,11,FALSE)</f>
        <v>0.11368750000002592</v>
      </c>
      <c r="E55" s="38">
        <f>VLOOKUP($B55,'Old LS-Reports'!$A$4:$V$344,5,FALSE)-D55</f>
        <v>270.54735899999997</v>
      </c>
      <c r="F55" s="16">
        <f>VLOOKUP($B55,'Correlation sheet'!$C$4:$M$373,10,FALSE)</f>
        <v>271.654</v>
      </c>
      <c r="G55" s="38">
        <f t="shared" si="0"/>
        <v>1.1066410000000246</v>
      </c>
      <c r="H55" s="38">
        <f>VLOOKUP($B55,'Old LS-Reports'!$A$4:$V$344,6,FALSE)-D55</f>
        <v>269.85935899999998</v>
      </c>
      <c r="I55" s="16">
        <f>VLOOKUP($B55,'Correlation sheet'!$C$4:$M$373,9,FALSE)</f>
        <v>270.94099999999997</v>
      </c>
      <c r="J55" s="38">
        <f t="shared" si="1"/>
        <v>1.0816409999999905</v>
      </c>
      <c r="K55" s="38">
        <f>VLOOKUP($B55,'Old LS-Reports'!$A$4:$V$344,16,FALSE)-D55</f>
        <v>271.75449209999999</v>
      </c>
      <c r="L55" s="38">
        <f>VLOOKUP($B55,'Old LS-Reports'!$A$4:$V$344,19,FALSE)-D55</f>
        <v>271.83074639999995</v>
      </c>
      <c r="M55" s="38">
        <f t="shared" si="2"/>
        <v>-0.88974639999997862</v>
      </c>
      <c r="N55" s="38">
        <f>VLOOKUP($B55,'Old LS-Reports'!$A$4:$V$344,8,FALSE)</f>
        <v>-14.013744600000001</v>
      </c>
      <c r="P55" s="41"/>
    </row>
    <row r="56" spans="1:16" x14ac:dyDescent="0.25">
      <c r="A56" s="39">
        <v>283300</v>
      </c>
      <c r="B56" s="39">
        <v>92302.66</v>
      </c>
      <c r="C56" s="40">
        <f>VLOOKUP($B56,'Correlation sheet'!$C$4:$M$373,6,FALSE)</f>
        <v>1172707.2779306967</v>
      </c>
      <c r="D56" s="16">
        <f>VLOOKUP($B56,'Correlation sheet'!$C$4:$N$373,11,FALSE)</f>
        <v>0.11368750000002592</v>
      </c>
      <c r="E56" s="38">
        <f>VLOOKUP($B56,'Old LS-Reports'!$A$4:$V$344,5,FALSE)-D56</f>
        <v>270.59336519999999</v>
      </c>
      <c r="F56" s="16">
        <f>VLOOKUP($B56,'Correlation sheet'!$C$4:$M$373,10,FALSE)</f>
        <v>271.654</v>
      </c>
      <c r="G56" s="38">
        <f t="shared" si="0"/>
        <v>1.0606348000000025</v>
      </c>
      <c r="H56" s="38">
        <f>VLOOKUP($B56,'Old LS-Reports'!$A$4:$V$344,6,FALSE)-D56</f>
        <v>269.90536520000001</v>
      </c>
      <c r="I56" s="16">
        <f>VLOOKUP($B56,'Correlation sheet'!$C$4:$M$373,9,FALSE)</f>
        <v>270.94099999999997</v>
      </c>
      <c r="J56" s="38">
        <f t="shared" si="1"/>
        <v>1.0356347999999684</v>
      </c>
      <c r="K56" s="38">
        <f>VLOOKUP($B56,'Old LS-Reports'!$A$4:$V$344,16,FALSE)-D56</f>
        <v>272.68472479999997</v>
      </c>
      <c r="L56" s="38">
        <f>VLOOKUP($B56,'Old LS-Reports'!$A$4:$V$344,19,FALSE)-D56</f>
        <v>272.20134009999998</v>
      </c>
      <c r="M56" s="38">
        <f t="shared" si="2"/>
        <v>-1.2603401000000076</v>
      </c>
      <c r="N56" s="38">
        <f>VLOOKUP($B56,'Old LS-Reports'!$A$4:$V$344,8,FALSE)</f>
        <v>-13.9852066</v>
      </c>
      <c r="P56" s="41"/>
    </row>
    <row r="57" spans="1:16" x14ac:dyDescent="0.25">
      <c r="A57" s="39">
        <v>283320</v>
      </c>
      <c r="B57" s="39">
        <v>92322.664999999994</v>
      </c>
      <c r="C57" s="40">
        <f>VLOOKUP($B57,'Correlation sheet'!$C$4:$M$373,6,FALSE)</f>
        <v>1172727.2829306968</v>
      </c>
      <c r="D57" s="16">
        <f>VLOOKUP($B57,'Correlation sheet'!$C$4:$N$373,11,FALSE)</f>
        <v>0.11368750000002592</v>
      </c>
      <c r="E57" s="38">
        <f>VLOOKUP($B57,'Old LS-Reports'!$A$4:$V$344,5,FALSE)-D57</f>
        <v>270.63682169999998</v>
      </c>
      <c r="F57" s="16">
        <f>VLOOKUP($B57,'Correlation sheet'!$C$4:$M$373,10,FALSE)</f>
        <v>271.654</v>
      </c>
      <c r="G57" s="38">
        <f t="shared" si="0"/>
        <v>1.0171783000000119</v>
      </c>
      <c r="H57" s="38">
        <f>VLOOKUP($B57,'Old LS-Reports'!$A$4:$V$344,6,FALSE)-D57</f>
        <v>269.9488217</v>
      </c>
      <c r="I57" s="16">
        <f>VLOOKUP($B57,'Correlation sheet'!$C$4:$M$373,9,FALSE)</f>
        <v>270.94099999999997</v>
      </c>
      <c r="J57" s="38">
        <f t="shared" si="1"/>
        <v>0.99217829999997775</v>
      </c>
      <c r="K57" s="38">
        <f>VLOOKUP($B57,'Old LS-Reports'!$A$4:$V$344,16,FALSE)-D57</f>
        <v>272.80969189999996</v>
      </c>
      <c r="L57" s="38">
        <f>VLOOKUP($B57,'Old LS-Reports'!$A$4:$V$344,19,FALSE)-D57</f>
        <v>273.60336699999999</v>
      </c>
      <c r="M57" s="38">
        <f t="shared" si="2"/>
        <v>-2.6623670000000175</v>
      </c>
      <c r="N57" s="38">
        <f>VLOOKUP($B57,'Old LS-Reports'!$A$4:$V$344,8,FALSE)</f>
        <v>-13.963006699999999</v>
      </c>
      <c r="P57" s="41"/>
    </row>
    <row r="58" spans="1:16" x14ac:dyDescent="0.25">
      <c r="A58" s="39">
        <v>283340</v>
      </c>
      <c r="B58" s="39">
        <v>92342.684999999998</v>
      </c>
      <c r="C58" s="40">
        <f>VLOOKUP($B58,'Correlation sheet'!$C$4:$M$373,6,FALSE)</f>
        <v>1172747.3029306992</v>
      </c>
      <c r="D58" s="16">
        <f>VLOOKUP($B58,'Correlation sheet'!$C$4:$N$373,11,FALSE)</f>
        <v>0.11368750000002592</v>
      </c>
      <c r="E58" s="38">
        <f>VLOOKUP($B58,'Old LS-Reports'!$A$4:$V$344,5,FALSE)-D58</f>
        <v>270.67401339999998</v>
      </c>
      <c r="F58" s="16">
        <f>VLOOKUP($B58,'Correlation sheet'!$C$4:$M$373,10,FALSE)</f>
        <v>271.654</v>
      </c>
      <c r="G58" s="38">
        <f t="shared" si="0"/>
        <v>0.97998660000001792</v>
      </c>
      <c r="H58" s="38">
        <f>VLOOKUP($B58,'Old LS-Reports'!$A$4:$V$344,6,FALSE)-D58</f>
        <v>269.98601339999999</v>
      </c>
      <c r="I58" s="16">
        <f>VLOOKUP($B58,'Correlation sheet'!$C$4:$M$373,9,FALSE)</f>
        <v>270.94099999999997</v>
      </c>
      <c r="J58" s="38">
        <f t="shared" si="1"/>
        <v>0.95498659999998381</v>
      </c>
      <c r="K58" s="38">
        <f>VLOOKUP($B58,'Old LS-Reports'!$A$4:$V$344,16,FALSE)-D58</f>
        <v>267.45067389999997</v>
      </c>
      <c r="L58" s="38">
        <f>VLOOKUP($B58,'Old LS-Reports'!$A$4:$V$344,19,FALSE)-D58</f>
        <v>265.76383769999995</v>
      </c>
      <c r="M58" s="38">
        <f t="shared" si="2"/>
        <v>5.1771623000000204</v>
      </c>
      <c r="N58" s="38">
        <f>VLOOKUP($B58,'Old LS-Reports'!$A$4:$V$344,8,FALSE)</f>
        <v>-13.9502074</v>
      </c>
      <c r="P58" s="41"/>
    </row>
    <row r="59" spans="1:16" x14ac:dyDescent="0.25">
      <c r="A59" s="39">
        <v>283360</v>
      </c>
      <c r="B59" s="39">
        <v>92362.684999999998</v>
      </c>
      <c r="C59" s="40">
        <f>VLOOKUP($B59,'Correlation sheet'!$C$4:$M$373,6,FALSE)</f>
        <v>1172767.3029307025</v>
      </c>
      <c r="D59" s="16">
        <f>VLOOKUP($B59,'Correlation sheet'!$C$4:$N$373,11,FALSE)</f>
        <v>0.11368750000002592</v>
      </c>
      <c r="E59" s="38">
        <f>VLOOKUP($B59,'Old LS-Reports'!$A$4:$V$344,5,FALSE)-D59</f>
        <v>270.69818179999999</v>
      </c>
      <c r="F59" s="16">
        <f>VLOOKUP($B59,'Correlation sheet'!$C$4:$M$373,10,FALSE)</f>
        <v>271.654</v>
      </c>
      <c r="G59" s="38">
        <f t="shared" si="0"/>
        <v>0.95581820000001017</v>
      </c>
      <c r="H59" s="38">
        <f>VLOOKUP($B59,'Old LS-Reports'!$A$4:$V$344,6,FALSE)-D59</f>
        <v>270.0101818</v>
      </c>
      <c r="I59" s="16">
        <f>VLOOKUP($B59,'Correlation sheet'!$C$4:$M$373,9,FALSE)</f>
        <v>270.94099999999997</v>
      </c>
      <c r="J59" s="38">
        <f t="shared" si="1"/>
        <v>0.93081819999997606</v>
      </c>
      <c r="K59" s="38">
        <f>VLOOKUP($B59,'Old LS-Reports'!$A$4:$V$344,16,FALSE)-D59</f>
        <v>262.1362039</v>
      </c>
      <c r="L59" s="38">
        <f>VLOOKUP($B59,'Old LS-Reports'!$A$4:$V$344,19,FALSE)-D59</f>
        <v>261.9414405</v>
      </c>
      <c r="M59" s="38">
        <f t="shared" si="2"/>
        <v>8.9995594999999753</v>
      </c>
      <c r="N59" s="38">
        <f>VLOOKUP($B59,'Old LS-Reports'!$A$4:$V$344,8,FALSE)</f>
        <v>-13.956493999999999</v>
      </c>
      <c r="P59" s="41"/>
    </row>
    <row r="60" spans="1:16" x14ac:dyDescent="0.25">
      <c r="A60" s="39">
        <v>283380</v>
      </c>
      <c r="B60" s="39">
        <v>92382.668000000005</v>
      </c>
      <c r="C60" s="40">
        <f>VLOOKUP($B60,'Correlation sheet'!$C$4:$M$373,6,FALSE)</f>
        <v>1172787.2859306985</v>
      </c>
      <c r="D60" s="16">
        <f>VLOOKUP($B60,'Correlation sheet'!$C$4:$N$373,11,FALSE)</f>
        <v>0.11368750000002592</v>
      </c>
      <c r="E60" s="38">
        <f>VLOOKUP($B60,'Old LS-Reports'!$A$4:$V$344,5,FALSE)-D60</f>
        <v>270.7085998</v>
      </c>
      <c r="F60" s="16">
        <f>VLOOKUP($B60,'Correlation sheet'!$C$4:$M$373,10,FALSE)</f>
        <v>271.654</v>
      </c>
      <c r="G60" s="38">
        <f t="shared" si="0"/>
        <v>0.94540019999999458</v>
      </c>
      <c r="H60" s="38">
        <f>VLOOKUP($B60,'Old LS-Reports'!$A$4:$V$344,6,FALSE)-D60</f>
        <v>270.02059980000001</v>
      </c>
      <c r="I60" s="16">
        <f>VLOOKUP($B60,'Correlation sheet'!$C$4:$M$373,9,FALSE)</f>
        <v>270.94099999999997</v>
      </c>
      <c r="J60" s="38">
        <f t="shared" si="1"/>
        <v>0.92040019999996048</v>
      </c>
      <c r="K60" s="38">
        <f>VLOOKUP($B60,'Old LS-Reports'!$A$4:$V$344,16,FALSE)-D60</f>
        <v>259.09835869999995</v>
      </c>
      <c r="L60" s="38">
        <f>VLOOKUP($B60,'Old LS-Reports'!$A$4:$V$344,19,FALSE)-D60</f>
        <v>259.43956529999997</v>
      </c>
      <c r="M60" s="38">
        <f t="shared" si="2"/>
        <v>11.501434700000004</v>
      </c>
      <c r="N60" s="38">
        <f>VLOOKUP($B60,'Old LS-Reports'!$A$4:$V$344,8,FALSE)</f>
        <v>-13.9509591</v>
      </c>
      <c r="P60" s="41"/>
    </row>
    <row r="61" spans="1:16" x14ac:dyDescent="0.25">
      <c r="A61" s="39">
        <v>283400</v>
      </c>
      <c r="B61" s="39">
        <v>92402.668000000005</v>
      </c>
      <c r="C61" s="40">
        <f>VLOOKUP($B61,'Correlation sheet'!$C$4:$M$373,6,FALSE)</f>
        <v>1172807.2859307015</v>
      </c>
      <c r="D61" s="16">
        <f>VLOOKUP($B61,'Correlation sheet'!$C$4:$N$373,11,FALSE)</f>
        <v>0.11368750000002592</v>
      </c>
      <c r="E61" s="38">
        <f>VLOOKUP($B61,'Old LS-Reports'!$A$4:$V$344,5,FALSE)-D61</f>
        <v>270.7051611</v>
      </c>
      <c r="F61" s="16">
        <f>VLOOKUP($B61,'Correlation sheet'!$C$4:$M$373,10,FALSE)</f>
        <v>271.654</v>
      </c>
      <c r="G61" s="38">
        <f t="shared" si="0"/>
        <v>0.94883889999999838</v>
      </c>
      <c r="H61" s="38">
        <f>VLOOKUP($B61,'Old LS-Reports'!$A$4:$V$344,6,FALSE)-D61</f>
        <v>270.01716110000001</v>
      </c>
      <c r="I61" s="16">
        <f>VLOOKUP($B61,'Correlation sheet'!$C$4:$M$373,9,FALSE)</f>
        <v>270.94099999999997</v>
      </c>
      <c r="J61" s="38">
        <f t="shared" si="1"/>
        <v>0.92383889999996427</v>
      </c>
      <c r="K61" s="38">
        <f>VLOOKUP($B61,'Old LS-Reports'!$A$4:$V$344,16,FALSE)-D61</f>
        <v>262.35147109999997</v>
      </c>
      <c r="L61" s="38">
        <f>VLOOKUP($B61,'Old LS-Reports'!$A$4:$V$344,19,FALSE)-D61</f>
        <v>262.85551729999997</v>
      </c>
      <c r="M61" s="38">
        <f t="shared" si="2"/>
        <v>8.0854827</v>
      </c>
      <c r="N61" s="38">
        <f>VLOOKUP($B61,'Old LS-Reports'!$A$4:$V$344,8,FALSE)</f>
        <v>-13.9335021</v>
      </c>
      <c r="P61" s="41"/>
    </row>
    <row r="62" spans="1:16" x14ac:dyDescent="0.25">
      <c r="A62" s="39">
        <v>283420</v>
      </c>
      <c r="B62" s="39">
        <v>92422.664000000004</v>
      </c>
      <c r="C62" s="40">
        <f>VLOOKUP($B62,'Correlation sheet'!$C$4:$M$373,6,FALSE)</f>
        <v>1172827.2819306988</v>
      </c>
      <c r="D62" s="16">
        <f>VLOOKUP($B62,'Correlation sheet'!$C$4:$N$373,11,FALSE)</f>
        <v>0.11368750000002592</v>
      </c>
      <c r="E62" s="38">
        <f>VLOOKUP($B62,'Old LS-Reports'!$A$4:$V$344,5,FALSE)-D62</f>
        <v>270.65319199999999</v>
      </c>
      <c r="F62" s="16">
        <f>VLOOKUP($B62,'Correlation sheet'!$C$4:$M$373,10,FALSE)</f>
        <v>271.654</v>
      </c>
      <c r="G62" s="38">
        <f t="shared" si="0"/>
        <v>1.0008080000000064</v>
      </c>
      <c r="H62" s="38">
        <f>VLOOKUP($B62,'Old LS-Reports'!$A$4:$V$344,6,FALSE)-D62</f>
        <v>269.965192</v>
      </c>
      <c r="I62" s="16">
        <f>VLOOKUP($B62,'Correlation sheet'!$C$4:$M$373,9,FALSE)</f>
        <v>270.94099999999997</v>
      </c>
      <c r="J62" s="38">
        <f t="shared" si="1"/>
        <v>0.97580799999997225</v>
      </c>
      <c r="K62" s="38">
        <f>VLOOKUP($B62,'Old LS-Reports'!$A$4:$V$344,16,FALSE)-D62</f>
        <v>267.04974949999996</v>
      </c>
      <c r="L62" s="38">
        <f>VLOOKUP($B62,'Old LS-Reports'!$A$4:$V$344,19,FALSE)-D62</f>
        <v>268.34179009999997</v>
      </c>
      <c r="M62" s="38">
        <f t="shared" si="2"/>
        <v>2.5992099000000053</v>
      </c>
      <c r="N62" s="38">
        <f>VLOOKUP($B62,'Old LS-Reports'!$A$4:$V$344,8,FALSE)</f>
        <v>-13.9259161</v>
      </c>
      <c r="P62" s="41"/>
    </row>
    <row r="63" spans="1:16" x14ac:dyDescent="0.25">
      <c r="A63" s="39">
        <v>283440</v>
      </c>
      <c r="B63" s="39">
        <v>92442.664000000004</v>
      </c>
      <c r="C63" s="40">
        <f>VLOOKUP($B63,'Correlation sheet'!$C$4:$M$373,6,FALSE)</f>
        <v>1172847.281930702</v>
      </c>
      <c r="D63" s="16">
        <f>VLOOKUP($B63,'Correlation sheet'!$C$4:$N$373,11,FALSE)</f>
        <v>0.11368750000002592</v>
      </c>
      <c r="E63" s="38">
        <f>VLOOKUP($B63,'Old LS-Reports'!$A$4:$V$344,5,FALSE)-D63</f>
        <v>270.57268889999995</v>
      </c>
      <c r="F63" s="16">
        <f>VLOOKUP($B63,'Correlation sheet'!$C$4:$M$373,10,FALSE)</f>
        <v>271.654</v>
      </c>
      <c r="G63" s="38">
        <f t="shared" si="0"/>
        <v>1.0813111000000504</v>
      </c>
      <c r="H63" s="38">
        <f>VLOOKUP($B63,'Old LS-Reports'!$A$4:$V$344,6,FALSE)-D63</f>
        <v>269.88468889999996</v>
      </c>
      <c r="I63" s="16">
        <f>VLOOKUP($B63,'Correlation sheet'!$C$4:$M$373,9,FALSE)</f>
        <v>270.94099999999997</v>
      </c>
      <c r="J63" s="38">
        <f t="shared" si="1"/>
        <v>1.0563111000000163</v>
      </c>
      <c r="K63" s="38">
        <f>VLOOKUP($B63,'Old LS-Reports'!$A$4:$V$344,16,FALSE)-D63</f>
        <v>270.11511389999998</v>
      </c>
      <c r="L63" s="38">
        <f>VLOOKUP($B63,'Old LS-Reports'!$A$4:$V$344,19,FALSE)-D63</f>
        <v>270.10175139999996</v>
      </c>
      <c r="M63" s="38">
        <f t="shared" si="2"/>
        <v>0.839248600000019</v>
      </c>
      <c r="N63" s="38">
        <f>VLOOKUP($B63,'Old LS-Reports'!$A$4:$V$344,8,FALSE)</f>
        <v>-13.9023752</v>
      </c>
      <c r="P63" s="41"/>
    </row>
    <row r="64" spans="1:16" x14ac:dyDescent="0.25">
      <c r="A64" s="39">
        <v>283460</v>
      </c>
      <c r="B64" s="39">
        <v>92462.675000000003</v>
      </c>
      <c r="C64" s="40">
        <f>VLOOKUP($B64,'Correlation sheet'!$C$4:$M$373,6,FALSE)</f>
        <v>1172867.2929307017</v>
      </c>
      <c r="D64" s="16">
        <f>VLOOKUP($B64,'Correlation sheet'!$C$4:$N$373,11,FALSE)</f>
        <v>0.11368750000002592</v>
      </c>
      <c r="E64" s="38">
        <f>VLOOKUP($B64,'Old LS-Reports'!$A$4:$V$344,5,FALSE)-D64</f>
        <v>270.4918677</v>
      </c>
      <c r="F64" s="16">
        <f>VLOOKUP($B64,'Correlation sheet'!$C$4:$M$373,10,FALSE)</f>
        <v>271.654</v>
      </c>
      <c r="G64" s="38">
        <f t="shared" si="0"/>
        <v>1.1621322999999961</v>
      </c>
      <c r="H64" s="38">
        <f>VLOOKUP($B64,'Old LS-Reports'!$A$4:$V$344,6,FALSE)-D64</f>
        <v>269.80386770000001</v>
      </c>
      <c r="I64" s="16">
        <f>VLOOKUP($B64,'Correlation sheet'!$C$4:$M$373,9,FALSE)</f>
        <v>270.94099999999997</v>
      </c>
      <c r="J64" s="38">
        <f t="shared" si="1"/>
        <v>1.137132299999962</v>
      </c>
      <c r="K64" s="38">
        <f>VLOOKUP($B64,'Old LS-Reports'!$A$4:$V$344,16,FALSE)-D64</f>
        <v>269.89263369999998</v>
      </c>
      <c r="L64" s="38">
        <f>VLOOKUP($B64,'Old LS-Reports'!$A$4:$V$344,19,FALSE)-D64</f>
        <v>270.28350369999998</v>
      </c>
      <c r="M64" s="38">
        <f t="shared" si="2"/>
        <v>0.65749629999999115</v>
      </c>
      <c r="N64" s="38">
        <f>VLOOKUP($B64,'Old LS-Reports'!$A$4:$V$344,8,FALSE)</f>
        <v>-13.891498500000001</v>
      </c>
      <c r="P64" s="41"/>
    </row>
    <row r="65" spans="1:16" x14ac:dyDescent="0.25">
      <c r="A65" s="39">
        <v>283480</v>
      </c>
      <c r="B65" s="39">
        <v>92482.675000000003</v>
      </c>
      <c r="C65" s="40">
        <f>VLOOKUP($B65,'Correlation sheet'!$C$4:$M$373,6,FALSE)</f>
        <v>1172887.2929306994</v>
      </c>
      <c r="D65" s="16">
        <f>VLOOKUP($B65,'Correlation sheet'!$C$4:$N$373,11,FALSE)</f>
        <v>0.11368750000002592</v>
      </c>
      <c r="E65" s="38">
        <f>VLOOKUP($B65,'Old LS-Reports'!$A$4:$V$344,5,FALSE)-D65</f>
        <v>270.41095899999999</v>
      </c>
      <c r="F65" s="16">
        <f>VLOOKUP($B65,'Correlation sheet'!$C$4:$M$373,10,FALSE)</f>
        <v>271.654</v>
      </c>
      <c r="G65" s="38">
        <f t="shared" si="0"/>
        <v>1.2430410000000052</v>
      </c>
      <c r="H65" s="38">
        <f>VLOOKUP($B65,'Old LS-Reports'!$A$4:$V$344,6,FALSE)-D65</f>
        <v>269.722959</v>
      </c>
      <c r="I65" s="16">
        <f>VLOOKUP($B65,'Correlation sheet'!$C$4:$M$373,9,FALSE)</f>
        <v>270.94099999999997</v>
      </c>
      <c r="J65" s="38">
        <f t="shared" si="1"/>
        <v>1.2180409999999711</v>
      </c>
      <c r="K65" s="38">
        <f>VLOOKUP($B65,'Old LS-Reports'!$A$4:$V$344,16,FALSE)-D65</f>
        <v>269.31795269999998</v>
      </c>
      <c r="L65" s="38">
        <f>VLOOKUP($B65,'Old LS-Reports'!$A$4:$V$344,19,FALSE)-D65</f>
        <v>269.74726419999996</v>
      </c>
      <c r="M65" s="38">
        <f t="shared" si="2"/>
        <v>1.1937358000000131</v>
      </c>
      <c r="N65" s="38">
        <f>VLOOKUP($B65,'Old LS-Reports'!$A$4:$V$344,8,FALSE)</f>
        <v>-13.884118900000001</v>
      </c>
      <c r="P65" s="41"/>
    </row>
    <row r="66" spans="1:16" x14ac:dyDescent="0.25">
      <c r="A66" s="39">
        <v>283500</v>
      </c>
      <c r="B66" s="39">
        <v>92502.676000000007</v>
      </c>
      <c r="C66" s="40">
        <f>VLOOKUP($B66,'Correlation sheet'!$C$4:$M$373,6,FALSE)</f>
        <v>1172907.294</v>
      </c>
      <c r="D66" s="16">
        <f>VLOOKUP($B66,'Correlation sheet'!$C$4:$N$373,11,FALSE)</f>
        <v>0.11368750000002592</v>
      </c>
      <c r="E66" s="38">
        <f>VLOOKUP($B66,'Old LS-Reports'!$A$4:$V$344,5,FALSE)-D66</f>
        <v>270.33005019999996</v>
      </c>
      <c r="F66" s="16">
        <f>VLOOKUP($B66,'Correlation sheet'!$C$4:$M$373,10,FALSE)</f>
        <v>271.654</v>
      </c>
      <c r="G66" s="38">
        <f t="shared" si="0"/>
        <v>1.3239498000000367</v>
      </c>
      <c r="H66" s="38">
        <f>VLOOKUP($B66,'Old LS-Reports'!$A$4:$V$344,6,FALSE)-D66</f>
        <v>269.64205019999997</v>
      </c>
      <c r="I66" s="16">
        <f>VLOOKUP($B66,'Correlation sheet'!$C$4:$M$373,9,FALSE)</f>
        <v>270.94099999999997</v>
      </c>
      <c r="J66" s="38">
        <f t="shared" si="1"/>
        <v>1.2989498000000026</v>
      </c>
      <c r="K66" s="38">
        <f>VLOOKUP($B66,'Old LS-Reports'!$A$4:$V$344,16,FALSE)-D66</f>
        <v>268.4192491</v>
      </c>
      <c r="L66" s="38">
        <f>VLOOKUP($B66,'Old LS-Reports'!$A$4:$V$344,19,FALSE)-D66</f>
        <v>268.4151028</v>
      </c>
      <c r="M66" s="38">
        <f t="shared" si="2"/>
        <v>2.5258971999999744</v>
      </c>
      <c r="N66" s="38">
        <f>VLOOKUP($B66,'Old LS-Reports'!$A$4:$V$344,8,FALSE)</f>
        <v>-13.876739300000001</v>
      </c>
      <c r="P66" s="41"/>
    </row>
    <row r="67" spans="1:16" x14ac:dyDescent="0.25">
      <c r="A67" s="39">
        <v>283500</v>
      </c>
      <c r="B67" s="39">
        <v>92502.676000000007</v>
      </c>
      <c r="C67" s="40">
        <f>VLOOKUP($B67,'Correlation sheet'!$C$4:$M$373,6,FALSE)</f>
        <v>1172907.294</v>
      </c>
      <c r="D67" s="16">
        <f>VLOOKUP($B67,'Correlation sheet'!$C$4:$N$373,11,FALSE)</f>
        <v>0.11368750000002592</v>
      </c>
      <c r="E67" s="38">
        <f>VLOOKUP($B67,'Old LS-Reports'!$A$4:$V$344,5,FALSE)-D67</f>
        <v>270.33005019999996</v>
      </c>
      <c r="F67" s="16">
        <f>VLOOKUP($B67,'Correlation sheet'!$C$4:$M$373,10,FALSE)</f>
        <v>271.654</v>
      </c>
      <c r="G67" s="38">
        <f t="shared" ref="G67:G130" si="3">F67-E67</f>
        <v>1.3239498000000367</v>
      </c>
      <c r="H67" s="38">
        <f>VLOOKUP($B67,'Old LS-Reports'!$A$4:$V$344,6,FALSE)-D67</f>
        <v>269.64205019999997</v>
      </c>
      <c r="I67" s="16">
        <f>VLOOKUP($B67,'Correlation sheet'!$C$4:$M$373,9,FALSE)</f>
        <v>270.94099999999997</v>
      </c>
      <c r="J67" s="38">
        <f t="shared" ref="J67:J130" si="4">I67-H67</f>
        <v>1.2989498000000026</v>
      </c>
      <c r="K67" s="38">
        <f>VLOOKUP($B67,'Old LS-Reports'!$A$4:$V$344,16,FALSE)-D67</f>
        <v>268.4192491</v>
      </c>
      <c r="L67" s="38">
        <f>VLOOKUP($B67,'Old LS-Reports'!$A$4:$V$344,19,FALSE)-D67</f>
        <v>268.4151028</v>
      </c>
      <c r="M67" s="38">
        <f t="shared" ref="M67:M130" si="5">I67-L67</f>
        <v>2.5258971999999744</v>
      </c>
      <c r="N67" s="38">
        <f>VLOOKUP($B67,'Old LS-Reports'!$A$4:$V$344,8,FALSE)</f>
        <v>-13.876739300000001</v>
      </c>
      <c r="P67" s="41"/>
    </row>
    <row r="68" spans="1:16" x14ac:dyDescent="0.25">
      <c r="A68" s="39">
        <v>283520</v>
      </c>
      <c r="B68" s="39">
        <v>92522.676000000007</v>
      </c>
      <c r="C68" s="40">
        <f>VLOOKUP($B68,'Correlation sheet'!$C$4:$M$373,6,FALSE)</f>
        <v>1172927.2939999977</v>
      </c>
      <c r="D68" s="16">
        <f>VLOOKUP($B68,'Correlation sheet'!$C$4:$N$373,11,FALSE)</f>
        <v>0.11368750000002592</v>
      </c>
      <c r="E68" s="38">
        <f>VLOOKUP($B68,'Old LS-Reports'!$A$4:$V$344,5,FALSE)-D68</f>
        <v>270.31384869999999</v>
      </c>
      <c r="F68" s="16">
        <f>VLOOKUP($B68,'Correlation sheet'!$C$4:$M$373,10,FALSE)</f>
        <v>271.654</v>
      </c>
      <c r="G68" s="38">
        <f t="shared" si="3"/>
        <v>1.3401513000000023</v>
      </c>
      <c r="H68" s="38">
        <f>VLOOKUP($B68,'Old LS-Reports'!$A$4:$V$344,6,FALSE)-D68</f>
        <v>269.62584870000001</v>
      </c>
      <c r="I68" s="16">
        <f>VLOOKUP($B68,'Correlation sheet'!$C$4:$M$373,9,FALSE)</f>
        <v>270.94099999999997</v>
      </c>
      <c r="J68" s="38">
        <f t="shared" si="4"/>
        <v>1.3151512999999682</v>
      </c>
      <c r="K68" s="38">
        <f>VLOOKUP($B68,'Old LS-Reports'!$A$4:$V$344,16,FALSE)-D68</f>
        <v>268.06285689999999</v>
      </c>
      <c r="L68" s="38">
        <f>VLOOKUP($B68,'Old LS-Reports'!$A$4:$V$344,19,FALSE)-D68</f>
        <v>268.0743885</v>
      </c>
      <c r="M68" s="38">
        <f t="shared" si="5"/>
        <v>2.8666114999999763</v>
      </c>
      <c r="N68" s="38">
        <f>VLOOKUP($B68,'Old LS-Reports'!$A$4:$V$344,8,FALSE)</f>
        <v>-13.8689535</v>
      </c>
      <c r="P68" s="41"/>
    </row>
    <row r="69" spans="1:16" x14ac:dyDescent="0.25">
      <c r="A69" s="39">
        <v>283540</v>
      </c>
      <c r="B69" s="39">
        <v>92542.676000000007</v>
      </c>
      <c r="C69" s="40">
        <f>VLOOKUP($B69,'Correlation sheet'!$C$4:$M$373,6,FALSE)</f>
        <v>1172947.2939997409</v>
      </c>
      <c r="D69" s="16">
        <f>VLOOKUP($B69,'Correlation sheet'!$C$4:$N$373,11,FALSE)</f>
        <v>0.11368750000002592</v>
      </c>
      <c r="E69" s="38">
        <f>VLOOKUP($B69,'Old LS-Reports'!$A$4:$V$344,5,FALSE)-D69</f>
        <v>270.30744449999997</v>
      </c>
      <c r="F69" s="16">
        <f>VLOOKUP($B69,'Correlation sheet'!$C$4:$M$373,10,FALSE)</f>
        <v>271.654</v>
      </c>
      <c r="G69" s="38">
        <f t="shared" si="3"/>
        <v>1.3465555000000222</v>
      </c>
      <c r="H69" s="38">
        <f>VLOOKUP($B69,'Old LS-Reports'!$A$4:$V$344,6,FALSE)-D69</f>
        <v>269.61944449999999</v>
      </c>
      <c r="I69" s="16">
        <f>VLOOKUP($B69,'Correlation sheet'!$C$4:$M$373,9,FALSE)</f>
        <v>270.94099999999997</v>
      </c>
      <c r="J69" s="38">
        <f t="shared" si="4"/>
        <v>1.3215554999999881</v>
      </c>
      <c r="K69" s="38">
        <f>VLOOKUP($B69,'Old LS-Reports'!$A$4:$V$344,16,FALSE)-D69</f>
        <v>267.8781032</v>
      </c>
      <c r="L69" s="38">
        <f>VLOOKUP($B69,'Old LS-Reports'!$A$4:$V$344,19,FALSE)-D69</f>
        <v>267.73326359999999</v>
      </c>
      <c r="M69" s="38">
        <f t="shared" si="5"/>
        <v>3.2077363999999875</v>
      </c>
      <c r="N69" s="38">
        <f>VLOOKUP($B69,'Old LS-Reports'!$A$4:$V$344,8,FALSE)</f>
        <v>-13.858214500000001</v>
      </c>
      <c r="P69" s="41"/>
    </row>
    <row r="70" spans="1:16" x14ac:dyDescent="0.25">
      <c r="A70" s="39">
        <v>283560</v>
      </c>
      <c r="B70" s="39">
        <v>92562.69</v>
      </c>
      <c r="C70" s="40">
        <f>VLOOKUP($B70,'Correlation sheet'!$C$4:$M$373,6,FALSE)</f>
        <v>1172967.3079957522</v>
      </c>
      <c r="D70" s="16">
        <f>VLOOKUP($B70,'Correlation sheet'!$C$4:$N$373,11,FALSE)</f>
        <v>0.11368750000002592</v>
      </c>
      <c r="E70" s="38">
        <f>VLOOKUP($B70,'Old LS-Reports'!$A$4:$V$344,5,FALSE)-D70</f>
        <v>270.28938529999999</v>
      </c>
      <c r="F70" s="16">
        <f>VLOOKUP($B70,'Correlation sheet'!$C$4:$M$373,10,FALSE)</f>
        <v>271.654</v>
      </c>
      <c r="G70" s="38">
        <f t="shared" si="3"/>
        <v>1.3646147000000042</v>
      </c>
      <c r="H70" s="38">
        <f>VLOOKUP($B70,'Old LS-Reports'!$A$4:$V$344,6,FALSE)-D70</f>
        <v>269.6013853</v>
      </c>
      <c r="I70" s="16">
        <f>VLOOKUP($B70,'Correlation sheet'!$C$4:$M$373,9,FALSE)</f>
        <v>270.94099999999997</v>
      </c>
      <c r="J70" s="38">
        <f t="shared" si="4"/>
        <v>1.3396146999999701</v>
      </c>
      <c r="K70" s="38">
        <f>VLOOKUP($B70,'Old LS-Reports'!$A$4:$V$344,16,FALSE)-D70</f>
        <v>267.63004109999997</v>
      </c>
      <c r="L70" s="38">
        <f>VLOOKUP($B70,'Old LS-Reports'!$A$4:$V$344,19,FALSE)-D70</f>
        <v>268.00413459999999</v>
      </c>
      <c r="M70" s="38">
        <f t="shared" si="5"/>
        <v>2.9368653999999879</v>
      </c>
      <c r="N70" s="38">
        <f>VLOOKUP($B70,'Old LS-Reports'!$A$4:$V$344,8,FALSE)</f>
        <v>-13.838229500000001</v>
      </c>
      <c r="P70" s="41"/>
    </row>
    <row r="71" spans="1:16" x14ac:dyDescent="0.25">
      <c r="A71" s="39">
        <v>283580</v>
      </c>
      <c r="B71" s="39">
        <v>92582.69</v>
      </c>
      <c r="C71" s="40">
        <f>VLOOKUP($B71,'Correlation sheet'!$C$4:$M$373,6,FALSE)</f>
        <v>1172987.3079865549</v>
      </c>
      <c r="D71" s="16">
        <f>VLOOKUP($B71,'Correlation sheet'!$C$4:$N$373,11,FALSE)</f>
        <v>0.11368750000002592</v>
      </c>
      <c r="E71" s="38">
        <f>VLOOKUP($B71,'Old LS-Reports'!$A$4:$V$344,5,FALSE)-D71</f>
        <v>270.2689896</v>
      </c>
      <c r="F71" s="16">
        <f>VLOOKUP($B71,'Correlation sheet'!$C$4:$M$373,10,FALSE)</f>
        <v>271.654</v>
      </c>
      <c r="G71" s="38">
        <f t="shared" si="3"/>
        <v>1.3850103999999988</v>
      </c>
      <c r="H71" s="38">
        <f>VLOOKUP($B71,'Old LS-Reports'!$A$4:$V$344,6,FALSE)-D71</f>
        <v>269.58098960000001</v>
      </c>
      <c r="I71" s="16">
        <f>VLOOKUP($B71,'Correlation sheet'!$C$4:$M$373,9,FALSE)</f>
        <v>270.94099999999997</v>
      </c>
      <c r="J71" s="38">
        <f t="shared" si="4"/>
        <v>1.3600103999999646</v>
      </c>
      <c r="K71" s="38">
        <f>VLOOKUP($B71,'Old LS-Reports'!$A$4:$V$344,16,FALSE)-D71</f>
        <v>267.4522303</v>
      </c>
      <c r="L71" s="38">
        <f>VLOOKUP($B71,'Old LS-Reports'!$A$4:$V$344,19,FALSE)-D71</f>
        <v>268.44056619999998</v>
      </c>
      <c r="M71" s="38">
        <f t="shared" si="5"/>
        <v>2.5004337999999962</v>
      </c>
      <c r="N71" s="38">
        <f>VLOOKUP($B71,'Old LS-Reports'!$A$4:$V$344,8,FALSE)</f>
        <v>-13.7645158</v>
      </c>
      <c r="P71" s="41"/>
    </row>
    <row r="72" spans="1:16" x14ac:dyDescent="0.25">
      <c r="A72" s="39">
        <v>283600</v>
      </c>
      <c r="B72" s="39">
        <v>92602.683000000005</v>
      </c>
      <c r="C72" s="40">
        <f>VLOOKUP($B72,'Correlation sheet'!$C$4:$M$373,6,FALSE)</f>
        <v>1173007.3009797162</v>
      </c>
      <c r="D72" s="16">
        <f>VLOOKUP($B72,'Correlation sheet'!$C$4:$N$373,11,FALSE)</f>
        <v>0.11368750000002592</v>
      </c>
      <c r="E72" s="38">
        <f>VLOOKUP($B72,'Old LS-Reports'!$A$4:$V$344,5,FALSE)-D72</f>
        <v>270.2535676</v>
      </c>
      <c r="F72" s="16">
        <f>VLOOKUP($B72,'Correlation sheet'!$C$4:$M$373,10,FALSE)</f>
        <v>271.654</v>
      </c>
      <c r="G72" s="38">
        <f t="shared" si="3"/>
        <v>1.4004323999999997</v>
      </c>
      <c r="H72" s="38">
        <f>VLOOKUP($B72,'Old LS-Reports'!$A$4:$V$344,6,FALSE)-D72</f>
        <v>269.56556760000001</v>
      </c>
      <c r="I72" s="16">
        <f>VLOOKUP($B72,'Correlation sheet'!$C$4:$M$373,9,FALSE)</f>
        <v>270.94099999999997</v>
      </c>
      <c r="J72" s="38">
        <f t="shared" si="4"/>
        <v>1.3754323999999656</v>
      </c>
      <c r="K72" s="38">
        <f>VLOOKUP($B72,'Old LS-Reports'!$A$4:$V$344,16,FALSE)-D72</f>
        <v>268.57672359999998</v>
      </c>
      <c r="L72" s="38">
        <f>VLOOKUP($B72,'Old LS-Reports'!$A$4:$V$344,19,FALSE)-D72</f>
        <v>268.5428455</v>
      </c>
      <c r="M72" s="38">
        <f t="shared" si="5"/>
        <v>2.3981544999999755</v>
      </c>
      <c r="N72" s="38">
        <f>VLOOKUP($B72,'Old LS-Reports'!$A$4:$V$344,8,FALSE)</f>
        <v>-13.620770199999999</v>
      </c>
      <c r="P72" s="41"/>
    </row>
    <row r="73" spans="1:16" x14ac:dyDescent="0.25">
      <c r="A73" s="39">
        <v>283620</v>
      </c>
      <c r="B73" s="39">
        <v>92622.683999999994</v>
      </c>
      <c r="C73" s="40">
        <f>VLOOKUP($B73,'Correlation sheet'!$C$4:$M$373,6,FALSE)</f>
        <v>1173027.3019784542</v>
      </c>
      <c r="D73" s="16">
        <f>VLOOKUP($B73,'Correlation sheet'!$C$4:$N$373,11,FALSE)</f>
        <v>0.11368750000002592</v>
      </c>
      <c r="E73" s="38">
        <f>VLOOKUP($B73,'Old LS-Reports'!$A$4:$V$344,5,FALSE)-D73</f>
        <v>270.24263589999998</v>
      </c>
      <c r="F73" s="16">
        <f>VLOOKUP($B73,'Correlation sheet'!$C$4:$M$373,10,FALSE)</f>
        <v>271.654</v>
      </c>
      <c r="G73" s="38">
        <f t="shared" si="3"/>
        <v>1.4113641000000143</v>
      </c>
      <c r="H73" s="38">
        <f>VLOOKUP($B73,'Old LS-Reports'!$A$4:$V$344,6,FALSE)-D73</f>
        <v>269.55463589999999</v>
      </c>
      <c r="I73" s="16">
        <f>VLOOKUP($B73,'Correlation sheet'!$C$4:$M$373,9,FALSE)</f>
        <v>270.94099999999997</v>
      </c>
      <c r="J73" s="38">
        <f t="shared" si="4"/>
        <v>1.3863640999999802</v>
      </c>
      <c r="K73" s="38">
        <f>VLOOKUP($B73,'Old LS-Reports'!$A$4:$V$344,16,FALSE)-D73</f>
        <v>268.17931609999999</v>
      </c>
      <c r="L73" s="38">
        <f>VLOOKUP($B73,'Old LS-Reports'!$A$4:$V$344,19,FALSE)-D73</f>
        <v>268.32809789999999</v>
      </c>
      <c r="M73" s="38">
        <f t="shared" si="5"/>
        <v>2.6129020999999852</v>
      </c>
      <c r="N73" s="38">
        <f>VLOOKUP($B73,'Old LS-Reports'!$A$4:$V$344,8,FALSE)</f>
        <v>-13.430707699999999</v>
      </c>
      <c r="P73" s="41"/>
    </row>
    <row r="74" spans="1:16" x14ac:dyDescent="0.25">
      <c r="A74" s="39">
        <v>283640</v>
      </c>
      <c r="B74" s="39">
        <v>92642.671000000002</v>
      </c>
      <c r="C74" s="40">
        <f>VLOOKUP($B74,'Correlation sheet'!$C$4:$M$373,6,FALSE)</f>
        <v>1173047.2889784563</v>
      </c>
      <c r="D74" s="16">
        <f>VLOOKUP($B74,'Correlation sheet'!$C$4:$N$373,11,FALSE)</f>
        <v>0.11056009999998651</v>
      </c>
      <c r="E74" s="38">
        <f>VLOOKUP($B74,'Old LS-Reports'!$A$4:$V$344,5,FALSE)-D74</f>
        <v>270.2349711</v>
      </c>
      <c r="F74" s="16">
        <f>VLOOKUP($B74,'Correlation sheet'!$C$4:$M$373,10,FALSE)</f>
        <v>271.654</v>
      </c>
      <c r="G74" s="38">
        <f t="shared" si="3"/>
        <v>1.4190289000000007</v>
      </c>
      <c r="H74" s="38">
        <f>VLOOKUP($B74,'Old LS-Reports'!$A$4:$V$344,6,FALSE)-D74</f>
        <v>269.54697110000001</v>
      </c>
      <c r="I74" s="16">
        <f>VLOOKUP($B74,'Correlation sheet'!$C$4:$M$373,9,FALSE)</f>
        <v>270.94099999999997</v>
      </c>
      <c r="J74" s="38">
        <f t="shared" si="4"/>
        <v>1.3940288999999666</v>
      </c>
      <c r="K74" s="38">
        <f>VLOOKUP($B74,'Old LS-Reports'!$A$4:$V$344,16,FALSE)-D74</f>
        <v>268.24254550000001</v>
      </c>
      <c r="L74" s="38">
        <f>VLOOKUP($B74,'Old LS-Reports'!$A$4:$V$344,19,FALSE)-D74</f>
        <v>268.47416620000001</v>
      </c>
      <c r="M74" s="38">
        <f t="shared" si="5"/>
        <v>2.4668337999999608</v>
      </c>
      <c r="N74" s="38">
        <f>VLOOKUP($B74,'Old LS-Reports'!$A$4:$V$344,8,FALSE)</f>
        <v>-13.229503599999999</v>
      </c>
      <c r="P74" s="41"/>
    </row>
    <row r="75" spans="1:16" x14ac:dyDescent="0.25">
      <c r="A75" s="39">
        <v>283660</v>
      </c>
      <c r="B75" s="39">
        <v>92662.672000000006</v>
      </c>
      <c r="C75" s="40">
        <f>VLOOKUP($B75,'Correlation sheet'!$C$4:$M$373,6,FALSE)</f>
        <v>1173067.2899784551</v>
      </c>
      <c r="D75" s="16">
        <f>VLOOKUP($B75,'Correlation sheet'!$C$4:$N$373,11,FALSE)</f>
        <v>0.10697884753744802</v>
      </c>
      <c r="E75" s="38">
        <f>VLOOKUP($B75,'Old LS-Reports'!$A$4:$V$344,5,FALSE)-D75</f>
        <v>270.23012795246257</v>
      </c>
      <c r="F75" s="16">
        <f>VLOOKUP($B75,'Correlation sheet'!$C$4:$M$373,10,FALSE)</f>
        <v>271.61776215246255</v>
      </c>
      <c r="G75" s="38">
        <f t="shared" si="3"/>
        <v>1.3876341999999795</v>
      </c>
      <c r="H75" s="38">
        <f>VLOOKUP($B75,'Old LS-Reports'!$A$4:$V$344,6,FALSE)-D75</f>
        <v>269.54212795246258</v>
      </c>
      <c r="I75" s="16">
        <f>VLOOKUP($B75,'Correlation sheet'!$C$4:$M$373,9,FALSE)</f>
        <v>270.90476215246252</v>
      </c>
      <c r="J75" s="38">
        <f t="shared" si="4"/>
        <v>1.3626341999999454</v>
      </c>
      <c r="K75" s="38">
        <f>VLOOKUP($B75,'Old LS-Reports'!$A$4:$V$344,16,FALSE)-D75</f>
        <v>267.95285265246252</v>
      </c>
      <c r="L75" s="38">
        <f>VLOOKUP($B75,'Old LS-Reports'!$A$4:$V$344,19,FALSE)-D75</f>
        <v>268.78930155246258</v>
      </c>
      <c r="M75" s="38">
        <f t="shared" si="5"/>
        <v>2.115460599999949</v>
      </c>
      <c r="N75" s="38">
        <f>VLOOKUP($B75,'Old LS-Reports'!$A$4:$V$344,8,FALSE)</f>
        <v>-13.0080796</v>
      </c>
      <c r="P75" s="41"/>
    </row>
    <row r="76" spans="1:16" x14ac:dyDescent="0.25">
      <c r="A76" s="39">
        <v>283680</v>
      </c>
      <c r="B76" s="39">
        <v>92682.659</v>
      </c>
      <c r="C76" s="40">
        <f>VLOOKUP($B76,'Correlation sheet'!$C$4:$M$373,6,FALSE)</f>
        <v>1173087.2769784534</v>
      </c>
      <c r="D76" s="16">
        <f>VLOOKUP($B76,'Correlation sheet'!$C$4:$N$373,11,FALSE)</f>
        <v>0.10770641235768608</v>
      </c>
      <c r="E76" s="38">
        <f>VLOOKUP($B76,'Old LS-Reports'!$A$4:$V$344,5,FALSE)-D76</f>
        <v>270.22171168764231</v>
      </c>
      <c r="F76" s="16">
        <f>VLOOKUP($B76,'Correlation sheet'!$C$4:$M$373,10,FALSE)</f>
        <v>271.56668408764233</v>
      </c>
      <c r="G76" s="38">
        <f t="shared" si="3"/>
        <v>1.3449724000000174</v>
      </c>
      <c r="H76" s="38">
        <f>VLOOKUP($B76,'Old LS-Reports'!$A$4:$V$344,6,FALSE)-D76</f>
        <v>269.53371168764232</v>
      </c>
      <c r="I76" s="16">
        <f>VLOOKUP($B76,'Correlation sheet'!$C$4:$M$373,9,FALSE)</f>
        <v>270.85368408764231</v>
      </c>
      <c r="J76" s="38">
        <f t="shared" si="4"/>
        <v>1.3199723999999833</v>
      </c>
      <c r="K76" s="38">
        <f>VLOOKUP($B76,'Old LS-Reports'!$A$4:$V$344,16,FALSE)-D76</f>
        <v>267.59887858764233</v>
      </c>
      <c r="L76" s="38">
        <f>VLOOKUP($B76,'Old LS-Reports'!$A$4:$V$344,19,FALSE)-D76</f>
        <v>267.97068518764229</v>
      </c>
      <c r="M76" s="38">
        <f t="shared" si="5"/>
        <v>2.8829989000000182</v>
      </c>
      <c r="N76" s="38">
        <f>VLOOKUP($B76,'Old LS-Reports'!$A$4:$V$344,8,FALSE)</f>
        <v>-12.780780399999999</v>
      </c>
      <c r="P76" s="41"/>
    </row>
    <row r="77" spans="1:16" x14ac:dyDescent="0.25">
      <c r="A77" s="39">
        <v>283700</v>
      </c>
      <c r="B77" s="39">
        <v>92702.660999999993</v>
      </c>
      <c r="C77" s="40">
        <f>VLOOKUP($B77,'Correlation sheet'!$C$4:$M$373,6,FALSE)</f>
        <v>1173107.2789784565</v>
      </c>
      <c r="D77" s="16">
        <f>VLOOKUP($B77,'Correlation sheet'!$C$4:$N$373,11,FALSE)</f>
        <v>0.10843631065546333</v>
      </c>
      <c r="E77" s="38">
        <f>VLOOKUP($B77,'Old LS-Reports'!$A$4:$V$344,5,FALSE)-D77</f>
        <v>270.21523138934452</v>
      </c>
      <c r="F77" s="16">
        <f>VLOOKUP($B77,'Correlation sheet'!$C$4:$M$373,10,FALSE)</f>
        <v>271.51556768934455</v>
      </c>
      <c r="G77" s="38">
        <f t="shared" si="3"/>
        <v>1.3003363000000263</v>
      </c>
      <c r="H77" s="38">
        <f>VLOOKUP($B77,'Old LS-Reports'!$A$4:$V$344,6,FALSE)-D77</f>
        <v>269.52723138934454</v>
      </c>
      <c r="I77" s="16">
        <f>VLOOKUP($B77,'Correlation sheet'!$C$4:$M$373,9,FALSE)</f>
        <v>270.80256768934453</v>
      </c>
      <c r="J77" s="38">
        <f t="shared" si="4"/>
        <v>1.2753362999999922</v>
      </c>
      <c r="K77" s="38">
        <f>VLOOKUP($B77,'Old LS-Reports'!$A$4:$V$344,16,FALSE)-D77</f>
        <v>267.21337578934452</v>
      </c>
      <c r="L77" s="38">
        <f>VLOOKUP($B77,'Old LS-Reports'!$A$4:$V$344,19,FALSE)-D77</f>
        <v>267.03351108934453</v>
      </c>
      <c r="M77" s="38">
        <f t="shared" si="5"/>
        <v>3.769056599999999</v>
      </c>
      <c r="N77" s="38">
        <f>VLOOKUP($B77,'Old LS-Reports'!$A$4:$V$344,8,FALSE)</f>
        <v>-12.5374038</v>
      </c>
      <c r="P77" s="41"/>
    </row>
    <row r="78" spans="1:16" x14ac:dyDescent="0.25">
      <c r="A78" s="39">
        <v>283720</v>
      </c>
      <c r="B78" s="39">
        <v>92722.691999999995</v>
      </c>
      <c r="C78" s="40">
        <f>VLOOKUP($B78,'Correlation sheet'!$C$4:$M$373,6,FALSE)</f>
        <v>1173127.3099784567</v>
      </c>
      <c r="D78" s="16">
        <f>VLOOKUP($B78,'Correlation sheet'!$C$4:$N$373,11,FALSE)</f>
        <v>0.1091653203121723</v>
      </c>
      <c r="E78" s="38">
        <f>VLOOKUP($B78,'Old LS-Reports'!$A$4:$V$344,5,FALSE)-D78</f>
        <v>270.20538907968785</v>
      </c>
      <c r="F78" s="16">
        <f>VLOOKUP($B78,'Correlation sheet'!$C$4:$M$373,10,FALSE)</f>
        <v>271.46437717968786</v>
      </c>
      <c r="G78" s="38">
        <f t="shared" si="3"/>
        <v>1.2589881000000105</v>
      </c>
      <c r="H78" s="38">
        <f>VLOOKUP($B78,'Old LS-Reports'!$A$4:$V$344,6,FALSE)-D78</f>
        <v>269.51738907968786</v>
      </c>
      <c r="I78" s="16">
        <f>VLOOKUP($B78,'Correlation sheet'!$C$4:$M$373,9,FALSE)</f>
        <v>270.75137717968784</v>
      </c>
      <c r="J78" s="38">
        <f t="shared" si="4"/>
        <v>1.2339880999999764</v>
      </c>
      <c r="K78" s="38">
        <f>VLOOKUP($B78,'Old LS-Reports'!$A$4:$V$344,16,FALSE)-D78</f>
        <v>267.44603307968782</v>
      </c>
      <c r="L78" s="38">
        <f>VLOOKUP($B78,'Old LS-Reports'!$A$4:$V$344,19,FALSE)-D78</f>
        <v>267.0833110796878</v>
      </c>
      <c r="M78" s="38">
        <f t="shared" si="5"/>
        <v>3.6680661000000327</v>
      </c>
      <c r="N78" s="38">
        <f>VLOOKUP($B78,'Old LS-Reports'!$A$4:$V$344,8,FALSE)</f>
        <v>-12.3028064</v>
      </c>
      <c r="P78" s="41"/>
    </row>
    <row r="79" spans="1:16" x14ac:dyDescent="0.25">
      <c r="A79" s="39">
        <v>283740</v>
      </c>
      <c r="B79" s="39">
        <v>92742.692999999999</v>
      </c>
      <c r="C79" s="40">
        <f>VLOOKUP($B79,'Correlation sheet'!$C$4:$M$373,6,FALSE)</f>
        <v>1173147.3109784557</v>
      </c>
      <c r="D79" s="16">
        <f>VLOOKUP($B79,'Correlation sheet'!$C$4:$N$373,11,FALSE)</f>
        <v>0.10989406303502847</v>
      </c>
      <c r="E79" s="38">
        <f>VLOOKUP($B79,'Old LS-Reports'!$A$4:$V$344,5,FALSE)-D79</f>
        <v>270.18104773696496</v>
      </c>
      <c r="F79" s="16">
        <f>VLOOKUP($B79,'Correlation sheet'!$C$4:$M$373,10,FALSE)</f>
        <v>271.41326333696497</v>
      </c>
      <c r="G79" s="38">
        <f t="shared" si="3"/>
        <v>1.2322156000000177</v>
      </c>
      <c r="H79" s="38">
        <f>VLOOKUP($B79,'Old LS-Reports'!$A$4:$V$344,6,FALSE)-D79</f>
        <v>269.49304773696497</v>
      </c>
      <c r="I79" s="16">
        <f>VLOOKUP($B79,'Correlation sheet'!$C$4:$M$373,9,FALSE)</f>
        <v>270.70026333696495</v>
      </c>
      <c r="J79" s="38">
        <f t="shared" si="4"/>
        <v>1.2072155999999836</v>
      </c>
      <c r="K79" s="38">
        <f>VLOOKUP($B79,'Old LS-Reports'!$A$4:$V$344,16,FALSE)-D79</f>
        <v>267.47219973696497</v>
      </c>
      <c r="L79" s="38">
        <f>VLOOKUP($B79,'Old LS-Reports'!$A$4:$V$344,19,FALSE)-D79</f>
        <v>266.92143053696498</v>
      </c>
      <c r="M79" s="38">
        <f t="shared" si="5"/>
        <v>3.7788327999999751</v>
      </c>
      <c r="N79" s="38">
        <f>VLOOKUP($B79,'Old LS-Reports'!$A$4:$V$344,8,FALSE)</f>
        <v>-12.1077972</v>
      </c>
      <c r="P79" s="41"/>
    </row>
    <row r="80" spans="1:16" x14ac:dyDescent="0.25">
      <c r="A80" s="39">
        <v>283760</v>
      </c>
      <c r="B80" s="39">
        <v>92762.694000000003</v>
      </c>
      <c r="C80" s="40">
        <f>VLOOKUP($B80,'Correlation sheet'!$C$4:$M$373,6,FALSE)</f>
        <v>1173167.3119784538</v>
      </c>
      <c r="D80" s="16">
        <f>VLOOKUP($B80,'Correlation sheet'!$C$4:$N$373,11,FALSE)</f>
        <v>0.11062270575553157</v>
      </c>
      <c r="E80" s="38">
        <f>VLOOKUP($B80,'Old LS-Reports'!$A$4:$V$344,5,FALSE)-D80</f>
        <v>270.15670639424445</v>
      </c>
      <c r="F80" s="16">
        <f>VLOOKUP($B80,'Correlation sheet'!$C$4:$M$373,10,FALSE)</f>
        <v>271.36214949424448</v>
      </c>
      <c r="G80" s="38">
        <f t="shared" si="3"/>
        <v>1.205443100000025</v>
      </c>
      <c r="H80" s="38">
        <f>VLOOKUP($B80,'Old LS-Reports'!$A$4:$V$344,6,FALSE)-D80</f>
        <v>269.46870639424446</v>
      </c>
      <c r="I80" s="16">
        <f>VLOOKUP($B80,'Correlation sheet'!$C$4:$M$373,9,FALSE)</f>
        <v>270.64914949424445</v>
      </c>
      <c r="J80" s="38">
        <f t="shared" si="4"/>
        <v>1.1804430999999909</v>
      </c>
      <c r="K80" s="38">
        <f>VLOOKUP($B80,'Old LS-Reports'!$A$4:$V$344,16,FALSE)-D80</f>
        <v>267.39458169424449</v>
      </c>
      <c r="L80" s="38">
        <f>VLOOKUP($B80,'Old LS-Reports'!$A$4:$V$344,19,FALSE)-D80</f>
        <v>267.04885569424448</v>
      </c>
      <c r="M80" s="38">
        <f t="shared" si="5"/>
        <v>3.6002937999999745</v>
      </c>
      <c r="N80" s="38">
        <f>VLOOKUP($B80,'Old LS-Reports'!$A$4:$V$344,8,FALSE)</f>
        <v>-11.912787999999999</v>
      </c>
      <c r="P80" s="41"/>
    </row>
    <row r="81" spans="1:16" x14ac:dyDescent="0.25">
      <c r="A81" s="39">
        <v>283780</v>
      </c>
      <c r="B81" s="39">
        <v>92782.663</v>
      </c>
      <c r="C81" s="40">
        <f>VLOOKUP($B81,'Correlation sheet'!$C$4:$M$373,6,FALSE)</f>
        <v>1173187.2809783188</v>
      </c>
      <c r="D81" s="16">
        <f>VLOOKUP($B81,'Correlation sheet'!$C$4:$N$373,11,FALSE)</f>
        <v>0.11135097007655759</v>
      </c>
      <c r="E81" s="38">
        <f>VLOOKUP($B81,'Old LS-Reports'!$A$4:$V$344,5,FALSE)-D81</f>
        <v>270.12860182992347</v>
      </c>
      <c r="F81" s="16">
        <f>VLOOKUP($B81,'Correlation sheet'!$C$4:$M$373,10,FALSE)</f>
        <v>271.31111742992346</v>
      </c>
      <c r="G81" s="38">
        <f t="shared" si="3"/>
        <v>1.1825155999999879</v>
      </c>
      <c r="H81" s="38">
        <f>VLOOKUP($B81,'Old LS-Reports'!$A$4:$V$344,6,FALSE)-D81</f>
        <v>269.44060182992348</v>
      </c>
      <c r="I81" s="16">
        <f>VLOOKUP($B81,'Correlation sheet'!$C$4:$M$373,9,FALSE)</f>
        <v>270.59811742992343</v>
      </c>
      <c r="J81" s="38">
        <f t="shared" si="4"/>
        <v>1.1575155999999538</v>
      </c>
      <c r="K81" s="38">
        <f>VLOOKUP($B81,'Old LS-Reports'!$A$4:$V$344,16,FALSE)-D81</f>
        <v>267.56463182992343</v>
      </c>
      <c r="L81" s="38">
        <f>VLOOKUP($B81,'Old LS-Reports'!$A$4:$V$344,19,FALSE)-D81</f>
        <v>267.31404752992341</v>
      </c>
      <c r="M81" s="38">
        <f t="shared" si="5"/>
        <v>3.28406990000002</v>
      </c>
      <c r="N81" s="38">
        <f>VLOOKUP($B81,'Old LS-Reports'!$A$4:$V$344,8,FALSE)</f>
        <v>-11.682254499999999</v>
      </c>
      <c r="P81" s="41"/>
    </row>
    <row r="82" spans="1:16" x14ac:dyDescent="0.25">
      <c r="A82" s="39">
        <v>283800</v>
      </c>
      <c r="B82" s="39">
        <v>92802.664000000004</v>
      </c>
      <c r="C82" s="40">
        <f>VLOOKUP($B82,'Correlation sheet'!$C$4:$M$373,6,FALSE)</f>
        <v>1173207.2819752251</v>
      </c>
      <c r="D82" s="16">
        <f>VLOOKUP($B82,'Correlation sheet'!$C$4:$N$373,11,FALSE)</f>
        <v>0.11207910489588357</v>
      </c>
      <c r="E82" s="38">
        <f>VLOOKUP($B82,'Old LS-Reports'!$A$4:$V$344,5,FALSE)-D82</f>
        <v>270.09873309510414</v>
      </c>
      <c r="F82" s="16">
        <f>VLOOKUP($B82,'Correlation sheet'!$C$4:$M$373,10,FALSE)</f>
        <v>271.26000359510414</v>
      </c>
      <c r="G82" s="38">
        <f t="shared" si="3"/>
        <v>1.1612705000000005</v>
      </c>
      <c r="H82" s="38">
        <f>VLOOKUP($B82,'Old LS-Reports'!$A$4:$V$344,6,FALSE)-D82</f>
        <v>269.41073309510415</v>
      </c>
      <c r="I82" s="16">
        <f>VLOOKUP($B82,'Correlation sheet'!$C$4:$M$373,9,FALSE)</f>
        <v>270.54700359510412</v>
      </c>
      <c r="J82" s="38">
        <f t="shared" si="4"/>
        <v>1.1362704999999664</v>
      </c>
      <c r="K82" s="38">
        <f>VLOOKUP($B82,'Old LS-Reports'!$A$4:$V$344,16,FALSE)-D82</f>
        <v>267.37483589510413</v>
      </c>
      <c r="L82" s="38">
        <f>VLOOKUP($B82,'Old LS-Reports'!$A$4:$V$344,19,FALSE)-D82</f>
        <v>268.07071919510412</v>
      </c>
      <c r="M82" s="38">
        <f t="shared" si="5"/>
        <v>2.4762843999999973</v>
      </c>
      <c r="N82" s="38">
        <f>VLOOKUP($B82,'Old LS-Reports'!$A$4:$V$344,8,FALSE)</f>
        <v>-11.457958700000001</v>
      </c>
      <c r="P82" s="41"/>
    </row>
    <row r="83" spans="1:16" x14ac:dyDescent="0.25">
      <c r="A83" s="39">
        <v>283820</v>
      </c>
      <c r="B83" s="39">
        <v>92822.702000000005</v>
      </c>
      <c r="C83" s="40">
        <f>VLOOKUP($B83,'Correlation sheet'!$C$4:$M$373,6,FALSE)</f>
        <v>1173227.3199718709</v>
      </c>
      <c r="D83" s="16">
        <f>VLOOKUP($B83,'Correlation sheet'!$C$4:$N$373,11,FALSE)</f>
        <v>0.11280909493063973</v>
      </c>
      <c r="E83" s="38">
        <f>VLOOKUP($B83,'Old LS-Reports'!$A$4:$V$344,5,FALSE)-D83</f>
        <v>270.06936950506935</v>
      </c>
      <c r="F83" s="16">
        <f>VLOOKUP($B83,'Correlation sheet'!$C$4:$M$373,10,FALSE)</f>
        <v>271.20879520506935</v>
      </c>
      <c r="G83" s="38">
        <f t="shared" si="3"/>
        <v>1.1394257000000039</v>
      </c>
      <c r="H83" s="38">
        <f>VLOOKUP($B83,'Old LS-Reports'!$A$4:$V$344,6,FALSE)-D83</f>
        <v>269.38136950506936</v>
      </c>
      <c r="I83" s="16">
        <f>VLOOKUP($B83,'Correlation sheet'!$C$4:$M$373,9,FALSE)</f>
        <v>270.49579520506933</v>
      </c>
      <c r="J83" s="38">
        <f t="shared" si="4"/>
        <v>1.1144256999999698</v>
      </c>
      <c r="K83" s="38">
        <f>VLOOKUP($B83,'Old LS-Reports'!$A$4:$V$344,16,FALSE)-D83</f>
        <v>267.82146600506934</v>
      </c>
      <c r="L83" s="38">
        <f>VLOOKUP($B83,'Old LS-Reports'!$A$4:$V$344,19,FALSE)-D83</f>
        <v>268.81477800506934</v>
      </c>
      <c r="M83" s="38">
        <f t="shared" si="5"/>
        <v>1.6810171999999852</v>
      </c>
      <c r="N83" s="38">
        <f>VLOOKUP($B83,'Old LS-Reports'!$A$4:$V$344,8,FALSE)</f>
        <v>-11.287398100000001</v>
      </c>
      <c r="P83" s="41"/>
    </row>
    <row r="84" spans="1:16" x14ac:dyDescent="0.25">
      <c r="A84" s="39">
        <v>283840</v>
      </c>
      <c r="B84" s="39">
        <v>92842.702000000005</v>
      </c>
      <c r="C84" s="40">
        <f>VLOOKUP($B84,'Correlation sheet'!$C$4:$M$373,6,FALSE)</f>
        <v>1173247.3199685379</v>
      </c>
      <c r="D84" s="16">
        <f>VLOOKUP($B84,'Correlation sheet'!$C$4:$N$373,11,FALSE)</f>
        <v>0.11353727357413845</v>
      </c>
      <c r="E84" s="38">
        <f>VLOOKUP($B84,'Old LS-Reports'!$A$4:$V$344,5,FALSE)-D84</f>
        <v>270.04183532642588</v>
      </c>
      <c r="F84" s="16">
        <f>VLOOKUP($B84,'Correlation sheet'!$C$4:$M$373,10,FALSE)</f>
        <v>271.15768392642588</v>
      </c>
      <c r="G84" s="38">
        <f t="shared" si="3"/>
        <v>1.1158485999999925</v>
      </c>
      <c r="H84" s="38">
        <f>VLOOKUP($B84,'Old LS-Reports'!$A$4:$V$344,6,FALSE)-D84</f>
        <v>269.35383532642589</v>
      </c>
      <c r="I84" s="16">
        <f>VLOOKUP($B84,'Correlation sheet'!$C$4:$M$373,9,FALSE)</f>
        <v>270.44468392642585</v>
      </c>
      <c r="J84" s="38">
        <f t="shared" si="4"/>
        <v>1.0908485999999584</v>
      </c>
      <c r="K84" s="38">
        <f>VLOOKUP($B84,'Old LS-Reports'!$A$4:$V$344,16,FALSE)-D84</f>
        <v>268.92066782642587</v>
      </c>
      <c r="L84" s="38">
        <f>VLOOKUP($B84,'Old LS-Reports'!$A$4:$V$344,19,FALSE)-D84</f>
        <v>269.14016882642585</v>
      </c>
      <c r="M84" s="38">
        <f t="shared" si="5"/>
        <v>1.3045151000000033</v>
      </c>
      <c r="N84" s="38">
        <f>VLOOKUP($B84,'Old LS-Reports'!$A$4:$V$344,8,FALSE)</f>
        <v>-11.208626799999999</v>
      </c>
      <c r="P84" s="41"/>
    </row>
    <row r="85" spans="1:16" x14ac:dyDescent="0.25">
      <c r="A85" s="39">
        <v>283860</v>
      </c>
      <c r="B85" s="39">
        <v>92862.680999999997</v>
      </c>
      <c r="C85" s="40">
        <f>VLOOKUP($B85,'Correlation sheet'!$C$4:$M$373,6,FALSE)</f>
        <v>1173267.2989652108</v>
      </c>
      <c r="D85" s="16">
        <f>VLOOKUP($B85,'Correlation sheet'!$C$4:$N$373,11,FALSE)</f>
        <v>0.11426508538113467</v>
      </c>
      <c r="E85" s="38">
        <f>VLOOKUP($B85,'Old LS-Reports'!$A$4:$V$344,5,FALSE)-D85</f>
        <v>270.01495161461884</v>
      </c>
      <c r="F85" s="16">
        <f>VLOOKUP($B85,'Correlation sheet'!$C$4:$M$373,10,FALSE)</f>
        <v>271.10662631461889</v>
      </c>
      <c r="G85" s="38">
        <f t="shared" si="3"/>
        <v>1.0916747000000555</v>
      </c>
      <c r="H85" s="38">
        <f>VLOOKUP($B85,'Old LS-Reports'!$A$4:$V$344,6,FALSE)-D85</f>
        <v>269.32695161461885</v>
      </c>
      <c r="I85" s="16">
        <f>VLOOKUP($B85,'Correlation sheet'!$C$4:$M$373,9,FALSE)</f>
        <v>270.39362631461887</v>
      </c>
      <c r="J85" s="38">
        <f t="shared" si="4"/>
        <v>1.0666747000000214</v>
      </c>
      <c r="K85" s="38">
        <f>VLOOKUP($B85,'Old LS-Reports'!$A$4:$V$344,16,FALSE)-D85</f>
        <v>268.93845601461885</v>
      </c>
      <c r="L85" s="38">
        <f>VLOOKUP($B85,'Old LS-Reports'!$A$4:$V$344,19,FALSE)-D85</f>
        <v>269.06397831461885</v>
      </c>
      <c r="M85" s="38">
        <f t="shared" si="5"/>
        <v>1.3296480000000201</v>
      </c>
      <c r="N85" s="38">
        <f>VLOOKUP($B85,'Old LS-Reports'!$A$4:$V$344,8,FALSE)</f>
        <v>-11.169152199999999</v>
      </c>
      <c r="P85" s="41"/>
    </row>
    <row r="86" spans="1:16" x14ac:dyDescent="0.25">
      <c r="A86" s="39">
        <v>283880</v>
      </c>
      <c r="B86" s="39">
        <v>92882.680999999997</v>
      </c>
      <c r="C86" s="40">
        <f>VLOOKUP($B86,'Correlation sheet'!$C$4:$M$373,6,FALSE)</f>
        <v>1173287.2989618906</v>
      </c>
      <c r="D86" s="16">
        <f>VLOOKUP($B86,'Correlation sheet'!$C$4:$N$373,11,FALSE)</f>
        <v>0.11499326405731836</v>
      </c>
      <c r="E86" s="38">
        <f>VLOOKUP($B86,'Old LS-Reports'!$A$4:$V$344,5,FALSE)-D86</f>
        <v>270.0204275359427</v>
      </c>
      <c r="F86" s="16">
        <f>VLOOKUP($B86,'Correlation sheet'!$C$4:$M$373,10,FALSE)</f>
        <v>271.05551503594268</v>
      </c>
      <c r="G86" s="38">
        <f t="shared" si="3"/>
        <v>1.0350874999999746</v>
      </c>
      <c r="H86" s="38">
        <f>VLOOKUP($B86,'Old LS-Reports'!$A$4:$V$344,6,FALSE)-D86</f>
        <v>269.33242753594271</v>
      </c>
      <c r="I86" s="16">
        <f>VLOOKUP($B86,'Correlation sheet'!$C$4:$M$373,9,FALSE)</f>
        <v>270.34251503594265</v>
      </c>
      <c r="J86" s="38">
        <f t="shared" si="4"/>
        <v>1.0100874999999405</v>
      </c>
      <c r="K86" s="38">
        <f>VLOOKUP($B86,'Old LS-Reports'!$A$4:$V$344,16,FALSE)-D86</f>
        <v>269.1346258359427</v>
      </c>
      <c r="L86" s="38">
        <f>VLOOKUP($B86,'Old LS-Reports'!$A$4:$V$344,19,FALSE)-D86</f>
        <v>269.18550333594266</v>
      </c>
      <c r="M86" s="38">
        <f t="shared" si="5"/>
        <v>1.1570116999999982</v>
      </c>
      <c r="N86" s="38">
        <f>VLOOKUP($B86,'Old LS-Reports'!$A$4:$V$344,8,FALSE)</f>
        <v>-11.132569200000001</v>
      </c>
      <c r="P86" s="41"/>
    </row>
    <row r="87" spans="1:16" x14ac:dyDescent="0.25">
      <c r="A87" s="39">
        <v>283900</v>
      </c>
      <c r="B87" s="39">
        <v>92902.680999999997</v>
      </c>
      <c r="C87" s="40">
        <f>VLOOKUP($B87,'Correlation sheet'!$C$4:$M$373,6,FALSE)</f>
        <v>1173307.2989613221</v>
      </c>
      <c r="D87" s="16">
        <f>VLOOKUP($B87,'Correlation sheet'!$C$4:$N$373,11,FALSE)</f>
        <v>0.11572204976539524</v>
      </c>
      <c r="E87" s="38">
        <f>VLOOKUP($B87,'Old LS-Reports'!$A$4:$V$344,5,FALSE)-D87</f>
        <v>270.02590275023459</v>
      </c>
      <c r="F87" s="16">
        <f>VLOOKUP($B87,'Correlation sheet'!$C$4:$M$373,10,FALSE)</f>
        <v>271.00440375023459</v>
      </c>
      <c r="G87" s="38">
        <f t="shared" si="3"/>
        <v>0.97850099999999429</v>
      </c>
      <c r="H87" s="38">
        <f>VLOOKUP($B87,'Old LS-Reports'!$A$4:$V$344,6,FALSE)-D87</f>
        <v>269.3379027502346</v>
      </c>
      <c r="I87" s="16">
        <f>VLOOKUP($B87,'Correlation sheet'!$C$4:$M$373,9,FALSE)</f>
        <v>270.29140375023456</v>
      </c>
      <c r="J87" s="38">
        <f t="shared" si="4"/>
        <v>0.95350099999996019</v>
      </c>
      <c r="K87" s="38">
        <f>VLOOKUP($B87,'Old LS-Reports'!$A$4:$V$344,16,FALSE)-D87</f>
        <v>269.12676025023461</v>
      </c>
      <c r="L87" s="38">
        <f>VLOOKUP($B87,'Old LS-Reports'!$A$4:$V$344,19,FALSE)-D87</f>
        <v>269.17192685023463</v>
      </c>
      <c r="M87" s="38">
        <f t="shared" si="5"/>
        <v>1.1194768999999383</v>
      </c>
      <c r="N87" s="38">
        <f>VLOOKUP($B87,'Old LS-Reports'!$A$4:$V$344,8,FALSE)</f>
        <v>-11.126932399999999</v>
      </c>
      <c r="P87" s="41"/>
    </row>
    <row r="88" spans="1:16" x14ac:dyDescent="0.25">
      <c r="A88" s="39">
        <v>283920</v>
      </c>
      <c r="B88" s="39">
        <v>92922.683999999994</v>
      </c>
      <c r="C88" s="40">
        <f>VLOOKUP($B88,'Correlation sheet'!$C$4:$M$373,6,FALSE)</f>
        <v>1173327.3019613195</v>
      </c>
      <c r="D88" s="16">
        <f>VLOOKUP($B88,'Correlation sheet'!$C$4:$N$373,11,FALSE)</f>
        <v>0.1164497036131138</v>
      </c>
      <c r="E88" s="38">
        <f>VLOOKUP($B88,'Old LS-Reports'!$A$4:$V$344,5,FALSE)-D88</f>
        <v>270.00062449638688</v>
      </c>
      <c r="F88" s="16">
        <f>VLOOKUP($B88,'Correlation sheet'!$C$4:$M$373,10,FALSE)</f>
        <v>270.95328479638687</v>
      </c>
      <c r="G88" s="38">
        <f t="shared" si="3"/>
        <v>0.95266029999999091</v>
      </c>
      <c r="H88" s="38">
        <f>VLOOKUP($B88,'Old LS-Reports'!$A$4:$V$344,6,FALSE)-D88</f>
        <v>269.31262449638689</v>
      </c>
      <c r="I88" s="16">
        <f>VLOOKUP($B88,'Correlation sheet'!$C$4:$M$373,9,FALSE)</f>
        <v>270.24028479638685</v>
      </c>
      <c r="J88" s="38">
        <f t="shared" si="4"/>
        <v>0.92766029999995681</v>
      </c>
      <c r="K88" s="38">
        <f>VLOOKUP($B88,'Old LS-Reports'!$A$4:$V$344,16,FALSE)-D88</f>
        <v>269.15383799638687</v>
      </c>
      <c r="L88" s="38">
        <f>VLOOKUP($B88,'Old LS-Reports'!$A$4:$V$344,19,FALSE)-D88</f>
        <v>269.25119679638686</v>
      </c>
      <c r="M88" s="38">
        <f t="shared" si="5"/>
        <v>0.98908799999998109</v>
      </c>
      <c r="N88" s="38">
        <f>VLOOKUP($B88,'Old LS-Reports'!$A$4:$V$344,8,FALSE)</f>
        <v>-11.1307759</v>
      </c>
      <c r="P88" s="41"/>
    </row>
    <row r="89" spans="1:16" x14ac:dyDescent="0.25">
      <c r="A89" s="39">
        <v>283940</v>
      </c>
      <c r="B89" s="39">
        <v>92942.683999999994</v>
      </c>
      <c r="C89" s="40">
        <f>VLOOKUP($B89,'Correlation sheet'!$C$4:$M$373,6,FALSE)</f>
        <v>1173347.301961323</v>
      </c>
      <c r="D89" s="16">
        <f>VLOOKUP($B89,'Correlation sheet'!$C$4:$N$373,11,FALSE)</f>
        <v>0.1171781907831928</v>
      </c>
      <c r="E89" s="38">
        <f>VLOOKUP($B89,'Old LS-Reports'!$A$4:$V$344,5,FALSE)-D89</f>
        <v>269.96658720921681</v>
      </c>
      <c r="F89" s="16">
        <f>VLOOKUP($B89,'Correlation sheet'!$C$4:$M$373,10,FALSE)</f>
        <v>270.90217350921682</v>
      </c>
      <c r="G89" s="38">
        <f t="shared" si="3"/>
        <v>0.93558630000001131</v>
      </c>
      <c r="H89" s="38">
        <f>VLOOKUP($B89,'Old LS-Reports'!$A$4:$V$344,6,FALSE)-D89</f>
        <v>269.27858720921682</v>
      </c>
      <c r="I89" s="16">
        <f>VLOOKUP($B89,'Correlation sheet'!$C$4:$M$373,9,FALSE)</f>
        <v>270.1891735092168</v>
      </c>
      <c r="J89" s="38">
        <f t="shared" si="4"/>
        <v>0.9105862999999772</v>
      </c>
      <c r="K89" s="38">
        <f>VLOOKUP($B89,'Old LS-Reports'!$A$4:$V$344,16,FALSE)-D89</f>
        <v>269.00565970921679</v>
      </c>
      <c r="L89" s="38">
        <f>VLOOKUP($B89,'Old LS-Reports'!$A$4:$V$344,19,FALSE)-D89</f>
        <v>269.1362205092168</v>
      </c>
      <c r="M89" s="38">
        <f t="shared" si="5"/>
        <v>1.0529530000000022</v>
      </c>
      <c r="N89" s="38">
        <f>VLOOKUP($B89,'Old LS-Reports'!$A$4:$V$344,8,FALSE)</f>
        <v>-11.1359733</v>
      </c>
      <c r="P89" s="41"/>
    </row>
    <row r="90" spans="1:16" x14ac:dyDescent="0.25">
      <c r="A90" s="39">
        <v>283960</v>
      </c>
      <c r="B90" s="39">
        <v>92962.672000000006</v>
      </c>
      <c r="C90" s="40">
        <f>VLOOKUP($B90,'Correlation sheet'!$C$4:$M$373,6,FALSE)</f>
        <v>1173367.2899613227</v>
      </c>
      <c r="D90" s="16">
        <f>VLOOKUP($B90,'Correlation sheet'!$C$4:$N$373,11,FALSE)</f>
        <v>0.11790671117114471</v>
      </c>
      <c r="E90" s="38">
        <f>VLOOKUP($B90,'Old LS-Reports'!$A$4:$V$344,5,FALSE)-D90</f>
        <v>269.94532638882885</v>
      </c>
      <c r="F90" s="16">
        <f>VLOOKUP($B90,'Correlation sheet'!$C$4:$M$373,10,FALSE)</f>
        <v>270.85109288882887</v>
      </c>
      <c r="G90" s="38">
        <f t="shared" si="3"/>
        <v>0.90576650000002701</v>
      </c>
      <c r="H90" s="38">
        <f>VLOOKUP($B90,'Old LS-Reports'!$A$4:$V$344,6,FALSE)-D90</f>
        <v>269.25732638882886</v>
      </c>
      <c r="I90" s="16">
        <f>VLOOKUP($B90,'Correlation sheet'!$C$4:$M$373,9,FALSE)</f>
        <v>270.13809288882885</v>
      </c>
      <c r="J90" s="38">
        <f t="shared" si="4"/>
        <v>0.8807664999999929</v>
      </c>
      <c r="K90" s="38">
        <f>VLOOKUP($B90,'Old LS-Reports'!$A$4:$V$344,16,FALSE)-D90</f>
        <v>268.83522728882883</v>
      </c>
      <c r="L90" s="38">
        <f>VLOOKUP($B90,'Old LS-Reports'!$A$4:$V$344,19,FALSE)-D90</f>
        <v>269.14265568882888</v>
      </c>
      <c r="M90" s="38">
        <f t="shared" si="5"/>
        <v>0.99543719999996938</v>
      </c>
      <c r="N90" s="38">
        <f>VLOOKUP($B90,'Old LS-Reports'!$A$4:$V$344,8,FALSE)</f>
        <v>-11.136873400000001</v>
      </c>
      <c r="P90" s="41"/>
    </row>
    <row r="91" spans="1:16" x14ac:dyDescent="0.25">
      <c r="A91" s="39">
        <v>283980</v>
      </c>
      <c r="B91" s="39">
        <v>92982.672000000006</v>
      </c>
      <c r="C91" s="40">
        <f>VLOOKUP($B91,'Correlation sheet'!$C$4:$M$373,6,FALSE)</f>
        <v>1173387.2899613206</v>
      </c>
      <c r="D91" s="16">
        <f>VLOOKUP($B91,'Correlation sheet'!$C$4:$N$373,11,FALSE)</f>
        <v>0.11863529832686481</v>
      </c>
      <c r="E91" s="38">
        <f>VLOOKUP($B91,'Old LS-Reports'!$A$4:$V$344,5,FALSE)-D91</f>
        <v>269.97632700167316</v>
      </c>
      <c r="F91" s="16">
        <f>VLOOKUP($B91,'Correlation sheet'!$C$4:$M$373,10,FALSE)</f>
        <v>270.79998160167315</v>
      </c>
      <c r="G91" s="38">
        <f t="shared" si="3"/>
        <v>0.82365459999999757</v>
      </c>
      <c r="H91" s="38">
        <f>VLOOKUP($B91,'Old LS-Reports'!$A$4:$V$344,6,FALSE)-D91</f>
        <v>269.28832700167317</v>
      </c>
      <c r="I91" s="16">
        <f>VLOOKUP($B91,'Correlation sheet'!$C$4:$M$373,9,FALSE)</f>
        <v>270.08698160167313</v>
      </c>
      <c r="J91" s="38">
        <f t="shared" si="4"/>
        <v>0.79865459999996347</v>
      </c>
      <c r="K91" s="38">
        <f>VLOOKUP($B91,'Old LS-Reports'!$A$4:$V$344,16,FALSE)-D91</f>
        <v>268.91051980167316</v>
      </c>
      <c r="L91" s="38">
        <f>VLOOKUP($B91,'Old LS-Reports'!$A$4:$V$344,19,FALSE)-D91</f>
        <v>269.08573320167312</v>
      </c>
      <c r="M91" s="38">
        <f t="shared" si="5"/>
        <v>1.0012484000000086</v>
      </c>
      <c r="N91" s="38">
        <f>VLOOKUP($B91,'Old LS-Reports'!$A$4:$V$344,8,FALSE)</f>
        <v>-11.120177999999999</v>
      </c>
      <c r="P91" s="41"/>
    </row>
    <row r="92" spans="1:16" x14ac:dyDescent="0.25">
      <c r="A92" s="39">
        <v>284000</v>
      </c>
      <c r="B92" s="39">
        <v>93002.673999999999</v>
      </c>
      <c r="C92" s="40">
        <f>VLOOKUP($B92,'Correlation sheet'!$C$4:$M$373,6,FALSE)</f>
        <v>1173407.2919613197</v>
      </c>
      <c r="D92" s="16">
        <f>VLOOKUP($B92,'Correlation sheet'!$C$4:$N$373,11,FALSE)</f>
        <v>0.11936889661450323</v>
      </c>
      <c r="E92" s="38">
        <f>VLOOKUP($B92,'Old LS-Reports'!$A$4:$V$344,5,FALSE)-D92</f>
        <v>270.00732260338549</v>
      </c>
      <c r="F92" s="16">
        <f>VLOOKUP($B92,'Correlation sheet'!$C$4:$M$373,10,FALSE)</f>
        <v>270.74886520338549</v>
      </c>
      <c r="G92" s="38">
        <f t="shared" si="3"/>
        <v>0.74154260000000249</v>
      </c>
      <c r="H92" s="38">
        <f>VLOOKUP($B92,'Old LS-Reports'!$A$4:$V$344,6,FALSE)-D92</f>
        <v>269.3193226033855</v>
      </c>
      <c r="I92" s="16">
        <f>VLOOKUP($B92,'Correlation sheet'!$C$4:$M$373,9,FALSE)</f>
        <v>270.03586520338547</v>
      </c>
      <c r="J92" s="38">
        <f t="shared" si="4"/>
        <v>0.71654259999996839</v>
      </c>
      <c r="K92" s="38">
        <f>VLOOKUP($B92,'Old LS-Reports'!$A$4:$V$344,16,FALSE)-D92</f>
        <v>269.26589750338547</v>
      </c>
      <c r="L92" s="38">
        <f>VLOOKUP($B92,'Old LS-Reports'!$A$4:$V$344,19,FALSE)-D92</f>
        <v>269.2480704033855</v>
      </c>
      <c r="M92" s="38">
        <f t="shared" si="5"/>
        <v>0.78779479999997193</v>
      </c>
      <c r="N92" s="38">
        <f>VLOOKUP($B92,'Old LS-Reports'!$A$4:$V$344,8,FALSE)</f>
        <v>-11.1034826</v>
      </c>
      <c r="P92" s="41"/>
    </row>
    <row r="93" spans="1:16" x14ac:dyDescent="0.25">
      <c r="A93" s="39">
        <v>284000</v>
      </c>
      <c r="B93" s="39">
        <v>93002.673999999999</v>
      </c>
      <c r="C93" s="40">
        <f>VLOOKUP($B93,'Correlation sheet'!$C$4:$M$373,6,FALSE)</f>
        <v>1173407.2919613197</v>
      </c>
      <c r="D93" s="16">
        <f>VLOOKUP($B93,'Correlation sheet'!$C$4:$N$373,11,FALSE)</f>
        <v>0.11936889661450323</v>
      </c>
      <c r="E93" s="38">
        <f>VLOOKUP($B93,'Old LS-Reports'!$A$4:$V$344,5,FALSE)-D93</f>
        <v>270.00732260338549</v>
      </c>
      <c r="F93" s="16">
        <f>VLOOKUP($B93,'Correlation sheet'!$C$4:$M$373,10,FALSE)</f>
        <v>270.74886520338549</v>
      </c>
      <c r="G93" s="38">
        <f t="shared" si="3"/>
        <v>0.74154260000000249</v>
      </c>
      <c r="H93" s="38">
        <f>VLOOKUP($B93,'Old LS-Reports'!$A$4:$V$344,6,FALSE)-D93</f>
        <v>269.3193226033855</v>
      </c>
      <c r="I93" s="16">
        <f>VLOOKUP($B93,'Correlation sheet'!$C$4:$M$373,9,FALSE)</f>
        <v>270.03586520338547</v>
      </c>
      <c r="J93" s="38">
        <f t="shared" si="4"/>
        <v>0.71654259999996839</v>
      </c>
      <c r="K93" s="38">
        <f>VLOOKUP($B93,'Old LS-Reports'!$A$4:$V$344,16,FALSE)-D93</f>
        <v>269.26589750338547</v>
      </c>
      <c r="L93" s="38">
        <f>VLOOKUP($B93,'Old LS-Reports'!$A$4:$V$344,19,FALSE)-D93</f>
        <v>269.2480704033855</v>
      </c>
      <c r="M93" s="38">
        <f t="shared" si="5"/>
        <v>0.78779479999997193</v>
      </c>
      <c r="N93" s="38">
        <f>VLOOKUP($B93,'Old LS-Reports'!$A$4:$V$344,8,FALSE)</f>
        <v>-11.1034826</v>
      </c>
      <c r="P93" s="41"/>
    </row>
    <row r="94" spans="1:16" x14ac:dyDescent="0.25">
      <c r="A94" s="39">
        <v>284020</v>
      </c>
      <c r="B94" s="39">
        <v>93022.706999999995</v>
      </c>
      <c r="C94" s="40">
        <f>VLOOKUP($B94,'Correlation sheet'!$C$4:$M$373,6,FALSE)</f>
        <v>1173427.3249613177</v>
      </c>
      <c r="D94" s="16">
        <f>VLOOKUP($B94,'Correlation sheet'!$C$4:$N$373,11,FALSE)</f>
        <v>0.12009391739422881</v>
      </c>
      <c r="E94" s="38">
        <f>VLOOKUP($B94,'Old LS-Reports'!$A$4:$V$344,5,FALSE)-D94</f>
        <v>270.05781018260575</v>
      </c>
      <c r="F94" s="16">
        <f>VLOOKUP($B94,'Correlation sheet'!$C$4:$M$373,10,FALSE)</f>
        <v>270.69766958260578</v>
      </c>
      <c r="G94" s="38">
        <f t="shared" si="3"/>
        <v>0.63985940000003438</v>
      </c>
      <c r="H94" s="38">
        <f>VLOOKUP($B94,'Old LS-Reports'!$A$4:$V$344,6,FALSE)-D94</f>
        <v>269.36981018260576</v>
      </c>
      <c r="I94" s="16">
        <f>VLOOKUP($B94,'Correlation sheet'!$C$4:$M$373,9,FALSE)</f>
        <v>269.98466958260576</v>
      </c>
      <c r="J94" s="38">
        <f t="shared" si="4"/>
        <v>0.61485940000000028</v>
      </c>
      <c r="K94" s="38">
        <f>VLOOKUP($B94,'Old LS-Reports'!$A$4:$V$344,16,FALSE)-D94</f>
        <v>269.37043388260577</v>
      </c>
      <c r="L94" s="38">
        <f>VLOOKUP($B94,'Old LS-Reports'!$A$4:$V$344,19,FALSE)-D94</f>
        <v>269.74498598260578</v>
      </c>
      <c r="M94" s="38">
        <f t="shared" si="5"/>
        <v>0.23968359999997801</v>
      </c>
      <c r="N94" s="38">
        <f>VLOOKUP($B94,'Old LS-Reports'!$A$4:$V$344,8,FALSE)</f>
        <v>-11.1468582</v>
      </c>
      <c r="P94" s="41"/>
    </row>
    <row r="95" spans="1:16" x14ac:dyDescent="0.25">
      <c r="A95" s="39">
        <v>284040</v>
      </c>
      <c r="B95" s="39">
        <v>93042.671000000002</v>
      </c>
      <c r="C95" s="40">
        <f>VLOOKUP($B95,'Correlation sheet'!$C$4:$M$373,6,FALSE)</f>
        <v>1173447.2889613209</v>
      </c>
      <c r="D95" s="16">
        <f>VLOOKUP($B95,'Correlation sheet'!$C$4:$N$373,11,FALSE)</f>
        <v>0.12082080424659125</v>
      </c>
      <c r="E95" s="38">
        <f>VLOOKUP($B95,'Old LS-Reports'!$A$4:$V$344,5,FALSE)-D95</f>
        <v>270.0139771957534</v>
      </c>
      <c r="F95" s="16">
        <f>VLOOKUP($B95,'Correlation sheet'!$C$4:$M$373,10,FALSE)</f>
        <v>270.64665029575343</v>
      </c>
      <c r="G95" s="38">
        <f t="shared" si="3"/>
        <v>0.63267310000003363</v>
      </c>
      <c r="H95" s="38">
        <f>VLOOKUP($B95,'Old LS-Reports'!$A$4:$V$344,6,FALSE)-D95</f>
        <v>269.32597719575341</v>
      </c>
      <c r="I95" s="16">
        <f>VLOOKUP($B95,'Correlation sheet'!$C$4:$M$373,9,FALSE)</f>
        <v>269.93365029575341</v>
      </c>
      <c r="J95" s="38">
        <f t="shared" si="4"/>
        <v>0.60767309999999952</v>
      </c>
      <c r="K95" s="38">
        <f>VLOOKUP($B95,'Old LS-Reports'!$A$4:$V$344,16,FALSE)-D95</f>
        <v>267.25292289575339</v>
      </c>
      <c r="L95" s="38">
        <f>VLOOKUP($B95,'Old LS-Reports'!$A$4:$V$344,19,FALSE)-D95</f>
        <v>267.70627149575341</v>
      </c>
      <c r="M95" s="38">
        <f t="shared" si="5"/>
        <v>2.2273787999999968</v>
      </c>
      <c r="N95" s="38">
        <f>VLOOKUP($B95,'Old LS-Reports'!$A$4:$V$344,8,FALSE)</f>
        <v>-11.1346574</v>
      </c>
      <c r="P95" s="41"/>
    </row>
    <row r="96" spans="1:16" x14ac:dyDescent="0.25">
      <c r="A96" s="39">
        <v>284060</v>
      </c>
      <c r="B96" s="39">
        <v>93062.671000000002</v>
      </c>
      <c r="C96" s="40">
        <f>VLOOKUP($B96,'Correlation sheet'!$C$4:$M$373,6,FALSE)</f>
        <v>1173467.2889613188</v>
      </c>
      <c r="D96" s="16">
        <f>VLOOKUP($B96,'Correlation sheet'!$C$4:$N$373,11,FALSE)</f>
        <v>0.12154929140228887</v>
      </c>
      <c r="E96" s="38">
        <f>VLOOKUP($B96,'Old LS-Reports'!$A$4:$V$344,5,FALSE)-D96</f>
        <v>269.95997760859768</v>
      </c>
      <c r="F96" s="16">
        <f>VLOOKUP($B96,'Correlation sheet'!$C$4:$M$373,10,FALSE)</f>
        <v>270.59553900859771</v>
      </c>
      <c r="G96" s="38">
        <f t="shared" si="3"/>
        <v>0.6355614000000287</v>
      </c>
      <c r="H96" s="38">
        <f>VLOOKUP($B96,'Old LS-Reports'!$A$4:$V$344,6,FALSE)-D96</f>
        <v>269.27197760859769</v>
      </c>
      <c r="I96" s="16">
        <f>VLOOKUP($B96,'Correlation sheet'!$C$4:$M$373,9,FALSE)</f>
        <v>269.88253900859769</v>
      </c>
      <c r="J96" s="38">
        <f t="shared" si="4"/>
        <v>0.61056139999999459</v>
      </c>
      <c r="K96" s="38">
        <f>VLOOKUP($B96,'Old LS-Reports'!$A$4:$V$344,16,FALSE)-D96</f>
        <v>267.48589000859772</v>
      </c>
      <c r="L96" s="38">
        <f>VLOOKUP($B96,'Old LS-Reports'!$A$4:$V$344,19,FALSE)-D96</f>
        <v>267.70368410859771</v>
      </c>
      <c r="M96" s="38">
        <f t="shared" si="5"/>
        <v>2.1788548999999762</v>
      </c>
      <c r="N96" s="38">
        <f>VLOOKUP($B96,'Old LS-Reports'!$A$4:$V$344,8,FALSE)</f>
        <v>-11.1162668</v>
      </c>
      <c r="P96" s="41"/>
    </row>
    <row r="97" spans="1:16" x14ac:dyDescent="0.25">
      <c r="A97" s="39">
        <v>284080</v>
      </c>
      <c r="B97" s="39">
        <v>93082.683999999994</v>
      </c>
      <c r="C97" s="40">
        <f>VLOOKUP($B97,'Correlation sheet'!$C$4:$M$373,6,FALSE)</f>
        <v>1173487.3019613184</v>
      </c>
      <c r="D97" s="16">
        <f>VLOOKUP($B97,'Correlation sheet'!$C$4:$N$373,11,FALSE)</f>
        <v>0.12227860089899423</v>
      </c>
      <c r="E97" s="38">
        <f>VLOOKUP($B97,'Old LS-Reports'!$A$4:$V$344,5,FALSE)-D97</f>
        <v>269.91883469910101</v>
      </c>
      <c r="F97" s="16">
        <f>VLOOKUP($B97,'Correlation sheet'!$C$4:$M$373,10,FALSE)</f>
        <v>270.54439449910103</v>
      </c>
      <c r="G97" s="38">
        <f t="shared" si="3"/>
        <v>0.6255598000000191</v>
      </c>
      <c r="H97" s="38">
        <f>VLOOKUP($B97,'Old LS-Reports'!$A$4:$V$344,6,FALSE)-D97</f>
        <v>269.23083469910102</v>
      </c>
      <c r="I97" s="16">
        <f>VLOOKUP($B97,'Correlation sheet'!$C$4:$M$373,9,FALSE)</f>
        <v>269.83139449910101</v>
      </c>
      <c r="J97" s="38">
        <f t="shared" si="4"/>
        <v>0.60055979999998499</v>
      </c>
      <c r="K97" s="38">
        <f>VLOOKUP($B97,'Old LS-Reports'!$A$4:$V$344,16,FALSE)-D97</f>
        <v>267.458366599101</v>
      </c>
      <c r="L97" s="38">
        <f>VLOOKUP($B97,'Old LS-Reports'!$A$4:$V$344,19,FALSE)-D97</f>
        <v>267.731538399101</v>
      </c>
      <c r="M97" s="38">
        <f t="shared" si="5"/>
        <v>2.0998561000000109</v>
      </c>
      <c r="N97" s="38">
        <f>VLOOKUP($B97,'Old LS-Reports'!$A$4:$V$344,8,FALSE)</f>
        <v>-11.110811</v>
      </c>
      <c r="P97" s="41"/>
    </row>
    <row r="98" spans="1:16" x14ac:dyDescent="0.25">
      <c r="A98" s="39">
        <v>284100</v>
      </c>
      <c r="B98" s="39">
        <v>93102.683999999994</v>
      </c>
      <c r="C98" s="40">
        <f>VLOOKUP($B98,'Correlation sheet'!$C$4:$M$373,6,FALSE)</f>
        <v>1173507.3019613212</v>
      </c>
      <c r="D98" s="16">
        <f>VLOOKUP($B98,'Correlation sheet'!$C$4:$N$373,11,FALSE)</f>
        <v>0.12300718806721989</v>
      </c>
      <c r="E98" s="38">
        <f>VLOOKUP($B98,'Old LS-Reports'!$A$4:$V$344,5,FALSE)-D98</f>
        <v>269.88786251193278</v>
      </c>
      <c r="F98" s="16">
        <f>VLOOKUP($B98,'Correlation sheet'!$C$4:$M$373,10,FALSE)</f>
        <v>270.49328321193281</v>
      </c>
      <c r="G98" s="38">
        <f t="shared" si="3"/>
        <v>0.60542070000002468</v>
      </c>
      <c r="H98" s="38">
        <f>VLOOKUP($B98,'Old LS-Reports'!$A$4:$V$344,6,FALSE)-D98</f>
        <v>269.19986251193279</v>
      </c>
      <c r="I98" s="16">
        <f>VLOOKUP($B98,'Correlation sheet'!$C$4:$M$373,9,FALSE)</f>
        <v>269.78028321193278</v>
      </c>
      <c r="J98" s="38">
        <f t="shared" si="4"/>
        <v>0.58042069999999057</v>
      </c>
      <c r="K98" s="38">
        <f>VLOOKUP($B98,'Old LS-Reports'!$A$4:$V$344,16,FALSE)-D98</f>
        <v>267.23713191193281</v>
      </c>
      <c r="L98" s="38">
        <f>VLOOKUP($B98,'Old LS-Reports'!$A$4:$V$344,19,FALSE)-D98</f>
        <v>267.71224871193277</v>
      </c>
      <c r="M98" s="38">
        <f t="shared" si="5"/>
        <v>2.0680345000000102</v>
      </c>
      <c r="N98" s="38">
        <f>VLOOKUP($B98,'Old LS-Reports'!$A$4:$V$344,8,FALSE)</f>
        <v>-11.1155943</v>
      </c>
      <c r="P98" s="41"/>
    </row>
    <row r="99" spans="1:16" x14ac:dyDescent="0.25">
      <c r="A99" s="39">
        <v>284120</v>
      </c>
      <c r="B99" s="39">
        <v>93122.687999999995</v>
      </c>
      <c r="C99" s="40">
        <f>VLOOKUP($B99,'Correlation sheet'!$C$4:$M$373,6,FALSE)</f>
        <v>1173527.3059613223</v>
      </c>
      <c r="D99" s="16">
        <f>VLOOKUP($B99,'Correlation sheet'!$C$4:$N$373,11,FALSE)</f>
        <v>0.12373469748860089</v>
      </c>
      <c r="E99" s="38">
        <f>VLOOKUP($B99,'Old LS-Reports'!$A$4:$V$344,5,FALSE)-D99</f>
        <v>269.85566460251141</v>
      </c>
      <c r="F99" s="16">
        <f>VLOOKUP($B99,'Correlation sheet'!$C$4:$M$373,10,FALSE)</f>
        <v>270.44216170251138</v>
      </c>
      <c r="G99" s="38">
        <f t="shared" si="3"/>
        <v>0.58649709999997413</v>
      </c>
      <c r="H99" s="38">
        <f>VLOOKUP($B99,'Old LS-Reports'!$A$4:$V$344,6,FALSE)-D99</f>
        <v>269.16766460251142</v>
      </c>
      <c r="I99" s="16">
        <f>VLOOKUP($B99,'Correlation sheet'!$C$4:$M$373,9,FALSE)</f>
        <v>269.72916170251136</v>
      </c>
      <c r="J99" s="38">
        <f t="shared" si="4"/>
        <v>0.56149709999994002</v>
      </c>
      <c r="K99" s="38">
        <f>VLOOKUP($B99,'Old LS-Reports'!$A$4:$V$344,16,FALSE)-D99</f>
        <v>267.1637877025114</v>
      </c>
      <c r="L99" s="38">
        <f>VLOOKUP($B99,'Old LS-Reports'!$A$4:$V$344,19,FALSE)-D99</f>
        <v>267.73531440251139</v>
      </c>
      <c r="M99" s="38">
        <f t="shared" si="5"/>
        <v>1.9938472999999703</v>
      </c>
      <c r="N99" s="38">
        <f>VLOOKUP($B99,'Old LS-Reports'!$A$4:$V$344,8,FALSE)</f>
        <v>-11.1231221</v>
      </c>
      <c r="P99" s="41"/>
    </row>
    <row r="100" spans="1:16" x14ac:dyDescent="0.25">
      <c r="A100" s="39">
        <v>284140</v>
      </c>
      <c r="B100" s="39">
        <v>93142.687999999995</v>
      </c>
      <c r="C100" s="40">
        <f>VLOOKUP($B100,'Correlation sheet'!$C$4:$M$373,6,FALSE)</f>
        <v>1173547.3059613204</v>
      </c>
      <c r="D100" s="16">
        <f>VLOOKUP($B100,'Correlation sheet'!$C$4:$N$373,11,FALSE)</f>
        <v>0.12446318464498063</v>
      </c>
      <c r="E100" s="38">
        <f>VLOOKUP($B100,'Old LS-Reports'!$A$4:$V$344,5,FALSE)-D100</f>
        <v>269.82111571535501</v>
      </c>
      <c r="F100" s="16">
        <f>VLOOKUP($B100,'Correlation sheet'!$C$4:$M$373,10,FALSE)</f>
        <v>270.39105041535504</v>
      </c>
      <c r="G100" s="38">
        <f t="shared" si="3"/>
        <v>0.56993470000003299</v>
      </c>
      <c r="H100" s="38">
        <f>VLOOKUP($B100,'Old LS-Reports'!$A$4:$V$344,6,FALSE)-D100</f>
        <v>269.13311571535502</v>
      </c>
      <c r="I100" s="16">
        <f>VLOOKUP($B100,'Correlation sheet'!$C$4:$M$373,9,FALSE)</f>
        <v>269.67805041535502</v>
      </c>
      <c r="J100" s="38">
        <f t="shared" si="4"/>
        <v>0.54493469999999888</v>
      </c>
      <c r="K100" s="38">
        <f>VLOOKUP($B100,'Old LS-Reports'!$A$4:$V$344,16,FALSE)-D100</f>
        <v>267.114358615355</v>
      </c>
      <c r="L100" s="38">
        <f>VLOOKUP($B100,'Old LS-Reports'!$A$4:$V$344,19,FALSE)-D100</f>
        <v>267.82950721535502</v>
      </c>
      <c r="M100" s="38">
        <f t="shared" si="5"/>
        <v>1.8485431999999946</v>
      </c>
      <c r="N100" s="38">
        <f>VLOOKUP($B100,'Old LS-Reports'!$A$4:$V$344,8,FALSE)</f>
        <v>-11.135901199999999</v>
      </c>
      <c r="P100" s="41"/>
    </row>
    <row r="101" spans="1:16" x14ac:dyDescent="0.25">
      <c r="A101" s="39">
        <v>284160</v>
      </c>
      <c r="B101" s="39">
        <v>93162.683999999994</v>
      </c>
      <c r="C101" s="40">
        <f>VLOOKUP($B101,'Correlation sheet'!$C$4:$M$373,6,FALSE)</f>
        <v>1173567.3019613207</v>
      </c>
      <c r="D101" s="16">
        <f>VLOOKUP($B101,'Correlation sheet'!$C$4:$N$373,11,FALSE)</f>
        <v>0.12519314954931815</v>
      </c>
      <c r="E101" s="38">
        <f>VLOOKUP($B101,'Old LS-Reports'!$A$4:$V$344,5,FALSE)-D101</f>
        <v>269.78716595045069</v>
      </c>
      <c r="F101" s="16">
        <f>VLOOKUP($B101,'Correlation sheet'!$C$4:$M$373,10,FALSE)</f>
        <v>270.33994935045069</v>
      </c>
      <c r="G101" s="38">
        <f t="shared" si="3"/>
        <v>0.55278340000000981</v>
      </c>
      <c r="H101" s="38">
        <f>VLOOKUP($B101,'Old LS-Reports'!$A$4:$V$344,6,FALSE)-D101</f>
        <v>269.0991659504507</v>
      </c>
      <c r="I101" s="16">
        <f>VLOOKUP($B101,'Correlation sheet'!$C$4:$M$373,9,FALSE)</f>
        <v>269.62694935045067</v>
      </c>
      <c r="J101" s="38">
        <f t="shared" si="4"/>
        <v>0.5277833999999757</v>
      </c>
      <c r="K101" s="38">
        <f>VLOOKUP($B101,'Old LS-Reports'!$A$4:$V$344,16,FALSE)-D101</f>
        <v>267.45992695045067</v>
      </c>
      <c r="L101" s="38">
        <f>VLOOKUP($B101,'Old LS-Reports'!$A$4:$V$344,19,FALSE)-D101</f>
        <v>267.9683564504507</v>
      </c>
      <c r="M101" s="38">
        <f t="shared" si="5"/>
        <v>1.6585928999999737</v>
      </c>
      <c r="N101" s="38">
        <f>VLOOKUP($B101,'Old LS-Reports'!$A$4:$V$344,8,FALSE)</f>
        <v>-11.148129600000001</v>
      </c>
      <c r="P101" s="41"/>
    </row>
    <row r="102" spans="1:16" x14ac:dyDescent="0.25">
      <c r="A102" s="39">
        <v>284180</v>
      </c>
      <c r="B102" s="39">
        <v>93182.683999999994</v>
      </c>
      <c r="C102" s="40">
        <f>VLOOKUP($B102,'Correlation sheet'!$C$4:$M$373,6,FALSE)</f>
        <v>1173587.3019613177</v>
      </c>
      <c r="D102" s="16">
        <f>VLOOKUP($B102,'Correlation sheet'!$C$4:$N$373,11,FALSE)</f>
        <v>0.12593813670270038</v>
      </c>
      <c r="E102" s="38">
        <f>VLOOKUP($B102,'Old LS-Reports'!$A$4:$V$344,5,FALSE)-D102</f>
        <v>269.76166186329732</v>
      </c>
      <c r="F102" s="16">
        <f>VLOOKUP($B102,'Correlation sheet'!$C$4:$M$373,10,FALSE)</f>
        <v>270.28883806329731</v>
      </c>
      <c r="G102" s="38">
        <f t="shared" si="3"/>
        <v>0.52717619999998533</v>
      </c>
      <c r="H102" s="38">
        <f>VLOOKUP($B102,'Old LS-Reports'!$A$4:$V$344,6,FALSE)-D102</f>
        <v>269.07366186329733</v>
      </c>
      <c r="I102" s="16">
        <f>VLOOKUP($B102,'Correlation sheet'!$C$4:$M$373,9,FALSE)</f>
        <v>269.57583806329728</v>
      </c>
      <c r="J102" s="38">
        <f t="shared" si="4"/>
        <v>0.50217619999995122</v>
      </c>
      <c r="K102" s="38">
        <f>VLOOKUP($B102,'Old LS-Reports'!$A$4:$V$344,16,FALSE)-D102</f>
        <v>268.22365596329729</v>
      </c>
      <c r="L102" s="38">
        <f>VLOOKUP($B102,'Old LS-Reports'!$A$4:$V$344,19,FALSE)-D102</f>
        <v>268.25100996329729</v>
      </c>
      <c r="M102" s="38">
        <f t="shared" si="5"/>
        <v>1.3248280999999906</v>
      </c>
      <c r="N102" s="38">
        <f>VLOOKUP($B102,'Old LS-Reports'!$A$4:$V$344,8,FALSE)</f>
        <v>-11.1526291</v>
      </c>
      <c r="P102" s="41"/>
    </row>
    <row r="103" spans="1:16" x14ac:dyDescent="0.25">
      <c r="A103" s="39">
        <v>284200</v>
      </c>
      <c r="B103" s="39">
        <v>93202.695000000007</v>
      </c>
      <c r="C103" s="40">
        <f>VLOOKUP($B103,'Correlation sheet'!$C$4:$M$373,6,FALSE)</f>
        <v>1173607.3129613213</v>
      </c>
      <c r="D103" s="16">
        <f>VLOOKUP($B103,'Correlation sheet'!$C$4:$N$373,11,FALSE)</f>
        <v>0.11788515540951039</v>
      </c>
      <c r="E103" s="38">
        <f>VLOOKUP($B103,'Old LS-Reports'!$A$4:$V$344,5,FALSE)-D103</f>
        <v>269.74253354459051</v>
      </c>
      <c r="F103" s="16">
        <f>VLOOKUP($B103,'Correlation sheet'!$C$4:$M$373,10,FALSE)</f>
        <v>270.28069944459048</v>
      </c>
      <c r="G103" s="38">
        <f t="shared" si="3"/>
        <v>0.53816589999996722</v>
      </c>
      <c r="H103" s="38">
        <f>VLOOKUP($B103,'Old LS-Reports'!$A$4:$V$344,6,FALSE)-D103</f>
        <v>269.05453354459053</v>
      </c>
      <c r="I103" s="16">
        <f>VLOOKUP($B103,'Correlation sheet'!$C$4:$M$373,9,FALSE)</f>
        <v>269.56769944459046</v>
      </c>
      <c r="J103" s="38">
        <f t="shared" si="4"/>
        <v>0.51316589999993312</v>
      </c>
      <c r="K103" s="38">
        <f>VLOOKUP($B103,'Old LS-Reports'!$A$4:$V$344,16,FALSE)-D103</f>
        <v>268.49300434459047</v>
      </c>
      <c r="L103" s="38">
        <f>VLOOKUP($B103,'Old LS-Reports'!$A$4:$V$344,19,FALSE)-D103</f>
        <v>268.56855674459047</v>
      </c>
      <c r="M103" s="38">
        <f t="shared" si="5"/>
        <v>0.99914269999999306</v>
      </c>
      <c r="N103" s="38">
        <f>VLOOKUP($B103,'Old LS-Reports'!$A$4:$V$344,8,FALSE)</f>
        <v>-11.1604946</v>
      </c>
      <c r="P103" s="41"/>
    </row>
    <row r="104" spans="1:16" x14ac:dyDescent="0.25">
      <c r="A104" s="39">
        <v>284220</v>
      </c>
      <c r="B104" s="39">
        <v>93222.695000000007</v>
      </c>
      <c r="C104" s="40">
        <f>VLOOKUP($B104,'Correlation sheet'!$C$4:$M$373,6,FALSE)</f>
        <v>1173627.3129613195</v>
      </c>
      <c r="D104" s="16">
        <f>VLOOKUP($B104,'Correlation sheet'!$C$4:$N$373,11,FALSE)</f>
        <v>0.11807348788636318</v>
      </c>
      <c r="E104" s="38">
        <f>VLOOKUP($B104,'Old LS-Reports'!$A$4:$V$344,5,FALSE)-D104</f>
        <v>269.70316611211365</v>
      </c>
      <c r="F104" s="16">
        <f>VLOOKUP($B104,'Correlation sheet'!$C$4:$M$373,10,FALSE)</f>
        <v>270.29558621211362</v>
      </c>
      <c r="G104" s="38">
        <f t="shared" si="3"/>
        <v>0.59242009999996981</v>
      </c>
      <c r="H104" s="38">
        <f>VLOOKUP($B104,'Old LS-Reports'!$A$4:$V$344,6,FALSE)-D104</f>
        <v>269.01516611211366</v>
      </c>
      <c r="I104" s="16">
        <f>VLOOKUP($B104,'Correlation sheet'!$C$4:$M$373,9,FALSE)</f>
        <v>269.5825862121136</v>
      </c>
      <c r="J104" s="38">
        <f t="shared" si="4"/>
        <v>0.5674200999999357</v>
      </c>
      <c r="K104" s="38">
        <f>VLOOKUP($B104,'Old LS-Reports'!$A$4:$V$344,16,FALSE)-D104</f>
        <v>268.39201811211365</v>
      </c>
      <c r="L104" s="38">
        <f>VLOOKUP($B104,'Old LS-Reports'!$A$4:$V$344,19,FALSE)-D104</f>
        <v>268.56037061211362</v>
      </c>
      <c r="M104" s="38">
        <f t="shared" si="5"/>
        <v>1.0222155999999814</v>
      </c>
      <c r="N104" s="38">
        <f>VLOOKUP($B104,'Old LS-Reports'!$A$4:$V$344,8,FALSE)</f>
        <v>-11.184983900000001</v>
      </c>
      <c r="P104" s="41"/>
    </row>
    <row r="105" spans="1:16" x14ac:dyDescent="0.25">
      <c r="A105" s="39">
        <v>284240</v>
      </c>
      <c r="B105" s="39">
        <v>93242.679000000004</v>
      </c>
      <c r="C105" s="40">
        <f>VLOOKUP($B105,'Correlation sheet'!$C$4:$M$373,6,FALSE)</f>
        <v>1173647.2969613213</v>
      </c>
      <c r="D105" s="16">
        <f>VLOOKUP($B105,'Correlation sheet'!$C$4:$N$373,11,FALSE)</f>
        <v>0.11826172977453098</v>
      </c>
      <c r="E105" s="38">
        <f>VLOOKUP($B105,'Old LS-Reports'!$A$4:$V$344,5,FALSE)-D105</f>
        <v>269.66556037022548</v>
      </c>
      <c r="F105" s="16">
        <f>VLOOKUP($B105,'Correlation sheet'!$C$4:$M$373,10,FALSE)</f>
        <v>270.31046107022547</v>
      </c>
      <c r="G105" s="38">
        <f t="shared" si="3"/>
        <v>0.64490069999999378</v>
      </c>
      <c r="H105" s="38">
        <f>VLOOKUP($B105,'Old LS-Reports'!$A$4:$V$344,6,FALSE)-D105</f>
        <v>268.97756037022549</v>
      </c>
      <c r="I105" s="16">
        <f>VLOOKUP($B105,'Correlation sheet'!$C$4:$M$373,9,FALSE)</f>
        <v>269.59746107022545</v>
      </c>
      <c r="J105" s="38">
        <f t="shared" si="4"/>
        <v>0.61990069999995967</v>
      </c>
      <c r="K105" s="38">
        <f>VLOOKUP($B105,'Old LS-Reports'!$A$4:$V$344,16,FALSE)-D105</f>
        <v>268.17320477022548</v>
      </c>
      <c r="L105" s="38">
        <f>VLOOKUP($B105,'Old LS-Reports'!$A$4:$V$344,19,FALSE)-D105</f>
        <v>267.92204877022544</v>
      </c>
      <c r="M105" s="38">
        <f t="shared" si="5"/>
        <v>1.675412300000005</v>
      </c>
      <c r="N105" s="38">
        <f>VLOOKUP($B105,'Old LS-Reports'!$A$4:$V$344,8,FALSE)</f>
        <v>-11.199989</v>
      </c>
      <c r="P105" s="41"/>
    </row>
    <row r="106" spans="1:16" x14ac:dyDescent="0.25">
      <c r="A106" s="39">
        <v>284260</v>
      </c>
      <c r="B106" s="39">
        <v>93262.679000000004</v>
      </c>
      <c r="C106" s="40">
        <f>VLOOKUP($B106,'Correlation sheet'!$C$4:$M$373,6,FALSE)</f>
        <v>1173667.2969613192</v>
      </c>
      <c r="D106" s="16">
        <f>VLOOKUP($B106,'Correlation sheet'!$C$4:$N$373,11,FALSE)</f>
        <v>0.1184500622515543</v>
      </c>
      <c r="E106" s="38">
        <f>VLOOKUP($B106,'Old LS-Reports'!$A$4:$V$344,5,FALSE)-D106</f>
        <v>269.63152663774844</v>
      </c>
      <c r="F106" s="16">
        <f>VLOOKUP($B106,'Correlation sheet'!$C$4:$M$373,10,FALSE)</f>
        <v>270.32534783774844</v>
      </c>
      <c r="G106" s="38">
        <f t="shared" si="3"/>
        <v>0.69382120000000214</v>
      </c>
      <c r="H106" s="38">
        <f>VLOOKUP($B106,'Old LS-Reports'!$A$4:$V$344,6,FALSE)-D106</f>
        <v>268.94352663774845</v>
      </c>
      <c r="I106" s="16">
        <f>VLOOKUP($B106,'Correlation sheet'!$C$4:$M$373,9,FALSE)</f>
        <v>269.61234783774842</v>
      </c>
      <c r="J106" s="38">
        <f t="shared" si="4"/>
        <v>0.66882119999996803</v>
      </c>
      <c r="K106" s="38">
        <f>VLOOKUP($B106,'Old LS-Reports'!$A$4:$V$344,16,FALSE)-D106</f>
        <v>268.04163893774847</v>
      </c>
      <c r="L106" s="38">
        <f>VLOOKUP($B106,'Old LS-Reports'!$A$4:$V$344,19,FALSE)-D106</f>
        <v>268.15506063774842</v>
      </c>
      <c r="M106" s="38">
        <f t="shared" si="5"/>
        <v>1.4572871999999961</v>
      </c>
      <c r="N106" s="38">
        <f>VLOOKUP($B106,'Old LS-Reports'!$A$4:$V$344,8,FALSE)</f>
        <v>-11.195786099999999</v>
      </c>
      <c r="P106" s="41"/>
    </row>
    <row r="107" spans="1:16" x14ac:dyDescent="0.25">
      <c r="A107" s="39">
        <v>284280</v>
      </c>
      <c r="B107" s="39">
        <v>93282.688999999998</v>
      </c>
      <c r="C107" s="40">
        <f>VLOOKUP($B107,'Correlation sheet'!$C$4:$M$373,6,FALSE)</f>
        <v>1173687.3069613192</v>
      </c>
      <c r="D107" s="16">
        <f>VLOOKUP($B107,'Correlation sheet'!$C$4:$N$373,11,FALSE)</f>
        <v>0.11863845134331541</v>
      </c>
      <c r="E107" s="38">
        <f>VLOOKUP($B107,'Old LS-Reports'!$A$4:$V$344,5,FALSE)-D107</f>
        <v>269.59434664865671</v>
      </c>
      <c r="F107" s="16">
        <f>VLOOKUP($B107,'Correlation sheet'!$C$4:$M$373,10,FALSE)</f>
        <v>270.34024204865671</v>
      </c>
      <c r="G107" s="38">
        <f t="shared" si="3"/>
        <v>0.74589539999999488</v>
      </c>
      <c r="H107" s="38">
        <f>VLOOKUP($B107,'Old LS-Reports'!$A$4:$V$344,6,FALSE)-D107</f>
        <v>268.90634664865672</v>
      </c>
      <c r="I107" s="16">
        <f>VLOOKUP($B107,'Correlation sheet'!$C$4:$M$373,9,FALSE)</f>
        <v>269.62724204865668</v>
      </c>
      <c r="J107" s="38">
        <f t="shared" si="4"/>
        <v>0.72089539999996077</v>
      </c>
      <c r="K107" s="38">
        <f>VLOOKUP($B107,'Old LS-Reports'!$A$4:$V$344,16,FALSE)-D107</f>
        <v>267.68180564865668</v>
      </c>
      <c r="L107" s="38">
        <f>VLOOKUP($B107,'Old LS-Reports'!$A$4:$V$344,19,FALSE)-D107</f>
        <v>267.90797254865669</v>
      </c>
      <c r="M107" s="38">
        <f t="shared" si="5"/>
        <v>1.7192694999999958</v>
      </c>
      <c r="N107" s="38">
        <f>VLOOKUP($B107,'Old LS-Reports'!$A$4:$V$344,8,FALSE)</f>
        <v>-11.1988685</v>
      </c>
      <c r="P107" s="41"/>
    </row>
    <row r="108" spans="1:16" x14ac:dyDescent="0.25">
      <c r="A108" s="39">
        <v>284300</v>
      </c>
      <c r="B108" s="39">
        <v>93302.688999999998</v>
      </c>
      <c r="C108" s="40">
        <f>VLOOKUP($B108,'Correlation sheet'!$C$4:$M$373,6,FALSE)</f>
        <v>1173707.306961322</v>
      </c>
      <c r="D108" s="16">
        <f>VLOOKUP($B108,'Correlation sheet'!$C$4:$N$373,11,FALSE)</f>
        <v>0.1188268838166664</v>
      </c>
      <c r="E108" s="38">
        <f>VLOOKUP($B108,'Old LS-Reports'!$A$4:$V$344,5,FALSE)-D108</f>
        <v>269.55261551618332</v>
      </c>
      <c r="F108" s="16">
        <f>VLOOKUP($B108,'Correlation sheet'!$C$4:$M$373,10,FALSE)</f>
        <v>270.35512881618331</v>
      </c>
      <c r="G108" s="38">
        <f t="shared" si="3"/>
        <v>0.80251329999998688</v>
      </c>
      <c r="H108" s="38">
        <f>VLOOKUP($B108,'Old LS-Reports'!$A$4:$V$344,6,FALSE)-D108</f>
        <v>268.86461551618333</v>
      </c>
      <c r="I108" s="16">
        <f>VLOOKUP($B108,'Correlation sheet'!$C$4:$M$373,9,FALSE)</f>
        <v>269.64212881618329</v>
      </c>
      <c r="J108" s="38">
        <f t="shared" si="4"/>
        <v>0.77751329999995278</v>
      </c>
      <c r="K108" s="38">
        <f>VLOOKUP($B108,'Old LS-Reports'!$A$4:$V$344,16,FALSE)-D108</f>
        <v>267.48007571618331</v>
      </c>
      <c r="L108" s="38">
        <f>VLOOKUP($B108,'Old LS-Reports'!$A$4:$V$344,19,FALSE)-D108</f>
        <v>267.85218421618333</v>
      </c>
      <c r="M108" s="38">
        <f t="shared" si="5"/>
        <v>1.7899445999999557</v>
      </c>
      <c r="N108" s="38">
        <f>VLOOKUP($B108,'Old LS-Reports'!$A$4:$V$344,8,FALSE)</f>
        <v>-11.212483600000001</v>
      </c>
      <c r="P108" s="41"/>
    </row>
    <row r="109" spans="1:16" x14ac:dyDescent="0.25">
      <c r="A109" s="39">
        <v>284320</v>
      </c>
      <c r="B109" s="39">
        <v>93322.68</v>
      </c>
      <c r="C109" s="40">
        <f>VLOOKUP($B109,'Correlation sheet'!$C$4:$M$373,6,FALSE)</f>
        <v>1173727.2979613217</v>
      </c>
      <c r="D109" s="16">
        <f>VLOOKUP($B109,'Correlation sheet'!$C$4:$N$373,11,FALSE)</f>
        <v>0.11901491533780018</v>
      </c>
      <c r="E109" s="38">
        <f>VLOOKUP($B109,'Old LS-Reports'!$A$4:$V$344,5,FALSE)-D109</f>
        <v>269.5176369846622</v>
      </c>
      <c r="F109" s="16">
        <f>VLOOKUP($B109,'Correlation sheet'!$C$4:$M$373,10,FALSE)</f>
        <v>270.37000888466218</v>
      </c>
      <c r="G109" s="38">
        <f t="shared" si="3"/>
        <v>0.85237189999998009</v>
      </c>
      <c r="H109" s="38">
        <f>VLOOKUP($B109,'Old LS-Reports'!$A$4:$V$344,6,FALSE)-D109</f>
        <v>268.82963698466222</v>
      </c>
      <c r="I109" s="16">
        <f>VLOOKUP($B109,'Correlation sheet'!$C$4:$M$373,9,FALSE)</f>
        <v>269.65700888466216</v>
      </c>
      <c r="J109" s="38">
        <f t="shared" si="4"/>
        <v>0.82737189999994598</v>
      </c>
      <c r="K109" s="38">
        <f>VLOOKUP($B109,'Old LS-Reports'!$A$4:$V$344,16,FALSE)-D109</f>
        <v>267.73365618466221</v>
      </c>
      <c r="L109" s="38">
        <f>VLOOKUP($B109,'Old LS-Reports'!$A$4:$V$344,19,FALSE)-D109</f>
        <v>267.79928618466221</v>
      </c>
      <c r="M109" s="38">
        <f t="shared" si="5"/>
        <v>1.8577226999999539</v>
      </c>
      <c r="N109" s="38">
        <f>VLOOKUP($B109,'Old LS-Reports'!$A$4:$V$344,8,FALSE)</f>
        <v>-11.218915900000001</v>
      </c>
      <c r="P109" s="41"/>
    </row>
    <row r="110" spans="1:16" x14ac:dyDescent="0.25">
      <c r="A110" s="39">
        <v>284340</v>
      </c>
      <c r="B110" s="39">
        <v>93342.68</v>
      </c>
      <c r="C110" s="40">
        <f>VLOOKUP($B110,'Correlation sheet'!$C$4:$M$373,6,FALSE)</f>
        <v>1173747.2979613196</v>
      </c>
      <c r="D110" s="16">
        <f>VLOOKUP($B110,'Correlation sheet'!$C$4:$N$373,11,FALSE)</f>
        <v>0.11920334781484598</v>
      </c>
      <c r="E110" s="38">
        <f>VLOOKUP($B110,'Old LS-Reports'!$A$4:$V$344,5,FALSE)-D110</f>
        <v>269.49140325218514</v>
      </c>
      <c r="F110" s="16">
        <f>VLOOKUP($B110,'Correlation sheet'!$C$4:$M$373,10,FALSE)</f>
        <v>270.38489565218515</v>
      </c>
      <c r="G110" s="38">
        <f t="shared" si="3"/>
        <v>0.89349240000001373</v>
      </c>
      <c r="H110" s="38">
        <f>VLOOKUP($B110,'Old LS-Reports'!$A$4:$V$344,6,FALSE)-D110</f>
        <v>268.80340325218515</v>
      </c>
      <c r="I110" s="16">
        <f>VLOOKUP($B110,'Correlation sheet'!$C$4:$M$373,9,FALSE)</f>
        <v>269.67189565218513</v>
      </c>
      <c r="J110" s="38">
        <f t="shared" si="4"/>
        <v>0.86849239999997963</v>
      </c>
      <c r="K110" s="38">
        <f>VLOOKUP($B110,'Old LS-Reports'!$A$4:$V$344,16,FALSE)-D110</f>
        <v>267.80945105218518</v>
      </c>
      <c r="L110" s="38">
        <f>VLOOKUP($B110,'Old LS-Reports'!$A$4:$V$344,19,FALSE)-D110</f>
        <v>267.91725245218515</v>
      </c>
      <c r="M110" s="38">
        <f t="shared" si="5"/>
        <v>1.7546431999999754</v>
      </c>
      <c r="N110" s="38">
        <f>VLOOKUP($B110,'Old LS-Reports'!$A$4:$V$344,8,FALSE)</f>
        <v>-11.216051</v>
      </c>
      <c r="P110" s="41"/>
    </row>
    <row r="111" spans="1:16" x14ac:dyDescent="0.25">
      <c r="A111" s="39">
        <v>284360</v>
      </c>
      <c r="B111" s="39">
        <v>93362.695999999996</v>
      </c>
      <c r="C111" s="40">
        <f>VLOOKUP($B111,'Correlation sheet'!$C$4:$M$373,6,FALSE)</f>
        <v>1173767.3139613182</v>
      </c>
      <c r="D111" s="16">
        <f>VLOOKUP($B111,'Correlation sheet'!$C$4:$N$373,11,FALSE)</f>
        <v>0.11939217087729048</v>
      </c>
      <c r="E111" s="38">
        <f>VLOOKUP($B111,'Old LS-Reports'!$A$4:$V$344,5,FALSE)-D111</f>
        <v>269.49213352912273</v>
      </c>
      <c r="F111" s="16">
        <f>VLOOKUP($B111,'Correlation sheet'!$C$4:$M$373,10,FALSE)</f>
        <v>270.3997943291227</v>
      </c>
      <c r="G111" s="38">
        <f t="shared" si="3"/>
        <v>0.90766079999997373</v>
      </c>
      <c r="H111" s="38">
        <f>VLOOKUP($B111,'Old LS-Reports'!$A$4:$V$344,6,FALSE)-D111</f>
        <v>268.80413352912274</v>
      </c>
      <c r="I111" s="16">
        <f>VLOOKUP($B111,'Correlation sheet'!$C$4:$M$373,9,FALSE)</f>
        <v>269.68679432912268</v>
      </c>
      <c r="J111" s="38">
        <f t="shared" si="4"/>
        <v>0.88266079999993963</v>
      </c>
      <c r="K111" s="38">
        <f>VLOOKUP($B111,'Old LS-Reports'!$A$4:$V$344,16,FALSE)-D111</f>
        <v>267.1340414291227</v>
      </c>
      <c r="L111" s="38">
        <f>VLOOKUP($B111,'Old LS-Reports'!$A$4:$V$344,19,FALSE)-D111</f>
        <v>268.34235952912269</v>
      </c>
      <c r="M111" s="38">
        <f t="shared" si="5"/>
        <v>1.3444347999999877</v>
      </c>
      <c r="N111" s="38">
        <f>VLOOKUP($B111,'Old LS-Reports'!$A$4:$V$344,8,FALSE)</f>
        <v>-11.224945099999999</v>
      </c>
      <c r="P111" s="41"/>
    </row>
    <row r="112" spans="1:16" x14ac:dyDescent="0.25">
      <c r="A112" s="39">
        <v>284380</v>
      </c>
      <c r="B112" s="39">
        <v>93382.695999999996</v>
      </c>
      <c r="C112" s="40">
        <f>VLOOKUP($B112,'Correlation sheet'!$C$4:$M$373,6,FALSE)</f>
        <v>1173787.3139613213</v>
      </c>
      <c r="D112" s="16">
        <f>VLOOKUP($B112,'Correlation sheet'!$C$4:$N$373,11,FALSE)</f>
        <v>0.1195805033505053</v>
      </c>
      <c r="E112" s="38">
        <f>VLOOKUP($B112,'Old LS-Reports'!$A$4:$V$344,5,FALSE)-D112</f>
        <v>269.53317769664949</v>
      </c>
      <c r="F112" s="16">
        <f>VLOOKUP($B112,'Correlation sheet'!$C$4:$M$373,10,FALSE)</f>
        <v>270.41468109664947</v>
      </c>
      <c r="G112" s="38">
        <f t="shared" si="3"/>
        <v>0.8815033999999855</v>
      </c>
      <c r="H112" s="38">
        <f>VLOOKUP($B112,'Old LS-Reports'!$A$4:$V$344,6,FALSE)-D112</f>
        <v>268.8451776966495</v>
      </c>
      <c r="I112" s="16">
        <f>VLOOKUP($B112,'Correlation sheet'!$C$4:$M$373,9,FALSE)</f>
        <v>269.70168109664945</v>
      </c>
      <c r="J112" s="38">
        <f t="shared" si="4"/>
        <v>0.8565033999999514</v>
      </c>
      <c r="K112" s="38">
        <f>VLOOKUP($B112,'Old LS-Reports'!$A$4:$V$344,16,FALSE)-D112</f>
        <v>267.47939209664952</v>
      </c>
      <c r="L112" s="38">
        <f>VLOOKUP($B112,'Old LS-Reports'!$A$4:$V$344,19,FALSE)-D112</f>
        <v>268.4941910966495</v>
      </c>
      <c r="M112" s="38">
        <f t="shared" si="5"/>
        <v>1.2074899999999502</v>
      </c>
      <c r="N112" s="38">
        <f>VLOOKUP($B112,'Old LS-Reports'!$A$4:$V$344,8,FALSE)</f>
        <v>-11.2513953</v>
      </c>
      <c r="P112" s="41"/>
    </row>
    <row r="113" spans="1:16" x14ac:dyDescent="0.25">
      <c r="A113" s="39">
        <v>284400</v>
      </c>
      <c r="B113" s="39">
        <v>93402.673999999999</v>
      </c>
      <c r="C113" s="40">
        <f>VLOOKUP($B113,'Correlation sheet'!$C$4:$M$373,6,FALSE)</f>
        <v>1173807.2919613193</v>
      </c>
      <c r="D113" s="16">
        <f>VLOOKUP($B113,'Correlation sheet'!$C$4:$N$373,11,FALSE)</f>
        <v>0.11976871127177446</v>
      </c>
      <c r="E113" s="38">
        <f>VLOOKUP($B113,'Old LS-Reports'!$A$4:$V$344,5,FALSE)-D113</f>
        <v>269.54550068872823</v>
      </c>
      <c r="F113" s="16">
        <f>VLOOKUP($B113,'Correlation sheet'!$C$4:$M$373,10,FALSE)</f>
        <v>270.42955148872824</v>
      </c>
      <c r="G113" s="38">
        <f t="shared" si="3"/>
        <v>0.88405080000001135</v>
      </c>
      <c r="H113" s="38">
        <f>VLOOKUP($B113,'Old LS-Reports'!$A$4:$V$344,6,FALSE)-D113</f>
        <v>268.85750068872824</v>
      </c>
      <c r="I113" s="16">
        <f>VLOOKUP($B113,'Correlation sheet'!$C$4:$M$373,9,FALSE)</f>
        <v>269.71655148872821</v>
      </c>
      <c r="J113" s="38">
        <f t="shared" si="4"/>
        <v>0.85905079999997724</v>
      </c>
      <c r="K113" s="38">
        <f>VLOOKUP($B113,'Old LS-Reports'!$A$4:$V$344,16,FALSE)-D113</f>
        <v>268.1917358887282</v>
      </c>
      <c r="L113" s="38">
        <f>VLOOKUP($B113,'Old LS-Reports'!$A$4:$V$344,19,FALSE)-D113</f>
        <v>268.05350998872825</v>
      </c>
      <c r="M113" s="38">
        <f t="shared" si="5"/>
        <v>1.663041499999963</v>
      </c>
      <c r="N113" s="38">
        <f>VLOOKUP($B113,'Old LS-Reports'!$A$4:$V$344,8,FALSE)</f>
        <v>-11.253276400000001</v>
      </c>
      <c r="P113" s="41"/>
    </row>
    <row r="114" spans="1:16" x14ac:dyDescent="0.25">
      <c r="A114" s="39">
        <v>284420</v>
      </c>
      <c r="B114" s="39">
        <v>93422.673999999999</v>
      </c>
      <c r="C114" s="40">
        <f>VLOOKUP($B114,'Correlation sheet'!$C$4:$M$373,6,FALSE)</f>
        <v>1173827.2919613218</v>
      </c>
      <c r="D114" s="16">
        <f>VLOOKUP($B114,'Correlation sheet'!$C$4:$N$373,11,FALSE)</f>
        <v>0.11995714374535282</v>
      </c>
      <c r="E114" s="38">
        <f>VLOOKUP($B114,'Old LS-Reports'!$A$4:$V$344,5,FALSE)-D114</f>
        <v>269.54099845625467</v>
      </c>
      <c r="F114" s="16">
        <f>VLOOKUP($B114,'Correlation sheet'!$C$4:$M$373,10,FALSE)</f>
        <v>270.44443825625467</v>
      </c>
      <c r="G114" s="38">
        <f t="shared" si="3"/>
        <v>0.90343980000000101</v>
      </c>
      <c r="H114" s="38">
        <f>VLOOKUP($B114,'Old LS-Reports'!$A$4:$V$344,6,FALSE)-D114</f>
        <v>268.85299845625468</v>
      </c>
      <c r="I114" s="16">
        <f>VLOOKUP($B114,'Correlation sheet'!$C$4:$M$373,9,FALSE)</f>
        <v>269.73143825625465</v>
      </c>
      <c r="J114" s="38">
        <f t="shared" si="4"/>
        <v>0.87843979999996691</v>
      </c>
      <c r="K114" s="38">
        <f>VLOOKUP($B114,'Old LS-Reports'!$A$4:$V$344,16,FALSE)-D114</f>
        <v>268.67783185625467</v>
      </c>
      <c r="L114" s="38">
        <f>VLOOKUP($B114,'Old LS-Reports'!$A$4:$V$344,19,FALSE)-D114</f>
        <v>268.98798665625463</v>
      </c>
      <c r="M114" s="38">
        <f t="shared" si="5"/>
        <v>0.74345160000001442</v>
      </c>
      <c r="N114" s="38">
        <f>VLOOKUP($B114,'Old LS-Reports'!$A$4:$V$344,8,FALSE)</f>
        <v>-11.2407769</v>
      </c>
      <c r="P114" s="41"/>
    </row>
    <row r="115" spans="1:16" x14ac:dyDescent="0.25">
      <c r="A115" s="39">
        <v>284440</v>
      </c>
      <c r="B115" s="39">
        <v>93442.673999999999</v>
      </c>
      <c r="C115" s="40">
        <f>VLOOKUP($B115,'Correlation sheet'!$C$4:$M$373,6,FALSE)</f>
        <v>1173847.2919613197</v>
      </c>
      <c r="D115" s="16">
        <f>VLOOKUP($B115,'Correlation sheet'!$C$4:$N$373,11,FALSE)</f>
        <v>0.12014547622237615</v>
      </c>
      <c r="E115" s="38">
        <f>VLOOKUP($B115,'Old LS-Reports'!$A$4:$V$344,5,FALSE)-D115</f>
        <v>269.53649622377765</v>
      </c>
      <c r="F115" s="16">
        <f>VLOOKUP($B115,'Correlation sheet'!$C$4:$M$373,10,FALSE)</f>
        <v>270.45932502377764</v>
      </c>
      <c r="G115" s="38">
        <f t="shared" si="3"/>
        <v>0.92282879999999068</v>
      </c>
      <c r="H115" s="38">
        <f>VLOOKUP($B115,'Old LS-Reports'!$A$4:$V$344,6,FALSE)-D115</f>
        <v>268.84849622377766</v>
      </c>
      <c r="I115" s="16">
        <f>VLOOKUP($B115,'Correlation sheet'!$C$4:$M$373,9,FALSE)</f>
        <v>269.74632502377762</v>
      </c>
      <c r="J115" s="38">
        <f t="shared" si="4"/>
        <v>0.89782879999995657</v>
      </c>
      <c r="K115" s="38">
        <f>VLOOKUP($B115,'Old LS-Reports'!$A$4:$V$344,16,FALSE)-D115</f>
        <v>269.70973552377762</v>
      </c>
      <c r="L115" s="38">
        <f>VLOOKUP($B115,'Old LS-Reports'!$A$4:$V$344,19,FALSE)-D115</f>
        <v>270.1669407237776</v>
      </c>
      <c r="M115" s="38">
        <f t="shared" si="5"/>
        <v>-0.42061569999998483</v>
      </c>
      <c r="N115" s="38">
        <f>VLOOKUP($B115,'Old LS-Reports'!$A$4:$V$344,8,FALSE)</f>
        <v>-11.2282774</v>
      </c>
      <c r="P115" s="41"/>
    </row>
    <row r="116" spans="1:16" x14ac:dyDescent="0.25">
      <c r="A116" s="39">
        <v>284460</v>
      </c>
      <c r="B116" s="39">
        <v>93462.68</v>
      </c>
      <c r="C116" s="40">
        <f>VLOOKUP($B116,'Correlation sheet'!$C$4:$M$373,6,FALSE)</f>
        <v>1173867.2979613224</v>
      </c>
      <c r="D116" s="16">
        <f>VLOOKUP($B116,'Correlation sheet'!$C$4:$N$373,11,FALSE)</f>
        <v>0.12033334266561724</v>
      </c>
      <c r="E116" s="38">
        <f>VLOOKUP($B116,'Old LS-Reports'!$A$4:$V$344,5,FALSE)-D116</f>
        <v>269.49900995733441</v>
      </c>
      <c r="F116" s="16">
        <f>VLOOKUP($B116,'Correlation sheet'!$C$4:$M$373,10,FALSE)</f>
        <v>270.47421625733438</v>
      </c>
      <c r="G116" s="38">
        <f t="shared" si="3"/>
        <v>0.975206299999968</v>
      </c>
      <c r="H116" s="38">
        <f>VLOOKUP($B116,'Old LS-Reports'!$A$4:$V$344,6,FALSE)-D116</f>
        <v>268.81100995733442</v>
      </c>
      <c r="I116" s="16">
        <f>VLOOKUP($B116,'Correlation sheet'!$C$4:$M$373,9,FALSE)</f>
        <v>269.76121625733435</v>
      </c>
      <c r="J116" s="38">
        <f t="shared" si="4"/>
        <v>0.95020629999993389</v>
      </c>
      <c r="K116" s="38">
        <f>VLOOKUP($B116,'Old LS-Reports'!$A$4:$V$344,16,FALSE)-D116</f>
        <v>269.23102945733439</v>
      </c>
      <c r="L116" s="38">
        <f>VLOOKUP($B116,'Old LS-Reports'!$A$4:$V$344,19,FALSE)-D116</f>
        <v>269.92087435733436</v>
      </c>
      <c r="M116" s="38">
        <f t="shared" si="5"/>
        <v>-0.15965810000000147</v>
      </c>
      <c r="N116" s="38">
        <f>VLOOKUP($B116,'Old LS-Reports'!$A$4:$V$344,8,FALSE)</f>
        <v>-11.2238372</v>
      </c>
      <c r="P116" s="41"/>
    </row>
    <row r="117" spans="1:16" x14ac:dyDescent="0.25">
      <c r="A117" s="39">
        <v>284480</v>
      </c>
      <c r="B117" s="39">
        <v>93482.68</v>
      </c>
      <c r="C117" s="40">
        <f>VLOOKUP($B117,'Correlation sheet'!$C$4:$M$373,6,FALSE)</f>
        <v>1173887.2979613203</v>
      </c>
      <c r="D117" s="16">
        <f>VLOOKUP($B117,'Correlation sheet'!$C$4:$N$373,11,FALSE)</f>
        <v>0.12052177514266305</v>
      </c>
      <c r="E117" s="38">
        <f>VLOOKUP($B117,'Old LS-Reports'!$A$4:$V$344,5,FALSE)-D117</f>
        <v>269.45588922485734</v>
      </c>
      <c r="F117" s="16">
        <f>VLOOKUP($B117,'Correlation sheet'!$C$4:$M$373,10,FALSE)</f>
        <v>270.48910302485734</v>
      </c>
      <c r="G117" s="38">
        <f t="shared" si="3"/>
        <v>1.0332137999999986</v>
      </c>
      <c r="H117" s="38">
        <f>VLOOKUP($B117,'Old LS-Reports'!$A$4:$V$344,6,FALSE)-D117</f>
        <v>268.76788922485736</v>
      </c>
      <c r="I117" s="16">
        <f>VLOOKUP($B117,'Correlation sheet'!$C$4:$M$373,9,FALSE)</f>
        <v>269.77610302485732</v>
      </c>
      <c r="J117" s="38">
        <f t="shared" si="4"/>
        <v>1.0082137999999645</v>
      </c>
      <c r="K117" s="38">
        <f>VLOOKUP($B117,'Old LS-Reports'!$A$4:$V$344,16,FALSE)-D117</f>
        <v>268.42123412485734</v>
      </c>
      <c r="L117" s="38">
        <f>VLOOKUP($B117,'Old LS-Reports'!$A$4:$V$344,19,FALSE)-D117</f>
        <v>269.24140972485736</v>
      </c>
      <c r="M117" s="38">
        <f t="shared" si="5"/>
        <v>0.53469329999995807</v>
      </c>
      <c r="N117" s="38">
        <f>VLOOKUP($B117,'Old LS-Reports'!$A$4:$V$344,8,FALSE)</f>
        <v>-11.2207759</v>
      </c>
      <c r="P117" s="41"/>
    </row>
    <row r="118" spans="1:16" x14ac:dyDescent="0.25">
      <c r="A118" s="39">
        <v>284500</v>
      </c>
      <c r="B118" s="39">
        <v>93502.676000000007</v>
      </c>
      <c r="C118" s="40">
        <f>VLOOKUP($B118,'Correlation sheet'!$C$4:$M$373,6,FALSE)</f>
        <v>1173907.2939613205</v>
      </c>
      <c r="D118" s="16">
        <f>VLOOKUP($B118,'Correlation sheet'!$C$4:$N$373,11,FALSE)</f>
        <v>0.12071058497144804</v>
      </c>
      <c r="E118" s="38">
        <f>VLOOKUP($B118,'Old LS-Reports'!$A$4:$V$344,5,FALSE)-D118</f>
        <v>269.41922871502857</v>
      </c>
      <c r="F118" s="16">
        <f>VLOOKUP($B118,'Correlation sheet'!$C$4:$M$373,10,FALSE)</f>
        <v>270.50398681502855</v>
      </c>
      <c r="G118" s="38">
        <f t="shared" si="3"/>
        <v>1.0847580999999877</v>
      </c>
      <c r="H118" s="38">
        <f>VLOOKUP($B118,'Old LS-Reports'!$A$4:$V$344,6,FALSE)-D118</f>
        <v>268.73122871502858</v>
      </c>
      <c r="I118" s="16">
        <f>VLOOKUP($B118,'Correlation sheet'!$C$4:$M$373,9,FALSE)</f>
        <v>269.79098681502853</v>
      </c>
      <c r="J118" s="38">
        <f t="shared" si="4"/>
        <v>1.0597580999999536</v>
      </c>
      <c r="K118" s="38">
        <f>VLOOKUP($B118,'Old LS-Reports'!$A$4:$V$344,16,FALSE)-D118</f>
        <v>268.04445791502854</v>
      </c>
      <c r="L118" s="38">
        <f>VLOOKUP($B118,'Old LS-Reports'!$A$4:$V$344,19,FALSE)-D118</f>
        <v>268.57250331502854</v>
      </c>
      <c r="M118" s="38">
        <f t="shared" si="5"/>
        <v>1.2184834999999907</v>
      </c>
      <c r="N118" s="38">
        <f>VLOOKUP($B118,'Old LS-Reports'!$A$4:$V$344,8,FALSE)</f>
        <v>-11.213882999999999</v>
      </c>
      <c r="P118" s="41"/>
    </row>
    <row r="119" spans="1:16" x14ac:dyDescent="0.25">
      <c r="A119" s="39">
        <v>284500</v>
      </c>
      <c r="B119" s="39">
        <v>93502.676000000007</v>
      </c>
      <c r="C119" s="40">
        <f>VLOOKUP($B119,'Correlation sheet'!$C$4:$M$373,6,FALSE)</f>
        <v>1173907.2939613205</v>
      </c>
      <c r="D119" s="16">
        <f>VLOOKUP($B119,'Correlation sheet'!$C$4:$N$373,11,FALSE)</f>
        <v>0.12071058497144804</v>
      </c>
      <c r="E119" s="38">
        <f>VLOOKUP($B119,'Old LS-Reports'!$A$4:$V$344,5,FALSE)-D119</f>
        <v>269.41922871502857</v>
      </c>
      <c r="F119" s="16">
        <f>VLOOKUP($B119,'Correlation sheet'!$C$4:$M$373,10,FALSE)</f>
        <v>270.50398681502855</v>
      </c>
      <c r="G119" s="38">
        <f t="shared" si="3"/>
        <v>1.0847580999999877</v>
      </c>
      <c r="H119" s="38">
        <f>VLOOKUP($B119,'Old LS-Reports'!$A$4:$V$344,6,FALSE)-D119</f>
        <v>268.73122871502858</v>
      </c>
      <c r="I119" s="16">
        <f>VLOOKUP($B119,'Correlation sheet'!$C$4:$M$373,9,FALSE)</f>
        <v>269.79098681502853</v>
      </c>
      <c r="J119" s="38">
        <f t="shared" si="4"/>
        <v>1.0597580999999536</v>
      </c>
      <c r="K119" s="38">
        <f>VLOOKUP($B119,'Old LS-Reports'!$A$4:$V$344,16,FALSE)-D119</f>
        <v>268.04445791502854</v>
      </c>
      <c r="L119" s="38">
        <f>VLOOKUP($B119,'Old LS-Reports'!$A$4:$V$344,19,FALSE)-D119</f>
        <v>268.57250331502854</v>
      </c>
      <c r="M119" s="38">
        <f t="shared" si="5"/>
        <v>1.2184834999999907</v>
      </c>
      <c r="N119" s="38">
        <f>VLOOKUP($B119,'Old LS-Reports'!$A$4:$V$344,8,FALSE)</f>
        <v>-11.213882999999999</v>
      </c>
      <c r="P119" s="41"/>
    </row>
    <row r="120" spans="1:16" x14ac:dyDescent="0.25">
      <c r="A120" s="39">
        <v>284520</v>
      </c>
      <c r="B120" s="39">
        <v>93522.675000000003</v>
      </c>
      <c r="C120" s="40">
        <f>VLOOKUP($B120,'Correlation sheet'!$C$4:$M$373,6,FALSE)</f>
        <v>1173927.2939613243</v>
      </c>
      <c r="D120" s="16">
        <f>VLOOKUP($B120,'Correlation sheet'!$C$4:$N$373,11,FALSE)</f>
        <v>0.12089891744415127</v>
      </c>
      <c r="E120" s="38">
        <f>VLOOKUP($B120,'Old LS-Reports'!$A$4:$V$344,5,FALSE)-D120</f>
        <v>269.38618638255582</v>
      </c>
      <c r="F120" s="16">
        <f>VLOOKUP($B120,'Correlation sheet'!$C$4:$M$373,10,FALSE)</f>
        <v>270.51887358255584</v>
      </c>
      <c r="G120" s="38">
        <f t="shared" si="3"/>
        <v>1.1326872000000208</v>
      </c>
      <c r="H120" s="38">
        <f>VLOOKUP($B120,'Old LS-Reports'!$A$4:$V$344,6,FALSE)-D120</f>
        <v>268.69818638255583</v>
      </c>
      <c r="I120" s="16">
        <f>VLOOKUP($B120,'Correlation sheet'!$C$4:$M$373,9,FALSE)</f>
        <v>269.80587358255582</v>
      </c>
      <c r="J120" s="38">
        <f t="shared" si="4"/>
        <v>1.1076871999999867</v>
      </c>
      <c r="K120" s="38">
        <f>VLOOKUP($B120,'Old LS-Reports'!$A$4:$V$344,16,FALSE)-D120</f>
        <v>267.98085478255587</v>
      </c>
      <c r="L120" s="38">
        <f>VLOOKUP($B120,'Old LS-Reports'!$A$4:$V$344,19,FALSE)-D120</f>
        <v>268.03796518255587</v>
      </c>
      <c r="M120" s="38">
        <f t="shared" si="5"/>
        <v>1.7679083999999534</v>
      </c>
      <c r="N120" s="38">
        <f>VLOOKUP($B120,'Old LS-Reports'!$A$4:$V$344,8,FALSE)</f>
        <v>-11.204843</v>
      </c>
      <c r="P120" s="41"/>
    </row>
    <row r="121" spans="1:16" x14ac:dyDescent="0.25">
      <c r="A121" s="39">
        <v>284540</v>
      </c>
      <c r="B121" s="39">
        <v>93542.691000000006</v>
      </c>
      <c r="C121" s="40">
        <f>VLOOKUP($B121,'Correlation sheet'!$C$4:$M$373,6,FALSE)</f>
        <v>1173947.3099613229</v>
      </c>
      <c r="D121" s="16">
        <f>VLOOKUP($B121,'Correlation sheet'!$C$4:$N$373,11,FALSE)</f>
        <v>0.121087440506642</v>
      </c>
      <c r="E121" s="38">
        <f>VLOOKUP($B121,'Old LS-Reports'!$A$4:$V$344,5,FALSE)-D121</f>
        <v>269.36936915949337</v>
      </c>
      <c r="F121" s="16">
        <f>VLOOKUP($B121,'Correlation sheet'!$C$4:$M$373,10,FALSE)</f>
        <v>270.53377225949339</v>
      </c>
      <c r="G121" s="38">
        <f t="shared" si="3"/>
        <v>1.1644031000000155</v>
      </c>
      <c r="H121" s="38">
        <f>VLOOKUP($B121,'Old LS-Reports'!$A$4:$V$344,6,FALSE)-D121</f>
        <v>268.68136915949339</v>
      </c>
      <c r="I121" s="16">
        <f>VLOOKUP($B121,'Correlation sheet'!$C$4:$M$373,9,FALSE)</f>
        <v>269.82077225949337</v>
      </c>
      <c r="J121" s="38">
        <f t="shared" si="4"/>
        <v>1.1394030999999814</v>
      </c>
      <c r="K121" s="38">
        <f>VLOOKUP($B121,'Old LS-Reports'!$A$4:$V$344,16,FALSE)-D121</f>
        <v>267.66982875949338</v>
      </c>
      <c r="L121" s="38">
        <f>VLOOKUP($B121,'Old LS-Reports'!$A$4:$V$344,19,FALSE)-D121</f>
        <v>267.47731315949335</v>
      </c>
      <c r="M121" s="38">
        <f t="shared" si="5"/>
        <v>2.3434591000000182</v>
      </c>
      <c r="N121" s="38">
        <f>VLOOKUP($B121,'Old LS-Reports'!$A$4:$V$344,8,FALSE)</f>
        <v>-11.212123999999999</v>
      </c>
      <c r="P121" s="41"/>
    </row>
    <row r="122" spans="1:16" x14ac:dyDescent="0.25">
      <c r="A122" s="39">
        <v>284560</v>
      </c>
      <c r="B122" s="39">
        <v>93562.691000000006</v>
      </c>
      <c r="C122" s="40">
        <f>VLOOKUP($B122,'Correlation sheet'!$C$4:$M$373,6,FALSE)</f>
        <v>1173967.3099613199</v>
      </c>
      <c r="D122" s="16">
        <f>VLOOKUP($B122,'Correlation sheet'!$C$4:$N$373,11,FALSE)</f>
        <v>0.12127577298434744</v>
      </c>
      <c r="E122" s="38">
        <f>VLOOKUP($B122,'Old LS-Reports'!$A$4:$V$344,5,FALSE)-D122</f>
        <v>269.36472862701567</v>
      </c>
      <c r="F122" s="16">
        <f>VLOOKUP($B122,'Correlation sheet'!$C$4:$M$373,10,FALSE)</f>
        <v>270.54865902701567</v>
      </c>
      <c r="G122" s="38">
        <f t="shared" si="3"/>
        <v>1.1839304000000084</v>
      </c>
      <c r="H122" s="38">
        <f>VLOOKUP($B122,'Old LS-Reports'!$A$4:$V$344,6,FALSE)-D122</f>
        <v>268.67672862701568</v>
      </c>
      <c r="I122" s="16">
        <f>VLOOKUP($B122,'Correlation sheet'!$C$4:$M$373,9,FALSE)</f>
        <v>269.83565902701565</v>
      </c>
      <c r="J122" s="38">
        <f t="shared" si="4"/>
        <v>1.1589303999999743</v>
      </c>
      <c r="K122" s="38">
        <f>VLOOKUP($B122,'Old LS-Reports'!$A$4:$V$344,16,FALSE)-D122</f>
        <v>267.59402052701563</v>
      </c>
      <c r="L122" s="38">
        <f>VLOOKUP($B122,'Old LS-Reports'!$A$4:$V$344,19,FALSE)-D122</f>
        <v>267.88454742701566</v>
      </c>
      <c r="M122" s="38">
        <f t="shared" si="5"/>
        <v>1.9511115999999902</v>
      </c>
      <c r="N122" s="38">
        <f>VLOOKUP($B122,'Old LS-Reports'!$A$4:$V$344,8,FALSE)</f>
        <v>-11.2316463</v>
      </c>
      <c r="P122" s="41"/>
    </row>
    <row r="123" spans="1:16" x14ac:dyDescent="0.25">
      <c r="A123" s="39">
        <v>284580</v>
      </c>
      <c r="B123" s="39">
        <v>93582.672999999995</v>
      </c>
      <c r="C123" s="40">
        <f>VLOOKUP($B123,'Correlation sheet'!$C$4:$M$373,6,FALSE)</f>
        <v>1173987.2919613207</v>
      </c>
      <c r="D123" s="16">
        <f>VLOOKUP($B123,'Correlation sheet'!$C$4:$N$373,11,FALSE)</f>
        <v>0.1214641035500108</v>
      </c>
      <c r="E123" s="38">
        <f>VLOOKUP($B123,'Old LS-Reports'!$A$4:$V$344,5,FALSE)-D123</f>
        <v>269.34314769644999</v>
      </c>
      <c r="F123" s="16">
        <f>VLOOKUP($B123,'Correlation sheet'!$C$4:$M$373,10,FALSE)</f>
        <v>270.56353239645</v>
      </c>
      <c r="G123" s="38">
        <f t="shared" si="3"/>
        <v>1.220384700000011</v>
      </c>
      <c r="H123" s="38">
        <f>VLOOKUP($B123,'Old LS-Reports'!$A$4:$V$344,6,FALSE)-D123</f>
        <v>268.65514769645</v>
      </c>
      <c r="I123" s="16">
        <f>VLOOKUP($B123,'Correlation sheet'!$C$4:$M$373,9,FALSE)</f>
        <v>269.85053239644998</v>
      </c>
      <c r="J123" s="38">
        <f t="shared" si="4"/>
        <v>1.1953846999999769</v>
      </c>
      <c r="K123" s="38">
        <f>VLOOKUP($B123,'Old LS-Reports'!$A$4:$V$344,16,FALSE)-D123</f>
        <v>267.56799559644998</v>
      </c>
      <c r="L123" s="38">
        <f>VLOOKUP($B123,'Old LS-Reports'!$A$4:$V$344,19,FALSE)-D123</f>
        <v>268.01887649644999</v>
      </c>
      <c r="M123" s="38">
        <f t="shared" si="5"/>
        <v>1.831655899999987</v>
      </c>
      <c r="N123" s="38">
        <f>VLOOKUP($B123,'Old LS-Reports'!$A$4:$V$344,8,FALSE)</f>
        <v>-11.2265043</v>
      </c>
      <c r="P123" s="41"/>
    </row>
    <row r="124" spans="1:16" x14ac:dyDescent="0.25">
      <c r="A124" s="39">
        <v>284600</v>
      </c>
      <c r="B124" s="39">
        <v>93602.672999999995</v>
      </c>
      <c r="C124" s="40">
        <f>VLOOKUP($B124,'Correlation sheet'!$C$4:$M$373,6,FALSE)</f>
        <v>1174007.2919613186</v>
      </c>
      <c r="D124" s="16">
        <f>VLOOKUP($B124,'Correlation sheet'!$C$4:$N$373,11,FALSE)</f>
        <v>0.12165243602703413</v>
      </c>
      <c r="E124" s="38">
        <f>VLOOKUP($B124,'Old LS-Reports'!$A$4:$V$344,5,FALSE)-D124</f>
        <v>269.31663186397299</v>
      </c>
      <c r="F124" s="16">
        <f>VLOOKUP($B124,'Correlation sheet'!$C$4:$M$373,10,FALSE)</f>
        <v>270.57841916397297</v>
      </c>
      <c r="G124" s="38">
        <f t="shared" si="3"/>
        <v>1.2617872999999804</v>
      </c>
      <c r="H124" s="38">
        <f>VLOOKUP($B124,'Old LS-Reports'!$A$4:$V$344,6,FALSE)-D124</f>
        <v>268.628631863973</v>
      </c>
      <c r="I124" s="16">
        <f>VLOOKUP($B124,'Correlation sheet'!$C$4:$M$373,9,FALSE)</f>
        <v>269.86541916397294</v>
      </c>
      <c r="J124" s="38">
        <f t="shared" si="4"/>
        <v>1.2367872999999463</v>
      </c>
      <c r="K124" s="38">
        <f>VLOOKUP($B124,'Old LS-Reports'!$A$4:$V$344,16,FALSE)-D124</f>
        <v>267.38453026397298</v>
      </c>
      <c r="L124" s="38">
        <f>VLOOKUP($B124,'Old LS-Reports'!$A$4:$V$344,19,FALSE)-D124</f>
        <v>267.60078896397295</v>
      </c>
      <c r="M124" s="38">
        <f t="shared" si="5"/>
        <v>2.2646301999999991</v>
      </c>
      <c r="N124" s="38">
        <f>VLOOKUP($B124,'Old LS-Reports'!$A$4:$V$344,8,FALSE)</f>
        <v>-11.2141813</v>
      </c>
      <c r="P124" s="41"/>
    </row>
    <row r="125" spans="1:16" x14ac:dyDescent="0.25">
      <c r="A125" s="39">
        <v>284620</v>
      </c>
      <c r="B125" s="39">
        <v>93622.676999999996</v>
      </c>
      <c r="C125" s="40">
        <f>VLOOKUP($B125,'Correlation sheet'!$C$4:$M$373,6,FALSE)</f>
        <v>1174027.2959613195</v>
      </c>
      <c r="D125" s="16">
        <f>VLOOKUP($B125,'Correlation sheet'!$C$4:$N$373,11,FALSE)</f>
        <v>0.12184069114834983</v>
      </c>
      <c r="E125" s="38">
        <f>VLOOKUP($B125,'Old LS-Reports'!$A$4:$V$344,5,FALSE)-D125</f>
        <v>269.29193030885165</v>
      </c>
      <c r="F125" s="16">
        <f>VLOOKUP($B125,'Correlation sheet'!$C$4:$M$373,10,FALSE)</f>
        <v>270.59330890885167</v>
      </c>
      <c r="G125" s="38">
        <f t="shared" si="3"/>
        <v>1.3013786000000209</v>
      </c>
      <c r="H125" s="38">
        <f>VLOOKUP($B125,'Old LS-Reports'!$A$4:$V$344,6,FALSE)-D125</f>
        <v>268.60393030885166</v>
      </c>
      <c r="I125" s="16">
        <f>VLOOKUP($B125,'Correlation sheet'!$C$4:$M$373,9,FALSE)</f>
        <v>269.88030890885165</v>
      </c>
      <c r="J125" s="38">
        <f t="shared" si="4"/>
        <v>1.2763785999999868</v>
      </c>
      <c r="K125" s="38">
        <f>VLOOKUP($B125,'Old LS-Reports'!$A$4:$V$344,16,FALSE)-D125</f>
        <v>267.27954340885162</v>
      </c>
      <c r="L125" s="38">
        <f>VLOOKUP($B125,'Old LS-Reports'!$A$4:$V$344,19,FALSE)-D125</f>
        <v>267.60608360885163</v>
      </c>
      <c r="M125" s="38">
        <f t="shared" si="5"/>
        <v>2.2742253000000119</v>
      </c>
      <c r="N125" s="38">
        <f>VLOOKUP($B125,'Old LS-Reports'!$A$4:$V$344,8,FALSE)</f>
        <v>-11.2078886</v>
      </c>
      <c r="P125" s="41"/>
    </row>
    <row r="126" spans="1:16" x14ac:dyDescent="0.25">
      <c r="A126" s="39">
        <v>284640</v>
      </c>
      <c r="B126" s="39">
        <v>93642.676999999996</v>
      </c>
      <c r="C126" s="40">
        <f>VLOOKUP($B126,'Correlation sheet'!$C$4:$M$373,6,FALSE)</f>
        <v>1174047.2959613225</v>
      </c>
      <c r="D126" s="16">
        <f>VLOOKUP($B126,'Correlation sheet'!$C$4:$N$373,11,FALSE)</f>
        <v>0.12202902362156465</v>
      </c>
      <c r="E126" s="38">
        <f>VLOOKUP($B126,'Old LS-Reports'!$A$4:$V$344,5,FALSE)-D126</f>
        <v>269.26740107637846</v>
      </c>
      <c r="F126" s="16">
        <f>VLOOKUP($B126,'Correlation sheet'!$C$4:$M$373,10,FALSE)</f>
        <v>270.60819567637844</v>
      </c>
      <c r="G126" s="38">
        <f t="shared" si="3"/>
        <v>1.3407945999999811</v>
      </c>
      <c r="H126" s="38">
        <f>VLOOKUP($B126,'Old LS-Reports'!$A$4:$V$344,6,FALSE)-D126</f>
        <v>268.57940107637847</v>
      </c>
      <c r="I126" s="16">
        <f>VLOOKUP($B126,'Correlation sheet'!$C$4:$M$373,9,FALSE)</f>
        <v>269.89519567637842</v>
      </c>
      <c r="J126" s="38">
        <f t="shared" si="4"/>
        <v>1.315794599999947</v>
      </c>
      <c r="K126" s="38">
        <f>VLOOKUP($B126,'Old LS-Reports'!$A$4:$V$344,16,FALSE)-D126</f>
        <v>267.04978047637843</v>
      </c>
      <c r="L126" s="38">
        <f>VLOOKUP($B126,'Old LS-Reports'!$A$4:$V$344,19,FALSE)-D126</f>
        <v>267.28450747637845</v>
      </c>
      <c r="M126" s="38">
        <f t="shared" si="5"/>
        <v>2.61068819999997</v>
      </c>
      <c r="N126" s="38">
        <f>VLOOKUP($B126,'Old LS-Reports'!$A$4:$V$344,8,FALSE)</f>
        <v>-11.202170600000001</v>
      </c>
      <c r="P126" s="41"/>
    </row>
    <row r="127" spans="1:16" x14ac:dyDescent="0.25">
      <c r="A127" s="39">
        <v>284660</v>
      </c>
      <c r="B127" s="39">
        <v>93662.675000000003</v>
      </c>
      <c r="C127" s="40">
        <f>VLOOKUP($B127,'Correlation sheet'!$C$4:$M$373,6,FALSE)</f>
        <v>1174067.2939613189</v>
      </c>
      <c r="D127" s="16">
        <f>VLOOKUP($B127,'Correlation sheet'!$C$4:$N$373,11,FALSE)</f>
        <v>0.12221734477645896</v>
      </c>
      <c r="E127" s="38">
        <f>VLOOKUP($B127,'Old LS-Reports'!$A$4:$V$344,5,FALSE)-D127</f>
        <v>269.25343975522355</v>
      </c>
      <c r="F127" s="16">
        <f>VLOOKUP($B127,'Correlation sheet'!$C$4:$M$373,10,FALSE)</f>
        <v>270.62308095522354</v>
      </c>
      <c r="G127" s="38">
        <f t="shared" si="3"/>
        <v>1.3696411999999896</v>
      </c>
      <c r="H127" s="38">
        <f>VLOOKUP($B127,'Old LS-Reports'!$A$4:$V$344,6,FALSE)-D127</f>
        <v>268.56543975522357</v>
      </c>
      <c r="I127" s="16">
        <f>VLOOKUP($B127,'Correlation sheet'!$C$4:$M$373,9,FALSE)</f>
        <v>269.91008095522352</v>
      </c>
      <c r="J127" s="38">
        <f t="shared" si="4"/>
        <v>1.3446411999999555</v>
      </c>
      <c r="K127" s="38">
        <f>VLOOKUP($B127,'Old LS-Reports'!$A$4:$V$344,16,FALSE)-D127</f>
        <v>266.99662265522352</v>
      </c>
      <c r="L127" s="38">
        <f>VLOOKUP($B127,'Old LS-Reports'!$A$4:$V$344,19,FALSE)-D127</f>
        <v>267.05494825522356</v>
      </c>
      <c r="M127" s="38">
        <f t="shared" si="5"/>
        <v>2.855132699999956</v>
      </c>
      <c r="N127" s="38">
        <f>VLOOKUP($B127,'Old LS-Reports'!$A$4:$V$344,8,FALSE)</f>
        <v>-11.193617400000001</v>
      </c>
      <c r="P127" s="41"/>
    </row>
    <row r="128" spans="1:16" x14ac:dyDescent="0.25">
      <c r="A128" s="39">
        <v>284680</v>
      </c>
      <c r="B128" s="39">
        <v>93682.675000000003</v>
      </c>
      <c r="C128" s="40">
        <f>VLOOKUP($B128,'Correlation sheet'!$C$4:$M$373,6,FALSE)</f>
        <v>1174087.2939613219</v>
      </c>
      <c r="D128" s="16">
        <f>VLOOKUP($B128,'Correlation sheet'!$C$4:$N$373,11,FALSE)</f>
        <v>0.12240567724967377</v>
      </c>
      <c r="E128" s="38">
        <f>VLOOKUP($B128,'Old LS-Reports'!$A$4:$V$344,5,FALSE)-D128</f>
        <v>269.2425130227503</v>
      </c>
      <c r="F128" s="16">
        <f>VLOOKUP($B128,'Correlation sheet'!$C$4:$M$373,10,FALSE)</f>
        <v>270.63796772275032</v>
      </c>
      <c r="G128" s="38">
        <f t="shared" si="3"/>
        <v>1.3954547000000161</v>
      </c>
      <c r="H128" s="38">
        <f>VLOOKUP($B128,'Old LS-Reports'!$A$4:$V$344,6,FALSE)-D128</f>
        <v>268.55451302275031</v>
      </c>
      <c r="I128" s="16">
        <f>VLOOKUP($B128,'Correlation sheet'!$C$4:$M$373,9,FALSE)</f>
        <v>269.9249677227503</v>
      </c>
      <c r="J128" s="38">
        <f t="shared" si="4"/>
        <v>1.370454699999982</v>
      </c>
      <c r="K128" s="38">
        <f>VLOOKUP($B128,'Old LS-Reports'!$A$4:$V$344,16,FALSE)-D128</f>
        <v>267.0270242227503</v>
      </c>
      <c r="L128" s="38">
        <f>VLOOKUP($B128,'Old LS-Reports'!$A$4:$V$344,19,FALSE)-D128</f>
        <v>267.53820002275035</v>
      </c>
      <c r="M128" s="38">
        <f t="shared" si="5"/>
        <v>2.3867676999999503</v>
      </c>
      <c r="N128" s="38">
        <f>VLOOKUP($B128,'Old LS-Reports'!$A$4:$V$344,8,FALSE)</f>
        <v>-11.184249100000001</v>
      </c>
      <c r="P128" s="41"/>
    </row>
    <row r="129" spans="1:16" x14ac:dyDescent="0.25">
      <c r="A129" s="39">
        <v>284700</v>
      </c>
      <c r="B129" s="39">
        <v>93702.676999999996</v>
      </c>
      <c r="C129" s="40">
        <f>VLOOKUP($B129,'Correlation sheet'!$C$4:$M$373,6,FALSE)</f>
        <v>1174107.295961322</v>
      </c>
      <c r="D129" s="16">
        <f>VLOOKUP($B129,'Correlation sheet'!$C$4:$N$373,11,FALSE)</f>
        <v>0.12259432104832513</v>
      </c>
      <c r="E129" s="38">
        <f>VLOOKUP($B129,'Old LS-Reports'!$A$4:$V$344,5,FALSE)-D129</f>
        <v>269.24656407895168</v>
      </c>
      <c r="F129" s="16">
        <f>VLOOKUP($B129,'Correlation sheet'!$C$4:$M$373,10,FALSE)</f>
        <v>270.65285597895166</v>
      </c>
      <c r="G129" s="38">
        <f t="shared" si="3"/>
        <v>1.4062918999999852</v>
      </c>
      <c r="H129" s="38">
        <f>VLOOKUP($B129,'Old LS-Reports'!$A$4:$V$344,6,FALSE)-D129</f>
        <v>268.55856407895169</v>
      </c>
      <c r="I129" s="16">
        <f>VLOOKUP($B129,'Correlation sheet'!$C$4:$M$373,9,FALSE)</f>
        <v>269.93985597895164</v>
      </c>
      <c r="J129" s="38">
        <f t="shared" si="4"/>
        <v>1.3812918999999511</v>
      </c>
      <c r="K129" s="38">
        <f>VLOOKUP($B129,'Old LS-Reports'!$A$4:$V$344,16,FALSE)-D129</f>
        <v>266.95203537895168</v>
      </c>
      <c r="L129" s="38">
        <f>VLOOKUP($B129,'Old LS-Reports'!$A$4:$V$344,19,FALSE)-D129</f>
        <v>267.65285257895169</v>
      </c>
      <c r="M129" s="38">
        <f t="shared" si="5"/>
        <v>2.2870033999999464</v>
      </c>
      <c r="N129" s="38">
        <f>VLOOKUP($B129,'Old LS-Reports'!$A$4:$V$344,8,FALSE)</f>
        <v>-11.177599300000001</v>
      </c>
      <c r="P129" s="41"/>
    </row>
    <row r="130" spans="1:16" x14ac:dyDescent="0.25">
      <c r="A130" s="39">
        <v>284720</v>
      </c>
      <c r="B130" s="39">
        <v>93722.676999999996</v>
      </c>
      <c r="C130" s="40">
        <f>VLOOKUP($B130,'Correlation sheet'!$C$4:$M$373,6,FALSE)</f>
        <v>1174127.295961319</v>
      </c>
      <c r="D130" s="16">
        <f>VLOOKUP($B130,'Correlation sheet'!$C$4:$N$373,11,FALSE)</f>
        <v>0.12278275352605306</v>
      </c>
      <c r="E130" s="38">
        <f>VLOOKUP($B130,'Old LS-Reports'!$A$4:$V$344,5,FALSE)-D130</f>
        <v>269.25904424647393</v>
      </c>
      <c r="F130" s="16">
        <f>VLOOKUP($B130,'Correlation sheet'!$C$4:$M$373,10,FALSE)</f>
        <v>270.66774274647395</v>
      </c>
      <c r="G130" s="38">
        <f t="shared" si="3"/>
        <v>1.4086985000000141</v>
      </c>
      <c r="H130" s="38">
        <f>VLOOKUP($B130,'Old LS-Reports'!$A$4:$V$344,6,FALSE)-D130</f>
        <v>268.57104424647395</v>
      </c>
      <c r="I130" s="16">
        <f>VLOOKUP($B130,'Correlation sheet'!$C$4:$M$373,9,FALSE)</f>
        <v>269.95474274647393</v>
      </c>
      <c r="J130" s="38">
        <f t="shared" si="4"/>
        <v>1.38369849999998</v>
      </c>
      <c r="K130" s="38">
        <f>VLOOKUP($B130,'Old LS-Reports'!$A$4:$V$344,16,FALSE)-D130</f>
        <v>266.93455424647397</v>
      </c>
      <c r="L130" s="38">
        <f>VLOOKUP($B130,'Old LS-Reports'!$A$4:$V$344,19,FALSE)-D130</f>
        <v>267.37400414647396</v>
      </c>
      <c r="M130" s="38">
        <f t="shared" si="5"/>
        <v>2.580738599999961</v>
      </c>
      <c r="N130" s="38">
        <f>VLOOKUP($B130,'Old LS-Reports'!$A$4:$V$344,8,FALSE)</f>
        <v>-11.1724806</v>
      </c>
      <c r="P130" s="41"/>
    </row>
    <row r="131" spans="1:16" x14ac:dyDescent="0.25">
      <c r="A131" s="39">
        <v>284740</v>
      </c>
      <c r="B131" s="39">
        <v>93742.67</v>
      </c>
      <c r="C131" s="40">
        <f>VLOOKUP($B131,'Correlation sheet'!$C$4:$M$373,6,FALSE)</f>
        <v>1174147.2889613197</v>
      </c>
      <c r="D131" s="16">
        <f>VLOOKUP($B131,'Correlation sheet'!$C$4:$N$373,11,FALSE)</f>
        <v>0.12297099636964504</v>
      </c>
      <c r="E131" s="38">
        <f>VLOOKUP($B131,'Old LS-Reports'!$A$4:$V$344,5,FALSE)-D131</f>
        <v>269.24561560363037</v>
      </c>
      <c r="F131" s="16">
        <f>VLOOKUP($B131,'Correlation sheet'!$C$4:$M$373,10,FALSE)</f>
        <v>270.68262430363035</v>
      </c>
      <c r="G131" s="38">
        <f t="shared" ref="G131:G194" si="6">F131-E131</f>
        <v>1.4370086999999785</v>
      </c>
      <c r="H131" s="38">
        <f>VLOOKUP($B131,'Old LS-Reports'!$A$4:$V$344,6,FALSE)-D131</f>
        <v>268.55761560363038</v>
      </c>
      <c r="I131" s="16">
        <f>VLOOKUP($B131,'Correlation sheet'!$C$4:$M$373,9,FALSE)</f>
        <v>269.96962430363033</v>
      </c>
      <c r="J131" s="38">
        <f t="shared" ref="J131:J194" si="7">I131-H131</f>
        <v>1.4120086999999444</v>
      </c>
      <c r="K131" s="38">
        <f>VLOOKUP($B131,'Old LS-Reports'!$A$4:$V$344,16,FALSE)-D131</f>
        <v>266.82304670363038</v>
      </c>
      <c r="L131" s="38">
        <f>VLOOKUP($B131,'Old LS-Reports'!$A$4:$V$344,19,FALSE)-D131</f>
        <v>267.42982110363033</v>
      </c>
      <c r="M131" s="38">
        <f t="shared" ref="M131:M194" si="8">I131-L131</f>
        <v>2.5398031999999944</v>
      </c>
      <c r="N131" s="38">
        <f>VLOOKUP($B131,'Old LS-Reports'!$A$4:$V$344,8,FALSE)</f>
        <v>-11.1588999</v>
      </c>
      <c r="P131" s="41"/>
    </row>
    <row r="132" spans="1:16" x14ac:dyDescent="0.25">
      <c r="A132" s="39">
        <v>284760</v>
      </c>
      <c r="B132" s="39">
        <v>93762.67</v>
      </c>
      <c r="C132" s="40">
        <f>VLOOKUP($B132,'Correlation sheet'!$C$4:$M$373,6,FALSE)</f>
        <v>1174167.2889613234</v>
      </c>
      <c r="D132" s="16">
        <f>VLOOKUP($B132,'Correlation sheet'!$C$4:$N$373,11,FALSE)</f>
        <v>0.12315932884234826</v>
      </c>
      <c r="E132" s="38">
        <f>VLOOKUP($B132,'Old LS-Reports'!$A$4:$V$344,5,FALSE)-D132</f>
        <v>269.21946047115767</v>
      </c>
      <c r="F132" s="16">
        <f>VLOOKUP($B132,'Correlation sheet'!$C$4:$M$373,10,FALSE)</f>
        <v>270.69751107115763</v>
      </c>
      <c r="G132" s="38">
        <f t="shared" si="6"/>
        <v>1.4780505999999605</v>
      </c>
      <c r="H132" s="38">
        <f>VLOOKUP($B132,'Old LS-Reports'!$A$4:$V$344,6,FALSE)-D132</f>
        <v>268.53146047115769</v>
      </c>
      <c r="I132" s="16">
        <f>VLOOKUP($B132,'Correlation sheet'!$C$4:$M$373,9,FALSE)</f>
        <v>269.98451107115761</v>
      </c>
      <c r="J132" s="38">
        <f t="shared" si="7"/>
        <v>1.4530505999999264</v>
      </c>
      <c r="K132" s="38">
        <f>VLOOKUP($B132,'Old LS-Reports'!$A$4:$V$344,16,FALSE)-D132</f>
        <v>266.71296937115767</v>
      </c>
      <c r="L132" s="38">
        <f>VLOOKUP($B132,'Old LS-Reports'!$A$4:$V$344,19,FALSE)-D132</f>
        <v>267.46193667115767</v>
      </c>
      <c r="M132" s="38">
        <f t="shared" si="8"/>
        <v>2.5225743999999395</v>
      </c>
      <c r="N132" s="38">
        <f>VLOOKUP($B132,'Old LS-Reports'!$A$4:$V$344,8,FALSE)</f>
        <v>-11.141156499999999</v>
      </c>
      <c r="P132" s="41"/>
    </row>
    <row r="133" spans="1:16" x14ac:dyDescent="0.25">
      <c r="A133" s="39">
        <v>284780</v>
      </c>
      <c r="B133" s="39">
        <v>93782.687999999995</v>
      </c>
      <c r="C133" s="40">
        <f>VLOOKUP($B133,'Correlation sheet'!$C$4:$M$373,6,FALSE)</f>
        <v>1174187.3069613178</v>
      </c>
      <c r="D133" s="16">
        <f>VLOOKUP($B133,'Correlation sheet'!$C$4:$N$373,11,FALSE)</f>
        <v>0.12334806323127623</v>
      </c>
      <c r="E133" s="38">
        <f>VLOOKUP($B133,'Old LS-Reports'!$A$4:$V$344,5,FALSE)-D133</f>
        <v>269.19609933676873</v>
      </c>
      <c r="F133" s="16">
        <f>VLOOKUP($B133,'Correlation sheet'!$C$4:$M$373,10,FALSE)</f>
        <v>270.71241123676873</v>
      </c>
      <c r="G133" s="38">
        <f t="shared" si="6"/>
        <v>1.5163119000000052</v>
      </c>
      <c r="H133" s="38">
        <f>VLOOKUP($B133,'Old LS-Reports'!$A$4:$V$344,6,FALSE)-D133</f>
        <v>268.50809933676874</v>
      </c>
      <c r="I133" s="16">
        <f>VLOOKUP($B133,'Correlation sheet'!$C$4:$M$373,9,FALSE)</f>
        <v>269.99941123676871</v>
      </c>
      <c r="J133" s="38">
        <f t="shared" si="7"/>
        <v>1.491311899999971</v>
      </c>
      <c r="K133" s="38">
        <f>VLOOKUP($B133,'Old LS-Reports'!$A$4:$V$344,16,FALSE)-D133</f>
        <v>266.76095143676872</v>
      </c>
      <c r="L133" s="38">
        <f>VLOOKUP($B133,'Old LS-Reports'!$A$4:$V$344,19,FALSE)-D133</f>
        <v>267.69858873676873</v>
      </c>
      <c r="M133" s="38">
        <f t="shared" si="8"/>
        <v>2.3008224999999811</v>
      </c>
      <c r="N133" s="38">
        <f>VLOOKUP($B133,'Old LS-Reports'!$A$4:$V$344,8,FALSE)</f>
        <v>-11.1302463</v>
      </c>
      <c r="P133" s="41"/>
    </row>
    <row r="134" spans="1:16" x14ac:dyDescent="0.25">
      <c r="A134" s="39">
        <v>284800</v>
      </c>
      <c r="B134" s="39">
        <v>93802.688999999998</v>
      </c>
      <c r="C134" s="40">
        <f>VLOOKUP($B134,'Correlation sheet'!$C$4:$M$373,6,FALSE)</f>
        <v>1174207.3079613193</v>
      </c>
      <c r="D134" s="16">
        <f>VLOOKUP($B134,'Correlation sheet'!$C$4:$N$373,11,FALSE)</f>
        <v>0.1235356513672059</v>
      </c>
      <c r="E134" s="38">
        <f>VLOOKUP($B134,'Old LS-Reports'!$A$4:$V$344,5,FALSE)-D134</f>
        <v>269.18334224863281</v>
      </c>
      <c r="F134" s="16">
        <f>VLOOKUP($B134,'Correlation sheet'!$C$4:$M$373,10,FALSE)</f>
        <v>270.72729874863279</v>
      </c>
      <c r="G134" s="38">
        <f t="shared" si="6"/>
        <v>1.5439564999999789</v>
      </c>
      <c r="H134" s="38">
        <f>VLOOKUP($B134,'Old LS-Reports'!$A$4:$V$344,6,FALSE)-D134</f>
        <v>268.49534224863282</v>
      </c>
      <c r="I134" s="16">
        <f>VLOOKUP($B134,'Correlation sheet'!$C$4:$M$373,9,FALSE)</f>
        <v>270.01429874863277</v>
      </c>
      <c r="J134" s="38">
        <f t="shared" si="7"/>
        <v>1.5189564999999448</v>
      </c>
      <c r="K134" s="38">
        <f>VLOOKUP($B134,'Old LS-Reports'!$A$4:$V$344,16,FALSE)-D134</f>
        <v>267.18547984863278</v>
      </c>
      <c r="L134" s="38">
        <f>VLOOKUP($B134,'Old LS-Reports'!$A$4:$V$344,19,FALSE)-D134</f>
        <v>267.83644254863282</v>
      </c>
      <c r="M134" s="38">
        <f t="shared" si="8"/>
        <v>2.1778561999999511</v>
      </c>
      <c r="N134" s="38">
        <f>VLOOKUP($B134,'Old LS-Reports'!$A$4:$V$344,8,FALSE)</f>
        <v>-11.1452683</v>
      </c>
      <c r="P134" s="41"/>
    </row>
    <row r="135" spans="1:16" x14ac:dyDescent="0.25">
      <c r="A135" s="39">
        <v>284820</v>
      </c>
      <c r="B135" s="39">
        <v>93822.653000000006</v>
      </c>
      <c r="C135" s="40">
        <f>VLOOKUP($B135,'Correlation sheet'!$C$4:$M$373,6,FALSE)</f>
        <v>1174227.2719613225</v>
      </c>
      <c r="D135" s="16">
        <f>VLOOKUP($B135,'Correlation sheet'!$C$4:$N$373,11,FALSE)</f>
        <v>0.12372378002186224</v>
      </c>
      <c r="E135" s="38">
        <f>VLOOKUP($B135,'Old LS-Reports'!$A$4:$V$344,5,FALSE)-D135</f>
        <v>269.20430991997813</v>
      </c>
      <c r="F135" s="16">
        <f>VLOOKUP($B135,'Correlation sheet'!$C$4:$M$373,10,FALSE)</f>
        <v>270.74215871997814</v>
      </c>
      <c r="G135" s="38">
        <f t="shared" si="6"/>
        <v>1.5378488000000061</v>
      </c>
      <c r="H135" s="38">
        <f>VLOOKUP($B135,'Old LS-Reports'!$A$4:$V$344,6,FALSE)-D135</f>
        <v>268.51630991997814</v>
      </c>
      <c r="I135" s="16">
        <f>VLOOKUP($B135,'Correlation sheet'!$C$4:$M$373,9,FALSE)</f>
        <v>270.02915871997811</v>
      </c>
      <c r="J135" s="38">
        <f t="shared" si="7"/>
        <v>1.512848799999972</v>
      </c>
      <c r="K135" s="38">
        <f>VLOOKUP($B135,'Old LS-Reports'!$A$4:$V$344,16,FALSE)-D135</f>
        <v>266.95458961997815</v>
      </c>
      <c r="L135" s="38">
        <f>VLOOKUP($B135,'Old LS-Reports'!$A$4:$V$344,19,FALSE)-D135</f>
        <v>268.10077031997815</v>
      </c>
      <c r="M135" s="38">
        <f t="shared" si="8"/>
        <v>1.9283883999999603</v>
      </c>
      <c r="N135" s="38">
        <f>VLOOKUP($B135,'Old LS-Reports'!$A$4:$V$344,8,FALSE)</f>
        <v>-11.136267800000001</v>
      </c>
      <c r="P135" s="41"/>
    </row>
    <row r="136" spans="1:16" x14ac:dyDescent="0.25">
      <c r="A136" s="39">
        <v>284840</v>
      </c>
      <c r="B136" s="39">
        <v>93842.653000000006</v>
      </c>
      <c r="C136" s="40">
        <f>VLOOKUP($B136,'Correlation sheet'!$C$4:$M$373,6,FALSE)</f>
        <v>1174247.2719613204</v>
      </c>
      <c r="D136" s="16">
        <f>VLOOKUP($B136,'Correlation sheet'!$C$4:$N$373,11,FALSE)</f>
        <v>0.12391221249890805</v>
      </c>
      <c r="E136" s="38">
        <f>VLOOKUP($B136,'Old LS-Reports'!$A$4:$V$344,5,FALSE)-D136</f>
        <v>269.28190818750107</v>
      </c>
      <c r="F136" s="16">
        <f>VLOOKUP($B136,'Correlation sheet'!$C$4:$M$373,10,FALSE)</f>
        <v>270.7570454875011</v>
      </c>
      <c r="G136" s="38">
        <f t="shared" si="6"/>
        <v>1.4751373000000285</v>
      </c>
      <c r="H136" s="38">
        <f>VLOOKUP($B136,'Old LS-Reports'!$A$4:$V$344,6,FALSE)-D136</f>
        <v>268.59390818750109</v>
      </c>
      <c r="I136" s="16">
        <f>VLOOKUP($B136,'Correlation sheet'!$C$4:$M$373,9,FALSE)</f>
        <v>270.04404548750108</v>
      </c>
      <c r="J136" s="38">
        <f t="shared" si="7"/>
        <v>1.4501372999999944</v>
      </c>
      <c r="K136" s="38">
        <f>VLOOKUP($B136,'Old LS-Reports'!$A$4:$V$344,16,FALSE)-D136</f>
        <v>267.40562828750109</v>
      </c>
      <c r="L136" s="38">
        <f>VLOOKUP($B136,'Old LS-Reports'!$A$4:$V$344,19,FALSE)-D136</f>
        <v>268.0278618875011</v>
      </c>
      <c r="M136" s="38">
        <f t="shared" si="8"/>
        <v>2.0161835999999766</v>
      </c>
      <c r="N136" s="38">
        <f>VLOOKUP($B136,'Old LS-Reports'!$A$4:$V$344,8,FALSE)</f>
        <v>-11.086846299999999</v>
      </c>
      <c r="P136" s="41"/>
    </row>
    <row r="137" spans="1:16" x14ac:dyDescent="0.25">
      <c r="A137" s="39">
        <v>284860</v>
      </c>
      <c r="B137" s="39">
        <v>93862.672000000006</v>
      </c>
      <c r="C137" s="40">
        <f>VLOOKUP($B137,'Correlation sheet'!$C$4:$M$373,6,FALSE)</f>
        <v>1174267.2909613186</v>
      </c>
      <c r="D137" s="16">
        <f>VLOOKUP($B137,'Correlation sheet'!$C$4:$N$373,11,FALSE)</f>
        <v>0.12410080254653622</v>
      </c>
      <c r="E137" s="38">
        <f>VLOOKUP($B137,'Old LS-Reports'!$A$4:$V$344,5,FALSE)-D137</f>
        <v>269.33652139745345</v>
      </c>
      <c r="F137" s="16">
        <f>VLOOKUP($B137,'Correlation sheet'!$C$4:$M$373,10,FALSE)</f>
        <v>270.77194639745346</v>
      </c>
      <c r="G137" s="38">
        <f t="shared" si="6"/>
        <v>1.4354250000000093</v>
      </c>
      <c r="H137" s="38">
        <f>VLOOKUP($B137,'Old LS-Reports'!$A$4:$V$344,6,FALSE)-D137</f>
        <v>268.64852139745346</v>
      </c>
      <c r="I137" s="16">
        <f>VLOOKUP($B137,'Correlation sheet'!$C$4:$M$373,9,FALSE)</f>
        <v>270.05894639745344</v>
      </c>
      <c r="J137" s="38">
        <f t="shared" si="7"/>
        <v>1.4104249999999752</v>
      </c>
      <c r="K137" s="38">
        <f>VLOOKUP($B137,'Old LS-Reports'!$A$4:$V$344,16,FALSE)-D137</f>
        <v>267.40259369745348</v>
      </c>
      <c r="L137" s="38">
        <f>VLOOKUP($B137,'Old LS-Reports'!$A$4:$V$344,19,FALSE)-D137</f>
        <v>267.92374199745348</v>
      </c>
      <c r="M137" s="38">
        <f t="shared" si="8"/>
        <v>2.1352043999999637</v>
      </c>
      <c r="N137" s="38">
        <f>VLOOKUP($B137,'Old LS-Reports'!$A$4:$V$344,8,FALSE)</f>
        <v>-11.0482966</v>
      </c>
      <c r="P137" s="41"/>
    </row>
    <row r="138" spans="1:16" x14ac:dyDescent="0.25">
      <c r="A138" s="39">
        <v>284880</v>
      </c>
      <c r="B138" s="39">
        <v>93882.672000000006</v>
      </c>
      <c r="C138" s="40">
        <f>VLOOKUP($B138,'Correlation sheet'!$C$4:$M$373,6,FALSE)</f>
        <v>1174287.2909613221</v>
      </c>
      <c r="D138" s="16">
        <f>VLOOKUP($B138,'Correlation sheet'!$C$4:$N$373,11,FALSE)</f>
        <v>0.12428913501940997</v>
      </c>
      <c r="E138" s="38">
        <f>VLOOKUP($B138,'Old LS-Reports'!$A$4:$V$344,5,FALSE)-D138</f>
        <v>269.34146106498059</v>
      </c>
      <c r="F138" s="16">
        <f>VLOOKUP($B138,'Correlation sheet'!$C$4:$M$373,10,FALSE)</f>
        <v>270.78683316498058</v>
      </c>
      <c r="G138" s="38">
        <f t="shared" si="6"/>
        <v>1.4453720999999859</v>
      </c>
      <c r="H138" s="38">
        <f>VLOOKUP($B138,'Old LS-Reports'!$A$4:$V$344,6,FALSE)-D138</f>
        <v>268.6534610649806</v>
      </c>
      <c r="I138" s="16">
        <f>VLOOKUP($B138,'Correlation sheet'!$C$4:$M$373,9,FALSE)</f>
        <v>270.07383316498056</v>
      </c>
      <c r="J138" s="38">
        <f t="shared" si="7"/>
        <v>1.4203720999999518</v>
      </c>
      <c r="K138" s="38">
        <f>VLOOKUP($B138,'Old LS-Reports'!$A$4:$V$344,16,FALSE)-D138</f>
        <v>267.24453856498059</v>
      </c>
      <c r="L138" s="38">
        <f>VLOOKUP($B138,'Old LS-Reports'!$A$4:$V$344,19,FALSE)-D138</f>
        <v>267.9118375649806</v>
      </c>
      <c r="M138" s="38">
        <f t="shared" si="8"/>
        <v>2.1619955999999547</v>
      </c>
      <c r="N138" s="38">
        <f>VLOOKUP($B138,'Old LS-Reports'!$A$4:$V$344,8,FALSE)</f>
        <v>-11.0333395</v>
      </c>
      <c r="P138" s="41"/>
    </row>
    <row r="139" spans="1:16" x14ac:dyDescent="0.25">
      <c r="A139" s="39">
        <v>284900</v>
      </c>
      <c r="B139" s="39">
        <v>93902.676999999996</v>
      </c>
      <c r="C139" s="40">
        <f>VLOOKUP($B139,'Correlation sheet'!$C$4:$M$373,6,FALSE)</f>
        <v>1174307.2959613209</v>
      </c>
      <c r="D139" s="16">
        <f>VLOOKUP($B139,'Correlation sheet'!$C$4:$N$373,11,FALSE)</f>
        <v>0.12447784580393773</v>
      </c>
      <c r="E139" s="38">
        <f>VLOOKUP($B139,'Old LS-Reports'!$A$4:$V$344,5,FALSE)-D139</f>
        <v>269.34880215419605</v>
      </c>
      <c r="F139" s="16">
        <f>VLOOKUP($B139,'Correlation sheet'!$C$4:$M$373,10,FALSE)</f>
        <v>270.80172365419605</v>
      </c>
      <c r="G139" s="38">
        <f t="shared" si="6"/>
        <v>1.4529215000000022</v>
      </c>
      <c r="H139" s="38">
        <f>VLOOKUP($B139,'Old LS-Reports'!$A$4:$V$344,6,FALSE)-D139</f>
        <v>268.66080215419606</v>
      </c>
      <c r="I139" s="16">
        <f>VLOOKUP($B139,'Correlation sheet'!$C$4:$M$373,9,FALSE)</f>
        <v>270.08872365419603</v>
      </c>
      <c r="J139" s="38">
        <f t="shared" si="7"/>
        <v>1.4279214999999681</v>
      </c>
      <c r="K139" s="38">
        <f>VLOOKUP($B139,'Old LS-Reports'!$A$4:$V$344,16,FALSE)-D139</f>
        <v>266.99826335419607</v>
      </c>
      <c r="L139" s="38">
        <f>VLOOKUP($B139,'Old LS-Reports'!$A$4:$V$344,19,FALSE)-D139</f>
        <v>267.87528985419607</v>
      </c>
      <c r="M139" s="38">
        <f t="shared" si="8"/>
        <v>2.2134337999999616</v>
      </c>
      <c r="N139" s="38">
        <f>VLOOKUP($B139,'Old LS-Reports'!$A$4:$V$344,8,FALSE)</f>
        <v>-11.021926499999999</v>
      </c>
      <c r="P139" s="41"/>
    </row>
    <row r="140" spans="1:16" x14ac:dyDescent="0.25">
      <c r="A140" s="39">
        <v>284920</v>
      </c>
      <c r="B140" s="39">
        <v>93922.676999999996</v>
      </c>
      <c r="C140" s="40">
        <f>VLOOKUP($B140,'Correlation sheet'!$C$4:$M$373,6,FALSE)</f>
        <v>1174327.2959613188</v>
      </c>
      <c r="D140" s="16">
        <f>VLOOKUP($B140,'Correlation sheet'!$C$4:$N$373,11,FALSE)</f>
        <v>0.12466617828096105</v>
      </c>
      <c r="E140" s="38">
        <f>VLOOKUP($B140,'Old LS-Reports'!$A$4:$V$344,5,FALSE)-D140</f>
        <v>269.36030002171901</v>
      </c>
      <c r="F140" s="16">
        <f>VLOOKUP($B140,'Correlation sheet'!$C$4:$M$373,10,FALSE)</f>
        <v>270.81661042171902</v>
      </c>
      <c r="G140" s="38">
        <f t="shared" si="6"/>
        <v>1.4563104000000067</v>
      </c>
      <c r="H140" s="38">
        <f>VLOOKUP($B140,'Old LS-Reports'!$A$4:$V$344,6,FALSE)-D140</f>
        <v>268.67230002171902</v>
      </c>
      <c r="I140" s="16">
        <f>VLOOKUP($B140,'Correlation sheet'!$C$4:$M$373,9,FALSE)</f>
        <v>270.103610421719</v>
      </c>
      <c r="J140" s="38">
        <f t="shared" si="7"/>
        <v>1.4313103999999726</v>
      </c>
      <c r="K140" s="38">
        <f>VLOOKUP($B140,'Old LS-Reports'!$A$4:$V$344,16,FALSE)-D140</f>
        <v>266.73739522171905</v>
      </c>
      <c r="L140" s="38">
        <f>VLOOKUP($B140,'Old LS-Reports'!$A$4:$V$344,19,FALSE)-D140</f>
        <v>267.83502272171904</v>
      </c>
      <c r="M140" s="38">
        <f t="shared" si="8"/>
        <v>2.268587699999955</v>
      </c>
      <c r="N140" s="38">
        <f>VLOOKUP($B140,'Old LS-Reports'!$A$4:$V$344,8,FALSE)</f>
        <v>-11.016653399999999</v>
      </c>
      <c r="P140" s="41"/>
    </row>
    <row r="141" spans="1:16" x14ac:dyDescent="0.25">
      <c r="A141" s="39">
        <v>284940</v>
      </c>
      <c r="B141" s="39">
        <v>93942.682000000001</v>
      </c>
      <c r="C141" s="40">
        <f>VLOOKUP($B141,'Correlation sheet'!$C$4:$M$373,6,FALSE)</f>
        <v>1174347.3009613231</v>
      </c>
      <c r="D141" s="16">
        <f>VLOOKUP($B141,'Correlation sheet'!$C$4:$N$373,11,FALSE)</f>
        <v>0.12485458906138547</v>
      </c>
      <c r="E141" s="38">
        <f>VLOOKUP($B141,'Old LS-Reports'!$A$4:$V$344,5,FALSE)-D141</f>
        <v>269.37022081093863</v>
      </c>
      <c r="F141" s="16">
        <f>VLOOKUP($B141,'Correlation sheet'!$C$4:$M$373,10,FALSE)</f>
        <v>270.83150091093864</v>
      </c>
      <c r="G141" s="38">
        <f t="shared" si="6"/>
        <v>1.4612801000000104</v>
      </c>
      <c r="H141" s="38">
        <f>VLOOKUP($B141,'Old LS-Reports'!$A$4:$V$344,6,FALSE)-D141</f>
        <v>268.68222081093865</v>
      </c>
      <c r="I141" s="16">
        <f>VLOOKUP($B141,'Correlation sheet'!$C$4:$M$373,9,FALSE)</f>
        <v>270.11850091093862</v>
      </c>
      <c r="J141" s="38">
        <f t="shared" si="7"/>
        <v>1.4362800999999763</v>
      </c>
      <c r="K141" s="38">
        <f>VLOOKUP($B141,'Old LS-Reports'!$A$4:$V$344,16,FALSE)-D141</f>
        <v>266.60867731093862</v>
      </c>
      <c r="L141" s="38">
        <f>VLOOKUP($B141,'Old LS-Reports'!$A$4:$V$344,19,FALSE)-D141</f>
        <v>267.85862551093862</v>
      </c>
      <c r="M141" s="38">
        <f t="shared" si="8"/>
        <v>2.2598753999999985</v>
      </c>
      <c r="N141" s="38">
        <f>VLOOKUP($B141,'Old LS-Reports'!$A$4:$V$344,8,FALSE)</f>
        <v>-11.0118841</v>
      </c>
      <c r="P141" s="41"/>
    </row>
    <row r="142" spans="1:16" x14ac:dyDescent="0.25">
      <c r="A142" s="39">
        <v>284960</v>
      </c>
      <c r="B142" s="39">
        <v>93962.682000000001</v>
      </c>
      <c r="C142" s="40">
        <f>VLOOKUP($B142,'Correlation sheet'!$C$4:$M$373,6,FALSE)</f>
        <v>1174367.300961321</v>
      </c>
      <c r="D142" s="16">
        <f>VLOOKUP($B142,'Correlation sheet'!$C$4:$N$373,11,FALSE)</f>
        <v>0.12504292153840879</v>
      </c>
      <c r="E142" s="38">
        <f>VLOOKUP($B142,'Old LS-Reports'!$A$4:$V$344,5,FALSE)-D142</f>
        <v>269.35346857846162</v>
      </c>
      <c r="F142" s="16">
        <f>VLOOKUP($B142,'Correlation sheet'!$C$4:$M$373,10,FALSE)</f>
        <v>270.84638767846161</v>
      </c>
      <c r="G142" s="38">
        <f t="shared" si="6"/>
        <v>1.4929190999999946</v>
      </c>
      <c r="H142" s="38">
        <f>VLOOKUP($B142,'Old LS-Reports'!$A$4:$V$344,6,FALSE)-D142</f>
        <v>268.66546857846163</v>
      </c>
      <c r="I142" s="16">
        <f>VLOOKUP($B142,'Correlation sheet'!$C$4:$M$373,9,FALSE)</f>
        <v>270.13338767846159</v>
      </c>
      <c r="J142" s="38">
        <f t="shared" si="7"/>
        <v>1.4679190999999605</v>
      </c>
      <c r="K142" s="38">
        <f>VLOOKUP($B142,'Old LS-Reports'!$A$4:$V$344,16,FALSE)-D142</f>
        <v>267.27455417846159</v>
      </c>
      <c r="L142" s="38">
        <f>VLOOKUP($B142,'Old LS-Reports'!$A$4:$V$344,19,FALSE)-D142</f>
        <v>268.10974027846157</v>
      </c>
      <c r="M142" s="38">
        <f t="shared" si="8"/>
        <v>2.0236474000000158</v>
      </c>
      <c r="N142" s="38">
        <f>VLOOKUP($B142,'Old LS-Reports'!$A$4:$V$344,8,FALSE)</f>
        <v>-11.0156396</v>
      </c>
      <c r="P142" s="41"/>
    </row>
    <row r="143" spans="1:16" x14ac:dyDescent="0.25">
      <c r="A143" s="39">
        <v>284980</v>
      </c>
      <c r="B143" s="39">
        <v>93982.682000000001</v>
      </c>
      <c r="C143" s="40">
        <f>VLOOKUP($B143,'Correlation sheet'!$C$4:$M$373,6,FALSE)</f>
        <v>1174387.3009613189</v>
      </c>
      <c r="D143" s="16">
        <f>VLOOKUP($B143,'Correlation sheet'!$C$4:$N$373,11,FALSE)</f>
        <v>0.1252313540154546</v>
      </c>
      <c r="E143" s="38">
        <f>VLOOKUP($B143,'Old LS-Reports'!$A$4:$V$344,5,FALSE)-D143</f>
        <v>269.33671614598455</v>
      </c>
      <c r="F143" s="16">
        <f>VLOOKUP($B143,'Correlation sheet'!$C$4:$M$373,10,FALSE)</f>
        <v>270.86127444598458</v>
      </c>
      <c r="G143" s="38">
        <f t="shared" si="6"/>
        <v>1.5245583000000238</v>
      </c>
      <c r="H143" s="38">
        <f>VLOOKUP($B143,'Old LS-Reports'!$A$4:$V$344,6,FALSE)-D143</f>
        <v>268.64871614598457</v>
      </c>
      <c r="I143" s="16">
        <f>VLOOKUP($B143,'Correlation sheet'!$C$4:$M$373,9,FALSE)</f>
        <v>270.14827444598455</v>
      </c>
      <c r="J143" s="38">
        <f t="shared" si="7"/>
        <v>1.4995582999999897</v>
      </c>
      <c r="K143" s="38">
        <f>VLOOKUP($B143,'Old LS-Reports'!$A$4:$V$344,16,FALSE)-D143</f>
        <v>267.93718384598452</v>
      </c>
      <c r="L143" s="38">
        <f>VLOOKUP($B143,'Old LS-Reports'!$A$4:$V$344,19,FALSE)-D143</f>
        <v>268.25482744598452</v>
      </c>
      <c r="M143" s="38">
        <f t="shared" si="8"/>
        <v>1.8934470000000374</v>
      </c>
      <c r="N143" s="38">
        <f>VLOOKUP($B143,'Old LS-Reports'!$A$4:$V$344,8,FALSE)</f>
        <v>-11.019394999999999</v>
      </c>
      <c r="P143" s="41"/>
    </row>
    <row r="144" spans="1:16" x14ac:dyDescent="0.25">
      <c r="A144" s="39">
        <v>285000</v>
      </c>
      <c r="B144" s="39">
        <v>94002.679000000004</v>
      </c>
      <c r="C144" s="40">
        <f>VLOOKUP($B144,'Correlation sheet'!$C$4:$M$373,6,FALSE)</f>
        <v>1174407.2979613224</v>
      </c>
      <c r="D144" s="16">
        <f>VLOOKUP($B144,'Correlation sheet'!$C$4:$N$373,11,FALSE)</f>
        <v>0.12541951950345265</v>
      </c>
      <c r="E144" s="38">
        <f>VLOOKUP($B144,'Old LS-Reports'!$A$4:$V$344,5,FALSE)-D144</f>
        <v>269.35280568049654</v>
      </c>
      <c r="F144" s="16">
        <f>VLOOKUP($B144,'Correlation sheet'!$C$4:$M$373,10,FALSE)</f>
        <v>270.87615898049654</v>
      </c>
      <c r="G144" s="38">
        <f t="shared" si="6"/>
        <v>1.5233532999999966</v>
      </c>
      <c r="H144" s="38">
        <f>VLOOKUP($B144,'Old LS-Reports'!$A$4:$V$344,6,FALSE)-D144</f>
        <v>268.66480568049656</v>
      </c>
      <c r="I144" s="16">
        <f>VLOOKUP($B144,'Correlation sheet'!$C$4:$M$373,9,FALSE)</f>
        <v>270.16315898049652</v>
      </c>
      <c r="J144" s="38">
        <f t="shared" si="7"/>
        <v>1.4983532999999625</v>
      </c>
      <c r="K144" s="38">
        <f>VLOOKUP($B144,'Old LS-Reports'!$A$4:$V$344,16,FALSE)-D144</f>
        <v>268.59195278049657</v>
      </c>
      <c r="L144" s="38">
        <f>VLOOKUP($B144,'Old LS-Reports'!$A$4:$V$344,19,FALSE)-D144</f>
        <v>268.63849538049652</v>
      </c>
      <c r="M144" s="38">
        <f t="shared" si="8"/>
        <v>1.5246635999999967</v>
      </c>
      <c r="N144" s="38">
        <f>VLOOKUP($B144,'Old LS-Reports'!$A$4:$V$344,8,FALSE)</f>
        <v>-11.0182994</v>
      </c>
      <c r="P144" s="41"/>
    </row>
    <row r="145" spans="1:16" x14ac:dyDescent="0.25">
      <c r="A145" s="39">
        <v>285000</v>
      </c>
      <c r="B145" s="39">
        <v>94002.679000000004</v>
      </c>
      <c r="C145" s="40">
        <f>VLOOKUP($B145,'Correlation sheet'!$C$4:$M$373,6,FALSE)</f>
        <v>1174407.2979613224</v>
      </c>
      <c r="D145" s="16">
        <f>VLOOKUP($B145,'Correlation sheet'!$C$4:$N$373,11,FALSE)</f>
        <v>0.12541951950345265</v>
      </c>
      <c r="E145" s="38">
        <f>VLOOKUP($B145,'Old LS-Reports'!$A$4:$V$344,5,FALSE)-D145</f>
        <v>269.35280568049654</v>
      </c>
      <c r="F145" s="16">
        <f>VLOOKUP($B145,'Correlation sheet'!$C$4:$M$373,10,FALSE)</f>
        <v>270.87615898049654</v>
      </c>
      <c r="G145" s="38">
        <f t="shared" si="6"/>
        <v>1.5233532999999966</v>
      </c>
      <c r="H145" s="38">
        <f>VLOOKUP($B145,'Old LS-Reports'!$A$4:$V$344,6,FALSE)-D145</f>
        <v>268.66480568049656</v>
      </c>
      <c r="I145" s="16">
        <f>VLOOKUP($B145,'Correlation sheet'!$C$4:$M$373,9,FALSE)</f>
        <v>270.16315898049652</v>
      </c>
      <c r="J145" s="38">
        <f t="shared" si="7"/>
        <v>1.4983532999999625</v>
      </c>
      <c r="K145" s="38">
        <f>VLOOKUP($B145,'Old LS-Reports'!$A$4:$V$344,16,FALSE)-D145</f>
        <v>268.59195278049657</v>
      </c>
      <c r="L145" s="38">
        <f>VLOOKUP($B145,'Old LS-Reports'!$A$4:$V$344,19,FALSE)-D145</f>
        <v>268.63849538049652</v>
      </c>
      <c r="M145" s="38">
        <f t="shared" si="8"/>
        <v>1.5246635999999967</v>
      </c>
      <c r="N145" s="38">
        <f>VLOOKUP($B145,'Old LS-Reports'!$A$4:$V$344,8,FALSE)</f>
        <v>-11.0182994</v>
      </c>
      <c r="P145" s="41"/>
    </row>
    <row r="146" spans="1:16" x14ac:dyDescent="0.25">
      <c r="A146" s="39">
        <v>285020</v>
      </c>
      <c r="B146" s="39">
        <v>94022.679000000004</v>
      </c>
      <c r="C146" s="40">
        <f>VLOOKUP($B146,'Correlation sheet'!$C$4:$M$373,6,FALSE)</f>
        <v>1174427.2979613203</v>
      </c>
      <c r="D146" s="16">
        <f>VLOOKUP($B146,'Correlation sheet'!$C$4:$N$373,11,FALSE)</f>
        <v>0.12560785198047597</v>
      </c>
      <c r="E146" s="38">
        <f>VLOOKUP($B146,'Old LS-Reports'!$A$4:$V$344,5,FALSE)-D146</f>
        <v>269.37600404801952</v>
      </c>
      <c r="F146" s="16">
        <f>VLOOKUP($B146,'Correlation sheet'!$C$4:$M$373,10,FALSE)</f>
        <v>270.89104574801951</v>
      </c>
      <c r="G146" s="38">
        <f t="shared" si="6"/>
        <v>1.5150416999999834</v>
      </c>
      <c r="H146" s="38">
        <f>VLOOKUP($B146,'Old LS-Reports'!$A$4:$V$344,6,FALSE)-D146</f>
        <v>268.68800404801954</v>
      </c>
      <c r="I146" s="16">
        <f>VLOOKUP($B146,'Correlation sheet'!$C$4:$M$373,9,FALSE)</f>
        <v>270.17804574801949</v>
      </c>
      <c r="J146" s="38">
        <f t="shared" si="7"/>
        <v>1.4900416999999493</v>
      </c>
      <c r="K146" s="38">
        <f>VLOOKUP($B146,'Old LS-Reports'!$A$4:$V$344,16,FALSE)-D146</f>
        <v>269.07596824801954</v>
      </c>
      <c r="L146" s="38">
        <f>VLOOKUP($B146,'Old LS-Reports'!$A$4:$V$344,19,FALSE)-D146</f>
        <v>268.95754874801952</v>
      </c>
      <c r="M146" s="38">
        <f t="shared" si="8"/>
        <v>1.2204969999999662</v>
      </c>
      <c r="N146" s="38">
        <f>VLOOKUP($B146,'Old LS-Reports'!$A$4:$V$344,8,FALSE)</f>
        <v>-11.016154</v>
      </c>
      <c r="P146" s="41"/>
    </row>
    <row r="147" spans="1:16" x14ac:dyDescent="0.25">
      <c r="A147" s="39">
        <v>285040</v>
      </c>
      <c r="B147" s="39">
        <v>94042.680999999997</v>
      </c>
      <c r="C147" s="40">
        <f>VLOOKUP($B147,'Correlation sheet'!$C$4:$M$373,6,FALSE)</f>
        <v>1174447.2999613194</v>
      </c>
      <c r="D147" s="16">
        <f>VLOOKUP($B147,'Correlation sheet'!$C$4:$N$373,11,FALSE)</f>
        <v>0.12579619577985568</v>
      </c>
      <c r="E147" s="38">
        <f>VLOOKUP($B147,'Old LS-Reports'!$A$4:$V$344,5,FALSE)-D147</f>
        <v>269.40447420422015</v>
      </c>
      <c r="F147" s="16">
        <f>VLOOKUP($B147,'Correlation sheet'!$C$4:$M$373,10,FALSE)</f>
        <v>270.90593400422017</v>
      </c>
      <c r="G147" s="38">
        <f t="shared" si="6"/>
        <v>1.5014598000000206</v>
      </c>
      <c r="H147" s="38">
        <f>VLOOKUP($B147,'Old LS-Reports'!$A$4:$V$344,6,FALSE)-D147</f>
        <v>268.71647420422016</v>
      </c>
      <c r="I147" s="16">
        <f>VLOOKUP($B147,'Correlation sheet'!$C$4:$M$373,9,FALSE)</f>
        <v>270.19293400422015</v>
      </c>
      <c r="J147" s="38">
        <f t="shared" si="7"/>
        <v>1.4764597999999864</v>
      </c>
      <c r="K147" s="38">
        <f>VLOOKUP($B147,'Old LS-Reports'!$A$4:$V$344,16,FALSE)-D147</f>
        <v>269.39622200422014</v>
      </c>
      <c r="L147" s="38">
        <f>VLOOKUP($B147,'Old LS-Reports'!$A$4:$V$344,19,FALSE)-D147</f>
        <v>269.28495740422017</v>
      </c>
      <c r="M147" s="38">
        <f t="shared" si="8"/>
        <v>0.90797659999998359</v>
      </c>
      <c r="N147" s="38">
        <f>VLOOKUP($B147,'Old LS-Reports'!$A$4:$V$344,8,FALSE)</f>
        <v>-11.0167632</v>
      </c>
      <c r="P147" s="41"/>
    </row>
    <row r="148" spans="1:16" x14ac:dyDescent="0.25">
      <c r="A148" s="39">
        <v>285060</v>
      </c>
      <c r="B148" s="39">
        <v>94062.680999999997</v>
      </c>
      <c r="C148" s="40">
        <f>VLOOKUP($B148,'Correlation sheet'!$C$4:$M$373,6,FALSE)</f>
        <v>1174467.2999613232</v>
      </c>
      <c r="D148" s="16">
        <f>VLOOKUP($B148,'Correlation sheet'!$C$4:$N$373,11,FALSE)</f>
        <v>0.12598462825252454</v>
      </c>
      <c r="E148" s="38">
        <f>VLOOKUP($B148,'Old LS-Reports'!$A$4:$V$344,5,FALSE)-D148</f>
        <v>269.43465957174749</v>
      </c>
      <c r="F148" s="16">
        <f>VLOOKUP($B148,'Correlation sheet'!$C$4:$M$373,10,FALSE)</f>
        <v>270.92082077174746</v>
      </c>
      <c r="G148" s="38">
        <f t="shared" si="6"/>
        <v>1.4861611999999695</v>
      </c>
      <c r="H148" s="38">
        <f>VLOOKUP($B148,'Old LS-Reports'!$A$4:$V$344,6,FALSE)-D148</f>
        <v>268.7466595717475</v>
      </c>
      <c r="I148" s="16">
        <f>VLOOKUP($B148,'Correlation sheet'!$C$4:$M$373,9,FALSE)</f>
        <v>270.20782077174744</v>
      </c>
      <c r="J148" s="38">
        <f t="shared" si="7"/>
        <v>1.4611611999999354</v>
      </c>
      <c r="K148" s="38">
        <f>VLOOKUP($B148,'Old LS-Reports'!$A$4:$V$344,16,FALSE)-D148</f>
        <v>269.58007857174749</v>
      </c>
      <c r="L148" s="38">
        <f>VLOOKUP($B148,'Old LS-Reports'!$A$4:$V$344,19,FALSE)-D148</f>
        <v>269.72903957174748</v>
      </c>
      <c r="M148" s="38">
        <f t="shared" si="8"/>
        <v>0.47878119999995761</v>
      </c>
      <c r="N148" s="38">
        <f>VLOOKUP($B148,'Old LS-Reports'!$A$4:$V$344,8,FALSE)</f>
        <v>-11.018268600000001</v>
      </c>
      <c r="P148" s="41"/>
    </row>
    <row r="149" spans="1:16" x14ac:dyDescent="0.25">
      <c r="A149" s="39">
        <v>285080</v>
      </c>
      <c r="B149" s="39">
        <v>94082.675000000003</v>
      </c>
      <c r="C149" s="40">
        <f>VLOOKUP($B149,'Correlation sheet'!$C$4:$M$373,6,FALSE)</f>
        <v>1174487.2939613222</v>
      </c>
      <c r="D149" s="16">
        <f>VLOOKUP($B149,'Correlation sheet'!$C$4:$N$373,11,FALSE)</f>
        <v>0.12617282675904562</v>
      </c>
      <c r="E149" s="38">
        <f>VLOOKUP($B149,'Old LS-Reports'!$A$4:$V$344,5,FALSE)-D149</f>
        <v>269.46134597324095</v>
      </c>
      <c r="F149" s="16">
        <f>VLOOKUP($B149,'Correlation sheet'!$C$4:$M$373,10,FALSE)</f>
        <v>270.93570307324097</v>
      </c>
      <c r="G149" s="38">
        <f t="shared" si="6"/>
        <v>1.4743571000000202</v>
      </c>
      <c r="H149" s="38">
        <f>VLOOKUP($B149,'Old LS-Reports'!$A$4:$V$344,6,FALSE)-D149</f>
        <v>268.77334597324096</v>
      </c>
      <c r="I149" s="16">
        <f>VLOOKUP($B149,'Correlation sheet'!$C$4:$M$373,9,FALSE)</f>
        <v>270.22270307324095</v>
      </c>
      <c r="J149" s="38">
        <f t="shared" si="7"/>
        <v>1.4493570999999861</v>
      </c>
      <c r="K149" s="38">
        <f>VLOOKUP($B149,'Old LS-Reports'!$A$4:$V$344,16,FALSE)-D149</f>
        <v>269.15119977324093</v>
      </c>
      <c r="L149" s="38">
        <f>VLOOKUP($B149,'Old LS-Reports'!$A$4:$V$344,19,FALSE)-D149</f>
        <v>269.89266717324097</v>
      </c>
      <c r="M149" s="38">
        <f t="shared" si="8"/>
        <v>0.33003589999998439</v>
      </c>
      <c r="N149" s="38">
        <f>VLOOKUP($B149,'Old LS-Reports'!$A$4:$V$344,8,FALSE)</f>
        <v>-11.0139251</v>
      </c>
      <c r="P149" s="41"/>
    </row>
    <row r="150" spans="1:16" x14ac:dyDescent="0.25">
      <c r="A150" s="39">
        <v>285100</v>
      </c>
      <c r="B150" s="39">
        <v>94102.675000000003</v>
      </c>
      <c r="C150" s="40">
        <f>VLOOKUP($B150,'Correlation sheet'!$C$4:$M$373,6,FALSE)</f>
        <v>1174507.2939613191</v>
      </c>
      <c r="D150" s="16">
        <f>VLOOKUP($B150,'Correlation sheet'!$C$4:$N$373,11,FALSE)</f>
        <v>0.12636125923677355</v>
      </c>
      <c r="E150" s="38">
        <f>VLOOKUP($B150,'Old LS-Reports'!$A$4:$V$344,5,FALSE)-D150</f>
        <v>269.48497044076322</v>
      </c>
      <c r="F150" s="16">
        <f>VLOOKUP($B150,'Correlation sheet'!$C$4:$M$373,10,FALSE)</f>
        <v>270.95058984076326</v>
      </c>
      <c r="G150" s="38">
        <f t="shared" si="6"/>
        <v>1.4656194000000369</v>
      </c>
      <c r="H150" s="38">
        <f>VLOOKUP($B150,'Old LS-Reports'!$A$4:$V$344,6,FALSE)-D150</f>
        <v>268.79697044076323</v>
      </c>
      <c r="I150" s="16">
        <f>VLOOKUP($B150,'Correlation sheet'!$C$4:$M$373,9,FALSE)</f>
        <v>270.23758984076323</v>
      </c>
      <c r="J150" s="38">
        <f t="shared" si="7"/>
        <v>1.4406194000000028</v>
      </c>
      <c r="K150" s="38">
        <f>VLOOKUP($B150,'Old LS-Reports'!$A$4:$V$344,16,FALSE)-D150</f>
        <v>268.54124684076322</v>
      </c>
      <c r="L150" s="38">
        <f>VLOOKUP($B150,'Old LS-Reports'!$A$4:$V$344,19,FALSE)-D150</f>
        <v>269.86620084076321</v>
      </c>
      <c r="M150" s="38">
        <f t="shared" si="8"/>
        <v>0.37138900000002195</v>
      </c>
      <c r="N150" s="38">
        <f>VLOOKUP($B150,'Old LS-Reports'!$A$4:$V$344,8,FALSE)</f>
        <v>-11.0044617</v>
      </c>
      <c r="P150" s="41"/>
    </row>
    <row r="151" spans="1:16" x14ac:dyDescent="0.25">
      <c r="A151" s="39">
        <v>285120</v>
      </c>
      <c r="B151" s="39">
        <v>94122.675000000003</v>
      </c>
      <c r="C151" s="40">
        <f>VLOOKUP($B151,'Correlation sheet'!$C$4:$M$373,6,FALSE)</f>
        <v>1174527.2939613229</v>
      </c>
      <c r="D151" s="16">
        <f>VLOOKUP($B151,'Correlation sheet'!$C$4:$N$373,11,FALSE)</f>
        <v>0.12654959170947677</v>
      </c>
      <c r="E151" s="38">
        <f>VLOOKUP($B151,'Old LS-Reports'!$A$4:$V$344,5,FALSE)-D151</f>
        <v>269.50859500829051</v>
      </c>
      <c r="F151" s="16">
        <f>VLOOKUP($B151,'Correlation sheet'!$C$4:$M$373,10,FALSE)</f>
        <v>270.96547660829054</v>
      </c>
      <c r="G151" s="38">
        <f t="shared" si="6"/>
        <v>1.4568816000000311</v>
      </c>
      <c r="H151" s="38">
        <f>VLOOKUP($B151,'Old LS-Reports'!$A$4:$V$344,6,FALSE)-D151</f>
        <v>268.82059500829052</v>
      </c>
      <c r="I151" s="16">
        <f>VLOOKUP($B151,'Correlation sheet'!$C$4:$M$373,9,FALSE)</f>
        <v>270.25247660829052</v>
      </c>
      <c r="J151" s="38">
        <f t="shared" si="7"/>
        <v>1.431881599999997</v>
      </c>
      <c r="K151" s="38">
        <f>VLOOKUP($B151,'Old LS-Reports'!$A$4:$V$344,16,FALSE)-D151</f>
        <v>267.49118450829053</v>
      </c>
      <c r="L151" s="38">
        <f>VLOOKUP($B151,'Old LS-Reports'!$A$4:$V$344,19,FALSE)-D151</f>
        <v>269.43524140829055</v>
      </c>
      <c r="M151" s="38">
        <f t="shared" si="8"/>
        <v>0.81723519999997052</v>
      </c>
      <c r="N151" s="38">
        <f>VLOOKUP($B151,'Old LS-Reports'!$A$4:$V$344,8,FALSE)</f>
        <v>-10.994998300000001</v>
      </c>
      <c r="P151" s="41"/>
    </row>
    <row r="152" spans="1:16" x14ac:dyDescent="0.25">
      <c r="A152" s="39">
        <v>285140</v>
      </c>
      <c r="B152" s="39">
        <v>94142.680999999997</v>
      </c>
      <c r="C152" s="40">
        <f>VLOOKUP($B152,'Correlation sheet'!$C$4:$M$373,6,FALSE)</f>
        <v>1174547.2999613194</v>
      </c>
      <c r="D152" s="16">
        <f>VLOOKUP($B152,'Correlation sheet'!$C$4:$N$373,11,FALSE)</f>
        <v>0.12673805815728656</v>
      </c>
      <c r="E152" s="38">
        <f>VLOOKUP($B152,'Old LS-Reports'!$A$4:$V$344,5,FALSE)-D152</f>
        <v>269.52876144184273</v>
      </c>
      <c r="F152" s="16">
        <f>VLOOKUP($B152,'Correlation sheet'!$C$4:$M$373,10,FALSE)</f>
        <v>270.98036784184274</v>
      </c>
      <c r="G152" s="38">
        <f t="shared" si="6"/>
        <v>1.4516064000000028</v>
      </c>
      <c r="H152" s="38">
        <f>VLOOKUP($B152,'Old LS-Reports'!$A$4:$V$344,6,FALSE)-D152</f>
        <v>268.84076144184274</v>
      </c>
      <c r="I152" s="16">
        <f>VLOOKUP($B152,'Correlation sheet'!$C$4:$M$373,9,FALSE)</f>
        <v>270.26736784184271</v>
      </c>
      <c r="J152" s="38">
        <f t="shared" si="7"/>
        <v>1.4266063999999687</v>
      </c>
      <c r="K152" s="38">
        <f>VLOOKUP($B152,'Old LS-Reports'!$A$4:$V$344,16,FALSE)-D152</f>
        <v>266.7203843418427</v>
      </c>
      <c r="L152" s="38">
        <f>VLOOKUP($B152,'Old LS-Reports'!$A$4:$V$344,19,FALSE)-D152</f>
        <v>268.51506644184269</v>
      </c>
      <c r="M152" s="38">
        <f t="shared" si="8"/>
        <v>1.7523014000000217</v>
      </c>
      <c r="N152" s="38">
        <f>VLOOKUP($B152,'Old LS-Reports'!$A$4:$V$344,8,FALSE)</f>
        <v>-10.9948458</v>
      </c>
      <c r="P152" s="41"/>
    </row>
    <row r="153" spans="1:16" x14ac:dyDescent="0.25">
      <c r="A153" s="39">
        <v>285160</v>
      </c>
      <c r="B153" s="39">
        <v>94162.680999999997</v>
      </c>
      <c r="C153" s="40">
        <f>VLOOKUP($B153,'Correlation sheet'!$C$4:$M$373,6,FALSE)</f>
        <v>1174567.2999613229</v>
      </c>
      <c r="D153" s="16">
        <f>VLOOKUP($B153,'Correlation sheet'!$C$4:$N$373,11,FALSE)</f>
        <v>0.12692649063012595</v>
      </c>
      <c r="E153" s="38">
        <f>VLOOKUP($B153,'Old LS-Reports'!$A$4:$V$344,5,FALSE)-D153</f>
        <v>269.54825990936985</v>
      </c>
      <c r="F153" s="16">
        <f>VLOOKUP($B153,'Correlation sheet'!$C$4:$M$373,10,FALSE)</f>
        <v>270.99525460936985</v>
      </c>
      <c r="G153" s="38">
        <f t="shared" si="6"/>
        <v>1.4469947000000047</v>
      </c>
      <c r="H153" s="38">
        <f>VLOOKUP($B153,'Old LS-Reports'!$A$4:$V$344,6,FALSE)-D153</f>
        <v>268.86025990936986</v>
      </c>
      <c r="I153" s="16">
        <f>VLOOKUP($B153,'Correlation sheet'!$C$4:$M$373,9,FALSE)</f>
        <v>270.28225460936983</v>
      </c>
      <c r="J153" s="38">
        <f t="shared" si="7"/>
        <v>1.4219946999999706</v>
      </c>
      <c r="K153" s="38">
        <f>VLOOKUP($B153,'Old LS-Reports'!$A$4:$V$344,16,FALSE)-D153</f>
        <v>266.65727600936987</v>
      </c>
      <c r="L153" s="38">
        <f>VLOOKUP($B153,'Old LS-Reports'!$A$4:$V$344,19,FALSE)-D153</f>
        <v>267.62060460936988</v>
      </c>
      <c r="M153" s="38">
        <f t="shared" si="8"/>
        <v>2.6616499999999519</v>
      </c>
      <c r="N153" s="38">
        <f>VLOOKUP($B153,'Old LS-Reports'!$A$4:$V$344,8,FALSE)</f>
        <v>-10.996493299999999</v>
      </c>
      <c r="P153" s="41"/>
    </row>
    <row r="154" spans="1:16" x14ac:dyDescent="0.25">
      <c r="A154" s="39">
        <v>285180</v>
      </c>
      <c r="B154" s="39">
        <v>94182.676000000007</v>
      </c>
      <c r="C154" s="40">
        <f>VLOOKUP($B154,'Correlation sheet'!$C$4:$M$373,6,FALSE)</f>
        <v>1174587.2949613193</v>
      </c>
      <c r="D154" s="16">
        <f>VLOOKUP($B154,'Correlation sheet'!$C$4:$N$373,11,FALSE)</f>
        <v>0.12711514480020014</v>
      </c>
      <c r="E154" s="38">
        <f>VLOOKUP($B154,'Old LS-Reports'!$A$4:$V$344,5,FALSE)-D154</f>
        <v>269.57247465519981</v>
      </c>
      <c r="F154" s="16">
        <f>VLOOKUP($B154,'Correlation sheet'!$C$4:$M$373,10,FALSE)</f>
        <v>271.0101376551998</v>
      </c>
      <c r="G154" s="38">
        <f t="shared" si="6"/>
        <v>1.4376629999999864</v>
      </c>
      <c r="H154" s="38">
        <f>VLOOKUP($B154,'Old LS-Reports'!$A$4:$V$344,6,FALSE)-D154</f>
        <v>268.88447465519982</v>
      </c>
      <c r="I154" s="16">
        <f>VLOOKUP($B154,'Correlation sheet'!$C$4:$M$373,9,FALSE)</f>
        <v>270.29713765519978</v>
      </c>
      <c r="J154" s="38">
        <f t="shared" si="7"/>
        <v>1.4126629999999523</v>
      </c>
      <c r="K154" s="38">
        <f>VLOOKUP($B154,'Old LS-Reports'!$A$4:$V$344,16,FALSE)-D154</f>
        <v>266.82897185519982</v>
      </c>
      <c r="L154" s="38">
        <f>VLOOKUP($B154,'Old LS-Reports'!$A$4:$V$344,19,FALSE)-D154</f>
        <v>267.52850955519978</v>
      </c>
      <c r="M154" s="38">
        <f t="shared" si="8"/>
        <v>2.7686281000000008</v>
      </c>
      <c r="N154" s="38">
        <f>VLOOKUP($B154,'Old LS-Reports'!$A$4:$V$344,8,FALSE)</f>
        <v>-10.9944863</v>
      </c>
      <c r="P154" s="41"/>
    </row>
    <row r="155" spans="1:16" x14ac:dyDescent="0.25">
      <c r="A155" s="39">
        <v>285200</v>
      </c>
      <c r="B155" s="39">
        <v>94202.676000000007</v>
      </c>
      <c r="C155" s="40">
        <f>VLOOKUP($B155,'Correlation sheet'!$C$4:$M$373,6,FALSE)</f>
        <v>1174607.294961323</v>
      </c>
      <c r="D155" s="16">
        <f>VLOOKUP($B155,'Correlation sheet'!$C$4:$N$373,11,FALSE)</f>
        <v>0.12730357727292585</v>
      </c>
      <c r="E155" s="38">
        <f>VLOOKUP($B155,'Old LS-Reports'!$A$4:$V$344,5,FALSE)-D155</f>
        <v>269.60247332272706</v>
      </c>
      <c r="F155" s="16">
        <f>VLOOKUP($B155,'Correlation sheet'!$C$4:$M$373,10,FALSE)</f>
        <v>271.02502442272709</v>
      </c>
      <c r="G155" s="38">
        <f t="shared" si="6"/>
        <v>1.4225511000000211</v>
      </c>
      <c r="H155" s="38">
        <f>VLOOKUP($B155,'Old LS-Reports'!$A$4:$V$344,6,FALSE)-D155</f>
        <v>268.91447332272708</v>
      </c>
      <c r="I155" s="16">
        <f>VLOOKUP($B155,'Correlation sheet'!$C$4:$M$373,9,FALSE)</f>
        <v>270.31202442272706</v>
      </c>
      <c r="J155" s="38">
        <f t="shared" si="7"/>
        <v>1.3975510999999869</v>
      </c>
      <c r="K155" s="38">
        <f>VLOOKUP($B155,'Old LS-Reports'!$A$4:$V$344,16,FALSE)-D155</f>
        <v>266.66072672272708</v>
      </c>
      <c r="L155" s="38">
        <f>VLOOKUP($B155,'Old LS-Reports'!$A$4:$V$344,19,FALSE)-D155</f>
        <v>267.38281622272706</v>
      </c>
      <c r="M155" s="38">
        <f t="shared" si="8"/>
        <v>2.929208200000005</v>
      </c>
      <c r="N155" s="38">
        <f>VLOOKUP($B155,'Old LS-Reports'!$A$4:$V$344,8,FALSE)</f>
        <v>-10.987996600000001</v>
      </c>
      <c r="P155" s="41"/>
    </row>
    <row r="156" spans="1:16" x14ac:dyDescent="0.25">
      <c r="A156" s="39">
        <v>285220</v>
      </c>
      <c r="B156" s="39">
        <v>94222.688999999998</v>
      </c>
      <c r="C156" s="40">
        <f>VLOOKUP($B156,'Correlation sheet'!$C$4:$M$373,6,FALSE)</f>
        <v>1174627.3079613226</v>
      </c>
      <c r="D156" s="16">
        <f>VLOOKUP($B156,'Correlation sheet'!$C$4:$N$373,11,FALSE)</f>
        <v>0.12749193334985875</v>
      </c>
      <c r="E156" s="38">
        <f>VLOOKUP($B156,'Old LS-Reports'!$A$4:$V$344,5,FALSE)-D156</f>
        <v>269.62487936665013</v>
      </c>
      <c r="F156" s="16">
        <f>VLOOKUP($B156,'Correlation sheet'!$C$4:$M$373,10,FALSE)</f>
        <v>271.03992086665016</v>
      </c>
      <c r="G156" s="38">
        <f t="shared" si="6"/>
        <v>1.4150415000000294</v>
      </c>
      <c r="H156" s="38">
        <f>VLOOKUP($B156,'Old LS-Reports'!$A$4:$V$344,6,FALSE)-D156</f>
        <v>268.93687936665015</v>
      </c>
      <c r="I156" s="16">
        <f>VLOOKUP($B156,'Correlation sheet'!$C$4:$M$373,9,FALSE)</f>
        <v>270.32692086665014</v>
      </c>
      <c r="J156" s="38">
        <f t="shared" si="7"/>
        <v>1.3900414999999953</v>
      </c>
      <c r="K156" s="38">
        <f>VLOOKUP($B156,'Old LS-Reports'!$A$4:$V$344,16,FALSE)-D156</f>
        <v>266.67274656665012</v>
      </c>
      <c r="L156" s="38">
        <f>VLOOKUP($B156,'Old LS-Reports'!$A$4:$V$344,19,FALSE)-D156</f>
        <v>267.43446066665012</v>
      </c>
      <c r="M156" s="38">
        <f t="shared" si="8"/>
        <v>2.8924602000000164</v>
      </c>
      <c r="N156" s="38">
        <f>VLOOKUP($B156,'Old LS-Reports'!$A$4:$V$344,8,FALSE)</f>
        <v>-10.992598600000001</v>
      </c>
      <c r="P156" s="41"/>
    </row>
    <row r="157" spans="1:16" x14ac:dyDescent="0.25">
      <c r="A157" s="39">
        <v>285240</v>
      </c>
      <c r="B157" s="39">
        <v>94242.688999999998</v>
      </c>
      <c r="C157" s="40">
        <f>VLOOKUP($B157,'Correlation sheet'!$C$4:$M$373,6,FALSE)</f>
        <v>1174647.3079613196</v>
      </c>
      <c r="D157" s="16">
        <f>VLOOKUP($B157,'Correlation sheet'!$C$4:$N$373,11,FALSE)</f>
        <v>0.1276802658275642</v>
      </c>
      <c r="E157" s="38">
        <f>VLOOKUP($B157,'Old LS-Reports'!$A$4:$V$344,5,FALSE)-D157</f>
        <v>269.63892043417246</v>
      </c>
      <c r="F157" s="16">
        <f>VLOOKUP($B157,'Correlation sheet'!$C$4:$M$373,10,FALSE)</f>
        <v>271.05480763417245</v>
      </c>
      <c r="G157" s="38">
        <f t="shared" si="6"/>
        <v>1.415887199999986</v>
      </c>
      <c r="H157" s="38">
        <f>VLOOKUP($B157,'Old LS-Reports'!$A$4:$V$344,6,FALSE)-D157</f>
        <v>268.95092043417247</v>
      </c>
      <c r="I157" s="16">
        <f>VLOOKUP($B157,'Correlation sheet'!$C$4:$M$373,9,FALSE)</f>
        <v>270.34180763417243</v>
      </c>
      <c r="J157" s="38">
        <f t="shared" si="7"/>
        <v>1.3908871999999519</v>
      </c>
      <c r="K157" s="38">
        <f>VLOOKUP($B157,'Old LS-Reports'!$A$4:$V$344,16,FALSE)-D157</f>
        <v>266.71315973417245</v>
      </c>
      <c r="L157" s="38">
        <f>VLOOKUP($B157,'Old LS-Reports'!$A$4:$V$344,19,FALSE)-D157</f>
        <v>267.48621013417244</v>
      </c>
      <c r="M157" s="38">
        <f t="shared" si="8"/>
        <v>2.8555974999999876</v>
      </c>
      <c r="N157" s="38">
        <f>VLOOKUP($B157,'Old LS-Reports'!$A$4:$V$344,8,FALSE)</f>
        <v>-11.0094134</v>
      </c>
      <c r="P157" s="41"/>
    </row>
    <row r="158" spans="1:16" x14ac:dyDescent="0.25">
      <c r="A158" s="39">
        <v>285260</v>
      </c>
      <c r="B158" s="39">
        <v>94262.683000000005</v>
      </c>
      <c r="C158" s="40">
        <f>VLOOKUP($B158,'Correlation sheet'!$C$4:$M$373,6,FALSE)</f>
        <v>1174667.3019613186</v>
      </c>
      <c r="D158" s="16">
        <f>VLOOKUP($B158,'Correlation sheet'!$C$4:$N$373,11,FALSE)</f>
        <v>0.12786816433401782</v>
      </c>
      <c r="E158" s="38">
        <f>VLOOKUP($B158,'Old LS-Reports'!$A$4:$V$344,5,FALSE)-D158</f>
        <v>269.64833883566598</v>
      </c>
      <c r="F158" s="16">
        <f>VLOOKUP($B158,'Correlation sheet'!$C$4:$M$373,10,FALSE)</f>
        <v>271.06968993566596</v>
      </c>
      <c r="G158" s="38">
        <f t="shared" si="6"/>
        <v>1.4213510999999812</v>
      </c>
      <c r="H158" s="38">
        <f>VLOOKUP($B158,'Old LS-Reports'!$A$4:$V$344,6,FALSE)-D158</f>
        <v>268.96033883566599</v>
      </c>
      <c r="I158" s="16">
        <f>VLOOKUP($B158,'Correlation sheet'!$C$4:$M$373,9,FALSE)</f>
        <v>270.35668993566594</v>
      </c>
      <c r="J158" s="38">
        <f t="shared" si="7"/>
        <v>1.3963510999999471</v>
      </c>
      <c r="K158" s="38">
        <f>VLOOKUP($B158,'Old LS-Reports'!$A$4:$V$344,16,FALSE)-D158</f>
        <v>266.84234033566599</v>
      </c>
      <c r="L158" s="38">
        <f>VLOOKUP($B158,'Old LS-Reports'!$A$4:$V$344,19,FALSE)-D158</f>
        <v>267.56205313566596</v>
      </c>
      <c r="M158" s="38">
        <f t="shared" si="8"/>
        <v>2.7946367999999779</v>
      </c>
      <c r="N158" s="38">
        <f>VLOOKUP($B158,'Old LS-Reports'!$A$4:$V$344,8,FALSE)</f>
        <v>-11.0246847</v>
      </c>
      <c r="P158" s="41"/>
    </row>
    <row r="159" spans="1:16" x14ac:dyDescent="0.25">
      <c r="A159" s="39">
        <v>285280</v>
      </c>
      <c r="B159" s="39">
        <v>94282.683000000005</v>
      </c>
      <c r="C159" s="40">
        <f>VLOOKUP($B159,'Correlation sheet'!$C$4:$M$373,6,FALSE)</f>
        <v>1174687.3019613223</v>
      </c>
      <c r="D159" s="16">
        <f>VLOOKUP($B159,'Correlation sheet'!$C$4:$N$373,11,FALSE)</f>
        <v>0.12805649680677789</v>
      </c>
      <c r="E159" s="38">
        <f>VLOOKUP($B159,'Old LS-Reports'!$A$4:$V$344,5,FALSE)-D159</f>
        <v>269.6264345031932</v>
      </c>
      <c r="F159" s="16">
        <f>VLOOKUP($B159,'Correlation sheet'!$C$4:$M$373,10,FALSE)</f>
        <v>271.08457670319325</v>
      </c>
      <c r="G159" s="38">
        <f t="shared" si="6"/>
        <v>1.4581422000000543</v>
      </c>
      <c r="H159" s="38">
        <f>VLOOKUP($B159,'Old LS-Reports'!$A$4:$V$344,6,FALSE)-D159</f>
        <v>268.93843450319321</v>
      </c>
      <c r="I159" s="16">
        <f>VLOOKUP($B159,'Correlation sheet'!$C$4:$M$373,9,FALSE)</f>
        <v>270.37157670319323</v>
      </c>
      <c r="J159" s="38">
        <f t="shared" si="7"/>
        <v>1.4331422000000202</v>
      </c>
      <c r="K159" s="38">
        <f>VLOOKUP($B159,'Old LS-Reports'!$A$4:$V$344,16,FALSE)-D159</f>
        <v>267.01763320319321</v>
      </c>
      <c r="L159" s="38">
        <f>VLOOKUP($B159,'Old LS-Reports'!$A$4:$V$344,19,FALSE)-D159</f>
        <v>267.66926040319322</v>
      </c>
      <c r="M159" s="38">
        <f t="shared" si="8"/>
        <v>2.7023163000000068</v>
      </c>
      <c r="N159" s="38">
        <f>VLOOKUP($B159,'Old LS-Reports'!$A$4:$V$344,8,FALSE)</f>
        <v>-11.029525899999999</v>
      </c>
      <c r="P159" s="41"/>
    </row>
    <row r="160" spans="1:16" x14ac:dyDescent="0.25">
      <c r="A160" s="39">
        <v>285300</v>
      </c>
      <c r="B160" s="39">
        <v>94302.67</v>
      </c>
      <c r="C160" s="40">
        <f>VLOOKUP($B160,'Correlation sheet'!$C$4:$M$373,6,FALSE)</f>
        <v>1174707.2889613232</v>
      </c>
      <c r="D160" s="16">
        <f>VLOOKUP($B160,'Correlation sheet'!$C$4:$N$373,11,FALSE)</f>
        <v>0.12824490568050351</v>
      </c>
      <c r="E160" s="38">
        <f>VLOOKUP($B160,'Old LS-Reports'!$A$4:$V$344,5,FALSE)-D160</f>
        <v>269.60953179431948</v>
      </c>
      <c r="F160" s="16">
        <f>VLOOKUP($B160,'Correlation sheet'!$C$4:$M$373,10,FALSE)</f>
        <v>271.09945379431952</v>
      </c>
      <c r="G160" s="38">
        <f t="shared" si="6"/>
        <v>1.4899220000000355</v>
      </c>
      <c r="H160" s="38">
        <f>VLOOKUP($B160,'Old LS-Reports'!$A$4:$V$344,6,FALSE)-D160</f>
        <v>268.92153179431949</v>
      </c>
      <c r="I160" s="16">
        <f>VLOOKUP($B160,'Correlation sheet'!$C$4:$M$373,9,FALSE)</f>
        <v>270.38645379431949</v>
      </c>
      <c r="J160" s="38">
        <f t="shared" si="7"/>
        <v>1.4649220000000014</v>
      </c>
      <c r="K160" s="38">
        <f>VLOOKUP($B160,'Old LS-Reports'!$A$4:$V$344,16,FALSE)-D160</f>
        <v>266.80568909431952</v>
      </c>
      <c r="L160" s="38">
        <f>VLOOKUP($B160,'Old LS-Reports'!$A$4:$V$344,19,FALSE)-D160</f>
        <v>267.66054189431952</v>
      </c>
      <c r="M160" s="38">
        <f t="shared" si="8"/>
        <v>2.7259118999999714</v>
      </c>
      <c r="N160" s="38">
        <f>VLOOKUP($B160,'Old LS-Reports'!$A$4:$V$344,8,FALSE)</f>
        <v>-11.033062599999999</v>
      </c>
      <c r="P160" s="41"/>
    </row>
    <row r="161" spans="1:16" x14ac:dyDescent="0.25">
      <c r="A161" s="39">
        <v>285320</v>
      </c>
      <c r="B161" s="39">
        <v>94322.67</v>
      </c>
      <c r="C161" s="40">
        <f>VLOOKUP($B161,'Correlation sheet'!$C$4:$M$373,6,FALSE)</f>
        <v>1174727.2889613211</v>
      </c>
      <c r="D161" s="16">
        <f>VLOOKUP($B161,'Correlation sheet'!$C$4:$N$373,11,FALSE)</f>
        <v>0.12843323815752683</v>
      </c>
      <c r="E161" s="38">
        <f>VLOOKUP($B161,'Old LS-Reports'!$A$4:$V$344,5,FALSE)-D161</f>
        <v>269.6762945618425</v>
      </c>
      <c r="F161" s="16">
        <f>VLOOKUP($B161,'Correlation sheet'!$C$4:$M$373,10,FALSE)</f>
        <v>271.11434056184248</v>
      </c>
      <c r="G161" s="38">
        <f t="shared" si="6"/>
        <v>1.4380459999999857</v>
      </c>
      <c r="H161" s="38">
        <f>VLOOKUP($B161,'Old LS-Reports'!$A$4:$V$344,6,FALSE)-D161</f>
        <v>268.98829456184251</v>
      </c>
      <c r="I161" s="16">
        <f>VLOOKUP($B161,'Correlation sheet'!$C$4:$M$373,9,FALSE)</f>
        <v>270.40134056184246</v>
      </c>
      <c r="J161" s="38">
        <f t="shared" si="7"/>
        <v>1.4130459999999516</v>
      </c>
      <c r="K161" s="38">
        <f>VLOOKUP($B161,'Old LS-Reports'!$A$4:$V$344,16,FALSE)-D161</f>
        <v>266.79802666184247</v>
      </c>
      <c r="L161" s="38">
        <f>VLOOKUP($B161,'Old LS-Reports'!$A$4:$V$344,19,FALSE)-D161</f>
        <v>267.57435786184249</v>
      </c>
      <c r="M161" s="38">
        <f t="shared" si="8"/>
        <v>2.8269826999999736</v>
      </c>
      <c r="N161" s="38">
        <f>VLOOKUP($B161,'Old LS-Reports'!$A$4:$V$344,8,FALSE)</f>
        <v>-11.014701199999999</v>
      </c>
      <c r="P161" s="41"/>
    </row>
    <row r="162" spans="1:16" x14ac:dyDescent="0.25">
      <c r="A162" s="39">
        <v>285340</v>
      </c>
      <c r="B162" s="39">
        <v>94342.67</v>
      </c>
      <c r="C162" s="40">
        <f>VLOOKUP($B162,'Correlation sheet'!$C$4:$M$373,6,FALSE)</f>
        <v>1174747.2889613193</v>
      </c>
      <c r="D162" s="16">
        <f>VLOOKUP($B162,'Correlation sheet'!$C$4:$N$373,11,FALSE)</f>
        <v>0.12862157063437962</v>
      </c>
      <c r="E162" s="38">
        <f>VLOOKUP($B162,'Old LS-Reports'!$A$4:$V$344,5,FALSE)-D162</f>
        <v>269.74305732936563</v>
      </c>
      <c r="F162" s="16">
        <f>VLOOKUP($B162,'Correlation sheet'!$C$4:$M$373,10,FALSE)</f>
        <v>271.12922732936562</v>
      </c>
      <c r="G162" s="38">
        <f t="shared" si="6"/>
        <v>1.3861699999999928</v>
      </c>
      <c r="H162" s="38">
        <f>VLOOKUP($B162,'Old LS-Reports'!$A$4:$V$344,6,FALSE)-D162</f>
        <v>269.05505732936564</v>
      </c>
      <c r="I162" s="16">
        <f>VLOOKUP($B162,'Correlation sheet'!$C$4:$M$373,9,FALSE)</f>
        <v>270.4162273293656</v>
      </c>
      <c r="J162" s="38">
        <f t="shared" si="7"/>
        <v>1.3611699999999587</v>
      </c>
      <c r="K162" s="38">
        <f>VLOOKUP($B162,'Old LS-Reports'!$A$4:$V$344,16,FALSE)-D162</f>
        <v>266.83346122936564</v>
      </c>
      <c r="L162" s="38">
        <f>VLOOKUP($B162,'Old LS-Reports'!$A$4:$V$344,19,FALSE)-D162</f>
        <v>267.50354362936559</v>
      </c>
      <c r="M162" s="38">
        <f t="shared" si="8"/>
        <v>2.9126837000000023</v>
      </c>
      <c r="N162" s="38">
        <f>VLOOKUP($B162,'Old LS-Reports'!$A$4:$V$344,8,FALSE)</f>
        <v>-10.996339799999999</v>
      </c>
      <c r="P162" s="41"/>
    </row>
    <row r="163" spans="1:16" x14ac:dyDescent="0.25">
      <c r="A163" s="39">
        <v>285360</v>
      </c>
      <c r="B163" s="39">
        <v>94362.684999999998</v>
      </c>
      <c r="C163" s="40">
        <f>VLOOKUP($B163,'Correlation sheet'!$C$4:$M$373,6,FALSE)</f>
        <v>1174767.3039613201</v>
      </c>
      <c r="D163" s="16">
        <f>VLOOKUP($B163,'Correlation sheet'!$C$4:$N$373,11,FALSE)</f>
        <v>0.12881043803361081</v>
      </c>
      <c r="E163" s="38">
        <f>VLOOKUP($B163,'Old LS-Reports'!$A$4:$V$344,5,FALSE)-D163</f>
        <v>269.79783816196641</v>
      </c>
      <c r="F163" s="16">
        <f>VLOOKUP($B163,'Correlation sheet'!$C$4:$M$373,10,FALSE)</f>
        <v>271.14412526196639</v>
      </c>
      <c r="G163" s="38">
        <f t="shared" si="6"/>
        <v>1.3462870999999836</v>
      </c>
      <c r="H163" s="38">
        <f>VLOOKUP($B163,'Old LS-Reports'!$A$4:$V$344,6,FALSE)-D163</f>
        <v>269.10983816196642</v>
      </c>
      <c r="I163" s="16">
        <f>VLOOKUP($B163,'Correlation sheet'!$C$4:$M$373,9,FALSE)</f>
        <v>270.43112526196637</v>
      </c>
      <c r="J163" s="38">
        <f t="shared" si="7"/>
        <v>1.3212870999999495</v>
      </c>
      <c r="K163" s="38">
        <f>VLOOKUP($B163,'Old LS-Reports'!$A$4:$V$344,16,FALSE)-D163</f>
        <v>266.98660756196637</v>
      </c>
      <c r="L163" s="38">
        <f>VLOOKUP($B163,'Old LS-Reports'!$A$4:$V$344,19,FALSE)-D163</f>
        <v>267.61771306196641</v>
      </c>
      <c r="M163" s="38">
        <f t="shared" si="8"/>
        <v>2.8134121999999593</v>
      </c>
      <c r="N163" s="38">
        <f>VLOOKUP($B163,'Old LS-Reports'!$A$4:$V$344,8,FALSE)</f>
        <v>-10.9996954</v>
      </c>
      <c r="P163" s="41"/>
    </row>
    <row r="164" spans="1:16" x14ac:dyDescent="0.25">
      <c r="A164" s="39">
        <v>285380</v>
      </c>
      <c r="B164" s="39">
        <v>94382.684999999998</v>
      </c>
      <c r="C164" s="40">
        <f>VLOOKUP($B164,'Correlation sheet'!$C$4:$M$373,6,FALSE)</f>
        <v>1174787.3039613236</v>
      </c>
      <c r="D164" s="16">
        <f>VLOOKUP($B164,'Correlation sheet'!$C$4:$N$373,11,FALSE)</f>
        <v>0.12899887050650705</v>
      </c>
      <c r="E164" s="38">
        <f>VLOOKUP($B164,'Old LS-Reports'!$A$4:$V$344,5,FALSE)-D164</f>
        <v>269.84906402949349</v>
      </c>
      <c r="F164" s="16">
        <f>VLOOKUP($B164,'Correlation sheet'!$C$4:$M$373,10,FALSE)</f>
        <v>271.15901202949351</v>
      </c>
      <c r="G164" s="38">
        <f t="shared" si="6"/>
        <v>1.3099480000000199</v>
      </c>
      <c r="H164" s="38">
        <f>VLOOKUP($B164,'Old LS-Reports'!$A$4:$V$344,6,FALSE)-D164</f>
        <v>269.1610640294935</v>
      </c>
      <c r="I164" s="16">
        <f>VLOOKUP($B164,'Correlation sheet'!$C$4:$M$373,9,FALSE)</f>
        <v>270.44601202949349</v>
      </c>
      <c r="J164" s="38">
        <f t="shared" si="7"/>
        <v>1.2849479999999858</v>
      </c>
      <c r="K164" s="38">
        <f>VLOOKUP($B164,'Old LS-Reports'!$A$4:$V$344,16,FALSE)-D164</f>
        <v>267.17245362949348</v>
      </c>
      <c r="L164" s="38">
        <f>VLOOKUP($B164,'Old LS-Reports'!$A$4:$V$344,19,FALSE)-D164</f>
        <v>267.81741392949351</v>
      </c>
      <c r="M164" s="38">
        <f t="shared" si="8"/>
        <v>2.6285980999999765</v>
      </c>
      <c r="N164" s="38">
        <f>VLOOKUP($B164,'Old LS-Reports'!$A$4:$V$344,8,FALSE)</f>
        <v>-11.0094998</v>
      </c>
      <c r="P164" s="41"/>
    </row>
    <row r="165" spans="1:16" x14ac:dyDescent="0.25">
      <c r="A165" s="39">
        <v>285400</v>
      </c>
      <c r="B165" s="39">
        <v>94402.694000000003</v>
      </c>
      <c r="C165" s="40">
        <f>VLOOKUP($B165,'Correlation sheet'!$C$4:$M$373,6,FALSE)</f>
        <v>1174807.3129613197</v>
      </c>
      <c r="D165" s="16">
        <f>VLOOKUP($B165,'Correlation sheet'!$C$4:$N$373,11,FALSE)</f>
        <v>0.12918720393946614</v>
      </c>
      <c r="E165" s="38">
        <f>VLOOKUP($B165,'Old LS-Reports'!$A$4:$V$344,5,FALSE)-D165</f>
        <v>269.89284419606054</v>
      </c>
      <c r="F165" s="16">
        <f>VLOOKUP($B165,'Correlation sheet'!$C$4:$M$373,10,FALSE)</f>
        <v>271.17390549606051</v>
      </c>
      <c r="G165" s="38">
        <f t="shared" si="6"/>
        <v>1.2810612999999762</v>
      </c>
      <c r="H165" s="38">
        <f>VLOOKUP($B165,'Old LS-Reports'!$A$4:$V$344,6,FALSE)-D165</f>
        <v>269.20484419606055</v>
      </c>
      <c r="I165" s="16">
        <f>VLOOKUP($B165,'Correlation sheet'!$C$4:$M$373,9,FALSE)</f>
        <v>270.46090549606049</v>
      </c>
      <c r="J165" s="38">
        <f t="shared" si="7"/>
        <v>1.2560612999999421</v>
      </c>
      <c r="K165" s="38">
        <f>VLOOKUP($B165,'Old LS-Reports'!$A$4:$V$344,16,FALSE)-D165</f>
        <v>267.19043979606056</v>
      </c>
      <c r="L165" s="38">
        <f>VLOOKUP($B165,'Old LS-Reports'!$A$4:$V$344,19,FALSE)-D165</f>
        <v>267.78174959606054</v>
      </c>
      <c r="M165" s="38">
        <f t="shared" si="8"/>
        <v>2.6791558999999552</v>
      </c>
      <c r="N165" s="38">
        <f>VLOOKUP($B165,'Old LS-Reports'!$A$4:$V$344,8,FALSE)</f>
        <v>-11.029556700000001</v>
      </c>
      <c r="P165" s="41"/>
    </row>
    <row r="166" spans="1:16" x14ac:dyDescent="0.25">
      <c r="A166" s="39">
        <v>285420</v>
      </c>
      <c r="B166" s="39">
        <v>94422.694000000003</v>
      </c>
      <c r="C166" s="40">
        <f>VLOOKUP($B166,'Correlation sheet'!$C$4:$M$373,6,FALSE)</f>
        <v>1174827.3129613232</v>
      </c>
      <c r="D166" s="16">
        <f>VLOOKUP($B166,'Correlation sheet'!$C$4:$N$373,11,FALSE)</f>
        <v>0.12937563641236238</v>
      </c>
      <c r="E166" s="38">
        <f>VLOOKUP($B166,'Old LS-Reports'!$A$4:$V$344,5,FALSE)-D166</f>
        <v>269.93231626358767</v>
      </c>
      <c r="F166" s="16">
        <f>VLOOKUP($B166,'Correlation sheet'!$C$4:$M$373,10,FALSE)</f>
        <v>271.18879226358763</v>
      </c>
      <c r="G166" s="38">
        <f t="shared" si="6"/>
        <v>1.2564759999999637</v>
      </c>
      <c r="H166" s="38">
        <f>VLOOKUP($B166,'Old LS-Reports'!$A$4:$V$344,6,FALSE)-D166</f>
        <v>269.24431626358768</v>
      </c>
      <c r="I166" s="16">
        <f>VLOOKUP($B166,'Correlation sheet'!$C$4:$M$373,9,FALSE)</f>
        <v>270.47579226358761</v>
      </c>
      <c r="J166" s="38">
        <f t="shared" si="7"/>
        <v>1.2314759999999296</v>
      </c>
      <c r="K166" s="38">
        <f>VLOOKUP($B166,'Old LS-Reports'!$A$4:$V$344,16,FALSE)-D166</f>
        <v>266.80860206358761</v>
      </c>
      <c r="L166" s="38">
        <f>VLOOKUP($B166,'Old LS-Reports'!$A$4:$V$344,19,FALSE)-D166</f>
        <v>267.50287886358763</v>
      </c>
      <c r="M166" s="38">
        <f t="shared" si="8"/>
        <v>2.9729133999999817</v>
      </c>
      <c r="N166" s="38">
        <f>VLOOKUP($B166,'Old LS-Reports'!$A$4:$V$344,8,FALSE)</f>
        <v>-11.055532899999999</v>
      </c>
      <c r="P166" s="41"/>
    </row>
    <row r="167" spans="1:16" x14ac:dyDescent="0.25">
      <c r="A167" s="39">
        <v>285440</v>
      </c>
      <c r="B167" s="39">
        <v>94442.688999999998</v>
      </c>
      <c r="C167" s="40">
        <f>VLOOKUP($B167,'Correlation sheet'!$C$4:$M$373,6,FALSE)</f>
        <v>1174847.3079613219</v>
      </c>
      <c r="D167" s="16">
        <f>VLOOKUP($B167,'Correlation sheet'!$C$4:$N$373,11,FALSE)</f>
        <v>0.12956389058069817</v>
      </c>
      <c r="E167" s="38">
        <f>VLOOKUP($B167,'Old LS-Reports'!$A$4:$V$344,5,FALSE)-D167</f>
        <v>269.97050050941931</v>
      </c>
      <c r="F167" s="16">
        <f>VLOOKUP($B167,'Correlation sheet'!$C$4:$M$373,10,FALSE)</f>
        <v>271.20367530941928</v>
      </c>
      <c r="G167" s="38">
        <f t="shared" si="6"/>
        <v>1.233174799999972</v>
      </c>
      <c r="H167" s="38">
        <f>VLOOKUP($B167,'Old LS-Reports'!$A$4:$V$344,6,FALSE)-D167</f>
        <v>269.28250050941932</v>
      </c>
      <c r="I167" s="16">
        <f>VLOOKUP($B167,'Correlation sheet'!$C$4:$M$373,9,FALSE)</f>
        <v>270.49067530941926</v>
      </c>
      <c r="J167" s="38">
        <f t="shared" si="7"/>
        <v>1.2081747999999379</v>
      </c>
      <c r="K167" s="38">
        <f>VLOOKUP($B167,'Old LS-Reports'!$A$4:$V$344,16,FALSE)-D167</f>
        <v>266.50787260941928</v>
      </c>
      <c r="L167" s="38">
        <f>VLOOKUP($B167,'Old LS-Reports'!$A$4:$V$344,19,FALSE)-D167</f>
        <v>267.3634647094193</v>
      </c>
      <c r="M167" s="38">
        <f t="shared" si="8"/>
        <v>3.1272105999999553</v>
      </c>
      <c r="N167" s="38">
        <f>VLOOKUP($B167,'Old LS-Reports'!$A$4:$V$344,8,FALSE)</f>
        <v>-11.079782099999999</v>
      </c>
      <c r="P167" s="41"/>
    </row>
    <row r="168" spans="1:16" x14ac:dyDescent="0.25">
      <c r="A168" s="39">
        <v>285460</v>
      </c>
      <c r="B168" s="39">
        <v>94462.688999999998</v>
      </c>
      <c r="C168" s="40">
        <f>VLOOKUP($B168,'Correlation sheet'!$C$4:$M$373,6,FALSE)</f>
        <v>1174867.3079577705</v>
      </c>
      <c r="D168" s="16">
        <f>VLOOKUP($B168,'Correlation sheet'!$C$4:$N$373,11,FALSE)</f>
        <v>0.12975222569963307</v>
      </c>
      <c r="E168" s="38">
        <f>VLOOKUP($B168,'Old LS-Reports'!$A$4:$V$344,5,FALSE)-D168</f>
        <v>270.00302447430039</v>
      </c>
      <c r="F168" s="16">
        <f>VLOOKUP($B168,'Correlation sheet'!$C$4:$M$373,10,FALSE)</f>
        <v>271.21856207430039</v>
      </c>
      <c r="G168" s="38">
        <f t="shared" si="6"/>
        <v>1.2155376000000047</v>
      </c>
      <c r="H168" s="38">
        <f>VLOOKUP($B168,'Old LS-Reports'!$A$4:$V$344,6,FALSE)-D168</f>
        <v>269.3150244743004</v>
      </c>
      <c r="I168" s="16">
        <f>VLOOKUP($B168,'Correlation sheet'!$C$4:$M$373,9,FALSE)</f>
        <v>270.50556207430037</v>
      </c>
      <c r="J168" s="38">
        <f t="shared" si="7"/>
        <v>1.1905375999999706</v>
      </c>
      <c r="K168" s="38">
        <f>VLOOKUP($B168,'Old LS-Reports'!$A$4:$V$344,16,FALSE)-D168</f>
        <v>266.04983777430039</v>
      </c>
      <c r="L168" s="38">
        <f>VLOOKUP($B168,'Old LS-Reports'!$A$4:$V$344,19,FALSE)-D168</f>
        <v>266.13282487430035</v>
      </c>
      <c r="M168" s="38">
        <f t="shared" si="8"/>
        <v>4.3727372000000173</v>
      </c>
      <c r="N168" s="38">
        <f>VLOOKUP($B168,'Old LS-Reports'!$A$4:$V$344,8,FALSE)</f>
        <v>-11.0814991</v>
      </c>
      <c r="P168" s="41"/>
    </row>
    <row r="169" spans="1:16" x14ac:dyDescent="0.25">
      <c r="A169" s="39">
        <v>285480</v>
      </c>
      <c r="B169" s="39">
        <v>94482.713000000003</v>
      </c>
      <c r="C169" s="40">
        <f>VLOOKUP($B169,'Correlation sheet'!$C$4:$M$373,6,FALSE)</f>
        <v>1174887.3319484806</v>
      </c>
      <c r="D169" s="16">
        <f>VLOOKUP($B169,'Correlation sheet'!$C$4:$N$373,11,FALSE)</f>
        <v>0.12994090096896116</v>
      </c>
      <c r="E169" s="38">
        <f>VLOOKUP($B169,'Old LS-Reports'!$A$4:$V$344,5,FALSE)-D169</f>
        <v>269.99622279903105</v>
      </c>
      <c r="F169" s="16">
        <f>VLOOKUP($B169,'Correlation sheet'!$C$4:$M$373,10,FALSE)</f>
        <v>271.23346669903106</v>
      </c>
      <c r="G169" s="38">
        <f t="shared" si="6"/>
        <v>1.2372439000000099</v>
      </c>
      <c r="H169" s="38">
        <f>VLOOKUP($B169,'Old LS-Reports'!$A$4:$V$344,6,FALSE)-D169</f>
        <v>269.30822279903106</v>
      </c>
      <c r="I169" s="16">
        <f>VLOOKUP($B169,'Correlation sheet'!$C$4:$M$373,9,FALSE)</f>
        <v>270.52046669903103</v>
      </c>
      <c r="J169" s="38">
        <f t="shared" si="7"/>
        <v>1.2122438999999758</v>
      </c>
      <c r="K169" s="38">
        <f>VLOOKUP($B169,'Old LS-Reports'!$A$4:$V$344,16,FALSE)-D169</f>
        <v>266.52300399903106</v>
      </c>
      <c r="L169" s="38">
        <f>VLOOKUP($B169,'Old LS-Reports'!$A$4:$V$344,19,FALSE)-D169</f>
        <v>267.86759829903104</v>
      </c>
      <c r="M169" s="38">
        <f t="shared" si="8"/>
        <v>2.6528683999999885</v>
      </c>
      <c r="N169" s="38">
        <f>VLOOKUP($B169,'Old LS-Reports'!$A$4:$V$344,8,FALSE)</f>
        <v>-11.054719</v>
      </c>
      <c r="P169" s="41"/>
    </row>
    <row r="170" spans="1:16" x14ac:dyDescent="0.25">
      <c r="A170" s="39">
        <v>285500</v>
      </c>
      <c r="B170" s="39">
        <v>94502.714000000007</v>
      </c>
      <c r="C170" s="40">
        <f>VLOOKUP($B170,'Correlation sheet'!$C$4:$M$373,6,FALSE)</f>
        <v>1174907.3329392164</v>
      </c>
      <c r="D170" s="16">
        <f>VLOOKUP($B170,'Correlation sheet'!$C$4:$N$373,11,FALSE)</f>
        <v>0.13012869600174781</v>
      </c>
      <c r="E170" s="38">
        <f>VLOOKUP($B170,'Old LS-Reports'!$A$4:$V$344,5,FALSE)-D170</f>
        <v>269.97226500399825</v>
      </c>
      <c r="F170" s="16">
        <f>VLOOKUP($B170,'Correlation sheet'!$C$4:$M$373,10,FALSE)</f>
        <v>271.24835420399825</v>
      </c>
      <c r="G170" s="38">
        <f t="shared" si="6"/>
        <v>1.2760892000000013</v>
      </c>
      <c r="H170" s="38">
        <f>VLOOKUP($B170,'Old LS-Reports'!$A$4:$V$344,6,FALSE)-D170</f>
        <v>269.28426500399826</v>
      </c>
      <c r="I170" s="16">
        <f>VLOOKUP($B170,'Correlation sheet'!$C$4:$M$373,9,FALSE)</f>
        <v>270.53535420399822</v>
      </c>
      <c r="J170" s="38">
        <f t="shared" si="7"/>
        <v>1.2510891999999671</v>
      </c>
      <c r="K170" s="38">
        <f>VLOOKUP($B170,'Old LS-Reports'!$A$4:$V$344,16,FALSE)-D170</f>
        <v>266.97801090399827</v>
      </c>
      <c r="L170" s="38">
        <f>VLOOKUP($B170,'Old LS-Reports'!$A$4:$V$344,19,FALSE)-D170</f>
        <v>268.27733960399826</v>
      </c>
      <c r="M170" s="38">
        <f t="shared" si="8"/>
        <v>2.2580145999999672</v>
      </c>
      <c r="N170" s="38">
        <f>VLOOKUP($B170,'Old LS-Reports'!$A$4:$V$344,8,FALSE)</f>
        <v>-10.974510800000001</v>
      </c>
      <c r="P170" s="41"/>
    </row>
    <row r="171" spans="1:16" x14ac:dyDescent="0.25">
      <c r="A171" s="39">
        <v>285500</v>
      </c>
      <c r="B171" s="39">
        <v>94502.714000000007</v>
      </c>
      <c r="C171" s="40">
        <f>VLOOKUP($B171,'Correlation sheet'!$C$4:$M$373,6,FALSE)</f>
        <v>1174907.3329392164</v>
      </c>
      <c r="D171" s="16">
        <f>VLOOKUP($B171,'Correlation sheet'!$C$4:$N$373,11,FALSE)</f>
        <v>0.13012869600174781</v>
      </c>
      <c r="E171" s="38">
        <f>VLOOKUP($B171,'Old LS-Reports'!$A$4:$V$344,5,FALSE)-D171</f>
        <v>269.97226500399825</v>
      </c>
      <c r="F171" s="16">
        <f>VLOOKUP($B171,'Correlation sheet'!$C$4:$M$373,10,FALSE)</f>
        <v>271.24835420399825</v>
      </c>
      <c r="G171" s="38">
        <f t="shared" si="6"/>
        <v>1.2760892000000013</v>
      </c>
      <c r="H171" s="38">
        <f>VLOOKUP($B171,'Old LS-Reports'!$A$4:$V$344,6,FALSE)-D171</f>
        <v>269.28426500399826</v>
      </c>
      <c r="I171" s="16">
        <f>VLOOKUP($B171,'Correlation sheet'!$C$4:$M$373,9,FALSE)</f>
        <v>270.53535420399822</v>
      </c>
      <c r="J171" s="38">
        <f t="shared" si="7"/>
        <v>1.2510891999999671</v>
      </c>
      <c r="K171" s="38">
        <f>VLOOKUP($B171,'Old LS-Reports'!$A$4:$V$344,16,FALSE)-D171</f>
        <v>266.97801090399827</v>
      </c>
      <c r="L171" s="38">
        <f>VLOOKUP($B171,'Old LS-Reports'!$A$4:$V$344,19,FALSE)-D171</f>
        <v>268.27733960399826</v>
      </c>
      <c r="M171" s="38">
        <f t="shared" si="8"/>
        <v>2.2580145999999672</v>
      </c>
      <c r="N171" s="38">
        <f>VLOOKUP($B171,'Old LS-Reports'!$A$4:$V$344,8,FALSE)</f>
        <v>-10.974510800000001</v>
      </c>
      <c r="P171" s="41"/>
    </row>
    <row r="172" spans="1:16" x14ac:dyDescent="0.25">
      <c r="A172" s="39">
        <v>285520</v>
      </c>
      <c r="B172" s="39">
        <v>94522.740999999995</v>
      </c>
      <c r="C172" s="40">
        <f>VLOOKUP($B172,'Correlation sheet'!$C$4:$M$373,6,FALSE)</f>
        <v>1174927.3599299211</v>
      </c>
      <c r="D172" s="16">
        <f>VLOOKUP($B172,'Correlation sheet'!$C$4:$N$373,11,FALSE)</f>
        <v>0.1303179382599069</v>
      </c>
      <c r="E172" s="38">
        <f>VLOOKUP($B172,'Old LS-Reports'!$A$4:$V$344,5,FALSE)-D172</f>
        <v>269.94794206174009</v>
      </c>
      <c r="F172" s="16">
        <f>VLOOKUP($B172,'Correlation sheet'!$C$4:$M$373,10,FALSE)</f>
        <v>271.26326106174008</v>
      </c>
      <c r="G172" s="38">
        <f t="shared" si="6"/>
        <v>1.3153189999999881</v>
      </c>
      <c r="H172" s="38">
        <f>VLOOKUP($B172,'Old LS-Reports'!$A$4:$V$344,6,FALSE)-D172</f>
        <v>269.25994206174011</v>
      </c>
      <c r="I172" s="16">
        <f>VLOOKUP($B172,'Correlation sheet'!$C$4:$M$373,9,FALSE)</f>
        <v>270.55026106174006</v>
      </c>
      <c r="J172" s="38">
        <f t="shared" si="7"/>
        <v>1.290318999999954</v>
      </c>
      <c r="K172" s="38">
        <f>VLOOKUP($B172,'Old LS-Reports'!$A$4:$V$344,16,FALSE)-D172</f>
        <v>267.3731096617401</v>
      </c>
      <c r="L172" s="38">
        <f>VLOOKUP($B172,'Old LS-Reports'!$A$4:$V$344,19,FALSE)-D172</f>
        <v>268.47670486174007</v>
      </c>
      <c r="M172" s="38">
        <f t="shared" si="8"/>
        <v>2.0735561999999845</v>
      </c>
      <c r="N172" s="38">
        <f>VLOOKUP($B172,'Old LS-Reports'!$A$4:$V$344,8,FALSE)</f>
        <v>-10.839757199999999</v>
      </c>
      <c r="P172" s="41"/>
    </row>
    <row r="173" spans="1:16" x14ac:dyDescent="0.25">
      <c r="A173" s="39">
        <v>285540</v>
      </c>
      <c r="B173" s="39">
        <v>94542.819000000003</v>
      </c>
      <c r="C173" s="40">
        <f>VLOOKUP($B173,'Correlation sheet'!$C$4:$M$373,6,FALSE)</f>
        <v>1174947.4379205504</v>
      </c>
      <c r="D173" s="16">
        <f>VLOOKUP($B173,'Correlation sheet'!$C$4:$N$373,11,FALSE)</f>
        <v>0.13050721931705311</v>
      </c>
      <c r="E173" s="38">
        <f>VLOOKUP($B173,'Old LS-Reports'!$A$4:$V$344,5,FALSE)-D173</f>
        <v>269.91813678068297</v>
      </c>
      <c r="F173" s="16">
        <f>VLOOKUP($B173,'Correlation sheet'!$C$4:$M$373,10,FALSE)</f>
        <v>271.27820588068295</v>
      </c>
      <c r="G173" s="38">
        <f t="shared" si="6"/>
        <v>1.3600690999999756</v>
      </c>
      <c r="H173" s="38">
        <f>VLOOKUP($B173,'Old LS-Reports'!$A$4:$V$344,6,FALSE)-D173</f>
        <v>269.23013678068298</v>
      </c>
      <c r="I173" s="16">
        <f>VLOOKUP($B173,'Correlation sheet'!$C$4:$M$373,9,FALSE)</f>
        <v>270.56520588068292</v>
      </c>
      <c r="J173" s="38">
        <f t="shared" si="7"/>
        <v>1.3350690999999415</v>
      </c>
      <c r="K173" s="38">
        <f>VLOOKUP($B173,'Old LS-Reports'!$A$4:$V$344,16,FALSE)-D173</f>
        <v>267.24447118068292</v>
      </c>
      <c r="L173" s="38">
        <f>VLOOKUP($B173,'Old LS-Reports'!$A$4:$V$344,19,FALSE)-D173</f>
        <v>268.11074688068294</v>
      </c>
      <c r="M173" s="38">
        <f t="shared" si="8"/>
        <v>2.4544589999999857</v>
      </c>
      <c r="N173" s="38">
        <f>VLOOKUP($B173,'Old LS-Reports'!$A$4:$V$344,8,FALSE)</f>
        <v>-10.745187700000001</v>
      </c>
      <c r="P173" s="41"/>
    </row>
    <row r="174" spans="1:16" x14ac:dyDescent="0.25">
      <c r="A174" s="39">
        <v>285560</v>
      </c>
      <c r="B174" s="39">
        <v>94562.82</v>
      </c>
      <c r="C174" s="40">
        <f>VLOOKUP($B174,'Correlation sheet'!$C$4:$M$373,6,FALSE)</f>
        <v>1174967.4389113474</v>
      </c>
      <c r="D174" s="16">
        <f>VLOOKUP($B174,'Correlation sheet'!$C$4:$N$373,11,FALSE)</f>
        <v>0.13069501430425134</v>
      </c>
      <c r="E174" s="38">
        <f>VLOOKUP($B174,'Old LS-Reports'!$A$4:$V$344,5,FALSE)-D174</f>
        <v>269.88357448569576</v>
      </c>
      <c r="F174" s="16">
        <f>VLOOKUP($B174,'Correlation sheet'!$C$4:$M$373,10,FALSE)</f>
        <v>271.29309338569573</v>
      </c>
      <c r="G174" s="38">
        <f t="shared" si="6"/>
        <v>1.4095188999999664</v>
      </c>
      <c r="H174" s="38">
        <f>VLOOKUP($B174,'Old LS-Reports'!$A$4:$V$344,6,FALSE)-D174</f>
        <v>269.19557448569577</v>
      </c>
      <c r="I174" s="16">
        <f>VLOOKUP($B174,'Correlation sheet'!$C$4:$M$373,9,FALSE)</f>
        <v>270.5800933856957</v>
      </c>
      <c r="J174" s="38">
        <f t="shared" si="7"/>
        <v>1.3845188999999323</v>
      </c>
      <c r="K174" s="38">
        <f>VLOOKUP($B174,'Old LS-Reports'!$A$4:$V$344,16,FALSE)-D174</f>
        <v>267.09280978569575</v>
      </c>
      <c r="L174" s="38">
        <f>VLOOKUP($B174,'Old LS-Reports'!$A$4:$V$344,19,FALSE)-D174</f>
        <v>267.83691118569573</v>
      </c>
      <c r="M174" s="38">
        <f t="shared" si="8"/>
        <v>2.7431821999999784</v>
      </c>
      <c r="N174" s="38">
        <f>VLOOKUP($B174,'Old LS-Reports'!$A$4:$V$344,8,FALSE)</f>
        <v>-10.659791</v>
      </c>
      <c r="P174" s="41"/>
    </row>
    <row r="175" spans="1:16" x14ac:dyDescent="0.25">
      <c r="A175" s="39">
        <v>285580</v>
      </c>
      <c r="B175" s="39">
        <v>94582.868000000002</v>
      </c>
      <c r="C175" s="40">
        <f>VLOOKUP($B175,'Correlation sheet'!$C$4:$M$373,6,FALSE)</f>
        <v>1174987.4869100114</v>
      </c>
      <c r="D175" s="16">
        <f>VLOOKUP($B175,'Correlation sheet'!$C$4:$N$373,11,FALSE)</f>
        <v>0.1308839195321525</v>
      </c>
      <c r="E175" s="38">
        <f>VLOOKUP($B175,'Old LS-Reports'!$A$4:$V$344,5,FALSE)-D175</f>
        <v>269.84844308046786</v>
      </c>
      <c r="F175" s="16">
        <f>VLOOKUP($B175,'Correlation sheet'!$C$4:$M$373,10,FALSE)</f>
        <v>271.30801588046785</v>
      </c>
      <c r="G175" s="38">
        <f t="shared" si="6"/>
        <v>1.4595727999999895</v>
      </c>
      <c r="H175" s="38">
        <f>VLOOKUP($B175,'Old LS-Reports'!$A$4:$V$344,6,FALSE)-D175</f>
        <v>269.16044308046787</v>
      </c>
      <c r="I175" s="16">
        <f>VLOOKUP($B175,'Correlation sheet'!$C$4:$M$373,9,FALSE)</f>
        <v>270.59501588046783</v>
      </c>
      <c r="J175" s="38">
        <f t="shared" si="7"/>
        <v>1.4345727999999554</v>
      </c>
      <c r="K175" s="38">
        <f>VLOOKUP($B175,'Old LS-Reports'!$A$4:$V$344,16,FALSE)-D175</f>
        <v>266.80594468046786</v>
      </c>
      <c r="L175" s="38">
        <f>VLOOKUP($B175,'Old LS-Reports'!$A$4:$V$344,19,FALSE)-D175</f>
        <v>267.49816148046784</v>
      </c>
      <c r="M175" s="38">
        <f t="shared" si="8"/>
        <v>3.0968543999999838</v>
      </c>
      <c r="N175" s="38">
        <f>VLOOKUP($B175,'Old LS-Reports'!$A$4:$V$344,8,FALSE)</f>
        <v>-10.561144499999999</v>
      </c>
      <c r="P175" s="41"/>
    </row>
    <row r="176" spans="1:16" x14ac:dyDescent="0.25">
      <c r="A176" s="39">
        <v>285600</v>
      </c>
      <c r="B176" s="39">
        <v>94602.868000000002</v>
      </c>
      <c r="C176" s="40">
        <f>VLOOKUP($B176,'Correlation sheet'!$C$4:$M$373,6,FALSE)</f>
        <v>1175007.4869100088</v>
      </c>
      <c r="D176" s="16">
        <f>VLOOKUP($B176,'Correlation sheet'!$C$4:$N$373,11,FALSE)</f>
        <v>0.13107235200953937</v>
      </c>
      <c r="E176" s="38">
        <f>VLOOKUP($B176,'Old LS-Reports'!$A$4:$V$344,5,FALSE)-D176</f>
        <v>269.81249274799046</v>
      </c>
      <c r="F176" s="16">
        <f>VLOOKUP($B176,'Correlation sheet'!$C$4:$M$373,10,FALSE)</f>
        <v>271.32290264799047</v>
      </c>
      <c r="G176" s="38">
        <f t="shared" si="6"/>
        <v>1.5104099000000133</v>
      </c>
      <c r="H176" s="38">
        <f>VLOOKUP($B176,'Old LS-Reports'!$A$4:$V$344,6,FALSE)-D176</f>
        <v>269.12449274799047</v>
      </c>
      <c r="I176" s="16">
        <f>VLOOKUP($B176,'Correlation sheet'!$C$4:$M$373,9,FALSE)</f>
        <v>270.60990264799045</v>
      </c>
      <c r="J176" s="38">
        <f t="shared" si="7"/>
        <v>1.4854098999999792</v>
      </c>
      <c r="K176" s="38">
        <f>VLOOKUP($B176,'Old LS-Reports'!$A$4:$V$344,16,FALSE)-D176</f>
        <v>267.00638014799046</v>
      </c>
      <c r="L176" s="38">
        <f>VLOOKUP($B176,'Old LS-Reports'!$A$4:$V$344,19,FALSE)-D176</f>
        <v>267.66581224799046</v>
      </c>
      <c r="M176" s="38">
        <f t="shared" si="8"/>
        <v>2.9440903999999932</v>
      </c>
      <c r="N176" s="38">
        <f>VLOOKUP($B176,'Old LS-Reports'!$A$4:$V$344,8,FALSE)</f>
        <v>-10.509275000000001</v>
      </c>
      <c r="P176" s="41"/>
    </row>
    <row r="177" spans="1:16" x14ac:dyDescent="0.25">
      <c r="A177" s="39">
        <v>285620</v>
      </c>
      <c r="B177" s="39">
        <v>94622.877999999997</v>
      </c>
      <c r="C177" s="40">
        <f>VLOOKUP($B177,'Correlation sheet'!$C$4:$M$373,6,FALSE)</f>
        <v>1175027.4969100088</v>
      </c>
      <c r="D177" s="16">
        <f>VLOOKUP($B177,'Correlation sheet'!$C$4:$N$373,11,FALSE)</f>
        <v>0.13126124110124238</v>
      </c>
      <c r="E177" s="38">
        <f>VLOOKUP($B177,'Old LS-Reports'!$A$4:$V$344,5,FALSE)-D177</f>
        <v>269.77588305889878</v>
      </c>
      <c r="F177" s="16">
        <f>VLOOKUP($B177,'Correlation sheet'!$C$4:$M$373,10,FALSE)</f>
        <v>271.33779685889874</v>
      </c>
      <c r="G177" s="38">
        <f t="shared" si="6"/>
        <v>1.5619137999999566</v>
      </c>
      <c r="H177" s="38">
        <f>VLOOKUP($B177,'Old LS-Reports'!$A$4:$V$344,6,FALSE)-D177</f>
        <v>269.0878830588988</v>
      </c>
      <c r="I177" s="16">
        <f>VLOOKUP($B177,'Correlation sheet'!$C$4:$M$373,9,FALSE)</f>
        <v>270.62479685889872</v>
      </c>
      <c r="J177" s="38">
        <f t="shared" si="7"/>
        <v>1.5369137999999225</v>
      </c>
      <c r="K177" s="38">
        <f>VLOOKUP($B177,'Old LS-Reports'!$A$4:$V$344,16,FALSE)-D177</f>
        <v>267.33916545889878</v>
      </c>
      <c r="L177" s="38">
        <f>VLOOKUP($B177,'Old LS-Reports'!$A$4:$V$344,19,FALSE)-D177</f>
        <v>267.65274285889876</v>
      </c>
      <c r="M177" s="38">
        <f t="shared" si="8"/>
        <v>2.9720539999999573</v>
      </c>
      <c r="N177" s="38">
        <f>VLOOKUP($B177,'Old LS-Reports'!$A$4:$V$344,8,FALSE)</f>
        <v>-10.4647395</v>
      </c>
      <c r="P177" s="41"/>
    </row>
    <row r="178" spans="1:16" x14ac:dyDescent="0.25">
      <c r="A178" s="39">
        <v>285640</v>
      </c>
      <c r="B178" s="39">
        <v>94642.877999999997</v>
      </c>
      <c r="C178" s="40">
        <f>VLOOKUP($B178,'Correlation sheet'!$C$4:$M$373,6,FALSE)</f>
        <v>1175047.4969100123</v>
      </c>
      <c r="D178" s="16">
        <f>VLOOKUP($B178,'Correlation sheet'!$C$4:$N$373,11,FALSE)</f>
        <v>0.13144957357417297</v>
      </c>
      <c r="E178" s="38">
        <f>VLOOKUP($B178,'Old LS-Reports'!$A$4:$V$344,5,FALSE)-D178</f>
        <v>269.7381473264258</v>
      </c>
      <c r="F178" s="16">
        <f>VLOOKUP($B178,'Correlation sheet'!$C$4:$M$373,10,FALSE)</f>
        <v>271.35268362642586</v>
      </c>
      <c r="G178" s="38">
        <f t="shared" si="6"/>
        <v>1.6145363000000543</v>
      </c>
      <c r="H178" s="38">
        <f>VLOOKUP($B178,'Old LS-Reports'!$A$4:$V$344,6,FALSE)-D178</f>
        <v>269.05014732642582</v>
      </c>
      <c r="I178" s="16">
        <f>VLOOKUP($B178,'Correlation sheet'!$C$4:$M$373,9,FALSE)</f>
        <v>270.63968362642584</v>
      </c>
      <c r="J178" s="38">
        <f t="shared" si="7"/>
        <v>1.5895363000000202</v>
      </c>
      <c r="K178" s="38">
        <f>VLOOKUP($B178,'Old LS-Reports'!$A$4:$V$344,16,FALSE)-D178</f>
        <v>267.19908232642581</v>
      </c>
      <c r="L178" s="38">
        <f>VLOOKUP($B178,'Old LS-Reports'!$A$4:$V$344,19,FALSE)-D178</f>
        <v>267.49882472642582</v>
      </c>
      <c r="M178" s="38">
        <f t="shared" si="8"/>
        <v>3.140858900000012</v>
      </c>
      <c r="N178" s="38">
        <f>VLOOKUP($B178,'Old LS-Reports'!$A$4:$V$344,8,FALSE)</f>
        <v>-10.4328038</v>
      </c>
      <c r="P178" s="41"/>
    </row>
    <row r="179" spans="1:16" x14ac:dyDescent="0.25">
      <c r="A179" s="39">
        <v>285660</v>
      </c>
      <c r="B179" s="39">
        <v>94662.892000000007</v>
      </c>
      <c r="C179" s="40">
        <f>VLOOKUP($B179,'Correlation sheet'!$C$4:$M$373,6,FALSE)</f>
        <v>1175067.5109100109</v>
      </c>
      <c r="D179" s="16">
        <f>VLOOKUP($B179,'Correlation sheet'!$C$4:$N$373,11,FALSE)</f>
        <v>0.13163768531342157</v>
      </c>
      <c r="E179" s="38">
        <f>VLOOKUP($B179,'Old LS-Reports'!$A$4:$V$344,5,FALSE)-D179</f>
        <v>269.6999157146866</v>
      </c>
      <c r="F179" s="16">
        <f>VLOOKUP($B179,'Correlation sheet'!$C$4:$M$373,10,FALSE)</f>
        <v>271.36758081468656</v>
      </c>
      <c r="G179" s="38">
        <f t="shared" si="6"/>
        <v>1.6676650999999652</v>
      </c>
      <c r="H179" s="38">
        <f>VLOOKUP($B179,'Old LS-Reports'!$A$4:$V$344,6,FALSE)-D179</f>
        <v>269.01191571468661</v>
      </c>
      <c r="I179" s="16">
        <f>VLOOKUP($B179,'Correlation sheet'!$C$4:$M$373,9,FALSE)</f>
        <v>270.65458081468654</v>
      </c>
      <c r="J179" s="38">
        <f t="shared" si="7"/>
        <v>1.642665099999931</v>
      </c>
      <c r="K179" s="38">
        <f>VLOOKUP($B179,'Old LS-Reports'!$A$4:$V$344,16,FALSE)-D179</f>
        <v>266.67610261468656</v>
      </c>
      <c r="L179" s="38">
        <f>VLOOKUP($B179,'Old LS-Reports'!$A$4:$V$344,19,FALSE)-D179</f>
        <v>267.22672181468658</v>
      </c>
      <c r="M179" s="38">
        <f t="shared" si="8"/>
        <v>3.4278589999999554</v>
      </c>
      <c r="N179" s="38">
        <f>VLOOKUP($B179,'Old LS-Reports'!$A$4:$V$344,8,FALSE)</f>
        <v>-10.4086655</v>
      </c>
      <c r="P179" s="41"/>
    </row>
    <row r="180" spans="1:16" x14ac:dyDescent="0.25">
      <c r="A180" s="39">
        <v>285680</v>
      </c>
      <c r="B180" s="39">
        <v>94682.892000000007</v>
      </c>
      <c r="C180" s="40">
        <f>VLOOKUP($B180,'Correlation sheet'!$C$4:$M$373,6,FALSE)</f>
        <v>1175087.5109100081</v>
      </c>
      <c r="D180" s="16">
        <f>VLOOKUP($B180,'Correlation sheet'!$C$4:$N$373,11,FALSE)</f>
        <v>0.13182601779101333</v>
      </c>
      <c r="E180" s="38">
        <f>VLOOKUP($B180,'Old LS-Reports'!$A$4:$V$344,5,FALSE)-D180</f>
        <v>269.66053538220899</v>
      </c>
      <c r="F180" s="16">
        <f>VLOOKUP($B180,'Correlation sheet'!$C$4:$M$373,10,FALSE)</f>
        <v>271.38246758220902</v>
      </c>
      <c r="G180" s="38">
        <f t="shared" si="6"/>
        <v>1.7219322000000261</v>
      </c>
      <c r="H180" s="38">
        <f>VLOOKUP($B180,'Old LS-Reports'!$A$4:$V$344,6,FALSE)-D180</f>
        <v>268.972535382209</v>
      </c>
      <c r="I180" s="16">
        <f>VLOOKUP($B180,'Correlation sheet'!$C$4:$M$373,9,FALSE)</f>
        <v>270.66946758220899</v>
      </c>
      <c r="J180" s="38">
        <f t="shared" si="7"/>
        <v>1.696932199999992</v>
      </c>
      <c r="K180" s="38">
        <f>VLOOKUP($B180,'Old LS-Reports'!$A$4:$V$344,16,FALSE)-D180</f>
        <v>266.430528682209</v>
      </c>
      <c r="L180" s="38">
        <f>VLOOKUP($B180,'Old LS-Reports'!$A$4:$V$344,19,FALSE)-D180</f>
        <v>267.19879508220896</v>
      </c>
      <c r="M180" s="38">
        <f t="shared" si="8"/>
        <v>3.4706725000000347</v>
      </c>
      <c r="N180" s="38">
        <f>VLOOKUP($B180,'Old LS-Reports'!$A$4:$V$344,8,FALSE)</f>
        <v>-10.402621099999999</v>
      </c>
      <c r="P180" s="41"/>
    </row>
    <row r="181" spans="1:16" x14ac:dyDescent="0.25">
      <c r="A181" s="39">
        <v>285700</v>
      </c>
      <c r="B181" s="39">
        <v>94702.892000000007</v>
      </c>
      <c r="C181" s="40">
        <f>VLOOKUP($B181,'Correlation sheet'!$C$4:$M$373,6,FALSE)</f>
        <v>1175107.5109100114</v>
      </c>
      <c r="D181" s="16">
        <f>VLOOKUP($B181,'Correlation sheet'!$C$4:$N$373,11,FALSE)</f>
        <v>0.1224526502640515</v>
      </c>
      <c r="E181" s="38">
        <f>VLOOKUP($B181,'Old LS-Reports'!$A$4:$V$344,5,FALSE)-D181</f>
        <v>269.63071674973594</v>
      </c>
      <c r="F181" s="16">
        <f>VLOOKUP($B181,'Correlation sheet'!$C$4:$M$373,10,FALSE)</f>
        <v>271.39735434973596</v>
      </c>
      <c r="G181" s="38">
        <f t="shared" si="6"/>
        <v>1.7666376000000241</v>
      </c>
      <c r="H181" s="38">
        <f>VLOOKUP($B181,'Old LS-Reports'!$A$4:$V$344,6,FALSE)-D181</f>
        <v>268.94271674973595</v>
      </c>
      <c r="I181" s="16">
        <f>VLOOKUP($B181,'Correlation sheet'!$C$4:$M$373,9,FALSE)</f>
        <v>270.68435434973594</v>
      </c>
      <c r="J181" s="38">
        <f t="shared" si="7"/>
        <v>1.74163759999999</v>
      </c>
      <c r="K181" s="38">
        <f>VLOOKUP($B181,'Old LS-Reports'!$A$4:$V$344,16,FALSE)-D181</f>
        <v>266.39479514973596</v>
      </c>
      <c r="L181" s="38">
        <f>VLOOKUP($B181,'Old LS-Reports'!$A$4:$V$344,19,FALSE)-D181</f>
        <v>267.19409174973595</v>
      </c>
      <c r="M181" s="38">
        <f t="shared" si="8"/>
        <v>3.4902625999999941</v>
      </c>
      <c r="N181" s="38">
        <f>VLOOKUP($B181,'Old LS-Reports'!$A$4:$V$344,8,FALSE)</f>
        <v>-10.3965766</v>
      </c>
      <c r="P181" s="41"/>
    </row>
    <row r="182" spans="1:16" x14ac:dyDescent="0.25">
      <c r="A182" s="39">
        <v>285720</v>
      </c>
      <c r="B182" s="39">
        <v>94722.921000000002</v>
      </c>
      <c r="C182" s="40">
        <f>VLOOKUP($B182,'Correlation sheet'!$C$4:$M$373,6,FALSE)</f>
        <v>1175127.5399100122</v>
      </c>
      <c r="D182" s="16">
        <f>VLOOKUP($B182,'Correlation sheet'!$C$4:$N$373,11,FALSE)</f>
        <v>9.3959440127093785E-2</v>
      </c>
      <c r="E182" s="38">
        <f>VLOOKUP($B182,'Old LS-Reports'!$A$4:$V$344,5,FALSE)-D182</f>
        <v>269.62696405987293</v>
      </c>
      <c r="F182" s="16">
        <f>VLOOKUP($B182,'Correlation sheet'!$C$4:$M$373,10,FALSE)</f>
        <v>271.37562815987292</v>
      </c>
      <c r="G182" s="38">
        <f t="shared" si="6"/>
        <v>1.748664099999985</v>
      </c>
      <c r="H182" s="38">
        <f>VLOOKUP($B182,'Old LS-Reports'!$A$4:$V$344,6,FALSE)-D182</f>
        <v>268.93896405987294</v>
      </c>
      <c r="I182" s="16">
        <f>VLOOKUP($B182,'Correlation sheet'!$C$4:$M$373,9,FALSE)</f>
        <v>270.6626281598729</v>
      </c>
      <c r="J182" s="38">
        <f t="shared" si="7"/>
        <v>1.7236640999999508</v>
      </c>
      <c r="K182" s="38">
        <f>VLOOKUP($B182,'Old LS-Reports'!$A$4:$V$344,16,FALSE)-D182</f>
        <v>266.51574575987291</v>
      </c>
      <c r="L182" s="38">
        <f>VLOOKUP($B182,'Old LS-Reports'!$A$4:$V$344,19,FALSE)-D182</f>
        <v>267.0216775598729</v>
      </c>
      <c r="M182" s="38">
        <f t="shared" si="8"/>
        <v>3.6409505999999965</v>
      </c>
      <c r="N182" s="38">
        <f>VLOOKUP($B182,'Old LS-Reports'!$A$4:$V$344,8,FALSE)</f>
        <v>-10.443462500000001</v>
      </c>
      <c r="P182" s="41"/>
    </row>
    <row r="183" spans="1:16" x14ac:dyDescent="0.25">
      <c r="A183" s="39">
        <v>285740</v>
      </c>
      <c r="B183" s="39">
        <v>94742.926000000007</v>
      </c>
      <c r="C183" s="40">
        <f>VLOOKUP($B183,'Correlation sheet'!$C$4:$M$373,6,FALSE)</f>
        <v>1175147.5449100079</v>
      </c>
      <c r="D183" s="16">
        <f>VLOOKUP($B183,'Correlation sheet'!$C$4:$N$373,11,FALSE)</f>
        <v>9.5021439228162308E-2</v>
      </c>
      <c r="E183" s="38">
        <f>VLOOKUP($B183,'Old LS-Reports'!$A$4:$V$344,5,FALSE)-D183</f>
        <v>269.57770906077184</v>
      </c>
      <c r="F183" s="16">
        <f>VLOOKUP($B183,'Correlation sheet'!$C$4:$M$373,10,FALSE)</f>
        <v>271.31542436077183</v>
      </c>
      <c r="G183" s="38">
        <f t="shared" si="6"/>
        <v>1.7377152999999907</v>
      </c>
      <c r="H183" s="38">
        <f>VLOOKUP($B183,'Old LS-Reports'!$A$4:$V$344,6,FALSE)-D183</f>
        <v>268.88970906077185</v>
      </c>
      <c r="I183" s="16">
        <f>VLOOKUP($B183,'Correlation sheet'!$C$4:$M$373,9,FALSE)</f>
        <v>270.60242436077181</v>
      </c>
      <c r="J183" s="38">
        <f t="shared" si="7"/>
        <v>1.7127152999999566</v>
      </c>
      <c r="K183" s="38">
        <f>VLOOKUP($B183,'Old LS-Reports'!$A$4:$V$344,16,FALSE)-D183</f>
        <v>266.32283206077182</v>
      </c>
      <c r="L183" s="38">
        <f>VLOOKUP($B183,'Old LS-Reports'!$A$4:$V$344,19,FALSE)-D183</f>
        <v>266.69885586077186</v>
      </c>
      <c r="M183" s="38">
        <f t="shared" si="8"/>
        <v>3.9035684999999489</v>
      </c>
      <c r="N183" s="38">
        <f>VLOOKUP($B183,'Old LS-Reports'!$A$4:$V$344,8,FALSE)</f>
        <v>-10.495427400000001</v>
      </c>
      <c r="P183" s="41"/>
    </row>
    <row r="184" spans="1:16" x14ac:dyDescent="0.25">
      <c r="A184" s="39">
        <v>285760</v>
      </c>
      <c r="B184" s="39">
        <v>94762.926999999996</v>
      </c>
      <c r="C184" s="40">
        <f>VLOOKUP($B184,'Correlation sheet'!$C$4:$M$373,6,FALSE)</f>
        <v>1175167.545910011</v>
      </c>
      <c r="D184" s="16">
        <f>VLOOKUP($B184,'Correlation sheet'!$C$4:$N$373,11,FALSE)</f>
        <v>9.6086900601392244E-2</v>
      </c>
      <c r="E184" s="38">
        <f>VLOOKUP($B184,'Old LS-Reports'!$A$4:$V$344,5,FALSE)-D184</f>
        <v>269.46242239939863</v>
      </c>
      <c r="F184" s="16">
        <f>VLOOKUP($B184,'Correlation sheet'!$C$4:$M$373,10,FALSE)</f>
        <v>271.2552325993986</v>
      </c>
      <c r="G184" s="38">
        <f t="shared" si="6"/>
        <v>1.7928101999999626</v>
      </c>
      <c r="H184" s="38">
        <f>VLOOKUP($B184,'Old LS-Reports'!$A$4:$V$344,6,FALSE)-D184</f>
        <v>268.77442239939865</v>
      </c>
      <c r="I184" s="16">
        <f>VLOOKUP($B184,'Correlation sheet'!$C$4:$M$373,9,FALSE)</f>
        <v>270.54223259939857</v>
      </c>
      <c r="J184" s="38">
        <f t="shared" si="7"/>
        <v>1.7678101999999285</v>
      </c>
      <c r="K184" s="38">
        <f>VLOOKUP($B184,'Old LS-Reports'!$A$4:$V$344,16,FALSE)-D184</f>
        <v>266.44995799939863</v>
      </c>
      <c r="L184" s="38">
        <f>VLOOKUP($B184,'Old LS-Reports'!$A$4:$V$344,19,FALSE)-D184</f>
        <v>266.39755119939861</v>
      </c>
      <c r="M184" s="38">
        <f t="shared" si="8"/>
        <v>4.1446813999999677</v>
      </c>
      <c r="N184" s="38">
        <f>VLOOKUP($B184,'Old LS-Reports'!$A$4:$V$344,8,FALSE)</f>
        <v>-10.555439700000001</v>
      </c>
      <c r="P184" s="41"/>
    </row>
    <row r="185" spans="1:16" x14ac:dyDescent="0.25">
      <c r="A185" s="39">
        <v>285780</v>
      </c>
      <c r="B185" s="39">
        <v>94782.917000000001</v>
      </c>
      <c r="C185" s="40">
        <f>VLOOKUP($B185,'Correlation sheet'!$C$4:$M$373,6,FALSE)</f>
        <v>1175187.5359100115</v>
      </c>
      <c r="D185" s="16">
        <f>VLOOKUP($B185,'Correlation sheet'!$C$4:$N$373,11,FALSE)</f>
        <v>9.714905815280872E-2</v>
      </c>
      <c r="E185" s="38">
        <f>VLOOKUP($B185,'Old LS-Reports'!$A$4:$V$344,5,FALSE)-D185</f>
        <v>269.45725464184721</v>
      </c>
      <c r="F185" s="16">
        <f>VLOOKUP($B185,'Correlation sheet'!$C$4:$M$373,10,FALSE)</f>
        <v>271.19507394184717</v>
      </c>
      <c r="G185" s="38">
        <f t="shared" si="6"/>
        <v>1.7378192999999555</v>
      </c>
      <c r="H185" s="38">
        <f>VLOOKUP($B185,'Old LS-Reports'!$A$4:$V$344,6,FALSE)-D185</f>
        <v>268.76925464184723</v>
      </c>
      <c r="I185" s="16">
        <f>VLOOKUP($B185,'Correlation sheet'!$C$4:$M$373,9,FALSE)</f>
        <v>270.48207394184715</v>
      </c>
      <c r="J185" s="38">
        <f t="shared" si="7"/>
        <v>1.7128192999999214</v>
      </c>
      <c r="K185" s="38">
        <f>VLOOKUP($B185,'Old LS-Reports'!$A$4:$V$344,16,FALSE)-D185</f>
        <v>266.77661154184722</v>
      </c>
      <c r="L185" s="38">
        <f>VLOOKUP($B185,'Old LS-Reports'!$A$4:$V$344,19,FALSE)-D185</f>
        <v>266.54259424184721</v>
      </c>
      <c r="M185" s="38">
        <f t="shared" si="8"/>
        <v>3.9394796999999357</v>
      </c>
      <c r="N185" s="38">
        <f>VLOOKUP($B185,'Old LS-Reports'!$A$4:$V$344,8,FALSE)</f>
        <v>-10.6013328</v>
      </c>
      <c r="P185" s="41"/>
    </row>
    <row r="186" spans="1:16" x14ac:dyDescent="0.25">
      <c r="A186" s="39">
        <v>285800</v>
      </c>
      <c r="B186" s="39">
        <v>94802.917000000001</v>
      </c>
      <c r="C186" s="40">
        <f>VLOOKUP($B186,'Correlation sheet'!$C$4:$M$373,6,FALSE)</f>
        <v>1175207.5359100092</v>
      </c>
      <c r="D186" s="16">
        <f>VLOOKUP($B186,'Correlation sheet'!$C$4:$N$373,11,FALSE)</f>
        <v>9.8211610071871291E-2</v>
      </c>
      <c r="E186" s="38">
        <f>VLOOKUP($B186,'Old LS-Reports'!$A$4:$V$344,5,FALSE)-D186</f>
        <v>269.49044528992812</v>
      </c>
      <c r="F186" s="16">
        <f>VLOOKUP($B186,'Correlation sheet'!$C$4:$M$373,10,FALSE)</f>
        <v>271.13488518992813</v>
      </c>
      <c r="G186" s="38">
        <f t="shared" si="6"/>
        <v>1.6444399000000089</v>
      </c>
      <c r="H186" s="38">
        <f>VLOOKUP($B186,'Old LS-Reports'!$A$4:$V$344,6,FALSE)-D186</f>
        <v>268.80244528992813</v>
      </c>
      <c r="I186" s="16">
        <f>VLOOKUP($B186,'Correlation sheet'!$C$4:$M$373,9,FALSE)</f>
        <v>270.4218851899281</v>
      </c>
      <c r="J186" s="38">
        <f t="shared" si="7"/>
        <v>1.6194398999999748</v>
      </c>
      <c r="K186" s="38">
        <f>VLOOKUP($B186,'Old LS-Reports'!$A$4:$V$344,16,FALSE)-D186</f>
        <v>266.8028842899281</v>
      </c>
      <c r="L186" s="38">
        <f>VLOOKUP($B186,'Old LS-Reports'!$A$4:$V$344,19,FALSE)-D186</f>
        <v>266.54545278992811</v>
      </c>
      <c r="M186" s="38">
        <f t="shared" si="8"/>
        <v>3.8764323999999988</v>
      </c>
      <c r="N186" s="38">
        <f>VLOOKUP($B186,'Old LS-Reports'!$A$4:$V$344,8,FALSE)</f>
        <v>-10.642341699999999</v>
      </c>
      <c r="P186" s="41"/>
    </row>
    <row r="187" spans="1:16" x14ac:dyDescent="0.25">
      <c r="A187" s="39">
        <v>285820</v>
      </c>
      <c r="B187" s="39">
        <v>94822.911999999997</v>
      </c>
      <c r="C187" s="40">
        <f>VLOOKUP($B187,'Correlation sheet'!$C$4:$M$373,6,FALSE)</f>
        <v>1175227.5309100081</v>
      </c>
      <c r="D187" s="16">
        <f>VLOOKUP($B187,'Correlation sheet'!$C$4:$N$373,11,FALSE)</f>
        <v>9.9272014806786046E-2</v>
      </c>
      <c r="E187" s="38">
        <f>VLOOKUP($B187,'Old LS-Reports'!$A$4:$V$344,5,FALSE)-D187</f>
        <v>269.49475428519321</v>
      </c>
      <c r="F187" s="16">
        <f>VLOOKUP($B187,'Correlation sheet'!$C$4:$M$373,10,FALSE)</f>
        <v>271.07471148519323</v>
      </c>
      <c r="G187" s="38">
        <f t="shared" si="6"/>
        <v>1.5799572000000239</v>
      </c>
      <c r="H187" s="38">
        <f>VLOOKUP($B187,'Old LS-Reports'!$A$4:$V$344,6,FALSE)-D187</f>
        <v>268.80675428519322</v>
      </c>
      <c r="I187" s="16">
        <f>VLOOKUP($B187,'Correlation sheet'!$C$4:$M$373,9,FALSE)</f>
        <v>270.36171148519321</v>
      </c>
      <c r="J187" s="38">
        <f t="shared" si="7"/>
        <v>1.5549571999999898</v>
      </c>
      <c r="K187" s="38">
        <f>VLOOKUP($B187,'Old LS-Reports'!$A$4:$V$344,16,FALSE)-D187</f>
        <v>266.8732199851932</v>
      </c>
      <c r="L187" s="38">
        <f>VLOOKUP($B187,'Old LS-Reports'!$A$4:$V$344,19,FALSE)-D187</f>
        <v>266.51974818519324</v>
      </c>
      <c r="M187" s="38">
        <f t="shared" si="8"/>
        <v>3.8419632999999749</v>
      </c>
      <c r="N187" s="38">
        <f>VLOOKUP($B187,'Old LS-Reports'!$A$4:$V$344,8,FALSE)</f>
        <v>-10.6759688</v>
      </c>
      <c r="P187" s="41"/>
    </row>
    <row r="188" spans="1:16" x14ac:dyDescent="0.25">
      <c r="A188" s="39">
        <v>285840</v>
      </c>
      <c r="B188" s="39">
        <v>94842.896999999997</v>
      </c>
      <c r="C188" s="40">
        <f>VLOOKUP($B188,'Correlation sheet'!$C$4:$M$373,6,FALSE)</f>
        <v>1175247.5159100101</v>
      </c>
      <c r="D188" s="16">
        <f>VLOOKUP($B188,'Correlation sheet'!$C$4:$N$373,11,FALSE)</f>
        <v>0.10033392517476614</v>
      </c>
      <c r="E188" s="38">
        <f>VLOOKUP($B188,'Old LS-Reports'!$A$4:$V$344,5,FALSE)-D188</f>
        <v>269.48478047482524</v>
      </c>
      <c r="F188" s="16">
        <f>VLOOKUP($B188,'Correlation sheet'!$C$4:$M$373,10,FALSE)</f>
        <v>271.01456787482522</v>
      </c>
      <c r="G188" s="38">
        <f t="shared" si="6"/>
        <v>1.5297873999999752</v>
      </c>
      <c r="H188" s="38">
        <f>VLOOKUP($B188,'Old LS-Reports'!$A$4:$V$344,6,FALSE)-D188</f>
        <v>268.79678047482525</v>
      </c>
      <c r="I188" s="16">
        <f>VLOOKUP($B188,'Correlation sheet'!$C$4:$M$373,9,FALSE)</f>
        <v>270.3015678748252</v>
      </c>
      <c r="J188" s="38">
        <f t="shared" si="7"/>
        <v>1.504787399999941</v>
      </c>
      <c r="K188" s="38">
        <f>VLOOKUP($B188,'Old LS-Reports'!$A$4:$V$344,16,FALSE)-D188</f>
        <v>265.89800747482525</v>
      </c>
      <c r="L188" s="38">
        <f>VLOOKUP($B188,'Old LS-Reports'!$A$4:$V$344,19,FALSE)-D188</f>
        <v>266.18542897482524</v>
      </c>
      <c r="M188" s="38">
        <f t="shared" si="8"/>
        <v>4.1161388999999531</v>
      </c>
      <c r="N188" s="38">
        <f>VLOOKUP($B188,'Old LS-Reports'!$A$4:$V$344,8,FALSE)</f>
        <v>-10.7009273</v>
      </c>
      <c r="P188" s="41"/>
    </row>
    <row r="189" spans="1:16" x14ac:dyDescent="0.25">
      <c r="A189" s="39">
        <v>285860</v>
      </c>
      <c r="B189" s="39">
        <v>94862.896999999997</v>
      </c>
      <c r="C189" s="40">
        <f>VLOOKUP($B189,'Correlation sheet'!$C$4:$M$373,6,FALSE)</f>
        <v>1175267.5159100075</v>
      </c>
      <c r="D189" s="16">
        <f>VLOOKUP($B189,'Correlation sheet'!$C$4:$N$373,11,FALSE)</f>
        <v>0.10139657709316907</v>
      </c>
      <c r="E189" s="38">
        <f>VLOOKUP($B189,'Old LS-Reports'!$A$4:$V$344,5,FALSE)-D189</f>
        <v>269.46994122290681</v>
      </c>
      <c r="F189" s="16">
        <f>VLOOKUP($B189,'Correlation sheet'!$C$4:$M$373,10,FALSE)</f>
        <v>270.95437912290686</v>
      </c>
      <c r="G189" s="38">
        <f t="shared" si="6"/>
        <v>1.4844379000000458</v>
      </c>
      <c r="H189" s="38">
        <f>VLOOKUP($B189,'Old LS-Reports'!$A$4:$V$344,6,FALSE)-D189</f>
        <v>268.78194122290682</v>
      </c>
      <c r="I189" s="16">
        <f>VLOOKUP($B189,'Correlation sheet'!$C$4:$M$373,9,FALSE)</f>
        <v>270.24137912290684</v>
      </c>
      <c r="J189" s="38">
        <f t="shared" si="7"/>
        <v>1.4594379000000117</v>
      </c>
      <c r="K189" s="38">
        <f>VLOOKUP($B189,'Old LS-Reports'!$A$4:$V$344,16,FALSE)-D189</f>
        <v>266.18186402290684</v>
      </c>
      <c r="L189" s="38">
        <f>VLOOKUP($B189,'Old LS-Reports'!$A$4:$V$344,19,FALSE)-D189</f>
        <v>266.40946362290686</v>
      </c>
      <c r="M189" s="38">
        <f t="shared" si="8"/>
        <v>3.8319154999999796</v>
      </c>
      <c r="N189" s="38">
        <f>VLOOKUP($B189,'Old LS-Reports'!$A$4:$V$344,8,FALSE)</f>
        <v>-10.7057658</v>
      </c>
      <c r="P189" s="41"/>
    </row>
    <row r="190" spans="1:16" x14ac:dyDescent="0.25">
      <c r="A190" s="39">
        <v>285880</v>
      </c>
      <c r="B190" s="39">
        <v>94882.907999999996</v>
      </c>
      <c r="C190" s="40">
        <f>VLOOKUP($B190,'Correlation sheet'!$C$4:$M$373,6,FALSE)</f>
        <v>1175287.5269100135</v>
      </c>
      <c r="D190" s="16">
        <f>VLOOKUP($B190,'Correlation sheet'!$C$4:$N$373,11,FALSE)</f>
        <v>0.1024617328507702</v>
      </c>
      <c r="E190" s="38">
        <f>VLOOKUP($B190,'Old LS-Reports'!$A$4:$V$344,5,FALSE)-D190</f>
        <v>269.45921326714921</v>
      </c>
      <c r="F190" s="16">
        <f>VLOOKUP($B190,'Correlation sheet'!$C$4:$M$373,10,FALSE)</f>
        <v>270.89415726714924</v>
      </c>
      <c r="G190" s="38">
        <f t="shared" si="6"/>
        <v>1.43494400000003</v>
      </c>
      <c r="H190" s="38">
        <f>VLOOKUP($B190,'Old LS-Reports'!$A$4:$V$344,6,FALSE)-D190</f>
        <v>268.77121326714922</v>
      </c>
      <c r="I190" s="16">
        <f>VLOOKUP($B190,'Correlation sheet'!$C$4:$M$373,9,FALSE)</f>
        <v>270.18115726714922</v>
      </c>
      <c r="J190" s="38">
        <f t="shared" si="7"/>
        <v>1.4099439999999959</v>
      </c>
      <c r="K190" s="38">
        <f>VLOOKUP($B190,'Old LS-Reports'!$A$4:$V$344,16,FALSE)-D190</f>
        <v>266.8862333671492</v>
      </c>
      <c r="L190" s="38">
        <f>VLOOKUP($B190,'Old LS-Reports'!$A$4:$V$344,19,FALSE)-D190</f>
        <v>266.40768726714924</v>
      </c>
      <c r="M190" s="38">
        <f t="shared" si="8"/>
        <v>3.7734699999999748</v>
      </c>
      <c r="N190" s="38">
        <f>VLOOKUP($B190,'Old LS-Reports'!$A$4:$V$344,8,FALSE)</f>
        <v>-10.719701000000001</v>
      </c>
      <c r="P190" s="41"/>
    </row>
    <row r="191" spans="1:16" x14ac:dyDescent="0.25">
      <c r="A191" s="39">
        <v>285900</v>
      </c>
      <c r="B191" s="39">
        <v>94902.907999999996</v>
      </c>
      <c r="C191" s="40">
        <f>VLOOKUP($B191,'Correlation sheet'!$C$4:$M$373,6,FALSE)</f>
        <v>1175307.5269100107</v>
      </c>
      <c r="D191" s="16">
        <f>VLOOKUP($B191,'Correlation sheet'!$C$4:$N$373,11,FALSE)</f>
        <v>0.10352448476839982</v>
      </c>
      <c r="E191" s="38">
        <f>VLOOKUP($B191,'Old LS-Reports'!$A$4:$V$344,5,FALSE)-D191</f>
        <v>269.45313411523159</v>
      </c>
      <c r="F191" s="16">
        <f>VLOOKUP($B191,'Correlation sheet'!$C$4:$M$373,10,FALSE)</f>
        <v>270.83396851523162</v>
      </c>
      <c r="G191" s="38">
        <f t="shared" si="6"/>
        <v>1.3808344000000261</v>
      </c>
      <c r="H191" s="38">
        <f>VLOOKUP($B191,'Old LS-Reports'!$A$4:$V$344,6,FALSE)-D191</f>
        <v>268.7651341152316</v>
      </c>
      <c r="I191" s="16">
        <f>VLOOKUP($B191,'Correlation sheet'!$C$4:$M$373,9,FALSE)</f>
        <v>270.1209685152316</v>
      </c>
      <c r="J191" s="38">
        <f t="shared" si="7"/>
        <v>1.355834399999992</v>
      </c>
      <c r="K191" s="38">
        <f>VLOOKUP($B191,'Old LS-Reports'!$A$4:$V$344,16,FALSE)-D191</f>
        <v>266.73056511523163</v>
      </c>
      <c r="L191" s="38">
        <f>VLOOKUP($B191,'Old LS-Reports'!$A$4:$V$344,19,FALSE)-D191</f>
        <v>266.35780191523162</v>
      </c>
      <c r="M191" s="38">
        <f t="shared" si="8"/>
        <v>3.7631665999999768</v>
      </c>
      <c r="N191" s="38">
        <f>VLOOKUP($B191,'Old LS-Reports'!$A$4:$V$344,8,FALSE)</f>
        <v>-10.743894300000001</v>
      </c>
      <c r="P191" s="41"/>
    </row>
    <row r="192" spans="1:16" x14ac:dyDescent="0.25">
      <c r="A192" s="39">
        <v>285920</v>
      </c>
      <c r="B192" s="39">
        <v>94922.891000000003</v>
      </c>
      <c r="C192" s="40">
        <f>VLOOKUP($B192,'Correlation sheet'!$C$4:$M$373,6,FALSE)</f>
        <v>1175327.509910007</v>
      </c>
      <c r="D192" s="16">
        <f>VLOOKUP($B192,'Correlation sheet'!$C$4:$N$373,11,FALSE)</f>
        <v>0.10458397624410054</v>
      </c>
      <c r="E192" s="38">
        <f>VLOOKUP($B192,'Old LS-Reports'!$A$4:$V$344,5,FALSE)-D192</f>
        <v>269.41727332375592</v>
      </c>
      <c r="F192" s="16">
        <f>VLOOKUP($B192,'Correlation sheet'!$C$4:$M$373,10,FALSE)</f>
        <v>270.7738309237559</v>
      </c>
      <c r="G192" s="38">
        <f t="shared" si="6"/>
        <v>1.3565575999999737</v>
      </c>
      <c r="H192" s="38">
        <f>VLOOKUP($B192,'Old LS-Reports'!$A$4:$V$344,6,FALSE)-D192</f>
        <v>268.72927332375593</v>
      </c>
      <c r="I192" s="16">
        <f>VLOOKUP($B192,'Correlation sheet'!$C$4:$M$373,9,FALSE)</f>
        <v>270.06083092375587</v>
      </c>
      <c r="J192" s="38">
        <f t="shared" si="7"/>
        <v>1.3315575999999396</v>
      </c>
      <c r="K192" s="38">
        <f>VLOOKUP($B192,'Old LS-Reports'!$A$4:$V$344,16,FALSE)-D192</f>
        <v>267.00162212375591</v>
      </c>
      <c r="L192" s="38">
        <f>VLOOKUP($B192,'Old LS-Reports'!$A$4:$V$344,19,FALSE)-D192</f>
        <v>266.3250145237559</v>
      </c>
      <c r="M192" s="38">
        <f t="shared" si="8"/>
        <v>3.7358163999999761</v>
      </c>
      <c r="N192" s="38">
        <f>VLOOKUP($B192,'Old LS-Reports'!$A$4:$V$344,8,FALSE)</f>
        <v>-10.745069000000001</v>
      </c>
      <c r="P192" s="41"/>
    </row>
    <row r="193" spans="1:16" x14ac:dyDescent="0.25">
      <c r="A193" s="39">
        <v>285940</v>
      </c>
      <c r="B193" s="39">
        <v>94942.891000000003</v>
      </c>
      <c r="C193" s="40">
        <f>VLOOKUP($B193,'Correlation sheet'!$C$4:$M$373,6,FALSE)</f>
        <v>1175347.5099100103</v>
      </c>
      <c r="D193" s="16">
        <f>VLOOKUP($B193,'Correlation sheet'!$C$4:$N$373,11,FALSE)</f>
        <v>0.10564672817997689</v>
      </c>
      <c r="E193" s="38">
        <f>VLOOKUP($B193,'Old LS-Reports'!$A$4:$V$344,5,FALSE)-D193</f>
        <v>269.40341727182005</v>
      </c>
      <c r="F193" s="16">
        <f>VLOOKUP($B193,'Correlation sheet'!$C$4:$M$373,10,FALSE)</f>
        <v>270.71364217182003</v>
      </c>
      <c r="G193" s="38">
        <f t="shared" si="6"/>
        <v>1.3102248999999802</v>
      </c>
      <c r="H193" s="38">
        <f>VLOOKUP($B193,'Old LS-Reports'!$A$4:$V$344,6,FALSE)-D193</f>
        <v>268.71541727182006</v>
      </c>
      <c r="I193" s="16">
        <f>VLOOKUP($B193,'Correlation sheet'!$C$4:$M$373,9,FALSE)</f>
        <v>270.00064217182</v>
      </c>
      <c r="J193" s="38">
        <f t="shared" si="7"/>
        <v>1.285224899999946</v>
      </c>
      <c r="K193" s="38">
        <f>VLOOKUP($B193,'Old LS-Reports'!$A$4:$V$344,16,FALSE)-D193</f>
        <v>265.98189417182004</v>
      </c>
      <c r="L193" s="38">
        <f>VLOOKUP($B193,'Old LS-Reports'!$A$4:$V$344,19,FALSE)-D193</f>
        <v>266.30640727182004</v>
      </c>
      <c r="M193" s="38">
        <f t="shared" si="8"/>
        <v>3.6942348999999695</v>
      </c>
      <c r="N193" s="38">
        <f>VLOOKUP($B193,'Old LS-Reports'!$A$4:$V$344,8,FALSE)</f>
        <v>-10.7390265</v>
      </c>
      <c r="P193" s="41"/>
    </row>
    <row r="194" spans="1:16" x14ac:dyDescent="0.25">
      <c r="A194" s="39">
        <v>285960</v>
      </c>
      <c r="B194" s="39">
        <v>94962.895999999993</v>
      </c>
      <c r="C194" s="40">
        <f>VLOOKUP($B194,'Correlation sheet'!$C$4:$M$373,6,FALSE)</f>
        <v>1175367.514910012</v>
      </c>
      <c r="D194" s="16">
        <f>VLOOKUP($B194,'Correlation sheet'!$C$4:$N$373,11,FALSE)</f>
        <v>0.10671202729923834</v>
      </c>
      <c r="E194" s="38">
        <f>VLOOKUP($B194,'Old LS-Reports'!$A$4:$V$344,5,FALSE)-D194</f>
        <v>269.37821367270078</v>
      </c>
      <c r="F194" s="16">
        <f>VLOOKUP($B194,'Correlation sheet'!$C$4:$M$373,10,FALSE)</f>
        <v>270.65343837270075</v>
      </c>
      <c r="G194" s="38">
        <f t="shared" si="6"/>
        <v>1.275224699999967</v>
      </c>
      <c r="H194" s="38">
        <f>VLOOKUP($B194,'Old LS-Reports'!$A$4:$V$344,6,FALSE)-D194</f>
        <v>268.69021367270079</v>
      </c>
      <c r="I194" s="16">
        <f>VLOOKUP($B194,'Correlation sheet'!$C$4:$M$373,9,FALSE)</f>
        <v>269.94043837270073</v>
      </c>
      <c r="J194" s="38">
        <f t="shared" si="7"/>
        <v>1.2502246999999329</v>
      </c>
      <c r="K194" s="38">
        <f>VLOOKUP($B194,'Old LS-Reports'!$A$4:$V$344,16,FALSE)-D194</f>
        <v>267.03949707270078</v>
      </c>
      <c r="L194" s="38">
        <f>VLOOKUP($B194,'Old LS-Reports'!$A$4:$V$344,19,FALSE)-D194</f>
        <v>266.36872197270077</v>
      </c>
      <c r="M194" s="38">
        <f t="shared" si="8"/>
        <v>3.571716399999957</v>
      </c>
      <c r="N194" s="38">
        <f>VLOOKUP($B194,'Old LS-Reports'!$A$4:$V$344,8,FALSE)</f>
        <v>-10.739554800000001</v>
      </c>
      <c r="P194" s="41"/>
    </row>
    <row r="195" spans="1:16" x14ac:dyDescent="0.25">
      <c r="A195" s="39">
        <v>285980</v>
      </c>
      <c r="B195" s="39">
        <v>94982.902000000002</v>
      </c>
      <c r="C195" s="40">
        <f>VLOOKUP($B195,'Correlation sheet'!$C$4:$M$373,6,FALSE)</f>
        <v>1175387.5209100079</v>
      </c>
      <c r="D195" s="16">
        <f>VLOOKUP($B195,'Correlation sheet'!$C$4:$N$373,11,FALSE)</f>
        <v>0.10777543583839133</v>
      </c>
      <c r="E195" s="38">
        <f>VLOOKUP($B195,'Old LS-Reports'!$A$4:$V$344,5,FALSE)-D195</f>
        <v>269.35106176416161</v>
      </c>
      <c r="F195" s="16">
        <f>VLOOKUP($B195,'Correlation sheet'!$C$4:$M$373,10,FALSE)</f>
        <v>270.59323156416161</v>
      </c>
      <c r="G195" s="38">
        <f t="shared" ref="G195:G258" si="9">F195-E195</f>
        <v>1.2421697999999992</v>
      </c>
      <c r="H195" s="38">
        <f>VLOOKUP($B195,'Old LS-Reports'!$A$4:$V$344,6,FALSE)-D195</f>
        <v>268.66306176416163</v>
      </c>
      <c r="I195" s="16">
        <f>VLOOKUP($B195,'Correlation sheet'!$C$4:$M$373,9,FALSE)</f>
        <v>269.88023156416159</v>
      </c>
      <c r="J195" s="38">
        <f t="shared" ref="J195:J258" si="10">I195-H195</f>
        <v>1.2171697999999651</v>
      </c>
      <c r="K195" s="38">
        <f>VLOOKUP($B195,'Old LS-Reports'!$A$4:$V$344,16,FALSE)-D195</f>
        <v>266.0327506641616</v>
      </c>
      <c r="L195" s="38">
        <f>VLOOKUP($B195,'Old LS-Reports'!$A$4:$V$344,19,FALSE)-D195</f>
        <v>266.38672936416162</v>
      </c>
      <c r="M195" s="38">
        <f t="shared" ref="M195:M258" si="11">I195-L195</f>
        <v>3.4935021999999663</v>
      </c>
      <c r="N195" s="38">
        <f>VLOOKUP($B195,'Old LS-Reports'!$A$4:$V$344,8,FALSE)</f>
        <v>-10.7423904</v>
      </c>
      <c r="P195" s="41"/>
    </row>
    <row r="196" spans="1:16" x14ac:dyDescent="0.25">
      <c r="A196" s="39">
        <v>286000</v>
      </c>
      <c r="B196" s="39">
        <v>95002.902000000002</v>
      </c>
      <c r="C196" s="40">
        <f>VLOOKUP($B196,'Correlation sheet'!$C$4:$M$373,6,FALSE)</f>
        <v>1175407.5209100111</v>
      </c>
      <c r="D196" s="16">
        <f>VLOOKUP($B196,'Correlation sheet'!$C$4:$N$373,11,FALSE)</f>
        <v>0.1088380877742452</v>
      </c>
      <c r="E196" s="38">
        <f>VLOOKUP($B196,'Old LS-Reports'!$A$4:$V$344,5,FALSE)-D196</f>
        <v>269.32665201222574</v>
      </c>
      <c r="F196" s="16">
        <f>VLOOKUP($B196,'Correlation sheet'!$C$4:$M$373,10,FALSE)</f>
        <v>270.53304281222574</v>
      </c>
      <c r="G196" s="38">
        <f t="shared" si="9"/>
        <v>1.2063908000000083</v>
      </c>
      <c r="H196" s="38">
        <f>VLOOKUP($B196,'Old LS-Reports'!$A$4:$V$344,6,FALSE)-D196</f>
        <v>268.63865201222575</v>
      </c>
      <c r="I196" s="16">
        <f>VLOOKUP($B196,'Correlation sheet'!$C$4:$M$373,9,FALSE)</f>
        <v>269.82004281222572</v>
      </c>
      <c r="J196" s="38">
        <f t="shared" si="10"/>
        <v>1.1813907999999742</v>
      </c>
      <c r="K196" s="38">
        <f>VLOOKUP($B196,'Old LS-Reports'!$A$4:$V$344,16,FALSE)-D196</f>
        <v>266.31558501222577</v>
      </c>
      <c r="L196" s="38">
        <f>VLOOKUP($B196,'Old LS-Reports'!$A$4:$V$344,19,FALSE)-D196</f>
        <v>266.61053651222574</v>
      </c>
      <c r="M196" s="38">
        <f t="shared" si="11"/>
        <v>3.2095062999999868</v>
      </c>
      <c r="N196" s="38">
        <f>VLOOKUP($B196,'Old LS-Reports'!$A$4:$V$344,8,FALSE)</f>
        <v>-10.7551459</v>
      </c>
      <c r="P196" s="41"/>
    </row>
    <row r="197" spans="1:16" x14ac:dyDescent="0.25">
      <c r="A197" s="39">
        <v>286000</v>
      </c>
      <c r="B197" s="39">
        <v>95002.902000000002</v>
      </c>
      <c r="C197" s="40">
        <f>VLOOKUP($B197,'Correlation sheet'!$C$4:$M$373,6,FALSE)</f>
        <v>1175407.5209100111</v>
      </c>
      <c r="D197" s="16">
        <f>VLOOKUP($B197,'Correlation sheet'!$C$4:$N$373,11,FALSE)</f>
        <v>0.1088380877742452</v>
      </c>
      <c r="E197" s="38">
        <f>VLOOKUP($B197,'Old LS-Reports'!$A$4:$V$344,5,FALSE)-D197</f>
        <v>269.32665201222574</v>
      </c>
      <c r="F197" s="16">
        <f>VLOOKUP($B197,'Correlation sheet'!$C$4:$M$373,10,FALSE)</f>
        <v>270.53304281222574</v>
      </c>
      <c r="G197" s="38">
        <f t="shared" si="9"/>
        <v>1.2063908000000083</v>
      </c>
      <c r="H197" s="38">
        <f>VLOOKUP($B197,'Old LS-Reports'!$A$4:$V$344,6,FALSE)-D197</f>
        <v>268.63865201222575</v>
      </c>
      <c r="I197" s="16">
        <f>VLOOKUP($B197,'Correlation sheet'!$C$4:$M$373,9,FALSE)</f>
        <v>269.82004281222572</v>
      </c>
      <c r="J197" s="38">
        <f t="shared" si="10"/>
        <v>1.1813907999999742</v>
      </c>
      <c r="K197" s="38">
        <f>VLOOKUP($B197,'Old LS-Reports'!$A$4:$V$344,16,FALSE)-D197</f>
        <v>266.31558501222577</v>
      </c>
      <c r="L197" s="38">
        <f>VLOOKUP($B197,'Old LS-Reports'!$A$4:$V$344,19,FALSE)-D197</f>
        <v>266.61053651222574</v>
      </c>
      <c r="M197" s="38">
        <f t="shared" si="11"/>
        <v>3.2095062999999868</v>
      </c>
      <c r="N197" s="38">
        <f>VLOOKUP($B197,'Old LS-Reports'!$A$4:$V$344,8,FALSE)</f>
        <v>-10.7551459</v>
      </c>
      <c r="P197" s="41"/>
    </row>
    <row r="198" spans="1:16" x14ac:dyDescent="0.25">
      <c r="A198" s="39">
        <v>286020</v>
      </c>
      <c r="B198" s="39">
        <v>95022.899000000005</v>
      </c>
      <c r="C198" s="40">
        <f>VLOOKUP($B198,'Correlation sheet'!$C$4:$M$373,6,FALSE)</f>
        <v>1175427.5179100093</v>
      </c>
      <c r="D198" s="16">
        <f>VLOOKUP($B198,'Correlation sheet'!$C$4:$N$373,11,FALSE)</f>
        <v>0.10989981138180838</v>
      </c>
      <c r="E198" s="38">
        <f>VLOOKUP($B198,'Old LS-Reports'!$A$4:$V$344,5,FALSE)-D198</f>
        <v>269.30246598861817</v>
      </c>
      <c r="F198" s="16">
        <f>VLOOKUP($B198,'Correlation sheet'!$C$4:$M$373,10,FALSE)</f>
        <v>270.47286308861817</v>
      </c>
      <c r="G198" s="38">
        <f t="shared" si="9"/>
        <v>1.1703971000000024</v>
      </c>
      <c r="H198" s="38">
        <f>VLOOKUP($B198,'Old LS-Reports'!$A$4:$V$344,6,FALSE)-D198</f>
        <v>268.61446598861818</v>
      </c>
      <c r="I198" s="16">
        <f>VLOOKUP($B198,'Correlation sheet'!$C$4:$M$373,9,FALSE)</f>
        <v>269.75986308861815</v>
      </c>
      <c r="J198" s="38">
        <f t="shared" si="10"/>
        <v>1.1453970999999683</v>
      </c>
      <c r="K198" s="38">
        <f>VLOOKUP($B198,'Old LS-Reports'!$A$4:$V$344,16,FALSE)-D198</f>
        <v>267.26962208861818</v>
      </c>
      <c r="L198" s="38">
        <f>VLOOKUP($B198,'Old LS-Reports'!$A$4:$V$344,19,FALSE)-D198</f>
        <v>266.47856158861822</v>
      </c>
      <c r="M198" s="38">
        <f t="shared" si="11"/>
        <v>3.2813014999999268</v>
      </c>
      <c r="N198" s="38">
        <f>VLOOKUP($B198,'Old LS-Reports'!$A$4:$V$344,8,FALSE)</f>
        <v>-10.7668476</v>
      </c>
      <c r="P198" s="41"/>
    </row>
    <row r="199" spans="1:16" x14ac:dyDescent="0.25">
      <c r="A199" s="39">
        <v>286040</v>
      </c>
      <c r="B199" s="39">
        <v>95042.899000000005</v>
      </c>
      <c r="C199" s="40">
        <f>VLOOKUP($B199,'Correlation sheet'!$C$4:$M$373,6,FALSE)</f>
        <v>1175447.5179100127</v>
      </c>
      <c r="D199" s="16">
        <f>VLOOKUP($B199,'Correlation sheet'!$C$4:$N$373,11,FALSE)</f>
        <v>0.11096256331836685</v>
      </c>
      <c r="E199" s="38">
        <f>VLOOKUP($B199,'Old LS-Reports'!$A$4:$V$344,5,FALSE)-D199</f>
        <v>269.27912733668165</v>
      </c>
      <c r="F199" s="16">
        <f>VLOOKUP($B199,'Correlation sheet'!$C$4:$M$373,10,FALSE)</f>
        <v>270.41267433668162</v>
      </c>
      <c r="G199" s="38">
        <f t="shared" si="9"/>
        <v>1.1335469999999646</v>
      </c>
      <c r="H199" s="38">
        <f>VLOOKUP($B199,'Old LS-Reports'!$A$4:$V$344,6,FALSE)-D199</f>
        <v>268.59112733668167</v>
      </c>
      <c r="I199" s="16">
        <f>VLOOKUP($B199,'Correlation sheet'!$C$4:$M$373,9,FALSE)</f>
        <v>269.6996743366816</v>
      </c>
      <c r="J199" s="38">
        <f t="shared" si="10"/>
        <v>1.1085469999999304</v>
      </c>
      <c r="K199" s="38">
        <f>VLOOKUP($B199,'Old LS-Reports'!$A$4:$V$344,16,FALSE)-D199</f>
        <v>266.27746103668164</v>
      </c>
      <c r="L199" s="38">
        <f>VLOOKUP($B199,'Old LS-Reports'!$A$4:$V$344,19,FALSE)-D199</f>
        <v>266.34079853668163</v>
      </c>
      <c r="M199" s="38">
        <f t="shared" si="11"/>
        <v>3.3588757999999643</v>
      </c>
      <c r="N199" s="38">
        <f>VLOOKUP($B199,'Old LS-Reports'!$A$4:$V$344,8,FALSE)</f>
        <v>-10.7745449</v>
      </c>
      <c r="P199" s="41"/>
    </row>
    <row r="200" spans="1:16" x14ac:dyDescent="0.25">
      <c r="A200" s="39">
        <v>286060</v>
      </c>
      <c r="B200" s="39">
        <v>95062.899000000005</v>
      </c>
      <c r="C200" s="40">
        <f>VLOOKUP($B200,'Correlation sheet'!$C$4:$M$373,6,FALSE)</f>
        <v>1175467.5179100099</v>
      </c>
      <c r="D200" s="16">
        <f>VLOOKUP($B200,'Correlation sheet'!$C$4:$N$373,11,FALSE)</f>
        <v>0.11202531523599646</v>
      </c>
      <c r="E200" s="38">
        <f>VLOOKUP($B200,'Old LS-Reports'!$A$4:$V$344,5,FALSE)-D200</f>
        <v>269.25578868476401</v>
      </c>
      <c r="F200" s="16">
        <f>VLOOKUP($B200,'Correlation sheet'!$C$4:$M$373,10,FALSE)</f>
        <v>270.352485584764</v>
      </c>
      <c r="G200" s="38">
        <f t="shared" si="9"/>
        <v>1.0966968999999835</v>
      </c>
      <c r="H200" s="38">
        <f>VLOOKUP($B200,'Old LS-Reports'!$A$4:$V$344,6,FALSE)-D200</f>
        <v>268.56778868476403</v>
      </c>
      <c r="I200" s="16">
        <f>VLOOKUP($B200,'Correlation sheet'!$C$4:$M$373,9,FALSE)</f>
        <v>269.63948558476397</v>
      </c>
      <c r="J200" s="38">
        <f t="shared" si="10"/>
        <v>1.0716968999999494</v>
      </c>
      <c r="K200" s="38">
        <f>VLOOKUP($B200,'Old LS-Reports'!$A$4:$V$344,16,FALSE)-D200</f>
        <v>266.19639278476399</v>
      </c>
      <c r="L200" s="38">
        <f>VLOOKUP($B200,'Old LS-Reports'!$A$4:$V$344,19,FALSE)-D200</f>
        <v>266.416682684764</v>
      </c>
      <c r="M200" s="38">
        <f t="shared" si="11"/>
        <v>3.2228028999999765</v>
      </c>
      <c r="N200" s="38">
        <f>VLOOKUP($B200,'Old LS-Reports'!$A$4:$V$344,8,FALSE)</f>
        <v>-10.782242200000001</v>
      </c>
      <c r="P200" s="41"/>
    </row>
    <row r="201" spans="1:16" x14ac:dyDescent="0.25">
      <c r="A201" s="39">
        <v>286080</v>
      </c>
      <c r="B201" s="39">
        <v>95082.892000000007</v>
      </c>
      <c r="C201" s="40">
        <f>VLOOKUP($B201,'Correlation sheet'!$C$4:$M$373,6,FALSE)</f>
        <v>1175487.5109100097</v>
      </c>
      <c r="D201" s="16">
        <f>VLOOKUP($B201,'Correlation sheet'!$C$4:$N$373,11,FALSE)</f>
        <v>0.1130883010982302</v>
      </c>
      <c r="E201" s="38">
        <f>VLOOKUP($B201,'Old LS-Reports'!$A$4:$V$344,5,FALSE)-D201</f>
        <v>269.22818539890176</v>
      </c>
      <c r="F201" s="16">
        <f>VLOOKUP($B201,'Correlation sheet'!$C$4:$M$373,10,FALSE)</f>
        <v>270.29231789890179</v>
      </c>
      <c r="G201" s="38">
        <f t="shared" si="9"/>
        <v>1.0641325000000279</v>
      </c>
      <c r="H201" s="38">
        <f>VLOOKUP($B201,'Old LS-Reports'!$A$4:$V$344,6,FALSE)-D201</f>
        <v>268.54018539890177</v>
      </c>
      <c r="I201" s="16">
        <f>VLOOKUP($B201,'Correlation sheet'!$C$4:$M$373,9,FALSE)</f>
        <v>269.57931789890176</v>
      </c>
      <c r="J201" s="38">
        <f t="shared" si="10"/>
        <v>1.0391324999999938</v>
      </c>
      <c r="K201" s="38">
        <f>VLOOKUP($B201,'Old LS-Reports'!$A$4:$V$344,16,FALSE)-D201</f>
        <v>266.03951179890174</v>
      </c>
      <c r="L201" s="38">
        <f>VLOOKUP($B201,'Old LS-Reports'!$A$4:$V$344,19,FALSE)-D201</f>
        <v>266.90175839890179</v>
      </c>
      <c r="M201" s="38">
        <f t="shared" si="11"/>
        <v>2.6775594999999726</v>
      </c>
      <c r="N201" s="38">
        <f>VLOOKUP($B201,'Old LS-Reports'!$A$4:$V$344,8,FALSE)</f>
        <v>-10.780624100000001</v>
      </c>
      <c r="P201" s="41"/>
    </row>
    <row r="202" spans="1:16" x14ac:dyDescent="0.25">
      <c r="A202" s="39">
        <v>286100</v>
      </c>
      <c r="B202" s="39">
        <v>95102.892000000007</v>
      </c>
      <c r="C202" s="40">
        <f>VLOOKUP($B202,'Correlation sheet'!$C$4:$M$373,6,FALSE)</f>
        <v>1175507.5109100128</v>
      </c>
      <c r="D202" s="16">
        <f>VLOOKUP($B202,'Correlation sheet'!$C$4:$N$373,11,FALSE)</f>
        <v>0.11415105303336759</v>
      </c>
      <c r="E202" s="38">
        <f>VLOOKUP($B202,'Old LS-Reports'!$A$4:$V$344,5,FALSE)-D202</f>
        <v>269.19870294696665</v>
      </c>
      <c r="F202" s="16">
        <f>VLOOKUP($B202,'Correlation sheet'!$C$4:$M$373,10,FALSE)</f>
        <v>270.23212914696666</v>
      </c>
      <c r="G202" s="38">
        <f t="shared" si="9"/>
        <v>1.0334262000000081</v>
      </c>
      <c r="H202" s="38">
        <f>VLOOKUP($B202,'Old LS-Reports'!$A$4:$V$344,6,FALSE)-D202</f>
        <v>268.51070294696666</v>
      </c>
      <c r="I202" s="16">
        <f>VLOOKUP($B202,'Correlation sheet'!$C$4:$M$373,9,FALSE)</f>
        <v>269.51912914696663</v>
      </c>
      <c r="J202" s="38">
        <f t="shared" si="10"/>
        <v>1.008426199999974</v>
      </c>
      <c r="K202" s="38">
        <f>VLOOKUP($B202,'Old LS-Reports'!$A$4:$V$344,16,FALSE)-D202</f>
        <v>266.81572874696661</v>
      </c>
      <c r="L202" s="38">
        <f>VLOOKUP($B202,'Old LS-Reports'!$A$4:$V$344,19,FALSE)-D202</f>
        <v>267.42681114696666</v>
      </c>
      <c r="M202" s="38">
        <f t="shared" si="11"/>
        <v>2.0923179999999775</v>
      </c>
      <c r="N202" s="38">
        <f>VLOOKUP($B202,'Old LS-Reports'!$A$4:$V$344,8,FALSE)</f>
        <v>-10.7749012</v>
      </c>
      <c r="P202" s="41"/>
    </row>
    <row r="203" spans="1:16" x14ac:dyDescent="0.25">
      <c r="A203" s="39">
        <v>286120</v>
      </c>
      <c r="B203" s="39">
        <v>95122.861000000004</v>
      </c>
      <c r="C203" s="40">
        <f>VLOOKUP($B203,'Correlation sheet'!$C$4:$M$373,6,FALSE)</f>
        <v>1175527.4799100084</v>
      </c>
      <c r="D203" s="16">
        <f>VLOOKUP($B203,'Correlation sheet'!$C$4:$N$373,11,FALSE)</f>
        <v>0.1152115123807107</v>
      </c>
      <c r="E203" s="38">
        <f>VLOOKUP($B203,'Old LS-Reports'!$A$4:$V$344,5,FALSE)-D203</f>
        <v>269.16412608761931</v>
      </c>
      <c r="F203" s="16">
        <f>VLOOKUP($B203,'Correlation sheet'!$C$4:$M$373,10,FALSE)</f>
        <v>270.17203368761932</v>
      </c>
      <c r="G203" s="38">
        <f t="shared" si="9"/>
        <v>1.00790760000001</v>
      </c>
      <c r="H203" s="38">
        <f>VLOOKUP($B203,'Old LS-Reports'!$A$4:$V$344,6,FALSE)-D203</f>
        <v>268.47612608761932</v>
      </c>
      <c r="I203" s="16">
        <f>VLOOKUP($B203,'Correlation sheet'!$C$4:$M$373,9,FALSE)</f>
        <v>269.4590336876193</v>
      </c>
      <c r="J203" s="38">
        <f t="shared" si="10"/>
        <v>0.9829075999999759</v>
      </c>
      <c r="K203" s="38">
        <f>VLOOKUP($B203,'Old LS-Reports'!$A$4:$V$344,16,FALSE)-D203</f>
        <v>266.98549128761931</v>
      </c>
      <c r="L203" s="38">
        <f>VLOOKUP($B203,'Old LS-Reports'!$A$4:$V$344,19,FALSE)-D203</f>
        <v>267.78699748761932</v>
      </c>
      <c r="M203" s="38">
        <f t="shared" si="11"/>
        <v>1.6720361999999795</v>
      </c>
      <c r="N203" s="38">
        <f>VLOOKUP($B203,'Old LS-Reports'!$A$4:$V$344,8,FALSE)</f>
        <v>-10.729913700000001</v>
      </c>
      <c r="P203" s="41"/>
    </row>
    <row r="204" spans="1:16" x14ac:dyDescent="0.25">
      <c r="A204" s="39">
        <v>286140</v>
      </c>
      <c r="B204" s="39">
        <v>95142.861000000004</v>
      </c>
      <c r="C204" s="40">
        <f>VLOOKUP($B204,'Correlation sheet'!$C$4:$M$373,6,FALSE)</f>
        <v>1175547.4799100119</v>
      </c>
      <c r="D204" s="16">
        <f>VLOOKUP($B204,'Correlation sheet'!$C$4:$N$373,11,FALSE)</f>
        <v>0.11627386431723608</v>
      </c>
      <c r="E204" s="38">
        <f>VLOOKUP($B204,'Old LS-Reports'!$A$4:$V$344,5,FALSE)-D204</f>
        <v>269.12721713568277</v>
      </c>
      <c r="F204" s="16">
        <f>VLOOKUP($B204,'Correlation sheet'!$C$4:$M$373,10,FALSE)</f>
        <v>270.11184493568277</v>
      </c>
      <c r="G204" s="38">
        <f t="shared" si="9"/>
        <v>0.98462779999999839</v>
      </c>
      <c r="H204" s="38">
        <f>VLOOKUP($B204,'Old LS-Reports'!$A$4:$V$344,6,FALSE)-D204</f>
        <v>268.43921713568278</v>
      </c>
      <c r="I204" s="16">
        <f>VLOOKUP($B204,'Correlation sheet'!$C$4:$M$373,9,FALSE)</f>
        <v>269.39884493568275</v>
      </c>
      <c r="J204" s="38">
        <f t="shared" si="10"/>
        <v>0.95962779999996428</v>
      </c>
      <c r="K204" s="38">
        <f>VLOOKUP($B204,'Old LS-Reports'!$A$4:$V$344,16,FALSE)-D204</f>
        <v>266.47639593568277</v>
      </c>
      <c r="L204" s="38">
        <f>VLOOKUP($B204,'Old LS-Reports'!$A$4:$V$344,19,FALSE)-D204</f>
        <v>267.20106963568276</v>
      </c>
      <c r="M204" s="38">
        <f t="shared" si="11"/>
        <v>2.1977752999999893</v>
      </c>
      <c r="N204" s="38">
        <f>VLOOKUP($B204,'Old LS-Reports'!$A$4:$V$344,8,FALSE)</f>
        <v>-10.6668976</v>
      </c>
      <c r="P204" s="41"/>
    </row>
    <row r="205" spans="1:16" x14ac:dyDescent="0.25">
      <c r="A205" s="39">
        <v>286160</v>
      </c>
      <c r="B205" s="39">
        <v>95162.917000000001</v>
      </c>
      <c r="C205" s="40">
        <f>VLOOKUP($B205,'Correlation sheet'!$C$4:$M$373,6,FALSE)</f>
        <v>1175567.5359100089</v>
      </c>
      <c r="D205" s="16">
        <f>VLOOKUP($B205,'Correlation sheet'!$C$4:$N$373,11,FALSE)</f>
        <v>0.1173380447398813</v>
      </c>
      <c r="E205" s="38">
        <f>VLOOKUP($B205,'Old LS-Reports'!$A$4:$V$344,5,FALSE)-D205</f>
        <v>269.10661445526011</v>
      </c>
      <c r="F205" s="16">
        <f>VLOOKUP($B205,'Correlation sheet'!$C$4:$M$373,10,FALSE)</f>
        <v>270.05148765526013</v>
      </c>
      <c r="G205" s="38">
        <f t="shared" si="9"/>
        <v>0.94487320000001773</v>
      </c>
      <c r="H205" s="38">
        <f>VLOOKUP($B205,'Old LS-Reports'!$A$4:$V$344,6,FALSE)-D205</f>
        <v>268.41861445526013</v>
      </c>
      <c r="I205" s="16">
        <f>VLOOKUP($B205,'Correlation sheet'!$C$4:$M$373,9,FALSE)</f>
        <v>269.33848765526011</v>
      </c>
      <c r="J205" s="38">
        <f t="shared" si="10"/>
        <v>0.91987319999998363</v>
      </c>
      <c r="K205" s="38">
        <f>VLOOKUP($B205,'Old LS-Reports'!$A$4:$V$344,16,FALSE)-D205</f>
        <v>265.61817005526012</v>
      </c>
      <c r="L205" s="38">
        <f>VLOOKUP($B205,'Old LS-Reports'!$A$4:$V$344,19,FALSE)-D205</f>
        <v>266.4191707552601</v>
      </c>
      <c r="M205" s="38">
        <f t="shared" si="11"/>
        <v>2.9193169000000125</v>
      </c>
      <c r="N205" s="38">
        <f>VLOOKUP($B205,'Old LS-Reports'!$A$4:$V$344,8,FALSE)</f>
        <v>-10.6823728</v>
      </c>
      <c r="P205" s="41"/>
    </row>
    <row r="206" spans="1:16" x14ac:dyDescent="0.25">
      <c r="A206" s="39">
        <v>286180</v>
      </c>
      <c r="B206" s="39">
        <v>95182.917000000001</v>
      </c>
      <c r="C206" s="40">
        <f>VLOOKUP($B206,'Correlation sheet'!$C$4:$M$373,6,FALSE)</f>
        <v>1175587.5359100129</v>
      </c>
      <c r="D206" s="16">
        <f>VLOOKUP($B206,'Correlation sheet'!$C$4:$N$373,11,FALSE)</f>
        <v>0.11840059667781588</v>
      </c>
      <c r="E206" s="38">
        <f>VLOOKUP($B206,'Old LS-Reports'!$A$4:$V$344,5,FALSE)-D206</f>
        <v>269.09172500332221</v>
      </c>
      <c r="F206" s="16">
        <f>VLOOKUP($B206,'Correlation sheet'!$C$4:$M$373,10,FALSE)</f>
        <v>269.99129890332216</v>
      </c>
      <c r="G206" s="38">
        <f t="shared" si="9"/>
        <v>0.8995738999999503</v>
      </c>
      <c r="H206" s="38">
        <f>VLOOKUP($B206,'Old LS-Reports'!$A$4:$V$344,6,FALSE)-D206</f>
        <v>268.40372500332222</v>
      </c>
      <c r="I206" s="16">
        <f>VLOOKUP($B206,'Correlation sheet'!$C$4:$M$373,9,FALSE)</f>
        <v>269.27829890332214</v>
      </c>
      <c r="J206" s="38">
        <f t="shared" si="10"/>
        <v>0.87457389999991619</v>
      </c>
      <c r="K206" s="38">
        <f>VLOOKUP($B206,'Old LS-Reports'!$A$4:$V$344,16,FALSE)-D206</f>
        <v>265.25695260332219</v>
      </c>
      <c r="L206" s="38">
        <f>VLOOKUP($B206,'Old LS-Reports'!$A$4:$V$344,19,FALSE)-D206</f>
        <v>266.36593760332221</v>
      </c>
      <c r="M206" s="38">
        <f t="shared" si="11"/>
        <v>2.9123612999999295</v>
      </c>
      <c r="N206" s="38">
        <f>VLOOKUP($B206,'Old LS-Reports'!$A$4:$V$344,8,FALSE)</f>
        <v>-10.725376000000001</v>
      </c>
      <c r="P206" s="41"/>
    </row>
    <row r="207" spans="1:16" x14ac:dyDescent="0.25">
      <c r="A207" s="39">
        <v>286200</v>
      </c>
      <c r="B207" s="39">
        <v>95202.892000000007</v>
      </c>
      <c r="C207" s="40">
        <f>VLOOKUP($B207,'Correlation sheet'!$C$4:$M$373,6,FALSE)</f>
        <v>1175607.5109100116</v>
      </c>
      <c r="D207" s="16">
        <f>VLOOKUP($B207,'Correlation sheet'!$C$4:$N$373,11,FALSE)</f>
        <v>0.11946251266004992</v>
      </c>
      <c r="E207" s="38">
        <f>VLOOKUP($B207,'Old LS-Reports'!$A$4:$V$344,5,FALSE)-D207</f>
        <v>269.07692098733997</v>
      </c>
      <c r="F207" s="16">
        <f>VLOOKUP($B207,'Correlation sheet'!$C$4:$M$373,10,FALSE)</f>
        <v>269.93118538733995</v>
      </c>
      <c r="G207" s="38">
        <f t="shared" si="9"/>
        <v>0.85426439999997683</v>
      </c>
      <c r="H207" s="38">
        <f>VLOOKUP($B207,'Old LS-Reports'!$A$4:$V$344,6,FALSE)-D207</f>
        <v>268.38892098733999</v>
      </c>
      <c r="I207" s="16">
        <f>VLOOKUP($B207,'Correlation sheet'!$C$4:$M$373,9,FALSE)</f>
        <v>269.21818538733993</v>
      </c>
      <c r="J207" s="38">
        <f t="shared" si="10"/>
        <v>0.82926439999994273</v>
      </c>
      <c r="K207" s="38">
        <f>VLOOKUP($B207,'Old LS-Reports'!$A$4:$V$344,16,FALSE)-D207</f>
        <v>265.29489788733997</v>
      </c>
      <c r="L207" s="38">
        <f>VLOOKUP($B207,'Old LS-Reports'!$A$4:$V$344,19,FALSE)-D207</f>
        <v>266.21853938733994</v>
      </c>
      <c r="M207" s="38">
        <f t="shared" si="11"/>
        <v>2.9996459999999843</v>
      </c>
      <c r="N207" s="38">
        <f>VLOOKUP($B207,'Old LS-Reports'!$A$4:$V$344,8,FALSE)</f>
        <v>-10.728862700000001</v>
      </c>
      <c r="P207" s="41"/>
    </row>
    <row r="208" spans="1:16" x14ac:dyDescent="0.25">
      <c r="A208" s="39">
        <v>286220</v>
      </c>
      <c r="B208" s="39">
        <v>95222.892000000007</v>
      </c>
      <c r="C208" s="40">
        <f>VLOOKUP($B208,'Correlation sheet'!$C$4:$M$373,6,FALSE)</f>
        <v>1175627.5109100088</v>
      </c>
      <c r="D208" s="16">
        <f>VLOOKUP($B208,'Correlation sheet'!$C$4:$N$373,11,FALSE)</f>
        <v>0.12052516457765705</v>
      </c>
      <c r="E208" s="38">
        <f>VLOOKUP($B208,'Old LS-Reports'!$A$4:$V$344,5,FALSE)-D208</f>
        <v>269.06213213542236</v>
      </c>
      <c r="F208" s="16">
        <f>VLOOKUP($B208,'Correlation sheet'!$C$4:$M$373,10,FALSE)</f>
        <v>269.87099663542233</v>
      </c>
      <c r="G208" s="38">
        <f t="shared" si="9"/>
        <v>0.80886449999997012</v>
      </c>
      <c r="H208" s="38">
        <f>VLOOKUP($B208,'Old LS-Reports'!$A$4:$V$344,6,FALSE)-D208</f>
        <v>268.37413213542237</v>
      </c>
      <c r="I208" s="16">
        <f>VLOOKUP($B208,'Correlation sheet'!$C$4:$M$373,9,FALSE)</f>
        <v>269.15799663542231</v>
      </c>
      <c r="J208" s="38">
        <f t="shared" si="10"/>
        <v>0.78386449999993602</v>
      </c>
      <c r="K208" s="38">
        <f>VLOOKUP($B208,'Old LS-Reports'!$A$4:$V$344,16,FALSE)-D208</f>
        <v>265.41647473542236</v>
      </c>
      <c r="L208" s="38">
        <f>VLOOKUP($B208,'Old LS-Reports'!$A$4:$V$344,19,FALSE)-D208</f>
        <v>266.29839773542233</v>
      </c>
      <c r="M208" s="38">
        <f t="shared" si="11"/>
        <v>2.8595988999999804</v>
      </c>
      <c r="N208" s="38">
        <f>VLOOKUP($B208,'Old LS-Reports'!$A$4:$V$344,8,FALSE)</f>
        <v>-10.7249731</v>
      </c>
      <c r="P208" s="41"/>
    </row>
    <row r="209" spans="1:16" x14ac:dyDescent="0.25">
      <c r="A209" s="39">
        <v>286240</v>
      </c>
      <c r="B209" s="39">
        <v>95242.902000000002</v>
      </c>
      <c r="C209" s="40">
        <f>VLOOKUP($B209,'Correlation sheet'!$C$4:$M$373,6,FALSE)</f>
        <v>1175647.520910009</v>
      </c>
      <c r="D209" s="16">
        <f>VLOOKUP($B209,'Correlation sheet'!$C$4:$N$373,11,FALSE)</f>
        <v>0.12158941088040365</v>
      </c>
      <c r="E209" s="38">
        <f>VLOOKUP($B209,'Old LS-Reports'!$A$4:$V$344,5,FALSE)-D209</f>
        <v>269.06226938911959</v>
      </c>
      <c r="F209" s="16">
        <f>VLOOKUP($B209,'Correlation sheet'!$C$4:$M$373,10,FALSE)</f>
        <v>269.81077778911958</v>
      </c>
      <c r="G209" s="38">
        <f t="shared" si="9"/>
        <v>0.74850839999999152</v>
      </c>
      <c r="H209" s="38">
        <f>VLOOKUP($B209,'Old LS-Reports'!$A$4:$V$344,6,FALSE)-D209</f>
        <v>268.3742693891196</v>
      </c>
      <c r="I209" s="16">
        <f>VLOOKUP($B209,'Correlation sheet'!$C$4:$M$373,9,FALSE)</f>
        <v>269.09777778911956</v>
      </c>
      <c r="J209" s="38">
        <f t="shared" si="10"/>
        <v>0.72350839999995742</v>
      </c>
      <c r="K209" s="38">
        <f>VLOOKUP($B209,'Old LS-Reports'!$A$4:$V$344,16,FALSE)-D209</f>
        <v>265.66527658911957</v>
      </c>
      <c r="L209" s="38">
        <f>VLOOKUP($B209,'Old LS-Reports'!$A$4:$V$344,19,FALSE)-D209</f>
        <v>266.54786768911958</v>
      </c>
      <c r="M209" s="38">
        <f t="shared" si="11"/>
        <v>2.5499100999999769</v>
      </c>
      <c r="N209" s="38">
        <f>VLOOKUP($B209,'Old LS-Reports'!$A$4:$V$344,8,FALSE)</f>
        <v>-10.736941699999999</v>
      </c>
      <c r="P209" s="41"/>
    </row>
    <row r="210" spans="1:16" x14ac:dyDescent="0.25">
      <c r="A210" s="39">
        <v>286260</v>
      </c>
      <c r="B210" s="39">
        <v>95262.902000000002</v>
      </c>
      <c r="C210" s="40">
        <f>VLOOKUP($B210,'Correlation sheet'!$C$4:$M$373,6,FALSE)</f>
        <v>1175667.5209100123</v>
      </c>
      <c r="D210" s="16">
        <f>VLOOKUP($B210,'Correlation sheet'!$C$4:$N$373,11,FALSE)</f>
        <v>0.12265216281628</v>
      </c>
      <c r="E210" s="38">
        <f>VLOOKUP($B210,'Old LS-Reports'!$A$4:$V$344,5,FALSE)-D210</f>
        <v>269.06443043718372</v>
      </c>
      <c r="F210" s="16">
        <f>VLOOKUP($B210,'Correlation sheet'!$C$4:$M$373,10,FALSE)</f>
        <v>269.75058903718372</v>
      </c>
      <c r="G210" s="38">
        <f t="shared" si="9"/>
        <v>0.68615859999999884</v>
      </c>
      <c r="H210" s="38">
        <f>VLOOKUP($B210,'Old LS-Reports'!$A$4:$V$344,6,FALSE)-D210</f>
        <v>268.37643043718373</v>
      </c>
      <c r="I210" s="16">
        <f>VLOOKUP($B210,'Correlation sheet'!$C$4:$M$373,9,FALSE)</f>
        <v>269.03758903718369</v>
      </c>
      <c r="J210" s="38">
        <f t="shared" si="10"/>
        <v>0.66115859999996474</v>
      </c>
      <c r="K210" s="38">
        <f>VLOOKUP($B210,'Old LS-Reports'!$A$4:$V$344,16,FALSE)-D210</f>
        <v>265.80091613718372</v>
      </c>
      <c r="L210" s="38">
        <f>VLOOKUP($B210,'Old LS-Reports'!$A$4:$V$344,19,FALSE)-D210</f>
        <v>266.59757673718372</v>
      </c>
      <c r="M210" s="38">
        <f t="shared" si="11"/>
        <v>2.440012299999978</v>
      </c>
      <c r="N210" s="38">
        <f>VLOOKUP($B210,'Old LS-Reports'!$A$4:$V$344,8,FALSE)</f>
        <v>-10.751055900000001</v>
      </c>
      <c r="P210" s="41"/>
    </row>
    <row r="211" spans="1:16" x14ac:dyDescent="0.25">
      <c r="A211" s="39">
        <v>286280</v>
      </c>
      <c r="B211" s="39">
        <v>95282.817999999999</v>
      </c>
      <c r="C211" s="40">
        <f>VLOOKUP($B211,'Correlation sheet'!$C$4:$M$373,6,FALSE)</f>
        <v>1175687.4369100127</v>
      </c>
      <c r="D211" s="16">
        <f>VLOOKUP($B211,'Correlation sheet'!$C$4:$N$373,11,FALSE)</f>
        <v>0.12370992198555086</v>
      </c>
      <c r="E211" s="38">
        <f>VLOOKUP($B211,'Old LS-Reports'!$A$4:$V$344,5,FALSE)-D211</f>
        <v>269.06964567801447</v>
      </c>
      <c r="F211" s="16">
        <f>VLOOKUP($B211,'Correlation sheet'!$C$4:$M$373,10,FALSE)</f>
        <v>269.69065307801446</v>
      </c>
      <c r="G211" s="38">
        <f t="shared" si="9"/>
        <v>0.62100739999999632</v>
      </c>
      <c r="H211" s="38">
        <f>VLOOKUP($B211,'Old LS-Reports'!$A$4:$V$344,6,FALSE)-D211</f>
        <v>268.38164567801448</v>
      </c>
      <c r="I211" s="16">
        <f>VLOOKUP($B211,'Correlation sheet'!$C$4:$M$373,9,FALSE)</f>
        <v>268.97765307801444</v>
      </c>
      <c r="J211" s="38">
        <f t="shared" si="10"/>
        <v>0.59600739999996222</v>
      </c>
      <c r="K211" s="38">
        <f>VLOOKUP($B211,'Old LS-Reports'!$A$4:$V$344,16,FALSE)-D211</f>
        <v>265.69277447801443</v>
      </c>
      <c r="L211" s="38">
        <f>VLOOKUP($B211,'Old LS-Reports'!$A$4:$V$344,19,FALSE)-D211</f>
        <v>266.68516837801445</v>
      </c>
      <c r="M211" s="38">
        <f t="shared" si="11"/>
        <v>2.2924846999999886</v>
      </c>
      <c r="N211" s="38">
        <f>VLOOKUP($B211,'Old LS-Reports'!$A$4:$V$344,8,FALSE)</f>
        <v>-10.6534116</v>
      </c>
      <c r="P211" s="41"/>
    </row>
    <row r="212" spans="1:16" x14ac:dyDescent="0.25">
      <c r="A212" s="39">
        <v>286300</v>
      </c>
      <c r="B212" s="39">
        <v>95302.789000000004</v>
      </c>
      <c r="C212" s="40">
        <f>VLOOKUP($B212,'Correlation sheet'!$C$4:$M$373,6,FALSE)</f>
        <v>1175707.4079100082</v>
      </c>
      <c r="D212" s="16">
        <f>VLOOKUP($B212,'Correlation sheet'!$C$4:$N$373,11,FALSE)</f>
        <v>0.12477130020766936</v>
      </c>
      <c r="E212" s="38">
        <f>VLOOKUP($B212,'Old LS-Reports'!$A$4:$V$344,5,FALSE)-D212</f>
        <v>269.06503909979233</v>
      </c>
      <c r="F212" s="16">
        <f>VLOOKUP($B212,'Correlation sheet'!$C$4:$M$373,10,FALSE)</f>
        <v>269.63055159979234</v>
      </c>
      <c r="G212" s="38">
        <f t="shared" si="9"/>
        <v>0.56551250000001119</v>
      </c>
      <c r="H212" s="38">
        <f>VLOOKUP($B212,'Old LS-Reports'!$A$4:$V$344,6,FALSE)-D212</f>
        <v>268.37703909979234</v>
      </c>
      <c r="I212" s="16">
        <f>VLOOKUP($B212,'Correlation sheet'!$C$4:$M$373,9,FALSE)</f>
        <v>268.91755159979232</v>
      </c>
      <c r="J212" s="38">
        <f t="shared" si="10"/>
        <v>0.54051249999997708</v>
      </c>
      <c r="K212" s="38">
        <f>VLOOKUP($B212,'Old LS-Reports'!$A$4:$V$344,16,FALSE)-D212</f>
        <v>265.67076519979236</v>
      </c>
      <c r="L212" s="38">
        <f>VLOOKUP($B212,'Old LS-Reports'!$A$4:$V$344,19,FALSE)-D212</f>
        <v>266.77298919979233</v>
      </c>
      <c r="M212" s="38">
        <f t="shared" si="11"/>
        <v>2.1445623999999839</v>
      </c>
      <c r="N212" s="38">
        <f>VLOOKUP($B212,'Old LS-Reports'!$A$4:$V$344,8,FALSE)</f>
        <v>-10.474706400000001</v>
      </c>
      <c r="P212" s="41"/>
    </row>
    <row r="213" spans="1:16" x14ac:dyDescent="0.25">
      <c r="A213" s="39">
        <v>286320</v>
      </c>
      <c r="B213" s="39">
        <v>95322.703999999998</v>
      </c>
      <c r="C213" s="40">
        <f>VLOOKUP($B213,'Correlation sheet'!$C$4:$M$373,6,FALSE)</f>
        <v>1175727.322905899</v>
      </c>
      <c r="D213" s="16">
        <f>VLOOKUP($B213,'Correlation sheet'!$C$4:$N$373,11,FALSE)</f>
        <v>0.12583053757168727</v>
      </c>
      <c r="E213" s="38">
        <f>VLOOKUP($B213,'Old LS-Reports'!$A$4:$V$344,5,FALSE)-D213</f>
        <v>269.03779976242834</v>
      </c>
      <c r="F213" s="16">
        <f>VLOOKUP($B213,'Correlation sheet'!$C$4:$M$373,10,FALSE)</f>
        <v>269.57061866242833</v>
      </c>
      <c r="G213" s="38">
        <f t="shared" si="9"/>
        <v>0.53281889999999521</v>
      </c>
      <c r="H213" s="38">
        <f>VLOOKUP($B213,'Old LS-Reports'!$A$4:$V$344,6,FALSE)-D213</f>
        <v>268.34979976242835</v>
      </c>
      <c r="I213" s="16">
        <f>VLOOKUP($B213,'Correlation sheet'!$C$4:$M$373,9,FALSE)</f>
        <v>268.85761866242831</v>
      </c>
      <c r="J213" s="38">
        <f t="shared" si="10"/>
        <v>0.5078188999999611</v>
      </c>
      <c r="K213" s="38">
        <f>VLOOKUP($B213,'Old LS-Reports'!$A$4:$V$344,16,FALSE)-D213</f>
        <v>265.83603306242833</v>
      </c>
      <c r="L213" s="38">
        <f>VLOOKUP($B213,'Old LS-Reports'!$A$4:$V$344,19,FALSE)-D213</f>
        <v>266.89226806242829</v>
      </c>
      <c r="M213" s="38">
        <f t="shared" si="11"/>
        <v>1.965350600000022</v>
      </c>
      <c r="N213" s="38">
        <f>VLOOKUP($B213,'Old LS-Reports'!$A$4:$V$344,8,FALSE)</f>
        <v>-10.2104696</v>
      </c>
      <c r="P213" s="41"/>
    </row>
    <row r="214" spans="1:16" x14ac:dyDescent="0.25">
      <c r="A214" s="39">
        <v>286340</v>
      </c>
      <c r="B214" s="39">
        <v>95342.668000000005</v>
      </c>
      <c r="C214" s="40">
        <f>VLOOKUP($B214,'Correlation sheet'!$C$4:$M$373,6,FALSE)</f>
        <v>1175747.2868805234</v>
      </c>
      <c r="D214" s="16">
        <f>VLOOKUP($B214,'Correlation sheet'!$C$4:$N$373,11,FALSE)</f>
        <v>0.1268912733780212</v>
      </c>
      <c r="E214" s="38">
        <f>VLOOKUP($B214,'Old LS-Reports'!$A$4:$V$344,5,FALSE)-D214</f>
        <v>268.98457582662201</v>
      </c>
      <c r="F214" s="16">
        <f>VLOOKUP($B214,'Correlation sheet'!$C$4:$M$373,10,FALSE)</f>
        <v>269.510538326622</v>
      </c>
      <c r="G214" s="38">
        <f t="shared" si="9"/>
        <v>0.52596249999999145</v>
      </c>
      <c r="H214" s="38">
        <f>VLOOKUP($B214,'Old LS-Reports'!$A$4:$V$344,6,FALSE)-D214</f>
        <v>268.29657582662202</v>
      </c>
      <c r="I214" s="16">
        <f>VLOOKUP($B214,'Correlation sheet'!$C$4:$M$373,9,FALSE)</f>
        <v>268.79753832662198</v>
      </c>
      <c r="J214" s="38">
        <f t="shared" si="10"/>
        <v>0.50096249999995734</v>
      </c>
      <c r="K214" s="38">
        <f>VLOOKUP($B214,'Old LS-Reports'!$A$4:$V$344,16,FALSE)-D214</f>
        <v>265.82556912662199</v>
      </c>
      <c r="L214" s="38">
        <f>VLOOKUP($B214,'Old LS-Reports'!$A$4:$V$344,19,FALSE)-D214</f>
        <v>266.80022262662197</v>
      </c>
      <c r="M214" s="38">
        <f t="shared" si="11"/>
        <v>1.9973157000000015</v>
      </c>
      <c r="N214" s="38">
        <f>VLOOKUP($B214,'Old LS-Reports'!$A$4:$V$344,8,FALSE)</f>
        <v>-9.9056002000000003</v>
      </c>
      <c r="P214" s="41"/>
    </row>
    <row r="215" spans="1:16" x14ac:dyDescent="0.25">
      <c r="A215" s="39">
        <v>286360</v>
      </c>
      <c r="B215" s="39">
        <v>95362.591</v>
      </c>
      <c r="C215" s="40">
        <f>VLOOKUP($B215,'Correlation sheet'!$C$4:$M$373,6,FALSE)</f>
        <v>1175767.2098162759</v>
      </c>
      <c r="D215" s="16">
        <f>VLOOKUP($B215,'Correlation sheet'!$C$4:$N$373,11,FALSE)</f>
        <v>0.12794720526005676</v>
      </c>
      <c r="E215" s="38">
        <f>VLOOKUP($B215,'Old LS-Reports'!$A$4:$V$344,5,FALSE)-D215</f>
        <v>268.93653509473995</v>
      </c>
      <c r="F215" s="16">
        <f>VLOOKUP($B215,'Correlation sheet'!$C$4:$M$373,10,FALSE)</f>
        <v>269.45058149473994</v>
      </c>
      <c r="G215" s="38">
        <f t="shared" si="9"/>
        <v>0.51404639999998381</v>
      </c>
      <c r="H215" s="38">
        <f>VLOOKUP($B215,'Old LS-Reports'!$A$4:$V$344,6,FALSE)-D215</f>
        <v>268.24853509473996</v>
      </c>
      <c r="I215" s="16">
        <f>VLOOKUP($B215,'Correlation sheet'!$C$4:$M$373,9,FALSE)</f>
        <v>268.73758149473991</v>
      </c>
      <c r="J215" s="38">
        <f t="shared" si="10"/>
        <v>0.4890463999999497</v>
      </c>
      <c r="K215" s="38">
        <f>VLOOKUP($B215,'Old LS-Reports'!$A$4:$V$344,16,FALSE)-D215</f>
        <v>265.67061189473992</v>
      </c>
      <c r="L215" s="38">
        <f>VLOOKUP($B215,'Old LS-Reports'!$A$4:$V$344,19,FALSE)-D215</f>
        <v>266.32768169473997</v>
      </c>
      <c r="M215" s="38">
        <f t="shared" si="11"/>
        <v>2.4098997999999483</v>
      </c>
      <c r="N215" s="38">
        <f>VLOOKUP($B215,'Old LS-Reports'!$A$4:$V$344,8,FALSE)</f>
        <v>-9.6386587000000006</v>
      </c>
      <c r="P215" s="41"/>
    </row>
    <row r="216" spans="1:16" x14ac:dyDescent="0.25">
      <c r="A216" s="39">
        <v>286380</v>
      </c>
      <c r="B216" s="39">
        <v>95382.570999999996</v>
      </c>
      <c r="C216" s="40">
        <f>VLOOKUP($B216,'Correlation sheet'!$C$4:$M$373,6,FALSE)</f>
        <v>1175787.1897331898</v>
      </c>
      <c r="D216" s="16">
        <f>VLOOKUP($B216,'Correlation sheet'!$C$4:$N$373,11,FALSE)</f>
        <v>0.12901071839172573</v>
      </c>
      <c r="E216" s="38">
        <f>VLOOKUP($B216,'Old LS-Reports'!$A$4:$V$344,5,FALSE)-D216</f>
        <v>268.91485458160827</v>
      </c>
      <c r="F216" s="16">
        <f>VLOOKUP($B216,'Correlation sheet'!$C$4:$M$373,10,FALSE)</f>
        <v>269.39045318160828</v>
      </c>
      <c r="G216" s="38">
        <f t="shared" si="9"/>
        <v>0.47559860000001208</v>
      </c>
      <c r="H216" s="38">
        <f>VLOOKUP($B216,'Old LS-Reports'!$A$4:$V$344,6,FALSE)-D216</f>
        <v>268.22685458160828</v>
      </c>
      <c r="I216" s="16">
        <f>VLOOKUP($B216,'Correlation sheet'!$C$4:$M$373,9,FALSE)</f>
        <v>268.67745318160826</v>
      </c>
      <c r="J216" s="38">
        <f t="shared" si="10"/>
        <v>0.45059859999997798</v>
      </c>
      <c r="K216" s="38">
        <f>VLOOKUP($B216,'Old LS-Reports'!$A$4:$V$344,16,FALSE)-D216</f>
        <v>265.30937828160825</v>
      </c>
      <c r="L216" s="38">
        <f>VLOOKUP($B216,'Old LS-Reports'!$A$4:$V$344,19,FALSE)-D216</f>
        <v>266.15807658160827</v>
      </c>
      <c r="M216" s="38">
        <f t="shared" si="11"/>
        <v>2.5193765999999869</v>
      </c>
      <c r="N216" s="38">
        <f>VLOOKUP($B216,'Old LS-Reports'!$A$4:$V$344,8,FALSE)</f>
        <v>-9.4612893000000007</v>
      </c>
      <c r="P216" s="41"/>
    </row>
    <row r="217" spans="1:16" x14ac:dyDescent="0.25">
      <c r="A217" s="39">
        <v>286400</v>
      </c>
      <c r="B217" s="39">
        <v>95402.570999999996</v>
      </c>
      <c r="C217" s="40">
        <f>VLOOKUP($B217,'Correlation sheet'!$C$4:$M$373,6,FALSE)</f>
        <v>1175807.1896498571</v>
      </c>
      <c r="D217" s="16">
        <f>VLOOKUP($B217,'Correlation sheet'!$C$4:$N$373,11,FALSE)</f>
        <v>0.13007291953334743</v>
      </c>
      <c r="E217" s="38">
        <f>VLOOKUP($B217,'Old LS-Reports'!$A$4:$V$344,5,FALSE)-D217</f>
        <v>268.88149678046665</v>
      </c>
      <c r="F217" s="16">
        <f>VLOOKUP($B217,'Correlation sheet'!$C$4:$M$373,10,FALSE)</f>
        <v>269.33026468046666</v>
      </c>
      <c r="G217" s="38">
        <f t="shared" si="9"/>
        <v>0.4487679000000071</v>
      </c>
      <c r="H217" s="38">
        <f>VLOOKUP($B217,'Old LS-Reports'!$A$4:$V$344,6,FALSE)-D217</f>
        <v>268.19349678046666</v>
      </c>
      <c r="I217" s="16">
        <f>VLOOKUP($B217,'Correlation sheet'!$C$4:$M$373,9,FALSE)</f>
        <v>268.61726468046663</v>
      </c>
      <c r="J217" s="38">
        <f t="shared" si="10"/>
        <v>0.423767899999973</v>
      </c>
      <c r="K217" s="38">
        <f>VLOOKUP($B217,'Old LS-Reports'!$A$4:$V$344,16,FALSE)-D217</f>
        <v>265.17090498046667</v>
      </c>
      <c r="L217" s="38">
        <f>VLOOKUP($B217,'Old LS-Reports'!$A$4:$V$344,19,FALSE)-D217</f>
        <v>266.00056068046666</v>
      </c>
      <c r="M217" s="38">
        <f t="shared" si="11"/>
        <v>2.6167039999999702</v>
      </c>
      <c r="N217" s="38">
        <f>VLOOKUP($B217,'Old LS-Reports'!$A$4:$V$344,8,FALSE)</f>
        <v>-9.4424893999999995</v>
      </c>
      <c r="P217" s="41"/>
    </row>
    <row r="218" spans="1:16" x14ac:dyDescent="0.25">
      <c r="A218" s="39">
        <v>286420</v>
      </c>
      <c r="B218" s="39">
        <v>95422.464000000007</v>
      </c>
      <c r="C218" s="40">
        <f>VLOOKUP($B218,'Correlation sheet'!$C$4:$M$373,6,FALSE)</f>
        <v>1175827.0825678564</v>
      </c>
      <c r="D218" s="16">
        <f>VLOOKUP($B218,'Correlation sheet'!$C$4:$N$373,11,FALSE)</f>
        <v>0.13112721486061218</v>
      </c>
      <c r="E218" s="38">
        <f>VLOOKUP($B218,'Old LS-Reports'!$A$4:$V$344,5,FALSE)-D218</f>
        <v>268.8689309851394</v>
      </c>
      <c r="F218" s="16">
        <f>VLOOKUP($B218,'Correlation sheet'!$C$4:$M$373,10,FALSE)</f>
        <v>269.27039818513941</v>
      </c>
      <c r="G218" s="38">
        <f t="shared" si="9"/>
        <v>0.40146720000001324</v>
      </c>
      <c r="H218" s="38">
        <f>VLOOKUP($B218,'Old LS-Reports'!$A$4:$V$344,6,FALSE)-D218</f>
        <v>268.18093098513941</v>
      </c>
      <c r="I218" s="16">
        <f>VLOOKUP($B218,'Correlation sheet'!$C$4:$M$373,9,FALSE)</f>
        <v>268.55739818513939</v>
      </c>
      <c r="J218" s="38">
        <f t="shared" si="10"/>
        <v>0.37646719999997913</v>
      </c>
      <c r="K218" s="38">
        <f>VLOOKUP($B218,'Old LS-Reports'!$A$4:$V$344,16,FALSE)-D218</f>
        <v>265.4687225851394</v>
      </c>
      <c r="L218" s="38">
        <f>VLOOKUP($B218,'Old LS-Reports'!$A$4:$V$344,19,FALSE)-D218</f>
        <v>266.3204933851394</v>
      </c>
      <c r="M218" s="38">
        <f t="shared" si="11"/>
        <v>2.2369047999999907</v>
      </c>
      <c r="N218" s="38">
        <f>VLOOKUP($B218,'Old LS-Reports'!$A$4:$V$344,8,FALSE)</f>
        <v>-9.4228544999999997</v>
      </c>
      <c r="P218" s="41"/>
    </row>
    <row r="219" spans="1:16" x14ac:dyDescent="0.25">
      <c r="A219" s="39">
        <v>286440</v>
      </c>
      <c r="B219" s="39">
        <v>95442.391000000003</v>
      </c>
      <c r="C219" s="40">
        <f>VLOOKUP($B219,'Correlation sheet'!$C$4:$M$373,6,FALSE)</f>
        <v>1175847.0095045189</v>
      </c>
      <c r="D219" s="16">
        <f>VLOOKUP($B219,'Correlation sheet'!$C$4:$N$373,11,FALSE)</f>
        <v>0.13218698723193256</v>
      </c>
      <c r="E219" s="38">
        <f>VLOOKUP($B219,'Old LS-Reports'!$A$4:$V$344,5,FALSE)-D219</f>
        <v>268.86838421276809</v>
      </c>
      <c r="F219" s="16">
        <f>VLOOKUP($B219,'Correlation sheet'!$C$4:$M$373,10,FALSE)</f>
        <v>269.2104293127681</v>
      </c>
      <c r="G219" s="38">
        <f t="shared" si="9"/>
        <v>0.3420451000000071</v>
      </c>
      <c r="H219" s="38">
        <f>VLOOKUP($B219,'Old LS-Reports'!$A$4:$V$344,6,FALSE)-D219</f>
        <v>268.1803842127681</v>
      </c>
      <c r="I219" s="16">
        <f>VLOOKUP($B219,'Correlation sheet'!$C$4:$M$373,9,FALSE)</f>
        <v>268.49742931276808</v>
      </c>
      <c r="J219" s="38">
        <f t="shared" si="10"/>
        <v>0.31704509999997299</v>
      </c>
      <c r="K219" s="38">
        <f>VLOOKUP($B219,'Old LS-Reports'!$A$4:$V$344,16,FALSE)-D219</f>
        <v>265.56261131276807</v>
      </c>
      <c r="L219" s="38">
        <f>VLOOKUP($B219,'Old LS-Reports'!$A$4:$V$344,19,FALSE)-D219</f>
        <v>267.18321841276804</v>
      </c>
      <c r="M219" s="38">
        <f t="shared" si="11"/>
        <v>1.3142109000000346</v>
      </c>
      <c r="N219" s="38">
        <f>VLOOKUP($B219,'Old LS-Reports'!$A$4:$V$344,8,FALSE)</f>
        <v>-9.4680230999999999</v>
      </c>
      <c r="P219" s="41"/>
    </row>
    <row r="220" spans="1:16" x14ac:dyDescent="0.25">
      <c r="A220" s="39">
        <v>286460</v>
      </c>
      <c r="B220" s="39">
        <v>95462.317999999999</v>
      </c>
      <c r="C220" s="40">
        <f>VLOOKUP($B220,'Correlation sheet'!$C$4:$M$373,6,FALSE)</f>
        <v>1175866.9364799631</v>
      </c>
      <c r="D220" s="16">
        <f>VLOOKUP($B220,'Correlation sheet'!$C$4:$N$373,11,FALSE)</f>
        <v>0.13324567631423179</v>
      </c>
      <c r="E220" s="38">
        <f>VLOOKUP($B220,'Old LS-Reports'!$A$4:$V$344,5,FALSE)-D220</f>
        <v>268.89457502368577</v>
      </c>
      <c r="F220" s="16">
        <f>VLOOKUP($B220,'Correlation sheet'!$C$4:$M$373,10,FALSE)</f>
        <v>269.15046032368576</v>
      </c>
      <c r="G220" s="38">
        <f t="shared" si="9"/>
        <v>0.25588529999998855</v>
      </c>
      <c r="H220" s="38">
        <f>VLOOKUP($B220,'Old LS-Reports'!$A$4:$V$344,6,FALSE)-D220</f>
        <v>268.20657502368579</v>
      </c>
      <c r="I220" s="16">
        <f>VLOOKUP($B220,'Correlation sheet'!$C$4:$M$373,9,FALSE)</f>
        <v>268.43746032368574</v>
      </c>
      <c r="J220" s="38">
        <f t="shared" si="10"/>
        <v>0.23088529999995444</v>
      </c>
      <c r="K220" s="38">
        <f>VLOOKUP($B220,'Old LS-Reports'!$A$4:$V$344,16,FALSE)-D220</f>
        <v>265.6795856236858</v>
      </c>
      <c r="L220" s="38">
        <f>VLOOKUP($B220,'Old LS-Reports'!$A$4:$V$344,19,FALSE)-D220</f>
        <v>267.19432342368577</v>
      </c>
      <c r="M220" s="38">
        <f t="shared" si="11"/>
        <v>1.2431368999999677</v>
      </c>
      <c r="N220" s="38">
        <f>VLOOKUP($B220,'Old LS-Reports'!$A$4:$V$344,8,FALSE)</f>
        <v>-9.5166617999999996</v>
      </c>
      <c r="P220" s="41"/>
    </row>
    <row r="221" spans="1:16" x14ac:dyDescent="0.25">
      <c r="A221" s="39">
        <v>286480</v>
      </c>
      <c r="B221" s="39">
        <v>95482.245999999999</v>
      </c>
      <c r="C221" s="40">
        <f>VLOOKUP($B221,'Correlation sheet'!$C$4:$M$373,6,FALSE)</f>
        <v>1175886.8644761064</v>
      </c>
      <c r="D221" s="16">
        <f>VLOOKUP($B221,'Correlation sheet'!$C$4:$N$373,11,FALSE)</f>
        <v>0.13430573712668092</v>
      </c>
      <c r="E221" s="38">
        <f>VLOOKUP($B221,'Old LS-Reports'!$A$4:$V$344,5,FALSE)-D221</f>
        <v>268.93131966287331</v>
      </c>
      <c r="F221" s="16">
        <f>VLOOKUP($B221,'Correlation sheet'!$C$4:$M$373,10,FALSE)</f>
        <v>269.09048826287335</v>
      </c>
      <c r="G221" s="38">
        <f t="shared" si="9"/>
        <v>0.15916860000004363</v>
      </c>
      <c r="H221" s="38">
        <f>VLOOKUP($B221,'Old LS-Reports'!$A$4:$V$344,6,FALSE)-D221</f>
        <v>268.24331966287332</v>
      </c>
      <c r="I221" s="16">
        <f>VLOOKUP($B221,'Correlation sheet'!$C$4:$M$373,9,FALSE)</f>
        <v>268.37748826287333</v>
      </c>
      <c r="J221" s="38">
        <f t="shared" si="10"/>
        <v>0.13416860000000952</v>
      </c>
      <c r="K221" s="38">
        <f>VLOOKUP($B221,'Old LS-Reports'!$A$4:$V$344,16,FALSE)-D221</f>
        <v>265.84117606287333</v>
      </c>
      <c r="L221" s="38">
        <f>VLOOKUP($B221,'Old LS-Reports'!$A$4:$V$344,19,FALSE)-D221</f>
        <v>267.18733936287333</v>
      </c>
      <c r="M221" s="38">
        <f t="shared" si="11"/>
        <v>1.190148899999997</v>
      </c>
      <c r="N221" s="38">
        <f>VLOOKUP($B221,'Old LS-Reports'!$A$4:$V$344,8,FALSE)</f>
        <v>-9.5224869000000005</v>
      </c>
      <c r="P221" s="41"/>
    </row>
    <row r="222" spans="1:16" x14ac:dyDescent="0.25">
      <c r="A222" s="39">
        <v>286500</v>
      </c>
      <c r="B222" s="39">
        <v>95502.194000000003</v>
      </c>
      <c r="C222" s="40">
        <f>VLOOKUP($B222,'Correlation sheet'!$C$4:$M$373,6,FALSE)</f>
        <v>1175906.8124761032</v>
      </c>
      <c r="D222" s="16">
        <f>VLOOKUP($B222,'Correlation sheet'!$C$4:$N$373,11,FALSE)</f>
        <v>0.13830839828813168</v>
      </c>
      <c r="E222" s="38">
        <f>VLOOKUP($B222,'Old LS-Reports'!$A$4:$V$344,5,FALSE)-D222</f>
        <v>268.95313350171187</v>
      </c>
      <c r="F222" s="16">
        <f>VLOOKUP($B222,'Correlation sheet'!$C$4:$M$373,10,FALSE)</f>
        <v>269.03045600171185</v>
      </c>
      <c r="G222" s="38">
        <f t="shared" si="9"/>
        <v>7.7322499999979755E-2</v>
      </c>
      <c r="H222" s="38">
        <f>VLOOKUP($B222,'Old LS-Reports'!$A$4:$V$344,6,FALSE)-D222</f>
        <v>268.26513350171189</v>
      </c>
      <c r="I222" s="16">
        <f>VLOOKUP($B222,'Correlation sheet'!$C$4:$M$373,9,FALSE)</f>
        <v>268.31745600171183</v>
      </c>
      <c r="J222" s="38">
        <f t="shared" si="10"/>
        <v>5.2322499999945649E-2</v>
      </c>
      <c r="K222" s="38">
        <f>VLOOKUP($B222,'Old LS-Reports'!$A$4:$V$344,16,FALSE)-D222</f>
        <v>264.98037270171187</v>
      </c>
      <c r="L222" s="38">
        <f>VLOOKUP($B222,'Old LS-Reports'!$A$4:$V$344,19,FALSE)-D222</f>
        <v>266.63322310171185</v>
      </c>
      <c r="M222" s="38">
        <f t="shared" si="11"/>
        <v>1.6842328999999836</v>
      </c>
      <c r="N222" s="38">
        <f>VLOOKUP($B222,'Old LS-Reports'!$A$4:$V$344,8,FALSE)</f>
        <v>-9.4289351999999997</v>
      </c>
      <c r="P222" s="41"/>
    </row>
    <row r="223" spans="1:16" x14ac:dyDescent="0.25">
      <c r="A223" s="39">
        <v>286500</v>
      </c>
      <c r="B223" s="39">
        <v>95502.194000000003</v>
      </c>
      <c r="C223" s="40">
        <f>VLOOKUP($B223,'Correlation sheet'!$C$4:$M$373,6,FALSE)</f>
        <v>1175906.8124761032</v>
      </c>
      <c r="D223" s="16">
        <f>VLOOKUP($B223,'Correlation sheet'!$C$4:$N$373,11,FALSE)</f>
        <v>0.13830839828813168</v>
      </c>
      <c r="E223" s="38">
        <f>VLOOKUP($B223,'Old LS-Reports'!$A$4:$V$344,5,FALSE)-D223</f>
        <v>268.95313350171187</v>
      </c>
      <c r="F223" s="16">
        <f>VLOOKUP($B223,'Correlation sheet'!$C$4:$M$373,10,FALSE)</f>
        <v>269.03045600171185</v>
      </c>
      <c r="G223" s="38">
        <f t="shared" si="9"/>
        <v>7.7322499999979755E-2</v>
      </c>
      <c r="H223" s="38">
        <f>VLOOKUP($B223,'Old LS-Reports'!$A$4:$V$344,6,FALSE)-D223</f>
        <v>268.26513350171189</v>
      </c>
      <c r="I223" s="16">
        <f>VLOOKUP($B223,'Correlation sheet'!$C$4:$M$373,9,FALSE)</f>
        <v>268.31745600171183</v>
      </c>
      <c r="J223" s="38">
        <f t="shared" si="10"/>
        <v>5.2322499999945649E-2</v>
      </c>
      <c r="K223" s="38">
        <f>VLOOKUP($B223,'Old LS-Reports'!$A$4:$V$344,16,FALSE)-D223</f>
        <v>264.98037270171187</v>
      </c>
      <c r="L223" s="38">
        <f>VLOOKUP($B223,'Old LS-Reports'!$A$4:$V$344,19,FALSE)-D223</f>
        <v>266.63322310171185</v>
      </c>
      <c r="M223" s="38">
        <f t="shared" si="11"/>
        <v>1.6842328999999836</v>
      </c>
      <c r="N223" s="38">
        <f>VLOOKUP($B223,'Old LS-Reports'!$A$4:$V$344,8,FALSE)</f>
        <v>-9.4289351999999997</v>
      </c>
      <c r="P223" s="41"/>
    </row>
    <row r="224" spans="1:16" x14ac:dyDescent="0.25">
      <c r="A224" s="39">
        <v>286520</v>
      </c>
      <c r="B224" s="39">
        <v>95522.195000000007</v>
      </c>
      <c r="C224" s="40">
        <f>VLOOKUP($B224,'Correlation sheet'!$C$4:$M$373,6,FALSE)</f>
        <v>1175926.813476108</v>
      </c>
      <c r="D224" s="16">
        <f>VLOOKUP($B224,'Correlation sheet'!$C$4:$N$373,11,FALSE)</f>
        <v>0.20023811853718598</v>
      </c>
      <c r="E224" s="38">
        <f>VLOOKUP($B224,'Old LS-Reports'!$A$4:$V$344,5,FALSE)-D224</f>
        <v>268.9350553814628</v>
      </c>
      <c r="F224" s="16">
        <f>VLOOKUP($B224,'Correlation sheet'!$C$4:$M$373,10,FALSE)</f>
        <v>268.98366418146281</v>
      </c>
      <c r="G224" s="38">
        <f t="shared" si="9"/>
        <v>4.8608800000010888E-2</v>
      </c>
      <c r="H224" s="38">
        <f>VLOOKUP($B224,'Old LS-Reports'!$A$4:$V$344,6,FALSE)-D224</f>
        <v>268.24705538146281</v>
      </c>
      <c r="I224" s="16">
        <f>VLOOKUP($B224,'Correlation sheet'!$C$4:$M$373,9,FALSE)</f>
        <v>268.27066418146279</v>
      </c>
      <c r="J224" s="38">
        <f t="shared" si="10"/>
        <v>2.3608799999976782E-2</v>
      </c>
      <c r="K224" s="38">
        <f>VLOOKUP($B224,'Old LS-Reports'!$A$4:$V$344,16,FALSE)-D224</f>
        <v>265.42815798146279</v>
      </c>
      <c r="L224" s="38">
        <f>VLOOKUP($B224,'Old LS-Reports'!$A$4:$V$344,19,FALSE)-D224</f>
        <v>265.97968278146283</v>
      </c>
      <c r="M224" s="38">
        <f t="shared" si="11"/>
        <v>2.2909813999999642</v>
      </c>
      <c r="N224" s="38">
        <f>VLOOKUP($B224,'Old LS-Reports'!$A$4:$V$344,8,FALSE)</f>
        <v>-9.2383863000000002</v>
      </c>
      <c r="P224" s="41"/>
    </row>
    <row r="225" spans="1:16" x14ac:dyDescent="0.25">
      <c r="A225" s="39">
        <v>286540</v>
      </c>
      <c r="B225" s="39">
        <v>95542.183000000005</v>
      </c>
      <c r="C225" s="40">
        <f>VLOOKUP($B225,'Correlation sheet'!$C$4:$M$373,6,FALSE)</f>
        <v>1175946.8014761074</v>
      </c>
      <c r="D225" s="16">
        <f>VLOOKUP($B225,'Correlation sheet'!$C$4:$N$373,11,FALSE)</f>
        <v>0.1990647700775412</v>
      </c>
      <c r="E225" s="38">
        <f>VLOOKUP($B225,'Old LS-Reports'!$A$4:$V$344,5,FALSE)-D225</f>
        <v>268.97411352992248</v>
      </c>
      <c r="F225" s="16">
        <f>VLOOKUP($B225,'Correlation sheet'!$C$4:$M$373,10,FALSE)</f>
        <v>269.06414412992245</v>
      </c>
      <c r="G225" s="38">
        <f t="shared" si="9"/>
        <v>9.0030599999977312E-2</v>
      </c>
      <c r="H225" s="38">
        <f>VLOOKUP($B225,'Old LS-Reports'!$A$4:$V$344,6,FALSE)-D225</f>
        <v>268.28611352992249</v>
      </c>
      <c r="I225" s="16">
        <f>VLOOKUP($B225,'Correlation sheet'!$C$4:$M$373,9,FALSE)</f>
        <v>268.35114412992243</v>
      </c>
      <c r="J225" s="38">
        <f t="shared" si="10"/>
        <v>6.5030599999943206E-2</v>
      </c>
      <c r="K225" s="38">
        <f>VLOOKUP($B225,'Old LS-Reports'!$A$4:$V$344,16,FALSE)-D225</f>
        <v>265.21938442992246</v>
      </c>
      <c r="L225" s="38">
        <f>VLOOKUP($B225,'Old LS-Reports'!$A$4:$V$344,19,FALSE)-D225</f>
        <v>266.05134312992249</v>
      </c>
      <c r="M225" s="38">
        <f t="shared" si="11"/>
        <v>2.2998009999999454</v>
      </c>
      <c r="N225" s="38">
        <f>VLOOKUP($B225,'Old LS-Reports'!$A$4:$V$344,8,FALSE)</f>
        <v>-9.0201203000000003</v>
      </c>
      <c r="P225" s="41"/>
    </row>
    <row r="226" spans="1:16" x14ac:dyDescent="0.25">
      <c r="A226" s="39">
        <v>286560</v>
      </c>
      <c r="B226" s="39">
        <v>95562.194000000003</v>
      </c>
      <c r="C226" s="40">
        <f>VLOOKUP($B226,'Correlation sheet'!$C$4:$M$373,6,FALSE)</f>
        <v>1175966.8124761067</v>
      </c>
      <c r="D226" s="16">
        <f>VLOOKUP($B226,'Correlation sheet'!$C$4:$N$373,11,FALSE)</f>
        <v>0.19907961411348651</v>
      </c>
      <c r="E226" s="38">
        <f>VLOOKUP($B226,'Old LS-Reports'!$A$4:$V$344,5,FALSE)-D226</f>
        <v>269.00801588588649</v>
      </c>
      <c r="F226" s="16">
        <f>VLOOKUP($B226,'Correlation sheet'!$C$4:$M$373,10,FALSE)</f>
        <v>269.14471668588652</v>
      </c>
      <c r="G226" s="38">
        <f t="shared" si="9"/>
        <v>0.13670080000002827</v>
      </c>
      <c r="H226" s="38">
        <f>VLOOKUP($B226,'Old LS-Reports'!$A$4:$V$344,6,FALSE)-D226</f>
        <v>268.32001588588651</v>
      </c>
      <c r="I226" s="16">
        <f>VLOOKUP($B226,'Correlation sheet'!$C$4:$M$373,9,FALSE)</f>
        <v>268.4317166858865</v>
      </c>
      <c r="J226" s="38">
        <f t="shared" si="10"/>
        <v>0.11170079999999416</v>
      </c>
      <c r="K226" s="38">
        <f>VLOOKUP($B226,'Old LS-Reports'!$A$4:$V$344,16,FALSE)-D226</f>
        <v>265.7541734858865</v>
      </c>
      <c r="L226" s="38">
        <f>VLOOKUP($B226,'Old LS-Reports'!$A$4:$V$344,19,FALSE)-D226</f>
        <v>266.14675788588653</v>
      </c>
      <c r="M226" s="38">
        <f t="shared" si="11"/>
        <v>2.2849587999999699</v>
      </c>
      <c r="N226" s="38">
        <f>VLOOKUP($B226,'Old LS-Reports'!$A$4:$V$344,8,FALSE)</f>
        <v>-8.8156394000000002</v>
      </c>
      <c r="P226" s="41"/>
    </row>
    <row r="227" spans="1:16" x14ac:dyDescent="0.25">
      <c r="A227" s="39">
        <v>286580</v>
      </c>
      <c r="B227" s="39">
        <v>95582.195000000007</v>
      </c>
      <c r="C227" s="40">
        <f>VLOOKUP($B227,'Correlation sheet'!$C$4:$M$373,6,FALSE)</f>
        <v>1175986.8134761057</v>
      </c>
      <c r="D227" s="16">
        <f>VLOOKUP($B227,'Correlation sheet'!$C$4:$N$373,11,FALSE)</f>
        <v>0.19909152228308358</v>
      </c>
      <c r="E227" s="38">
        <f>VLOOKUP($B227,'Old LS-Reports'!$A$4:$V$344,5,FALSE)-D227</f>
        <v>269.03942357771689</v>
      </c>
      <c r="F227" s="16">
        <f>VLOOKUP($B227,'Correlation sheet'!$C$4:$M$373,10,FALSE)</f>
        <v>269.22524897771694</v>
      </c>
      <c r="G227" s="38">
        <f t="shared" si="9"/>
        <v>0.18582540000005565</v>
      </c>
      <c r="H227" s="38">
        <f>VLOOKUP($B227,'Old LS-Reports'!$A$4:$V$344,6,FALSE)-D227</f>
        <v>268.3514235777169</v>
      </c>
      <c r="I227" s="16">
        <f>VLOOKUP($B227,'Correlation sheet'!$C$4:$M$373,9,FALSE)</f>
        <v>268.51224897771692</v>
      </c>
      <c r="J227" s="38">
        <f t="shared" si="10"/>
        <v>0.16082540000002155</v>
      </c>
      <c r="K227" s="38">
        <f>VLOOKUP($B227,'Old LS-Reports'!$A$4:$V$344,16,FALSE)-D227</f>
        <v>265.34569197771691</v>
      </c>
      <c r="L227" s="38">
        <f>VLOOKUP($B227,'Old LS-Reports'!$A$4:$V$344,19,FALSE)-D227</f>
        <v>266.2407731777169</v>
      </c>
      <c r="M227" s="38">
        <f t="shared" si="11"/>
        <v>2.2714758000000188</v>
      </c>
      <c r="N227" s="38">
        <f>VLOOKUP($B227,'Old LS-Reports'!$A$4:$V$344,8,FALSE)</f>
        <v>-8.6206169999999993</v>
      </c>
      <c r="P227" s="41"/>
    </row>
    <row r="228" spans="1:16" x14ac:dyDescent="0.25">
      <c r="A228" s="39">
        <v>286600</v>
      </c>
      <c r="B228" s="39">
        <v>95602.207999999999</v>
      </c>
      <c r="C228" s="40">
        <f>VLOOKUP($B228,'Correlation sheet'!$C$4:$M$373,6,FALSE)</f>
        <v>1176006.8264761062</v>
      </c>
      <c r="D228" s="16">
        <f>VLOOKUP($B228,'Correlation sheet'!$C$4:$N$373,11,FALSE)</f>
        <v>0.19910061348736008</v>
      </c>
      <c r="E228" s="38">
        <f>VLOOKUP($B228,'Old LS-Reports'!$A$4:$V$344,5,FALSE)-D228</f>
        <v>269.07037618651265</v>
      </c>
      <c r="F228" s="16">
        <f>VLOOKUP($B228,'Correlation sheet'!$C$4:$M$373,10,FALSE)</f>
        <v>269.30582958651263</v>
      </c>
      <c r="G228" s="38">
        <f t="shared" si="9"/>
        <v>0.23545339999998305</v>
      </c>
      <c r="H228" s="38">
        <f>VLOOKUP($B228,'Old LS-Reports'!$A$4:$V$344,6,FALSE)-D228</f>
        <v>268.38237618651266</v>
      </c>
      <c r="I228" s="16">
        <f>VLOOKUP($B228,'Correlation sheet'!$C$4:$M$373,9,FALSE)</f>
        <v>268.59282958651261</v>
      </c>
      <c r="J228" s="38">
        <f t="shared" si="10"/>
        <v>0.21045339999994894</v>
      </c>
      <c r="K228" s="38">
        <f>VLOOKUP($B228,'Old LS-Reports'!$A$4:$V$344,16,FALSE)-D228</f>
        <v>265.83947078651266</v>
      </c>
      <c r="L228" s="38">
        <f>VLOOKUP($B228,'Old LS-Reports'!$A$4:$V$344,19,FALSE)-D228</f>
        <v>266.39107508651261</v>
      </c>
      <c r="M228" s="38">
        <f t="shared" si="11"/>
        <v>2.2017544999999927</v>
      </c>
      <c r="N228" s="38">
        <f>VLOOKUP($B228,'Old LS-Reports'!$A$4:$V$344,8,FALSE)</f>
        <v>-8.4433775000000004</v>
      </c>
      <c r="P228" s="41"/>
    </row>
    <row r="229" spans="1:16" x14ac:dyDescent="0.25">
      <c r="A229" s="39">
        <v>286620</v>
      </c>
      <c r="B229" s="39">
        <v>95622.207999999999</v>
      </c>
      <c r="C229" s="40">
        <f>VLOOKUP($B229,'Correlation sheet'!$C$4:$M$373,6,FALSE)</f>
        <v>1176026.8264761078</v>
      </c>
      <c r="D229" s="16">
        <f>VLOOKUP($B229,'Correlation sheet'!$C$4:$N$373,11,FALSE)</f>
        <v>0.19911444805961764</v>
      </c>
      <c r="E229" s="38">
        <f>VLOOKUP($B229,'Old LS-Reports'!$A$4:$V$344,5,FALSE)-D229</f>
        <v>269.10509065194037</v>
      </c>
      <c r="F229" s="16">
        <f>VLOOKUP($B229,'Correlation sheet'!$C$4:$M$373,10,FALSE)</f>
        <v>269.38635785194037</v>
      </c>
      <c r="G229" s="38">
        <f t="shared" si="9"/>
        <v>0.28126720000000205</v>
      </c>
      <c r="H229" s="38">
        <f>VLOOKUP($B229,'Old LS-Reports'!$A$4:$V$344,6,FALSE)-D229</f>
        <v>268.41709065194038</v>
      </c>
      <c r="I229" s="16">
        <f>VLOOKUP($B229,'Correlation sheet'!$C$4:$M$373,9,FALSE)</f>
        <v>268.67335785194035</v>
      </c>
      <c r="J229" s="38">
        <f t="shared" si="10"/>
        <v>0.25626719999996794</v>
      </c>
      <c r="K229" s="38">
        <f>VLOOKUP($B229,'Old LS-Reports'!$A$4:$V$344,16,FALSE)-D229</f>
        <v>265.50978665194037</v>
      </c>
      <c r="L229" s="38">
        <f>VLOOKUP($B229,'Old LS-Reports'!$A$4:$V$344,19,FALSE)-D229</f>
        <v>266.3742459519404</v>
      </c>
      <c r="M229" s="38">
        <f t="shared" si="11"/>
        <v>2.2991118999999571</v>
      </c>
      <c r="N229" s="38">
        <f>VLOOKUP($B229,'Old LS-Reports'!$A$4:$V$344,8,FALSE)</f>
        <v>-8.2749117999999999</v>
      </c>
      <c r="P229" s="41"/>
    </row>
    <row r="230" spans="1:16" x14ac:dyDescent="0.25">
      <c r="A230" s="39">
        <v>286640</v>
      </c>
      <c r="B230" s="39">
        <v>95642.297000000006</v>
      </c>
      <c r="C230" s="40">
        <f>VLOOKUP($B230,'Correlation sheet'!$C$4:$M$373,6,FALSE)</f>
        <v>1176046.9154761059</v>
      </c>
      <c r="D230" s="16">
        <f>VLOOKUP($B230,'Correlation sheet'!$C$4:$N$373,11,FALSE)</f>
        <v>0.19912573186519467</v>
      </c>
      <c r="E230" s="38">
        <f>VLOOKUP($B230,'Old LS-Reports'!$A$4:$V$344,5,FALSE)-D230</f>
        <v>269.1505315681348</v>
      </c>
      <c r="F230" s="16">
        <f>VLOOKUP($B230,'Correlation sheet'!$C$4:$M$373,10,FALSE)</f>
        <v>269.46724446813482</v>
      </c>
      <c r="G230" s="38">
        <f t="shared" si="9"/>
        <v>0.31671290000002728</v>
      </c>
      <c r="H230" s="38">
        <f>VLOOKUP($B230,'Old LS-Reports'!$A$4:$V$344,6,FALSE)-D230</f>
        <v>268.46253156813481</v>
      </c>
      <c r="I230" s="16">
        <f>VLOOKUP($B230,'Correlation sheet'!$C$4:$M$373,9,FALSE)</f>
        <v>268.7542444681348</v>
      </c>
      <c r="J230" s="38">
        <f t="shared" si="10"/>
        <v>0.29171289999999317</v>
      </c>
      <c r="K230" s="38">
        <f>VLOOKUP($B230,'Old LS-Reports'!$A$4:$V$344,16,FALSE)-D230</f>
        <v>265.6241569681348</v>
      </c>
      <c r="L230" s="38">
        <f>VLOOKUP($B230,'Old LS-Reports'!$A$4:$V$344,19,FALSE)-D230</f>
        <v>266.31039886813483</v>
      </c>
      <c r="M230" s="38">
        <f t="shared" si="11"/>
        <v>2.4438455999999746</v>
      </c>
      <c r="N230" s="38">
        <f>VLOOKUP($B230,'Old LS-Reports'!$A$4:$V$344,8,FALSE)</f>
        <v>-8.1454678000000005</v>
      </c>
      <c r="P230" s="41"/>
    </row>
    <row r="231" spans="1:16" x14ac:dyDescent="0.25">
      <c r="A231" s="39">
        <v>286660</v>
      </c>
      <c r="B231" s="39">
        <v>95662.297000000006</v>
      </c>
      <c r="C231" s="40">
        <f>VLOOKUP($B231,'Correlation sheet'!$C$4:$M$373,6,FALSE)</f>
        <v>1176066.915473273</v>
      </c>
      <c r="D231" s="16">
        <f>VLOOKUP($B231,'Correlation sheet'!$C$4:$N$373,11,FALSE)</f>
        <v>0.19913747785022906</v>
      </c>
      <c r="E231" s="38">
        <f>VLOOKUP($B231,'Old LS-Reports'!$A$4:$V$344,5,FALSE)-D231</f>
        <v>269.21964512214976</v>
      </c>
      <c r="F231" s="16">
        <f>VLOOKUP($B231,'Correlation sheet'!$C$4:$M$373,10,FALSE)</f>
        <v>269.54777272214977</v>
      </c>
      <c r="G231" s="38">
        <f t="shared" si="9"/>
        <v>0.32812760000001617</v>
      </c>
      <c r="H231" s="38">
        <f>VLOOKUP($B231,'Old LS-Reports'!$A$4:$V$344,6,FALSE)-D231</f>
        <v>268.53164512214977</v>
      </c>
      <c r="I231" s="16">
        <f>VLOOKUP($B231,'Correlation sheet'!$C$4:$M$373,9,FALSE)</f>
        <v>268.83477272214975</v>
      </c>
      <c r="J231" s="38">
        <f t="shared" si="10"/>
        <v>0.30312759999998207</v>
      </c>
      <c r="K231" s="38">
        <f>VLOOKUP($B231,'Old LS-Reports'!$A$4:$V$344,16,FALSE)-D231</f>
        <v>265.68927222214978</v>
      </c>
      <c r="L231" s="38">
        <f>VLOOKUP($B231,'Old LS-Reports'!$A$4:$V$344,19,FALSE)-D231</f>
        <v>266.27610652214975</v>
      </c>
      <c r="M231" s="38">
        <f t="shared" si="11"/>
        <v>2.5586662000000047</v>
      </c>
      <c r="N231" s="38">
        <f>VLOOKUP($B231,'Old LS-Reports'!$A$4:$V$344,8,FALSE)</f>
        <v>-8.1808189999999996</v>
      </c>
      <c r="P231" s="41"/>
    </row>
    <row r="232" spans="1:16" x14ac:dyDescent="0.25">
      <c r="A232" s="39">
        <v>286680</v>
      </c>
      <c r="B232" s="39">
        <v>95682.369000000006</v>
      </c>
      <c r="C232" s="40">
        <f>VLOOKUP($B232,'Correlation sheet'!$C$4:$M$373,6,FALSE)</f>
        <v>1176086.987450937</v>
      </c>
      <c r="D232" s="16">
        <f>VLOOKUP($B232,'Correlation sheet'!$C$4:$N$373,11,FALSE)</f>
        <v>0.1991516006074221</v>
      </c>
      <c r="E232" s="38">
        <f>VLOOKUP($B232,'Old LS-Reports'!$A$4:$V$344,5,FALSE)-D232</f>
        <v>269.28696399939258</v>
      </c>
      <c r="F232" s="16">
        <f>VLOOKUP($B232,'Correlation sheet'!$C$4:$M$373,10,FALSE)</f>
        <v>269.62859079939255</v>
      </c>
      <c r="G232" s="38">
        <f t="shared" si="9"/>
        <v>0.34162679999997181</v>
      </c>
      <c r="H232" s="38">
        <f>VLOOKUP($B232,'Old LS-Reports'!$A$4:$V$344,6,FALSE)-D232</f>
        <v>268.59896399939259</v>
      </c>
      <c r="I232" s="16">
        <f>VLOOKUP($B232,'Correlation sheet'!$C$4:$M$373,9,FALSE)</f>
        <v>268.91559079939253</v>
      </c>
      <c r="J232" s="38">
        <f t="shared" si="10"/>
        <v>0.3166267999999377</v>
      </c>
      <c r="K232" s="38">
        <f>VLOOKUP($B232,'Old LS-Reports'!$A$4:$V$344,16,FALSE)-D232</f>
        <v>265.67673169939258</v>
      </c>
      <c r="L232" s="38">
        <f>VLOOKUP($B232,'Old LS-Reports'!$A$4:$V$344,19,FALSE)-D232</f>
        <v>266.30377209939257</v>
      </c>
      <c r="M232" s="38">
        <f t="shared" si="11"/>
        <v>2.611818699999958</v>
      </c>
      <c r="N232" s="38">
        <f>VLOOKUP($B232,'Old LS-Reports'!$A$4:$V$344,8,FALSE)</f>
        <v>-8.2031778000000006</v>
      </c>
      <c r="P232" s="41"/>
    </row>
    <row r="233" spans="1:16" x14ac:dyDescent="0.25">
      <c r="A233" s="39">
        <v>286700</v>
      </c>
      <c r="B233" s="39">
        <v>95702.369000000006</v>
      </c>
      <c r="C233" s="40">
        <f>VLOOKUP($B233,'Correlation sheet'!$C$4:$M$373,6,FALSE)</f>
        <v>1176106.9874139004</v>
      </c>
      <c r="D233" s="16">
        <f>VLOOKUP($B233,'Correlation sheet'!$C$4:$N$373,11,FALSE)</f>
        <v>0.19916398431098514</v>
      </c>
      <c r="E233" s="38">
        <f>VLOOKUP($B233,'Old LS-Reports'!$A$4:$V$344,5,FALSE)-D233</f>
        <v>269.35042701568904</v>
      </c>
      <c r="F233" s="16">
        <f>VLOOKUP($B233,'Correlation sheet'!$C$4:$M$373,10,FALSE)</f>
        <v>269.70911891568903</v>
      </c>
      <c r="G233" s="38">
        <f t="shared" si="9"/>
        <v>0.35869189999999662</v>
      </c>
      <c r="H233" s="38">
        <f>VLOOKUP($B233,'Old LS-Reports'!$A$4:$V$344,6,FALSE)-D233</f>
        <v>268.66242701568905</v>
      </c>
      <c r="I233" s="16">
        <f>VLOOKUP($B233,'Correlation sheet'!$C$4:$M$373,9,FALSE)</f>
        <v>268.99611891568901</v>
      </c>
      <c r="J233" s="38">
        <f t="shared" si="10"/>
        <v>0.33369189999996252</v>
      </c>
      <c r="K233" s="38">
        <f>VLOOKUP($B233,'Old LS-Reports'!$A$4:$V$344,16,FALSE)-D233</f>
        <v>265.76379001568904</v>
      </c>
      <c r="L233" s="38">
        <f>VLOOKUP($B233,'Old LS-Reports'!$A$4:$V$344,19,FALSE)-D233</f>
        <v>266.05847641568903</v>
      </c>
      <c r="M233" s="38">
        <f t="shared" si="11"/>
        <v>2.9376424999999813</v>
      </c>
      <c r="N233" s="38">
        <f>VLOOKUP($B233,'Old LS-Reports'!$A$4:$V$344,8,FALSE)</f>
        <v>-8.2225707000000003</v>
      </c>
      <c r="P233" s="41"/>
    </row>
    <row r="234" spans="1:16" x14ac:dyDescent="0.25">
      <c r="A234" s="39">
        <v>286720</v>
      </c>
      <c r="B234" s="39">
        <v>95722.441000000006</v>
      </c>
      <c r="C234" s="40">
        <f>VLOOKUP($B234,'Correlation sheet'!$C$4:$M$373,6,FALSE)</f>
        <v>1176127.0593764642</v>
      </c>
      <c r="D234" s="16">
        <f>VLOOKUP($B234,'Correlation sheet'!$C$4:$N$373,11,FALSE)</f>
        <v>0.19917496786797528</v>
      </c>
      <c r="E234" s="38">
        <f>VLOOKUP($B234,'Old LS-Reports'!$A$4:$V$344,5,FALSE)-D234</f>
        <v>269.41049303213202</v>
      </c>
      <c r="F234" s="16">
        <f>VLOOKUP($B234,'Correlation sheet'!$C$4:$M$373,10,FALSE)</f>
        <v>269.78993693213204</v>
      </c>
      <c r="G234" s="38">
        <f t="shared" si="9"/>
        <v>0.37944390000001249</v>
      </c>
      <c r="H234" s="38">
        <f>VLOOKUP($B234,'Old LS-Reports'!$A$4:$V$344,6,FALSE)-D234</f>
        <v>268.72249303213204</v>
      </c>
      <c r="I234" s="16">
        <f>VLOOKUP($B234,'Correlation sheet'!$C$4:$M$373,9,FALSE)</f>
        <v>269.07693693213201</v>
      </c>
      <c r="J234" s="38">
        <f t="shared" si="10"/>
        <v>0.35444389999997838</v>
      </c>
      <c r="K234" s="38">
        <f>VLOOKUP($B234,'Old LS-Reports'!$A$4:$V$344,16,FALSE)-D234</f>
        <v>265.54521383213205</v>
      </c>
      <c r="L234" s="38">
        <f>VLOOKUP($B234,'Old LS-Reports'!$A$4:$V$344,19,FALSE)-D234</f>
        <v>266.17536133213201</v>
      </c>
      <c r="M234" s="38">
        <f t="shared" si="11"/>
        <v>2.901575600000001</v>
      </c>
      <c r="N234" s="38">
        <f>VLOOKUP($B234,'Old LS-Reports'!$A$4:$V$344,8,FALSE)</f>
        <v>-8.2138183999999992</v>
      </c>
      <c r="P234" s="41"/>
    </row>
    <row r="235" spans="1:16" x14ac:dyDescent="0.25">
      <c r="A235" s="39">
        <v>286740</v>
      </c>
      <c r="B235" s="39">
        <v>95742.493000000002</v>
      </c>
      <c r="C235" s="40">
        <f>VLOOKUP($B235,'Correlation sheet'!$C$4:$M$373,6,FALSE)</f>
        <v>1176147.1113391374</v>
      </c>
      <c r="D235" s="16">
        <f>VLOOKUP($B235,'Correlation sheet'!$C$4:$N$373,11,FALSE)</f>
        <v>0.19918767924986014</v>
      </c>
      <c r="E235" s="38">
        <f>VLOOKUP($B235,'Old LS-Reports'!$A$4:$V$344,5,FALSE)-D235</f>
        <v>269.49248732075012</v>
      </c>
      <c r="F235" s="16">
        <f>VLOOKUP($B235,'Correlation sheet'!$C$4:$M$373,10,FALSE)</f>
        <v>269.87067442075016</v>
      </c>
      <c r="G235" s="38">
        <f t="shared" si="9"/>
        <v>0.37818710000004785</v>
      </c>
      <c r="H235" s="38">
        <f>VLOOKUP($B235,'Old LS-Reports'!$A$4:$V$344,6,FALSE)-D235</f>
        <v>268.80448732075013</v>
      </c>
      <c r="I235" s="16">
        <f>VLOOKUP($B235,'Correlation sheet'!$C$4:$M$373,9,FALSE)</f>
        <v>269.15767442075014</v>
      </c>
      <c r="J235" s="38">
        <f t="shared" si="10"/>
        <v>0.35318710000001374</v>
      </c>
      <c r="K235" s="38">
        <f>VLOOKUP($B235,'Old LS-Reports'!$A$4:$V$344,16,FALSE)-D235</f>
        <v>265.98504552075013</v>
      </c>
      <c r="L235" s="38">
        <f>VLOOKUP($B235,'Old LS-Reports'!$A$4:$V$344,19,FALSE)-D235</f>
        <v>266.26430802075015</v>
      </c>
      <c r="M235" s="38">
        <f t="shared" si="11"/>
        <v>2.8933663999999908</v>
      </c>
      <c r="N235" s="38">
        <f>VLOOKUP($B235,'Old LS-Reports'!$A$4:$V$344,8,FALSE)</f>
        <v>-8.2339141999999992</v>
      </c>
      <c r="P235" s="41"/>
    </row>
    <row r="236" spans="1:16" x14ac:dyDescent="0.25">
      <c r="A236" s="39">
        <v>286760</v>
      </c>
      <c r="B236" s="39">
        <v>95762.551000000007</v>
      </c>
      <c r="C236" s="40">
        <f>VLOOKUP($B236,'Correlation sheet'!$C$4:$M$373,6,FALSE)</f>
        <v>1176167.1693017748</v>
      </c>
      <c r="D236" s="16">
        <f>VLOOKUP($B236,'Correlation sheet'!$C$4:$N$373,11,FALSE)</f>
        <v>0.19920153229622883</v>
      </c>
      <c r="E236" s="38">
        <f>VLOOKUP($B236,'Old LS-Reports'!$A$4:$V$344,5,FALSE)-D236</f>
        <v>269.56013586770376</v>
      </c>
      <c r="F236" s="16">
        <f>VLOOKUP($B236,'Correlation sheet'!$C$4:$M$373,10,FALSE)</f>
        <v>269.95143606770375</v>
      </c>
      <c r="G236" s="38">
        <f t="shared" si="9"/>
        <v>0.39130019999998922</v>
      </c>
      <c r="H236" s="38">
        <f>VLOOKUP($B236,'Old LS-Reports'!$A$4:$V$344,6,FALSE)-D236</f>
        <v>268.87213586770378</v>
      </c>
      <c r="I236" s="16">
        <f>VLOOKUP($B236,'Correlation sheet'!$C$4:$M$373,9,FALSE)</f>
        <v>269.23843606770373</v>
      </c>
      <c r="J236" s="38">
        <f t="shared" si="10"/>
        <v>0.36630019999995511</v>
      </c>
      <c r="K236" s="38">
        <f>VLOOKUP($B236,'Old LS-Reports'!$A$4:$V$344,16,FALSE)-D236</f>
        <v>265.77264796770379</v>
      </c>
      <c r="L236" s="38">
        <f>VLOOKUP($B236,'Old LS-Reports'!$A$4:$V$344,19,FALSE)-D236</f>
        <v>266.58246536770378</v>
      </c>
      <c r="M236" s="38">
        <f t="shared" si="11"/>
        <v>2.6559706999999548</v>
      </c>
      <c r="N236" s="38">
        <f>VLOOKUP($B236,'Old LS-Reports'!$A$4:$V$344,8,FALSE)</f>
        <v>-8.2496054999999995</v>
      </c>
      <c r="P236" s="41"/>
    </row>
    <row r="237" spans="1:16" x14ac:dyDescent="0.25">
      <c r="A237" s="39">
        <v>286780</v>
      </c>
      <c r="B237" s="39">
        <v>95782.604000000007</v>
      </c>
      <c r="C237" s="40">
        <f>VLOOKUP($B237,'Correlation sheet'!$C$4:$M$373,6,FALSE)</f>
        <v>1176187.2222644414</v>
      </c>
      <c r="D237" s="16">
        <f>VLOOKUP($B237,'Correlation sheet'!$C$4:$N$373,11,FALSE)</f>
        <v>0.19921331729136682</v>
      </c>
      <c r="E237" s="38">
        <f>VLOOKUP($B237,'Old LS-Reports'!$A$4:$V$344,5,FALSE)-D237</f>
        <v>269.62784228270863</v>
      </c>
      <c r="F237" s="16">
        <f>VLOOKUP($B237,'Correlation sheet'!$C$4:$M$373,10,FALSE)</f>
        <v>270.03217758270864</v>
      </c>
      <c r="G237" s="38">
        <f t="shared" si="9"/>
        <v>0.40433530000001383</v>
      </c>
      <c r="H237" s="38">
        <f>VLOOKUP($B237,'Old LS-Reports'!$A$4:$V$344,6,FALSE)-D237</f>
        <v>268.93984228270864</v>
      </c>
      <c r="I237" s="16">
        <f>VLOOKUP($B237,'Correlation sheet'!$C$4:$M$373,9,FALSE)</f>
        <v>269.31917758270862</v>
      </c>
      <c r="J237" s="38">
        <f t="shared" si="10"/>
        <v>0.37933529999997972</v>
      </c>
      <c r="K237" s="38">
        <f>VLOOKUP($B237,'Old LS-Reports'!$A$4:$V$344,16,FALSE)-D237</f>
        <v>265.87858718270866</v>
      </c>
      <c r="L237" s="38">
        <f>VLOOKUP($B237,'Old LS-Reports'!$A$4:$V$344,19,FALSE)-D237</f>
        <v>266.90838708270866</v>
      </c>
      <c r="M237" s="38">
        <f t="shared" si="11"/>
        <v>2.4107904999999619</v>
      </c>
      <c r="N237" s="38">
        <f>VLOOKUP($B237,'Old LS-Reports'!$A$4:$V$344,8,FALSE)</f>
        <v>-8.2388736999999992</v>
      </c>
      <c r="P237" s="41"/>
    </row>
    <row r="238" spans="1:16" x14ac:dyDescent="0.25">
      <c r="A238" s="39">
        <v>286800</v>
      </c>
      <c r="B238" s="39">
        <v>95802.665999999997</v>
      </c>
      <c r="C238" s="40">
        <f>VLOOKUP($B238,'Correlation sheet'!$C$4:$M$373,6,FALSE)</f>
        <v>1176207.2842270599</v>
      </c>
      <c r="D238" s="16">
        <f>VLOOKUP($B238,'Correlation sheet'!$C$4:$N$373,11,FALSE)</f>
        <v>0.1992235647607572</v>
      </c>
      <c r="E238" s="38">
        <f>VLOOKUP($B238,'Old LS-Reports'!$A$4:$V$344,5,FALSE)-D238</f>
        <v>269.69736513523924</v>
      </c>
      <c r="F238" s="16">
        <f>VLOOKUP($B238,'Correlation sheet'!$C$4:$M$373,10,FALSE)</f>
        <v>270.11295533523923</v>
      </c>
      <c r="G238" s="38">
        <f t="shared" si="9"/>
        <v>0.41559019999999691</v>
      </c>
      <c r="H238" s="38">
        <f>VLOOKUP($B238,'Old LS-Reports'!$A$4:$V$344,6,FALSE)-D238</f>
        <v>269.00936513523925</v>
      </c>
      <c r="I238" s="16">
        <f>VLOOKUP($B238,'Correlation sheet'!$C$4:$M$373,9,FALSE)</f>
        <v>269.39995533523921</v>
      </c>
      <c r="J238" s="38">
        <f t="shared" si="10"/>
        <v>0.39059019999996281</v>
      </c>
      <c r="K238" s="38">
        <f>VLOOKUP($B238,'Old LS-Reports'!$A$4:$V$344,16,FALSE)-D238</f>
        <v>265.64118773523927</v>
      </c>
      <c r="L238" s="38">
        <f>VLOOKUP($B238,'Old LS-Reports'!$A$4:$V$344,19,FALSE)-D238</f>
        <v>267.10470033523922</v>
      </c>
      <c r="M238" s="38">
        <f t="shared" si="11"/>
        <v>2.2952549999999974</v>
      </c>
      <c r="N238" s="38">
        <f>VLOOKUP($B238,'Old LS-Reports'!$A$4:$V$344,8,FALSE)</f>
        <v>-8.1978939000000004</v>
      </c>
      <c r="P238" s="41"/>
    </row>
    <row r="239" spans="1:16" x14ac:dyDescent="0.25">
      <c r="A239" s="39">
        <v>286820</v>
      </c>
      <c r="B239" s="39">
        <v>95822.665999999997</v>
      </c>
      <c r="C239" s="40">
        <f>VLOOKUP($B239,'Correlation sheet'!$C$4:$M$373,6,FALSE)</f>
        <v>1176227.2841900229</v>
      </c>
      <c r="D239" s="16">
        <f>VLOOKUP($B239,'Correlation sheet'!$C$4:$N$373,11,FALSE)</f>
        <v>0.19923624846614985</v>
      </c>
      <c r="E239" s="38">
        <f>VLOOKUP($B239,'Old LS-Reports'!$A$4:$V$344,5,FALSE)-D239</f>
        <v>269.73342855153385</v>
      </c>
      <c r="F239" s="16">
        <f>VLOOKUP($B239,'Correlation sheet'!$C$4:$M$373,10,FALSE)</f>
        <v>270.19348345153384</v>
      </c>
      <c r="G239" s="38">
        <f t="shared" si="9"/>
        <v>0.46005489999998872</v>
      </c>
      <c r="H239" s="38">
        <f>VLOOKUP($B239,'Old LS-Reports'!$A$4:$V$344,6,FALSE)-D239</f>
        <v>269.04542855153386</v>
      </c>
      <c r="I239" s="16">
        <f>VLOOKUP($B239,'Correlation sheet'!$C$4:$M$373,9,FALSE)</f>
        <v>269.48048345153381</v>
      </c>
      <c r="J239" s="38">
        <f t="shared" si="10"/>
        <v>0.43505489999995461</v>
      </c>
      <c r="K239" s="38">
        <f>VLOOKUP($B239,'Old LS-Reports'!$A$4:$V$344,16,FALSE)-D239</f>
        <v>265.60424325153383</v>
      </c>
      <c r="L239" s="38">
        <f>VLOOKUP($B239,'Old LS-Reports'!$A$4:$V$344,19,FALSE)-D239</f>
        <v>267.22123615153384</v>
      </c>
      <c r="M239" s="38">
        <f t="shared" si="11"/>
        <v>2.25924729999997</v>
      </c>
      <c r="N239" s="38">
        <f>VLOOKUP($B239,'Old LS-Reports'!$A$4:$V$344,8,FALSE)</f>
        <v>-8.1372678000000001</v>
      </c>
      <c r="P239" s="41"/>
    </row>
    <row r="240" spans="1:16" x14ac:dyDescent="0.25">
      <c r="A240" s="39">
        <v>286840</v>
      </c>
      <c r="B240" s="39">
        <v>95842.713000000003</v>
      </c>
      <c r="C240" s="40">
        <f>VLOOKUP($B240,'Correlation sheet'!$C$4:$M$373,6,FALSE)</f>
        <v>1176247.3311673307</v>
      </c>
      <c r="D240" s="16">
        <f>VLOOKUP($B240,'Correlation sheet'!$C$4:$N$373,11,FALSE)</f>
        <v>0.19925123298912695</v>
      </c>
      <c r="E240" s="38">
        <f>VLOOKUP($B240,'Old LS-Reports'!$A$4:$V$344,5,FALSE)-D240</f>
        <v>269.8222842670109</v>
      </c>
      <c r="F240" s="16">
        <f>VLOOKUP($B240,'Correlation sheet'!$C$4:$M$373,10,FALSE)</f>
        <v>270.2742008670109</v>
      </c>
      <c r="G240" s="38">
        <f t="shared" si="9"/>
        <v>0.45191660000000411</v>
      </c>
      <c r="H240" s="38">
        <f>VLOOKUP($B240,'Old LS-Reports'!$A$4:$V$344,6,FALSE)-D240</f>
        <v>269.13428426701091</v>
      </c>
      <c r="I240" s="16">
        <f>VLOOKUP($B240,'Correlation sheet'!$C$4:$M$373,9,FALSE)</f>
        <v>269.56120086701088</v>
      </c>
      <c r="J240" s="38">
        <f t="shared" si="10"/>
        <v>0.42691659999997</v>
      </c>
      <c r="K240" s="38">
        <f>VLOOKUP($B240,'Old LS-Reports'!$A$4:$V$344,16,FALSE)-D240</f>
        <v>265.68754786701089</v>
      </c>
      <c r="L240" s="38">
        <f>VLOOKUP($B240,'Old LS-Reports'!$A$4:$V$344,19,FALSE)-D240</f>
        <v>267.3749285670109</v>
      </c>
      <c r="M240" s="38">
        <f t="shared" si="11"/>
        <v>2.1862722999999846</v>
      </c>
      <c r="N240" s="38">
        <f>VLOOKUP($B240,'Old LS-Reports'!$A$4:$V$344,8,FALSE)</f>
        <v>-8.0675080000000001</v>
      </c>
      <c r="P240" s="41"/>
    </row>
    <row r="241" spans="1:16" x14ac:dyDescent="0.25">
      <c r="A241" s="39">
        <v>286860</v>
      </c>
      <c r="B241" s="39">
        <v>95862.751000000004</v>
      </c>
      <c r="C241" s="40">
        <f>VLOOKUP($B241,'Correlation sheet'!$C$4:$M$373,6,FALSE)</f>
        <v>1176267.3691643279</v>
      </c>
      <c r="D241" s="16">
        <f>VLOOKUP($B241,'Correlation sheet'!$C$4:$N$373,11,FALSE)</f>
        <v>0.19926117595446158</v>
      </c>
      <c r="E241" s="38">
        <f>VLOOKUP($B241,'Old LS-Reports'!$A$4:$V$344,5,FALSE)-D241</f>
        <v>269.92261972404555</v>
      </c>
      <c r="F241" s="16">
        <f>VLOOKUP($B241,'Correlation sheet'!$C$4:$M$373,10,FALSE)</f>
        <v>270.35488212404556</v>
      </c>
      <c r="G241" s="38">
        <f t="shared" si="9"/>
        <v>0.43226240000001326</v>
      </c>
      <c r="H241" s="38">
        <f>VLOOKUP($B241,'Old LS-Reports'!$A$4:$V$344,6,FALSE)-D241</f>
        <v>269.23461972404556</v>
      </c>
      <c r="I241" s="16">
        <f>VLOOKUP($B241,'Correlation sheet'!$C$4:$M$373,9,FALSE)</f>
        <v>269.64188212404554</v>
      </c>
      <c r="J241" s="38">
        <f t="shared" si="10"/>
        <v>0.40726239999997915</v>
      </c>
      <c r="K241" s="38">
        <f>VLOOKUP($B241,'Old LS-Reports'!$A$4:$V$344,16,FALSE)-D241</f>
        <v>265.18393992404555</v>
      </c>
      <c r="L241" s="38">
        <f>VLOOKUP($B241,'Old LS-Reports'!$A$4:$V$344,19,FALSE)-D241</f>
        <v>267.47317352404554</v>
      </c>
      <c r="M241" s="38">
        <f t="shared" si="11"/>
        <v>2.1687086000000022</v>
      </c>
      <c r="N241" s="38">
        <f>VLOOKUP($B241,'Old LS-Reports'!$A$4:$V$344,8,FALSE)</f>
        <v>-8.0112243999999997</v>
      </c>
      <c r="P241" s="41"/>
    </row>
    <row r="242" spans="1:16" x14ac:dyDescent="0.25">
      <c r="A242" s="39">
        <v>286880</v>
      </c>
      <c r="B242" s="39">
        <v>95882.788</v>
      </c>
      <c r="C242" s="40">
        <f>VLOOKUP($B242,'Correlation sheet'!$C$4:$M$373,6,FALSE)</f>
        <v>1176287.4061643328</v>
      </c>
      <c r="D242" s="16">
        <f>VLOOKUP($B242,'Correlation sheet'!$C$4:$N$373,11,FALSE)</f>
        <v>0.1992750332224773</v>
      </c>
      <c r="E242" s="38">
        <f>VLOOKUP($B242,'Old LS-Reports'!$A$4:$V$344,5,FALSE)-D242</f>
        <v>269.99263166677753</v>
      </c>
      <c r="F242" s="16">
        <f>VLOOKUP($B242,'Correlation sheet'!$C$4:$M$373,10,FALSE)</f>
        <v>270.43555936677751</v>
      </c>
      <c r="G242" s="38">
        <f t="shared" si="9"/>
        <v>0.44292769999998427</v>
      </c>
      <c r="H242" s="38">
        <f>VLOOKUP($B242,'Old LS-Reports'!$A$4:$V$344,6,FALSE)-D242</f>
        <v>269.30463166677754</v>
      </c>
      <c r="I242" s="16">
        <f>VLOOKUP($B242,'Correlation sheet'!$C$4:$M$373,9,FALSE)</f>
        <v>269.72255936677749</v>
      </c>
      <c r="J242" s="38">
        <f t="shared" si="10"/>
        <v>0.41792769999995016</v>
      </c>
      <c r="K242" s="38">
        <f>VLOOKUP($B242,'Old LS-Reports'!$A$4:$V$344,16,FALSE)-D242</f>
        <v>265.01159416677751</v>
      </c>
      <c r="L242" s="38">
        <f>VLOOKUP($B242,'Old LS-Reports'!$A$4:$V$344,19,FALSE)-D242</f>
        <v>267.6082976667775</v>
      </c>
      <c r="M242" s="38">
        <f t="shared" si="11"/>
        <v>2.1142616999999859</v>
      </c>
      <c r="N242" s="38">
        <f>VLOOKUP($B242,'Old LS-Reports'!$A$4:$V$344,8,FALSE)</f>
        <v>-8.0344885999999995</v>
      </c>
      <c r="P242" s="41"/>
    </row>
    <row r="243" spans="1:16" x14ac:dyDescent="0.25">
      <c r="A243" s="39">
        <v>286900</v>
      </c>
      <c r="B243" s="39">
        <v>95902.788</v>
      </c>
      <c r="C243" s="40">
        <f>VLOOKUP($B243,'Correlation sheet'!$C$4:$M$373,6,FALSE)</f>
        <v>1176307.4061643297</v>
      </c>
      <c r="D243" s="16">
        <f>VLOOKUP($B243,'Correlation sheet'!$C$4:$N$373,11,FALSE)</f>
        <v>0.19928726781353134</v>
      </c>
      <c r="E243" s="38">
        <f>VLOOKUP($B243,'Old LS-Reports'!$A$4:$V$344,5,FALSE)-D243</f>
        <v>270.05805863218649</v>
      </c>
      <c r="F243" s="16">
        <f>VLOOKUP($B243,'Correlation sheet'!$C$4:$M$373,10,FALSE)</f>
        <v>270.5160876321865</v>
      </c>
      <c r="G243" s="38">
        <f t="shared" si="9"/>
        <v>0.45802900000001046</v>
      </c>
      <c r="H243" s="38">
        <f>VLOOKUP($B243,'Old LS-Reports'!$A$4:$V$344,6,FALSE)-D243</f>
        <v>269.3700586321865</v>
      </c>
      <c r="I243" s="16">
        <f>VLOOKUP($B243,'Correlation sheet'!$C$4:$M$373,9,FALSE)</f>
        <v>269.80308763218648</v>
      </c>
      <c r="J243" s="38">
        <f t="shared" si="10"/>
        <v>0.43302899999997635</v>
      </c>
      <c r="K243" s="38">
        <f>VLOOKUP($B243,'Old LS-Reports'!$A$4:$V$344,16,FALSE)-D243</f>
        <v>265.43591393218645</v>
      </c>
      <c r="L243" s="38">
        <f>VLOOKUP($B243,'Old LS-Reports'!$A$4:$V$344,19,FALSE)-D243</f>
        <v>267.63842463218646</v>
      </c>
      <c r="M243" s="38">
        <f t="shared" si="11"/>
        <v>2.1646630000000187</v>
      </c>
      <c r="N243" s="38">
        <f>VLOOKUP($B243,'Old LS-Reports'!$A$4:$V$344,8,FALSE)</f>
        <v>-8.0695762000000002</v>
      </c>
      <c r="P243" s="41"/>
    </row>
    <row r="244" spans="1:16" x14ac:dyDescent="0.25">
      <c r="A244" s="39">
        <v>286920</v>
      </c>
      <c r="B244" s="39">
        <v>95922.805999999997</v>
      </c>
      <c r="C244" s="40">
        <f>VLOOKUP($B244,'Correlation sheet'!$C$4:$M$373,6,FALSE)</f>
        <v>1176327.4241643283</v>
      </c>
      <c r="D244" s="16">
        <f>VLOOKUP($B244,'Correlation sheet'!$C$4:$N$373,11,FALSE)</f>
        <v>0.19929612695943888</v>
      </c>
      <c r="E244" s="38">
        <f>VLOOKUP($B244,'Old LS-Reports'!$A$4:$V$344,5,FALSE)-D244</f>
        <v>270.12158177304059</v>
      </c>
      <c r="F244" s="16">
        <f>VLOOKUP($B244,'Correlation sheet'!$C$4:$M$373,10,FALSE)</f>
        <v>270.59668837304059</v>
      </c>
      <c r="G244" s="38">
        <f t="shared" si="9"/>
        <v>0.47510660000000371</v>
      </c>
      <c r="H244" s="38">
        <f>VLOOKUP($B244,'Old LS-Reports'!$A$4:$V$344,6,FALSE)-D244</f>
        <v>269.4335817730406</v>
      </c>
      <c r="I244" s="16">
        <f>VLOOKUP($B244,'Correlation sheet'!$C$4:$M$373,9,FALSE)</f>
        <v>269.88368837304057</v>
      </c>
      <c r="J244" s="38">
        <f t="shared" si="10"/>
        <v>0.4501065999999696</v>
      </c>
      <c r="K244" s="38">
        <f>VLOOKUP($B244,'Old LS-Reports'!$A$4:$V$344,16,FALSE)-D244</f>
        <v>266.28739957304055</v>
      </c>
      <c r="L244" s="38">
        <f>VLOOKUP($B244,'Old LS-Reports'!$A$4:$V$344,19,FALSE)-D244</f>
        <v>267.53172347304059</v>
      </c>
      <c r="M244" s="38">
        <f t="shared" si="11"/>
        <v>2.3519648999999845</v>
      </c>
      <c r="N244" s="38">
        <f>VLOOKUP($B244,'Old LS-Reports'!$A$4:$V$344,8,FALSE)</f>
        <v>-8.1356017000000005</v>
      </c>
      <c r="P244" s="41"/>
    </row>
    <row r="245" spans="1:16" x14ac:dyDescent="0.25">
      <c r="A245" s="39">
        <v>286940</v>
      </c>
      <c r="B245" s="39">
        <v>95942.805999999997</v>
      </c>
      <c r="C245" s="40">
        <f>VLOOKUP($B245,'Correlation sheet'!$C$4:$M$373,6,FALSE)</f>
        <v>1176347.4241643313</v>
      </c>
      <c r="D245" s="16">
        <f>VLOOKUP($B245,'Correlation sheet'!$C$4:$N$373,11,FALSE)</f>
        <v>0.1993087615260265</v>
      </c>
      <c r="E245" s="38">
        <f>VLOOKUP($B245,'Old LS-Reports'!$A$4:$V$344,5,FALSE)-D245</f>
        <v>270.18439663847397</v>
      </c>
      <c r="F245" s="16">
        <f>VLOOKUP($B245,'Correlation sheet'!$C$4:$M$373,10,FALSE)</f>
        <v>270.67721663847396</v>
      </c>
      <c r="G245" s="38">
        <f t="shared" si="9"/>
        <v>0.49281999999999471</v>
      </c>
      <c r="H245" s="38">
        <f>VLOOKUP($B245,'Old LS-Reports'!$A$4:$V$344,6,FALSE)-D245</f>
        <v>269.49639663847398</v>
      </c>
      <c r="I245" s="16">
        <f>VLOOKUP($B245,'Correlation sheet'!$C$4:$M$373,9,FALSE)</f>
        <v>269.96421663847394</v>
      </c>
      <c r="J245" s="38">
        <f t="shared" si="10"/>
        <v>0.4678199999999606</v>
      </c>
      <c r="K245" s="38">
        <f>VLOOKUP($B245,'Old LS-Reports'!$A$4:$V$344,16,FALSE)-D245</f>
        <v>266.37608513847397</v>
      </c>
      <c r="L245" s="38">
        <f>VLOOKUP($B245,'Old LS-Reports'!$A$4:$V$344,19,FALSE)-D245</f>
        <v>267.45803483847396</v>
      </c>
      <c r="M245" s="38">
        <f t="shared" si="11"/>
        <v>2.5061817999999789</v>
      </c>
      <c r="N245" s="38">
        <f>VLOOKUP($B245,'Old LS-Reports'!$A$4:$V$344,8,FALSE)</f>
        <v>-8.2129913999999999</v>
      </c>
      <c r="P245" s="41"/>
    </row>
    <row r="246" spans="1:16" x14ac:dyDescent="0.25">
      <c r="A246" s="39">
        <v>286960</v>
      </c>
      <c r="B246" s="39">
        <v>95962.797999999995</v>
      </c>
      <c r="C246" s="40">
        <f>VLOOKUP($B246,'Correlation sheet'!$C$4:$M$373,6,FALSE)</f>
        <v>1176367.4161643276</v>
      </c>
      <c r="D246" s="16">
        <f>VLOOKUP($B246,'Correlation sheet'!$C$4:$N$373,11,FALSE)</f>
        <v>0.19932110742564646</v>
      </c>
      <c r="E246" s="38">
        <f>VLOOKUP($B246,'Old LS-Reports'!$A$4:$V$344,5,FALSE)-D246</f>
        <v>270.24678519257435</v>
      </c>
      <c r="F246" s="16">
        <f>VLOOKUP($B246,'Correlation sheet'!$C$4:$M$373,10,FALSE)</f>
        <v>270.75771269257433</v>
      </c>
      <c r="G246" s="38">
        <f t="shared" si="9"/>
        <v>0.51092749999997977</v>
      </c>
      <c r="H246" s="38">
        <f>VLOOKUP($B246,'Old LS-Reports'!$A$4:$V$344,6,FALSE)-D246</f>
        <v>269.55878519257436</v>
      </c>
      <c r="I246" s="16">
        <f>VLOOKUP($B246,'Correlation sheet'!$C$4:$M$373,9,FALSE)</f>
        <v>270.04471269257431</v>
      </c>
      <c r="J246" s="38">
        <f t="shared" si="10"/>
        <v>0.48592749999994567</v>
      </c>
      <c r="K246" s="38">
        <f>VLOOKUP($B246,'Old LS-Reports'!$A$4:$V$344,16,FALSE)-D246</f>
        <v>266.38482809257437</v>
      </c>
      <c r="L246" s="38">
        <f>VLOOKUP($B246,'Old LS-Reports'!$A$4:$V$344,19,FALSE)-D246</f>
        <v>267.43262269257434</v>
      </c>
      <c r="M246" s="38">
        <f t="shared" si="11"/>
        <v>2.6120899999999665</v>
      </c>
      <c r="N246" s="38">
        <f>VLOOKUP($B246,'Old LS-Reports'!$A$4:$V$344,8,FALSE)</f>
        <v>-8.2734255000000001</v>
      </c>
      <c r="P246" s="41"/>
    </row>
    <row r="247" spans="1:16" x14ac:dyDescent="0.25">
      <c r="A247" s="39">
        <v>286980</v>
      </c>
      <c r="B247" s="39">
        <v>95982.797999999995</v>
      </c>
      <c r="C247" s="40">
        <f>VLOOKUP($B247,'Correlation sheet'!$C$4:$M$373,6,FALSE)</f>
        <v>1176387.4161643316</v>
      </c>
      <c r="D247" s="16">
        <f>VLOOKUP($B247,'Correlation sheet'!$C$4:$N$373,11,FALSE)</f>
        <v>0.19933354198855113</v>
      </c>
      <c r="E247" s="38">
        <f>VLOOKUP($B247,'Old LS-Reports'!$A$4:$V$344,5,FALSE)-D247</f>
        <v>270.30910875801146</v>
      </c>
      <c r="F247" s="16">
        <f>VLOOKUP($B247,'Correlation sheet'!$C$4:$M$373,10,FALSE)</f>
        <v>270.83824095801145</v>
      </c>
      <c r="G247" s="38">
        <f t="shared" si="9"/>
        <v>0.52913219999999228</v>
      </c>
      <c r="H247" s="38">
        <f>VLOOKUP($B247,'Old LS-Reports'!$A$4:$V$344,6,FALSE)-D247</f>
        <v>269.62110875801147</v>
      </c>
      <c r="I247" s="16">
        <f>VLOOKUP($B247,'Correlation sheet'!$C$4:$M$373,9,FALSE)</f>
        <v>270.12524095801143</v>
      </c>
      <c r="J247" s="38">
        <f t="shared" si="10"/>
        <v>0.50413219999995817</v>
      </c>
      <c r="K247" s="38">
        <f>VLOOKUP($B247,'Old LS-Reports'!$A$4:$V$344,16,FALSE)-D247</f>
        <v>266.46751445801146</v>
      </c>
      <c r="L247" s="38">
        <f>VLOOKUP($B247,'Old LS-Reports'!$A$4:$V$344,19,FALSE)-D247</f>
        <v>267.76739995801142</v>
      </c>
      <c r="M247" s="38">
        <f t="shared" si="11"/>
        <v>2.3578410000000076</v>
      </c>
      <c r="N247" s="38">
        <f>VLOOKUP($B247,'Old LS-Reports'!$A$4:$V$344,8,FALSE)</f>
        <v>-8.3313118999999993</v>
      </c>
      <c r="P247" s="41"/>
    </row>
    <row r="248" spans="1:16" x14ac:dyDescent="0.25">
      <c r="A248" s="39">
        <v>287000</v>
      </c>
      <c r="B248" s="39">
        <v>96002.994000000006</v>
      </c>
      <c r="C248" s="40">
        <f>VLOOKUP($B248,'Correlation sheet'!$C$4:$M$373,6,FALSE)</f>
        <v>1176407.6129999999</v>
      </c>
      <c r="D248" s="16">
        <f>VLOOKUP($B248,'Correlation sheet'!$C$4:$N$373,11,FALSE)</f>
        <v>0.198570634820328</v>
      </c>
      <c r="E248" s="38">
        <f>VLOOKUP($B248,'Old LS-Reports'!$A$4:$V$344,5,FALSE)-D248</f>
        <v>270.36722556517969</v>
      </c>
      <c r="F248" s="16">
        <f>VLOOKUP($B248,'Correlation sheet'!$C$4:$M$373,10,FALSE)</f>
        <v>270.91956176517965</v>
      </c>
      <c r="G248" s="38">
        <f t="shared" si="9"/>
        <v>0.55233619999995653</v>
      </c>
      <c r="H248" s="38">
        <f>VLOOKUP($B248,'Old LS-Reports'!$A$4:$V$344,6,FALSE)-D248</f>
        <v>269.67922556517971</v>
      </c>
      <c r="I248" s="16">
        <f>VLOOKUP($B248,'Correlation sheet'!$C$4:$M$373,9,FALSE)</f>
        <v>270.20656176517963</v>
      </c>
      <c r="J248" s="38">
        <f t="shared" si="10"/>
        <v>0.52733619999992243</v>
      </c>
      <c r="K248" s="38">
        <f>VLOOKUP($B248,'Old LS-Reports'!$A$4:$V$344,16,FALSE)-D248</f>
        <v>266.41498146517966</v>
      </c>
      <c r="L248" s="38">
        <f>VLOOKUP($B248,'Old LS-Reports'!$A$4:$V$344,19,FALSE)-D248</f>
        <v>267.9521083651797</v>
      </c>
      <c r="M248" s="38">
        <f t="shared" si="11"/>
        <v>2.2544533999999317</v>
      </c>
      <c r="N248" s="38">
        <f>VLOOKUP($B248,'Old LS-Reports'!$A$4:$V$344,8,FALSE)</f>
        <v>-8.3964049000000003</v>
      </c>
      <c r="P248" s="41"/>
    </row>
    <row r="249" spans="1:16" x14ac:dyDescent="0.25">
      <c r="A249" s="39">
        <v>287000</v>
      </c>
      <c r="B249" s="39">
        <v>96002.994000000006</v>
      </c>
      <c r="C249" s="40">
        <f>VLOOKUP($B249,'Correlation sheet'!$C$4:$M$373,6,FALSE)</f>
        <v>1176407.6129999999</v>
      </c>
      <c r="D249" s="16">
        <f>VLOOKUP($B249,'Correlation sheet'!$C$4:$N$373,11,FALSE)</f>
        <v>0.198570634820328</v>
      </c>
      <c r="E249" s="38">
        <f>VLOOKUP($B249,'Old LS-Reports'!$A$4:$V$344,5,FALSE)-D249</f>
        <v>270.36722556517969</v>
      </c>
      <c r="F249" s="16">
        <f>VLOOKUP($B249,'Correlation sheet'!$C$4:$M$373,10,FALSE)</f>
        <v>270.91956176517965</v>
      </c>
      <c r="G249" s="38">
        <f t="shared" si="9"/>
        <v>0.55233619999995653</v>
      </c>
      <c r="H249" s="38">
        <f>VLOOKUP($B249,'Old LS-Reports'!$A$4:$V$344,6,FALSE)-D249</f>
        <v>269.67922556517971</v>
      </c>
      <c r="I249" s="16">
        <f>VLOOKUP($B249,'Correlation sheet'!$C$4:$M$373,9,FALSE)</f>
        <v>270.20656176517963</v>
      </c>
      <c r="J249" s="38">
        <f t="shared" si="10"/>
        <v>0.52733619999992243</v>
      </c>
      <c r="K249" s="38">
        <f>VLOOKUP($B249,'Old LS-Reports'!$A$4:$V$344,16,FALSE)-D249</f>
        <v>266.41498146517966</v>
      </c>
      <c r="L249" s="38">
        <f>VLOOKUP($B249,'Old LS-Reports'!$A$4:$V$344,19,FALSE)-D249</f>
        <v>267.9521083651797</v>
      </c>
      <c r="M249" s="38">
        <f t="shared" si="11"/>
        <v>2.2544533999999317</v>
      </c>
      <c r="N249" s="38">
        <f>VLOOKUP($B249,'Old LS-Reports'!$A$4:$V$344,8,FALSE)</f>
        <v>-8.3964049000000003</v>
      </c>
      <c r="P249" s="41"/>
    </row>
    <row r="250" spans="1:16" x14ac:dyDescent="0.25">
      <c r="A250" s="39">
        <v>287020</v>
      </c>
      <c r="B250" s="39">
        <v>96022.803</v>
      </c>
      <c r="C250" s="40">
        <f>VLOOKUP($B250,'Correlation sheet'!$C$4:$M$373,6,FALSE)</f>
        <v>1176427.4220000026</v>
      </c>
      <c r="D250" s="16">
        <f>VLOOKUP($B250,'Correlation sheet'!$C$4:$N$373,11,FALSE)</f>
        <v>0.1993522143231985</v>
      </c>
      <c r="E250" s="38">
        <f>VLOOKUP($B250,'Old LS-Reports'!$A$4:$V$344,5,FALSE)-D250</f>
        <v>270.42168598567679</v>
      </c>
      <c r="F250" s="16">
        <f>VLOOKUP($B250,'Correlation sheet'!$C$4:$M$373,10,FALSE)</f>
        <v>270.99932098567683</v>
      </c>
      <c r="G250" s="38">
        <f t="shared" si="9"/>
        <v>0.57763500000004342</v>
      </c>
      <c r="H250" s="38">
        <f>VLOOKUP($B250,'Old LS-Reports'!$A$4:$V$344,6,FALSE)-D250</f>
        <v>269.7336859856768</v>
      </c>
      <c r="I250" s="16">
        <f>VLOOKUP($B250,'Correlation sheet'!$C$4:$M$373,9,FALSE)</f>
        <v>270.28632098567681</v>
      </c>
      <c r="J250" s="38">
        <f t="shared" si="10"/>
        <v>0.55263500000000931</v>
      </c>
      <c r="K250" s="38">
        <f>VLOOKUP($B250,'Old LS-Reports'!$A$4:$V$344,16,FALSE)-D250</f>
        <v>266.4134629856768</v>
      </c>
      <c r="L250" s="38">
        <f>VLOOKUP($B250,'Old LS-Reports'!$A$4:$V$344,19,FALSE)-D250</f>
        <v>267.76735348567678</v>
      </c>
      <c r="M250" s="38">
        <f t="shared" si="11"/>
        <v>2.5189675000000307</v>
      </c>
      <c r="N250" s="38">
        <f>VLOOKUP($B250,'Old LS-Reports'!$A$4:$V$344,8,FALSE)</f>
        <v>-8.4645334999999999</v>
      </c>
      <c r="P250" s="41"/>
    </row>
    <row r="251" spans="1:16" x14ac:dyDescent="0.25">
      <c r="A251" s="39">
        <v>287040</v>
      </c>
      <c r="B251" s="39">
        <v>96042.803</v>
      </c>
      <c r="C251" s="40">
        <f>VLOOKUP($B251,'Correlation sheet'!$C$4:$M$373,6,FALSE)</f>
        <v>1176447.422</v>
      </c>
      <c r="D251" s="16">
        <f>VLOOKUP($B251,'Correlation sheet'!$C$4:$N$373,11,FALSE)</f>
        <v>0.19936174891233804</v>
      </c>
      <c r="E251" s="38">
        <f>VLOOKUP($B251,'Old LS-Reports'!$A$4:$V$344,5,FALSE)-D251</f>
        <v>270.47345965108764</v>
      </c>
      <c r="F251" s="16">
        <f>VLOOKUP($B251,'Correlation sheet'!$C$4:$M$373,10,FALSE)</f>
        <v>271.07984925108769</v>
      </c>
      <c r="G251" s="38">
        <f t="shared" si="9"/>
        <v>0.60638960000005682</v>
      </c>
      <c r="H251" s="38">
        <f>VLOOKUP($B251,'Old LS-Reports'!$A$4:$V$344,6,FALSE)-D251</f>
        <v>269.78545965108765</v>
      </c>
      <c r="I251" s="16">
        <f>VLOOKUP($B251,'Correlation sheet'!$C$4:$M$373,9,FALSE)</f>
        <v>270.36684925108767</v>
      </c>
      <c r="J251" s="38">
        <f t="shared" si="10"/>
        <v>0.58138960000002271</v>
      </c>
      <c r="K251" s="38">
        <f>VLOOKUP($B251,'Old LS-Reports'!$A$4:$V$344,16,FALSE)-D251</f>
        <v>266.47618685108768</v>
      </c>
      <c r="L251" s="38">
        <f>VLOOKUP($B251,'Old LS-Reports'!$A$4:$V$344,19,FALSE)-D251</f>
        <v>267.61049555108764</v>
      </c>
      <c r="M251" s="38">
        <f t="shared" si="11"/>
        <v>2.7563537000000338</v>
      </c>
      <c r="N251" s="38">
        <f>VLOOKUP($B251,'Old LS-Reports'!$A$4:$V$344,8,FALSE)</f>
        <v>-8.5319576999999995</v>
      </c>
      <c r="P251" s="41"/>
    </row>
    <row r="252" spans="1:16" x14ac:dyDescent="0.25">
      <c r="A252" s="39">
        <v>287060</v>
      </c>
      <c r="B252" s="39">
        <v>96062.803</v>
      </c>
      <c r="C252" s="40">
        <f>VLOOKUP($B252,'Correlation sheet'!$C$4:$M$373,6,FALSE)</f>
        <v>1176467.422000004</v>
      </c>
      <c r="D252" s="16">
        <f>VLOOKUP($B252,'Correlation sheet'!$C$4:$N$373,11,FALSE)</f>
        <v>0.19937428347520836</v>
      </c>
      <c r="E252" s="38">
        <f>VLOOKUP($B252,'Old LS-Reports'!$A$4:$V$344,5,FALSE)-D252</f>
        <v>270.52011311652478</v>
      </c>
      <c r="F252" s="16">
        <f>VLOOKUP($B252,'Correlation sheet'!$C$4:$M$373,10,FALSE)</f>
        <v>271.16037751652482</v>
      </c>
      <c r="G252" s="38">
        <f t="shared" si="9"/>
        <v>0.64026440000003504</v>
      </c>
      <c r="H252" s="38">
        <f>VLOOKUP($B252,'Old LS-Reports'!$A$4:$V$344,6,FALSE)-D252</f>
        <v>269.83211311652479</v>
      </c>
      <c r="I252" s="16">
        <f>VLOOKUP($B252,'Correlation sheet'!$C$4:$M$373,9,FALSE)</f>
        <v>270.4473775165248</v>
      </c>
      <c r="J252" s="38">
        <f t="shared" si="10"/>
        <v>0.61526440000000093</v>
      </c>
      <c r="K252" s="38">
        <f>VLOOKUP($B252,'Old LS-Reports'!$A$4:$V$344,16,FALSE)-D252</f>
        <v>266.50801391652482</v>
      </c>
      <c r="L252" s="38">
        <f>VLOOKUP($B252,'Old LS-Reports'!$A$4:$V$344,19,FALSE)-D252</f>
        <v>267.77094001652478</v>
      </c>
      <c r="M252" s="38">
        <f t="shared" si="11"/>
        <v>2.67643750000002</v>
      </c>
      <c r="N252" s="38">
        <f>VLOOKUP($B252,'Old LS-Reports'!$A$4:$V$344,8,FALSE)</f>
        <v>-8.5983459</v>
      </c>
      <c r="P252" s="41"/>
    </row>
    <row r="253" spans="1:16" x14ac:dyDescent="0.25">
      <c r="A253" s="39">
        <v>287080</v>
      </c>
      <c r="B253" s="39">
        <v>96082.803</v>
      </c>
      <c r="C253" s="40">
        <f>VLOOKUP($B253,'Correlation sheet'!$C$4:$M$373,6,FALSE)</f>
        <v>1176487.4219986452</v>
      </c>
      <c r="D253" s="16">
        <f>VLOOKUP($B253,'Correlation sheet'!$C$4:$N$373,11,FALSE)</f>
        <v>0.19938892352507764</v>
      </c>
      <c r="E253" s="38">
        <f>VLOOKUP($B253,'Old LS-Reports'!$A$4:$V$344,5,FALSE)-D253</f>
        <v>270.56803817647494</v>
      </c>
      <c r="F253" s="16">
        <f>VLOOKUP($B253,'Correlation sheet'!$C$4:$M$373,10,FALSE)</f>
        <v>271.2409057764749</v>
      </c>
      <c r="G253" s="38">
        <f t="shared" si="9"/>
        <v>0.67286759999996093</v>
      </c>
      <c r="H253" s="38">
        <f>VLOOKUP($B253,'Old LS-Reports'!$A$4:$V$344,6,FALSE)-D253</f>
        <v>269.88003817647495</v>
      </c>
      <c r="I253" s="16">
        <f>VLOOKUP($B253,'Correlation sheet'!$C$4:$M$373,9,FALSE)</f>
        <v>270.52790577647488</v>
      </c>
      <c r="J253" s="38">
        <f t="shared" si="10"/>
        <v>0.64786759999992682</v>
      </c>
      <c r="K253" s="38">
        <f>VLOOKUP($B253,'Old LS-Reports'!$A$4:$V$344,16,FALSE)-D253</f>
        <v>266.65913157647492</v>
      </c>
      <c r="L253" s="38">
        <f>VLOOKUP($B253,'Old LS-Reports'!$A$4:$V$344,19,FALSE)-D253</f>
        <v>267.71408127647493</v>
      </c>
      <c r="M253" s="38">
        <f t="shared" si="11"/>
        <v>2.8138244999999529</v>
      </c>
      <c r="N253" s="38">
        <f>VLOOKUP($B253,'Old LS-Reports'!$A$4:$V$344,8,FALSE)</f>
        <v>-8.6721369999999993</v>
      </c>
      <c r="P253" s="41"/>
    </row>
    <row r="254" spans="1:16" x14ac:dyDescent="0.25">
      <c r="A254" s="39">
        <v>287100</v>
      </c>
      <c r="B254" s="39">
        <v>96102.804000000004</v>
      </c>
      <c r="C254" s="40">
        <f>VLOOKUP($B254,'Correlation sheet'!$C$4:$M$373,6,FALSE)</f>
        <v>1176507.4229824084</v>
      </c>
      <c r="D254" s="16">
        <f>VLOOKUP($B254,'Correlation sheet'!$C$4:$N$373,11,FALSE)</f>
        <v>0.19939879706652164</v>
      </c>
      <c r="E254" s="38">
        <f>VLOOKUP($B254,'Old LS-Reports'!$A$4:$V$344,5,FALSE)-D254</f>
        <v>270.61861690293347</v>
      </c>
      <c r="F254" s="16">
        <f>VLOOKUP($B254,'Correlation sheet'!$C$4:$M$373,10,FALSE)</f>
        <v>271.32143800293346</v>
      </c>
      <c r="G254" s="38">
        <f t="shared" si="9"/>
        <v>0.7028210999999942</v>
      </c>
      <c r="H254" s="38">
        <f>VLOOKUP($B254,'Old LS-Reports'!$A$4:$V$344,6,FALSE)-D254</f>
        <v>269.93061690293348</v>
      </c>
      <c r="I254" s="16">
        <f>VLOOKUP($B254,'Correlation sheet'!$C$4:$M$373,9,FALSE)</f>
        <v>270.60843800293344</v>
      </c>
      <c r="J254" s="38">
        <f t="shared" si="10"/>
        <v>0.6778210999999601</v>
      </c>
      <c r="K254" s="38">
        <f>VLOOKUP($B254,'Old LS-Reports'!$A$4:$V$344,16,FALSE)-D254</f>
        <v>266.80736180293349</v>
      </c>
      <c r="L254" s="38">
        <f>VLOOKUP($B254,'Old LS-Reports'!$A$4:$V$344,19,FALSE)-D254</f>
        <v>267.64834420293346</v>
      </c>
      <c r="M254" s="38">
        <f t="shared" si="11"/>
        <v>2.9600937999999815</v>
      </c>
      <c r="N254" s="38">
        <f>VLOOKUP($B254,'Old LS-Reports'!$A$4:$V$344,8,FALSE)</f>
        <v>-8.8034513000000008</v>
      </c>
      <c r="P254" s="41"/>
    </row>
    <row r="255" spans="1:16" x14ac:dyDescent="0.25">
      <c r="A255" s="39">
        <v>287120</v>
      </c>
      <c r="B255" s="39">
        <v>96122.790999999997</v>
      </c>
      <c r="C255" s="40">
        <f>VLOOKUP($B255,'Correlation sheet'!$C$4:$M$373,6,FALSE)</f>
        <v>1176527.4099616127</v>
      </c>
      <c r="D255" s="16">
        <f>VLOOKUP($B255,'Correlation sheet'!$C$4:$N$373,11,FALSE)</f>
        <v>0.19941145875026223</v>
      </c>
      <c r="E255" s="38">
        <f>VLOOKUP($B255,'Old LS-Reports'!$A$4:$V$344,5,FALSE)-D255</f>
        <v>270.68102344124975</v>
      </c>
      <c r="F255" s="16">
        <f>VLOOKUP($B255,'Correlation sheet'!$C$4:$M$373,10,FALSE)</f>
        <v>271.40191384124972</v>
      </c>
      <c r="G255" s="38">
        <f t="shared" si="9"/>
        <v>0.7208903999999734</v>
      </c>
      <c r="H255" s="38">
        <f>VLOOKUP($B255,'Old LS-Reports'!$A$4:$V$344,6,FALSE)-D255</f>
        <v>269.99302344124976</v>
      </c>
      <c r="I255" s="16">
        <f>VLOOKUP($B255,'Correlation sheet'!$C$4:$M$373,9,FALSE)</f>
        <v>270.6889138412497</v>
      </c>
      <c r="J255" s="38">
        <f t="shared" si="10"/>
        <v>0.69589039999993929</v>
      </c>
      <c r="K255" s="38">
        <f>VLOOKUP($B255,'Old LS-Reports'!$A$4:$V$344,16,FALSE)-D255</f>
        <v>266.73534274124972</v>
      </c>
      <c r="L255" s="38">
        <f>VLOOKUP($B255,'Old LS-Reports'!$A$4:$V$344,19,FALSE)-D255</f>
        <v>267.50337044124973</v>
      </c>
      <c r="M255" s="38">
        <f t="shared" si="11"/>
        <v>3.1855433999999718</v>
      </c>
      <c r="N255" s="38">
        <f>VLOOKUP($B255,'Old LS-Reports'!$A$4:$V$344,8,FALSE)</f>
        <v>-9.0207073999999992</v>
      </c>
      <c r="P255" s="41"/>
    </row>
    <row r="256" spans="1:16" x14ac:dyDescent="0.25">
      <c r="A256" s="39">
        <v>287140</v>
      </c>
      <c r="B256" s="39">
        <v>96142.793000000005</v>
      </c>
      <c r="C256" s="40">
        <f>VLOOKUP($B256,'Correlation sheet'!$C$4:$M$373,6,FALSE)</f>
        <v>1176547.4119407781</v>
      </c>
      <c r="D256" s="16">
        <f>VLOOKUP($B256,'Correlation sheet'!$C$4:$N$373,11,FALSE)</f>
        <v>0.19942442439094066</v>
      </c>
      <c r="E256" s="38">
        <f>VLOOKUP($B256,'Old LS-Reports'!$A$4:$V$344,5,FALSE)-D256</f>
        <v>270.76559627560908</v>
      </c>
      <c r="F256" s="16">
        <f>VLOOKUP($B256,'Correlation sheet'!$C$4:$M$373,10,FALSE)</f>
        <v>271.48245007560905</v>
      </c>
      <c r="G256" s="38">
        <f t="shared" si="9"/>
        <v>0.71685379999996712</v>
      </c>
      <c r="H256" s="38">
        <f>VLOOKUP($B256,'Old LS-Reports'!$A$4:$V$344,6,FALSE)-D256</f>
        <v>270.0775962756091</v>
      </c>
      <c r="I256" s="16">
        <f>VLOOKUP($B256,'Correlation sheet'!$C$4:$M$373,9,FALSE)</f>
        <v>270.76945007560903</v>
      </c>
      <c r="J256" s="38">
        <f t="shared" si="10"/>
        <v>0.69185379999993302</v>
      </c>
      <c r="K256" s="38">
        <f>VLOOKUP($B256,'Old LS-Reports'!$A$4:$V$344,16,FALSE)-D256</f>
        <v>268.51956737560909</v>
      </c>
      <c r="L256" s="38">
        <f>VLOOKUP($B256,'Old LS-Reports'!$A$4:$V$344,19,FALSE)-D256</f>
        <v>269.49845297560904</v>
      </c>
      <c r="M256" s="38">
        <f t="shared" si="11"/>
        <v>1.2709970999999882</v>
      </c>
      <c r="N256" s="38">
        <f>VLOOKUP($B256,'Old LS-Reports'!$A$4:$V$344,8,FALSE)</f>
        <v>-9.3175863999999997</v>
      </c>
      <c r="P256" s="41"/>
    </row>
    <row r="257" spans="1:16" x14ac:dyDescent="0.25">
      <c r="A257" s="39">
        <v>287160</v>
      </c>
      <c r="B257" s="39">
        <v>96162.804999999993</v>
      </c>
      <c r="C257" s="40">
        <f>VLOOKUP($B257,'Correlation sheet'!$C$4:$M$373,6,FALSE)</f>
        <v>1176567.4239241953</v>
      </c>
      <c r="D257" s="16">
        <f>VLOOKUP($B257,'Correlation sheet'!$C$4:$N$373,11,FALSE)</f>
        <v>0.19943430877970059</v>
      </c>
      <c r="E257" s="38">
        <f>VLOOKUP($B257,'Old LS-Reports'!$A$4:$V$344,5,FALSE)-D257</f>
        <v>270.85362949122032</v>
      </c>
      <c r="F257" s="16">
        <f>VLOOKUP($B257,'Correlation sheet'!$C$4:$M$373,10,FALSE)</f>
        <v>271.56302659122031</v>
      </c>
      <c r="G257" s="38">
        <f t="shared" si="9"/>
        <v>0.70939709999998968</v>
      </c>
      <c r="H257" s="38">
        <f>VLOOKUP($B257,'Old LS-Reports'!$A$4:$V$344,6,FALSE)-D257</f>
        <v>270.16562949122033</v>
      </c>
      <c r="I257" s="16">
        <f>VLOOKUP($B257,'Correlation sheet'!$C$4:$M$373,9,FALSE)</f>
        <v>270.85002659122028</v>
      </c>
      <c r="J257" s="38">
        <f t="shared" si="10"/>
        <v>0.68439709999995557</v>
      </c>
      <c r="K257" s="38">
        <f>VLOOKUP($B257,'Old LS-Reports'!$A$4:$V$344,16,FALSE)-D257</f>
        <v>264.72533329122029</v>
      </c>
      <c r="L257" s="38">
        <f>VLOOKUP($B257,'Old LS-Reports'!$A$4:$V$344,19,FALSE)-D257</f>
        <v>268.05391699122032</v>
      </c>
      <c r="M257" s="38">
        <f t="shared" si="11"/>
        <v>2.7961095999999657</v>
      </c>
      <c r="N257" s="38">
        <f>VLOOKUP($B257,'Old LS-Reports'!$A$4:$V$344,8,FALSE)</f>
        <v>-9.7180730999999998</v>
      </c>
      <c r="P257" s="41"/>
    </row>
    <row r="258" spans="1:16" x14ac:dyDescent="0.25">
      <c r="A258" s="39">
        <v>287180</v>
      </c>
      <c r="B258" s="39">
        <v>96182.81</v>
      </c>
      <c r="C258" s="40">
        <f>VLOOKUP($B258,'Correlation sheet'!$C$4:$M$373,6,FALSE)</f>
        <v>1176587.4289227144</v>
      </c>
      <c r="D258" s="16">
        <f>VLOOKUP($B258,'Correlation sheet'!$C$4:$N$373,11,FALSE)</f>
        <v>0.19944811725491718</v>
      </c>
      <c r="E258" s="38">
        <f>VLOOKUP($B258,'Old LS-Reports'!$A$4:$V$344,5,FALSE)-D258</f>
        <v>270.94698458274507</v>
      </c>
      <c r="F258" s="16">
        <f>VLOOKUP($B258,'Correlation sheet'!$C$4:$M$373,10,FALSE)</f>
        <v>271.64357498274506</v>
      </c>
      <c r="G258" s="38">
        <f t="shared" si="9"/>
        <v>0.69659039999999095</v>
      </c>
      <c r="H258" s="38">
        <f>VLOOKUP($B258,'Old LS-Reports'!$A$4:$V$344,6,FALSE)-D258</f>
        <v>270.25898458274509</v>
      </c>
      <c r="I258" s="16">
        <f>VLOOKUP($B258,'Correlation sheet'!$C$4:$M$373,9,FALSE)</f>
        <v>270.93057498274504</v>
      </c>
      <c r="J258" s="38">
        <f t="shared" si="10"/>
        <v>0.67159039999995684</v>
      </c>
      <c r="K258" s="38">
        <f>VLOOKUP($B258,'Old LS-Reports'!$A$4:$V$344,16,FALSE)-D258</f>
        <v>264.02066628274508</v>
      </c>
      <c r="L258" s="38">
        <f>VLOOKUP($B258,'Old LS-Reports'!$A$4:$V$344,19,FALSE)-D258</f>
        <v>266.81885198274506</v>
      </c>
      <c r="M258" s="38">
        <f t="shared" si="11"/>
        <v>4.1117229999999836</v>
      </c>
      <c r="N258" s="38">
        <f>VLOOKUP($B258,'Old LS-Reports'!$A$4:$V$344,8,FALSE)</f>
        <v>-10.185727699999999</v>
      </c>
      <c r="P258" s="41"/>
    </row>
    <row r="259" spans="1:16" x14ac:dyDescent="0.25">
      <c r="A259" s="39">
        <v>287200</v>
      </c>
      <c r="B259" s="39">
        <v>96202.805999999997</v>
      </c>
      <c r="C259" s="40">
        <f>VLOOKUP($B259,'Correlation sheet'!$C$4:$M$373,6,FALSE)</f>
        <v>1176607.4249227145</v>
      </c>
      <c r="D259" s="16">
        <f>VLOOKUP($B259,'Correlation sheet'!$C$4:$N$373,11,FALSE)</f>
        <v>0.19945845748668489</v>
      </c>
      <c r="E259" s="38">
        <f>VLOOKUP($B259,'Old LS-Reports'!$A$4:$V$344,5,FALSE)-D259</f>
        <v>271.01774154251331</v>
      </c>
      <c r="F259" s="16">
        <f>VLOOKUP($B259,'Correlation sheet'!$C$4:$M$373,10,FALSE)</f>
        <v>271.72408714251333</v>
      </c>
      <c r="G259" s="38">
        <f t="shared" ref="G259:G322" si="12">F259-E259</f>
        <v>0.70634560000002011</v>
      </c>
      <c r="H259" s="38">
        <f>VLOOKUP($B259,'Old LS-Reports'!$A$4:$V$344,6,FALSE)-D259</f>
        <v>270.32974154251332</v>
      </c>
      <c r="I259" s="16">
        <f>VLOOKUP($B259,'Correlation sheet'!$C$4:$M$373,9,FALSE)</f>
        <v>271.0110871425133</v>
      </c>
      <c r="J259" s="38">
        <f t="shared" ref="J259:J322" si="13">I259-H259</f>
        <v>0.68134559999998601</v>
      </c>
      <c r="K259" s="38">
        <f>VLOOKUP($B259,'Old LS-Reports'!$A$4:$V$344,16,FALSE)-D259</f>
        <v>264.9296268425133</v>
      </c>
      <c r="L259" s="38">
        <f>VLOOKUP($B259,'Old LS-Reports'!$A$4:$V$344,19,FALSE)-D259</f>
        <v>265.75391704251331</v>
      </c>
      <c r="M259" s="38">
        <f t="shared" ref="M259:M322" si="14">I259-L259</f>
        <v>5.2571700999999962</v>
      </c>
      <c r="N259" s="38">
        <f>VLOOKUP($B259,'Old LS-Reports'!$A$4:$V$344,8,FALSE)</f>
        <v>-10.6529446</v>
      </c>
      <c r="P259" s="41"/>
    </row>
    <row r="260" spans="1:16" x14ac:dyDescent="0.25">
      <c r="A260" s="39">
        <v>287220</v>
      </c>
      <c r="B260" s="39">
        <v>96222.811000000002</v>
      </c>
      <c r="C260" s="40">
        <f>VLOOKUP($B260,'Correlation sheet'!$C$4:$M$373,6,FALSE)</f>
        <v>1176627.4299227169</v>
      </c>
      <c r="D260" s="16">
        <f>VLOOKUP($B260,'Correlation sheet'!$C$4:$N$373,11,FALSE)</f>
        <v>0.19947125998930915</v>
      </c>
      <c r="E260" s="38">
        <f>VLOOKUP($B260,'Old LS-Reports'!$A$4:$V$344,5,FALSE)-D260</f>
        <v>271.05553974001072</v>
      </c>
      <c r="F260" s="16">
        <f>VLOOKUP($B260,'Correlation sheet'!$C$4:$M$373,10,FALSE)</f>
        <v>271.80463554001068</v>
      </c>
      <c r="G260" s="38">
        <f t="shared" si="12"/>
        <v>0.74909579999996367</v>
      </c>
      <c r="H260" s="38">
        <f>VLOOKUP($B260,'Old LS-Reports'!$A$4:$V$344,6,FALSE)-D260</f>
        <v>270.36753974001073</v>
      </c>
      <c r="I260" s="16">
        <f>VLOOKUP($B260,'Correlation sheet'!$C$4:$M$373,9,FALSE)</f>
        <v>271.09163554001066</v>
      </c>
      <c r="J260" s="38">
        <f t="shared" si="13"/>
        <v>0.72409579999992957</v>
      </c>
      <c r="K260" s="38">
        <f>VLOOKUP($B260,'Old LS-Reports'!$A$4:$V$344,16,FALSE)-D260</f>
        <v>265.34879054001067</v>
      </c>
      <c r="L260" s="38">
        <f>VLOOKUP($B260,'Old LS-Reports'!$A$4:$V$344,19,FALSE)-D260</f>
        <v>267.33643434001067</v>
      </c>
      <c r="M260" s="38">
        <f t="shared" si="14"/>
        <v>3.7552011999999877</v>
      </c>
      <c r="N260" s="38">
        <f>VLOOKUP($B260,'Old LS-Reports'!$A$4:$V$344,8,FALSE)</f>
        <v>-11.1091573</v>
      </c>
      <c r="P260" s="41"/>
    </row>
    <row r="261" spans="1:16" x14ac:dyDescent="0.25">
      <c r="A261" s="39">
        <v>287240</v>
      </c>
      <c r="B261" s="39">
        <v>96242.834000000003</v>
      </c>
      <c r="C261" s="40">
        <f>VLOOKUP($B261,'Correlation sheet'!$C$4:$M$373,6,FALSE)</f>
        <v>1176647.4529227153</v>
      </c>
      <c r="D261" s="16">
        <f>VLOOKUP($B261,'Correlation sheet'!$C$4:$N$373,11,FALSE)</f>
        <v>0.19948568706934111</v>
      </c>
      <c r="E261" s="38">
        <f>VLOOKUP($B261,'Old LS-Reports'!$A$4:$V$344,5,FALSE)-D261</f>
        <v>271.09393731293068</v>
      </c>
      <c r="F261" s="16">
        <f>VLOOKUP($B261,'Correlation sheet'!$C$4:$M$373,10,FALSE)</f>
        <v>271.88525641293069</v>
      </c>
      <c r="G261" s="38">
        <f t="shared" si="12"/>
        <v>0.79131910000000971</v>
      </c>
      <c r="H261" s="38">
        <f>VLOOKUP($B261,'Old LS-Reports'!$A$4:$V$344,6,FALSE)-D261</f>
        <v>270.40593731293069</v>
      </c>
      <c r="I261" s="16">
        <f>VLOOKUP($B261,'Correlation sheet'!$C$4:$M$373,9,FALSE)</f>
        <v>271.17225641293066</v>
      </c>
      <c r="J261" s="38">
        <f t="shared" si="13"/>
        <v>0.76631909999997561</v>
      </c>
      <c r="K261" s="38">
        <f>VLOOKUP($B261,'Old LS-Reports'!$A$4:$V$344,16,FALSE)-D261</f>
        <v>265.70263031293064</v>
      </c>
      <c r="L261" s="38">
        <f>VLOOKUP($B261,'Old LS-Reports'!$A$4:$V$344,19,FALSE)-D261</f>
        <v>266.90852961293064</v>
      </c>
      <c r="M261" s="38">
        <f t="shared" si="14"/>
        <v>4.263726800000029</v>
      </c>
      <c r="N261" s="38">
        <f>VLOOKUP($B261,'Old LS-Reports'!$A$4:$V$344,8,FALSE)</f>
        <v>-11.5841338</v>
      </c>
      <c r="P261" s="41"/>
    </row>
    <row r="262" spans="1:16" x14ac:dyDescent="0.25">
      <c r="A262" s="39">
        <v>287260</v>
      </c>
      <c r="B262" s="39">
        <v>96262.84</v>
      </c>
      <c r="C262" s="40">
        <f>VLOOKUP($B262,'Correlation sheet'!$C$4:$M$373,6,FALSE)</f>
        <v>1176667.4589227161</v>
      </c>
      <c r="D262" s="16">
        <f>VLOOKUP($B262,'Correlation sheet'!$C$4:$N$373,11,FALSE)</f>
        <v>0.19949756316549383</v>
      </c>
      <c r="E262" s="38">
        <f>VLOOKUP($B262,'Old LS-Reports'!$A$4:$V$344,5,FALSE)-D262</f>
        <v>271.13277793683449</v>
      </c>
      <c r="F262" s="16">
        <f>VLOOKUP($B262,'Correlation sheet'!$C$4:$M$373,10,FALSE)</f>
        <v>271.96580883683453</v>
      </c>
      <c r="G262" s="38">
        <f t="shared" si="12"/>
        <v>0.83303090000003976</v>
      </c>
      <c r="H262" s="38">
        <f>VLOOKUP($B262,'Old LS-Reports'!$A$4:$V$344,6,FALSE)-D262</f>
        <v>270.4447779368345</v>
      </c>
      <c r="I262" s="16">
        <f>VLOOKUP($B262,'Correlation sheet'!$C$4:$M$373,9,FALSE)</f>
        <v>271.2528088368345</v>
      </c>
      <c r="J262" s="38">
        <f t="shared" si="13"/>
        <v>0.80803090000000566</v>
      </c>
      <c r="K262" s="38">
        <f>VLOOKUP($B262,'Old LS-Reports'!$A$4:$V$344,16,FALSE)-D262</f>
        <v>265.32976193683453</v>
      </c>
      <c r="L262" s="38">
        <f>VLOOKUP($B262,'Old LS-Reports'!$A$4:$V$344,19,FALSE)-D262</f>
        <v>266.68009233683449</v>
      </c>
      <c r="M262" s="38">
        <f t="shared" si="14"/>
        <v>4.5727165000000127</v>
      </c>
      <c r="N262" s="38">
        <f>VLOOKUP($B262,'Old LS-Reports'!$A$4:$V$344,8,FALSE)</f>
        <v>-12.0721246</v>
      </c>
      <c r="P262" s="41"/>
    </row>
    <row r="263" spans="1:16" x14ac:dyDescent="0.25">
      <c r="A263" s="39">
        <v>287280</v>
      </c>
      <c r="B263" s="39">
        <v>96282.827999999994</v>
      </c>
      <c r="C263" s="40">
        <f>VLOOKUP($B263,'Correlation sheet'!$C$4:$M$373,6,FALSE)</f>
        <v>1176687.4469227151</v>
      </c>
      <c r="D263" s="16">
        <f>VLOOKUP($B263,'Correlation sheet'!$C$4:$N$373,11,FALSE)</f>
        <v>0.19950911470772326</v>
      </c>
      <c r="E263" s="38">
        <f>VLOOKUP($B263,'Old LS-Reports'!$A$4:$V$344,5,FALSE)-D263</f>
        <v>271.17494778529226</v>
      </c>
      <c r="F263" s="16">
        <f>VLOOKUP($B263,'Correlation sheet'!$C$4:$M$373,10,FALSE)</f>
        <v>272.04628878529229</v>
      </c>
      <c r="G263" s="38">
        <f t="shared" si="12"/>
        <v>0.87134100000002945</v>
      </c>
      <c r="H263" s="38">
        <f>VLOOKUP($B263,'Old LS-Reports'!$A$4:$V$344,6,FALSE)-D263</f>
        <v>270.48694778529227</v>
      </c>
      <c r="I263" s="16">
        <f>VLOOKUP($B263,'Correlation sheet'!$C$4:$M$373,9,FALSE)</f>
        <v>271.33328878529227</v>
      </c>
      <c r="J263" s="38">
        <f t="shared" si="13"/>
        <v>0.84634099999999535</v>
      </c>
      <c r="K263" s="38">
        <f>VLOOKUP($B263,'Old LS-Reports'!$A$4:$V$344,16,FALSE)-D263</f>
        <v>266.45770558529227</v>
      </c>
      <c r="L263" s="38">
        <f>VLOOKUP($B263,'Old LS-Reports'!$A$4:$V$344,19,FALSE)-D263</f>
        <v>266.66904488529229</v>
      </c>
      <c r="M263" s="38">
        <f t="shared" si="14"/>
        <v>4.664243899999974</v>
      </c>
      <c r="N263" s="38">
        <f>VLOOKUP($B263,'Old LS-Reports'!$A$4:$V$344,8,FALSE)</f>
        <v>-12.5455104</v>
      </c>
      <c r="P263" s="41"/>
    </row>
    <row r="264" spans="1:16" x14ac:dyDescent="0.25">
      <c r="A264" s="39">
        <v>287300</v>
      </c>
      <c r="B264" s="39">
        <v>96302.832999999999</v>
      </c>
      <c r="C264" s="40">
        <f>VLOOKUP($B264,'Correlation sheet'!$C$4:$M$373,6,FALSE)</f>
        <v>1176707.4519225422</v>
      </c>
      <c r="D264" s="16">
        <f>VLOOKUP($B264,'Correlation sheet'!$C$4:$N$373,11,FALSE)</f>
        <v>0.19952231791626218</v>
      </c>
      <c r="E264" s="38">
        <f>VLOOKUP($B264,'Old LS-Reports'!$A$4:$V$344,5,FALSE)-D264</f>
        <v>271.22054858208372</v>
      </c>
      <c r="F264" s="16">
        <f>VLOOKUP($B264,'Correlation sheet'!$C$4:$M$373,10,FALSE)</f>
        <v>272.12683718208376</v>
      </c>
      <c r="G264" s="38">
        <f t="shared" si="12"/>
        <v>0.90628860000003897</v>
      </c>
      <c r="H264" s="38">
        <f>VLOOKUP($B264,'Old LS-Reports'!$A$4:$V$344,6,FALSE)-D264</f>
        <v>270.53254858208373</v>
      </c>
      <c r="I264" s="16">
        <f>VLOOKUP($B264,'Correlation sheet'!$C$4:$M$373,9,FALSE)</f>
        <v>271.41383718208374</v>
      </c>
      <c r="J264" s="38">
        <f t="shared" si="13"/>
        <v>0.88128860000000486</v>
      </c>
      <c r="K264" s="38">
        <f>VLOOKUP($B264,'Old LS-Reports'!$A$4:$V$344,16,FALSE)-D264</f>
        <v>266.42947228208374</v>
      </c>
      <c r="L264" s="38">
        <f>VLOOKUP($B264,'Old LS-Reports'!$A$4:$V$344,19,FALSE)-D264</f>
        <v>266.66402328208375</v>
      </c>
      <c r="M264" s="38">
        <f t="shared" si="14"/>
        <v>4.7498138999999924</v>
      </c>
      <c r="N264" s="38">
        <f>VLOOKUP($B264,'Old LS-Reports'!$A$4:$V$344,8,FALSE)</f>
        <v>-13.0028378</v>
      </c>
      <c r="P264" s="41"/>
    </row>
    <row r="265" spans="1:16" x14ac:dyDescent="0.25">
      <c r="A265" s="39">
        <v>287320</v>
      </c>
      <c r="B265" s="39">
        <v>96322.85</v>
      </c>
      <c r="C265" s="40">
        <f>VLOOKUP($B265,'Correlation sheet'!$C$4:$M$373,6,FALSE)</f>
        <v>1176727.4689153505</v>
      </c>
      <c r="D265" s="16">
        <f>VLOOKUP($B265,'Correlation sheet'!$C$4:$N$373,11,FALSE)</f>
        <v>0.1995313324261474</v>
      </c>
      <c r="E265" s="38">
        <f>VLOOKUP($B265,'Old LS-Reports'!$A$4:$V$344,5,FALSE)-D265</f>
        <v>271.28696006757383</v>
      </c>
      <c r="F265" s="16">
        <f>VLOOKUP($B265,'Correlation sheet'!$C$4:$M$373,10,FALSE)</f>
        <v>272.20743386757385</v>
      </c>
      <c r="G265" s="38">
        <f t="shared" si="12"/>
        <v>0.92047380000002477</v>
      </c>
      <c r="H265" s="38">
        <f>VLOOKUP($B265,'Old LS-Reports'!$A$4:$V$344,6,FALSE)-D265</f>
        <v>270.59896006757384</v>
      </c>
      <c r="I265" s="16">
        <f>VLOOKUP($B265,'Correlation sheet'!$C$4:$M$373,9,FALSE)</f>
        <v>271.49443386757383</v>
      </c>
      <c r="J265" s="38">
        <f t="shared" si="13"/>
        <v>0.89547379999999066</v>
      </c>
      <c r="K265" s="38">
        <f>VLOOKUP($B265,'Old LS-Reports'!$A$4:$V$344,16,FALSE)-D265</f>
        <v>264.42936696757386</v>
      </c>
      <c r="L265" s="38">
        <f>VLOOKUP($B265,'Old LS-Reports'!$A$4:$V$344,19,FALSE)-D265</f>
        <v>266.68979716757383</v>
      </c>
      <c r="M265" s="38">
        <f t="shared" si="14"/>
        <v>4.8046367000000032</v>
      </c>
      <c r="N265" s="38">
        <f>VLOOKUP($B265,'Old LS-Reports'!$A$4:$V$344,8,FALSE)</f>
        <v>-13.433999999999999</v>
      </c>
      <c r="P265" s="41"/>
    </row>
    <row r="266" spans="1:16" x14ac:dyDescent="0.25">
      <c r="A266" s="39">
        <v>287340</v>
      </c>
      <c r="B266" s="39">
        <v>96342.846000000005</v>
      </c>
      <c r="C266" s="40">
        <f>VLOOKUP($B266,'Correlation sheet'!$C$4:$M$373,6,FALSE)</f>
        <v>1176747.4649020252</v>
      </c>
      <c r="D266" s="16">
        <f>VLOOKUP($B266,'Correlation sheet'!$C$4:$N$373,11,FALSE)</f>
        <v>0.19954352631128813</v>
      </c>
      <c r="E266" s="38">
        <f>VLOOKUP($B266,'Old LS-Reports'!$A$4:$V$344,5,FALSE)-D266</f>
        <v>271.37832997368872</v>
      </c>
      <c r="F266" s="16">
        <f>VLOOKUP($B266,'Correlation sheet'!$C$4:$M$373,10,FALSE)</f>
        <v>272.28794597368869</v>
      </c>
      <c r="G266" s="38">
        <f t="shared" si="12"/>
        <v>0.90961599999997134</v>
      </c>
      <c r="H266" s="38">
        <f>VLOOKUP($B266,'Old LS-Reports'!$A$4:$V$344,6,FALSE)-D266</f>
        <v>270.69032997368873</v>
      </c>
      <c r="I266" s="16">
        <f>VLOOKUP($B266,'Correlation sheet'!$C$4:$M$373,9,FALSE)</f>
        <v>271.57494597368867</v>
      </c>
      <c r="J266" s="38">
        <f t="shared" si="13"/>
        <v>0.88461599999993723</v>
      </c>
      <c r="K266" s="38">
        <f>VLOOKUP($B266,'Old LS-Reports'!$A$4:$V$344,16,FALSE)-D266</f>
        <v>264.68685787368872</v>
      </c>
      <c r="L266" s="38">
        <f>VLOOKUP($B266,'Old LS-Reports'!$A$4:$V$344,19,FALSE)-D266</f>
        <v>264.3998897736887</v>
      </c>
      <c r="M266" s="38">
        <f t="shared" si="14"/>
        <v>7.1750561999999718</v>
      </c>
      <c r="N266" s="38">
        <f>VLOOKUP($B266,'Old LS-Reports'!$A$4:$V$344,8,FALSE)</f>
        <v>-13.804</v>
      </c>
      <c r="P266" s="41"/>
    </row>
    <row r="267" spans="1:16" x14ac:dyDescent="0.25">
      <c r="A267" s="39">
        <v>287360</v>
      </c>
      <c r="B267" s="39">
        <v>96362.846000000005</v>
      </c>
      <c r="C267" s="40">
        <f>VLOOKUP($B267,'Correlation sheet'!$C$4:$M$373,6,FALSE)</f>
        <v>1176767.4648886926</v>
      </c>
      <c r="D267" s="16">
        <f>VLOOKUP($B267,'Correlation sheet'!$C$4:$N$373,11,FALSE)</f>
        <v>0.19955851457262952</v>
      </c>
      <c r="E267" s="38">
        <f>VLOOKUP($B267,'Old LS-Reports'!$A$4:$V$344,5,FALSE)-D267</f>
        <v>271.41728298542739</v>
      </c>
      <c r="F267" s="16">
        <f>VLOOKUP($B267,'Correlation sheet'!$C$4:$M$373,10,FALSE)</f>
        <v>272.36847418542737</v>
      </c>
      <c r="G267" s="38">
        <f t="shared" si="12"/>
        <v>0.95119119999998247</v>
      </c>
      <c r="H267" s="38">
        <f>VLOOKUP($B267,'Old LS-Reports'!$A$4:$V$344,6,FALSE)-D267</f>
        <v>270.7292829854274</v>
      </c>
      <c r="I267" s="16">
        <f>VLOOKUP($B267,'Correlation sheet'!$C$4:$M$373,9,FALSE)</f>
        <v>271.65547418542735</v>
      </c>
      <c r="J267" s="38">
        <f t="shared" si="13"/>
        <v>0.92619119999994837</v>
      </c>
      <c r="K267" s="38">
        <f>VLOOKUP($B267,'Old LS-Reports'!$A$4:$V$344,16,FALSE)-D267</f>
        <v>264.71802938542737</v>
      </c>
      <c r="L267" s="38">
        <f>VLOOKUP($B267,'Old LS-Reports'!$A$4:$V$344,19,FALSE)-D267</f>
        <v>264.97489958542735</v>
      </c>
      <c r="M267" s="38">
        <f t="shared" si="14"/>
        <v>6.6805745999999999</v>
      </c>
      <c r="N267" s="38">
        <f>VLOOKUP($B267,'Old LS-Reports'!$A$4:$V$344,8,FALSE)</f>
        <v>-14.086</v>
      </c>
      <c r="P267" s="41"/>
    </row>
    <row r="268" spans="1:16" x14ac:dyDescent="0.25">
      <c r="A268" s="39">
        <v>287380</v>
      </c>
      <c r="B268" s="39">
        <v>96382.82</v>
      </c>
      <c r="C268" s="40">
        <f>VLOOKUP($B268,'Correlation sheet'!$C$4:$M$373,6,FALSE)</f>
        <v>1176787.4388754107</v>
      </c>
      <c r="D268" s="16">
        <f>VLOOKUP($B268,'Correlation sheet'!$C$4:$N$373,11,FALSE)</f>
        <v>0.19956738937491991</v>
      </c>
      <c r="E268" s="38">
        <f>VLOOKUP($B268,'Old LS-Reports'!$A$4:$V$344,5,FALSE)-D268</f>
        <v>271.44555951062506</v>
      </c>
      <c r="F268" s="16">
        <f>VLOOKUP($B268,'Correlation sheet'!$C$4:$M$373,10,FALSE)</f>
        <v>272.44889771062509</v>
      </c>
      <c r="G268" s="38">
        <f t="shared" si="12"/>
        <v>1.0033382000000302</v>
      </c>
      <c r="H268" s="38">
        <f>VLOOKUP($B268,'Old LS-Reports'!$A$4:$V$344,6,FALSE)-D268</f>
        <v>270.75755951062507</v>
      </c>
      <c r="I268" s="16">
        <f>VLOOKUP($B268,'Correlation sheet'!$C$4:$M$373,9,FALSE)</f>
        <v>271.73589771062507</v>
      </c>
      <c r="J268" s="38">
        <f t="shared" si="13"/>
        <v>0.97833819999999605</v>
      </c>
      <c r="K268" s="38">
        <f>VLOOKUP($B268,'Old LS-Reports'!$A$4:$V$344,16,FALSE)-D268</f>
        <v>264.6757176106251</v>
      </c>
      <c r="L268" s="38">
        <f>VLOOKUP($B268,'Old LS-Reports'!$A$4:$V$344,19,FALSE)-D268</f>
        <v>265.61309621062509</v>
      </c>
      <c r="M268" s="38">
        <f t="shared" si="14"/>
        <v>6.12280149999998</v>
      </c>
      <c r="N268" s="38">
        <f>VLOOKUP($B268,'Old LS-Reports'!$A$4:$V$344,8,FALSE)</f>
        <v>-14.269</v>
      </c>
      <c r="P268" s="41"/>
    </row>
    <row r="269" spans="1:16" x14ac:dyDescent="0.25">
      <c r="A269" s="39">
        <v>287400</v>
      </c>
      <c r="B269" s="39">
        <v>96402.880999999994</v>
      </c>
      <c r="C269" s="40">
        <f>VLOOKUP($B269,'Correlation sheet'!$C$4:$M$373,6,FALSE)</f>
        <v>1176807.4998619589</v>
      </c>
      <c r="D269" s="16">
        <f>VLOOKUP($B269,'Correlation sheet'!$C$4:$N$373,11,FALSE)</f>
        <v>0.19958286690672367</v>
      </c>
      <c r="E269" s="38">
        <f>VLOOKUP($B269,'Old LS-Reports'!$A$4:$V$344,5,FALSE)-D269</f>
        <v>271.47801643309327</v>
      </c>
      <c r="F269" s="16">
        <f>VLOOKUP($B269,'Correlation sheet'!$C$4:$M$373,10,FALSE)</f>
        <v>272.52967153309328</v>
      </c>
      <c r="G269" s="38">
        <f t="shared" si="12"/>
        <v>1.0516551000000049</v>
      </c>
      <c r="H269" s="38">
        <f>VLOOKUP($B269,'Old LS-Reports'!$A$4:$V$344,6,FALSE)-D269</f>
        <v>270.79001643309329</v>
      </c>
      <c r="I269" s="16">
        <f>VLOOKUP($B269,'Correlation sheet'!$C$4:$M$373,9,FALSE)</f>
        <v>271.81667153309326</v>
      </c>
      <c r="J269" s="38">
        <f t="shared" si="13"/>
        <v>1.0266550999999708</v>
      </c>
      <c r="K269" s="38">
        <f>VLOOKUP($B269,'Old LS-Reports'!$A$4:$V$344,16,FALSE)-D269</f>
        <v>264.84784883309328</v>
      </c>
      <c r="L269" s="38">
        <f>VLOOKUP($B269,'Old LS-Reports'!$A$4:$V$344,19,FALSE)-D269</f>
        <v>266.27089633309328</v>
      </c>
      <c r="M269" s="38">
        <f t="shared" si="14"/>
        <v>5.54577519999998</v>
      </c>
      <c r="N269" s="38">
        <f>VLOOKUP($B269,'Old LS-Reports'!$A$4:$V$344,8,FALSE)</f>
        <v>-14.428000000000001</v>
      </c>
      <c r="P269" s="41"/>
    </row>
    <row r="270" spans="1:16" x14ac:dyDescent="0.25">
      <c r="A270" s="39">
        <v>287420</v>
      </c>
      <c r="B270" s="39">
        <v>96422.881999999998</v>
      </c>
      <c r="C270" s="40">
        <f>VLOOKUP($B270,'Correlation sheet'!$C$4:$M$373,6,FALSE)</f>
        <v>1176827.5008506258</v>
      </c>
      <c r="D270" s="16">
        <f>VLOOKUP($B270,'Correlation sheet'!$C$4:$N$373,11,FALSE)</f>
        <v>0.19959182070408588</v>
      </c>
      <c r="E270" s="38">
        <f>VLOOKUP($B270,'Old LS-Reports'!$A$4:$V$344,5,FALSE)-D270</f>
        <v>271.48771777929591</v>
      </c>
      <c r="F270" s="16">
        <f>VLOOKUP($B270,'Correlation sheet'!$C$4:$M$373,10,FALSE)</f>
        <v>272.61020377929594</v>
      </c>
      <c r="G270" s="38">
        <f t="shared" si="12"/>
        <v>1.1224860000000376</v>
      </c>
      <c r="H270" s="38">
        <f>VLOOKUP($B270,'Old LS-Reports'!$A$4:$V$344,6,FALSE)-D270</f>
        <v>270.79971777929592</v>
      </c>
      <c r="I270" s="16">
        <f>VLOOKUP($B270,'Correlation sheet'!$C$4:$M$373,9,FALSE)</f>
        <v>271.89720377929592</v>
      </c>
      <c r="J270" s="38">
        <f t="shared" si="13"/>
        <v>1.0974860000000035</v>
      </c>
      <c r="K270" s="38">
        <f>VLOOKUP($B270,'Old LS-Reports'!$A$4:$V$344,16,FALSE)-D270</f>
        <v>265.31205937929593</v>
      </c>
      <c r="L270" s="38">
        <f>VLOOKUP($B270,'Old LS-Reports'!$A$4:$V$344,19,FALSE)-D270</f>
        <v>266.96848387929589</v>
      </c>
      <c r="M270" s="38">
        <f t="shared" si="14"/>
        <v>4.9287199000000328</v>
      </c>
      <c r="N270" s="38">
        <f>VLOOKUP($B270,'Old LS-Reports'!$A$4:$V$344,8,FALSE)</f>
        <v>-14.526999999999999</v>
      </c>
      <c r="P270" s="41"/>
    </row>
    <row r="271" spans="1:16" x14ac:dyDescent="0.25">
      <c r="A271" s="39">
        <v>287440</v>
      </c>
      <c r="B271" s="39">
        <v>96442.854999999996</v>
      </c>
      <c r="C271" s="40">
        <f>VLOOKUP($B271,'Correlation sheet'!$C$4:$M$373,6,FALSE)</f>
        <v>1176847.4738493217</v>
      </c>
      <c r="D271" s="16">
        <f>VLOOKUP($B271,'Correlation sheet'!$C$4:$N$373,11,FALSE)</f>
        <v>0.19960737369200388</v>
      </c>
      <c r="E271" s="38">
        <f>VLOOKUP($B271,'Old LS-Reports'!$A$4:$V$344,5,FALSE)-D271</f>
        <v>271.55121372630799</v>
      </c>
      <c r="F271" s="16">
        <f>VLOOKUP($B271,'Correlation sheet'!$C$4:$M$373,10,FALSE)</f>
        <v>272.69062332630801</v>
      </c>
      <c r="G271" s="38">
        <f t="shared" si="12"/>
        <v>1.1394096000000218</v>
      </c>
      <c r="H271" s="38">
        <f>VLOOKUP($B271,'Old LS-Reports'!$A$4:$V$344,6,FALSE)-D271</f>
        <v>270.863213726308</v>
      </c>
      <c r="I271" s="16">
        <f>VLOOKUP($B271,'Correlation sheet'!$C$4:$M$373,9,FALSE)</f>
        <v>271.97762332630799</v>
      </c>
      <c r="J271" s="38">
        <f t="shared" si="13"/>
        <v>1.1144095999999877</v>
      </c>
      <c r="K271" s="38">
        <f>VLOOKUP($B271,'Old LS-Reports'!$A$4:$V$344,16,FALSE)-D271</f>
        <v>266.176757026308</v>
      </c>
      <c r="L271" s="38">
        <f>VLOOKUP($B271,'Old LS-Reports'!$A$4:$V$344,19,FALSE)-D271</f>
        <v>267.470328126308</v>
      </c>
      <c r="M271" s="38">
        <f t="shared" si="14"/>
        <v>4.5072951999999873</v>
      </c>
      <c r="N271" s="38">
        <f>VLOOKUP($B271,'Old LS-Reports'!$A$4:$V$344,8,FALSE)</f>
        <v>-14.542</v>
      </c>
      <c r="P271" s="41"/>
    </row>
    <row r="272" spans="1:16" x14ac:dyDescent="0.25">
      <c r="A272" s="39">
        <v>287460</v>
      </c>
      <c r="B272" s="39">
        <v>96462.854999999996</v>
      </c>
      <c r="C272" s="40">
        <f>VLOOKUP($B272,'Correlation sheet'!$C$4:$M$373,6,FALSE)</f>
        <v>1176867.4738493231</v>
      </c>
      <c r="D272" s="16">
        <f>VLOOKUP($B272,'Correlation sheet'!$C$4:$N$373,11,FALSE)</f>
        <v>0.18966600826519198</v>
      </c>
      <c r="E272" s="38">
        <f>VLOOKUP($B272,'Old LS-Reports'!$A$4:$V$344,5,FALSE)-D272</f>
        <v>271.65764869173483</v>
      </c>
      <c r="F272" s="16">
        <f>VLOOKUP($B272,'Correlation sheet'!$C$4:$M$373,10,FALSE)</f>
        <v>272.77115159173479</v>
      </c>
      <c r="G272" s="38">
        <f t="shared" si="12"/>
        <v>1.1135028999999577</v>
      </c>
      <c r="H272" s="38">
        <f>VLOOKUP($B272,'Old LS-Reports'!$A$4:$V$344,6,FALSE)-D272</f>
        <v>270.96964869173485</v>
      </c>
      <c r="I272" s="16">
        <f>VLOOKUP($B272,'Correlation sheet'!$C$4:$M$373,9,FALSE)</f>
        <v>272.05815159173477</v>
      </c>
      <c r="J272" s="38">
        <f t="shared" si="13"/>
        <v>1.0885028999999236</v>
      </c>
      <c r="K272" s="38">
        <f>VLOOKUP($B272,'Old LS-Reports'!$A$4:$V$344,16,FALSE)-D272</f>
        <v>267.26121899173484</v>
      </c>
      <c r="L272" s="38">
        <f>VLOOKUP($B272,'Old LS-Reports'!$A$4:$V$344,19,FALSE)-D272</f>
        <v>266.81644009173482</v>
      </c>
      <c r="M272" s="38">
        <f t="shared" si="14"/>
        <v>5.2417114999999512</v>
      </c>
      <c r="N272" s="38">
        <f>VLOOKUP($B272,'Old LS-Reports'!$A$4:$V$344,8,FALSE)</f>
        <v>-14.523</v>
      </c>
      <c r="P272" s="41"/>
    </row>
    <row r="273" spans="1:16" x14ac:dyDescent="0.25">
      <c r="A273" s="39">
        <v>287480</v>
      </c>
      <c r="B273" s="39">
        <v>96482.856</v>
      </c>
      <c r="C273" s="40">
        <f>VLOOKUP($B273,'Correlation sheet'!$C$4:$M$373,6,FALSE)</f>
        <v>1176887.4748493186</v>
      </c>
      <c r="D273" s="16">
        <f>VLOOKUP($B273,'Correlation sheet'!$C$4:$N$373,11,FALSE)</f>
        <v>0.1220000000000141</v>
      </c>
      <c r="E273" s="38">
        <f>VLOOKUP($B273,'Old LS-Reports'!$A$4:$V$344,5,FALSE)-D273</f>
        <v>271.79829309999997</v>
      </c>
      <c r="F273" s="16">
        <f>VLOOKUP($B273,'Correlation sheet'!$C$4:$M$373,10,FALSE)</f>
        <v>272.84899999999999</v>
      </c>
      <c r="G273" s="38">
        <f t="shared" si="12"/>
        <v>1.0507069000000229</v>
      </c>
      <c r="H273" s="38">
        <f>VLOOKUP($B273,'Old LS-Reports'!$A$4:$V$344,6,FALSE)-D273</f>
        <v>271.11029309999998</v>
      </c>
      <c r="I273" s="16">
        <f>VLOOKUP($B273,'Correlation sheet'!$C$4:$M$373,9,FALSE)</f>
        <v>272.13599999999997</v>
      </c>
      <c r="J273" s="38">
        <f t="shared" si="13"/>
        <v>1.0257068999999888</v>
      </c>
      <c r="K273" s="38">
        <f>VLOOKUP($B273,'Old LS-Reports'!$A$4:$V$344,16,FALSE)-D273</f>
        <v>267.45161539999998</v>
      </c>
      <c r="L273" s="38">
        <f>VLOOKUP($B273,'Old LS-Reports'!$A$4:$V$344,19,FALSE)-D273</f>
        <v>266.90019189999998</v>
      </c>
      <c r="M273" s="38">
        <f t="shared" si="14"/>
        <v>5.2358080999999856</v>
      </c>
      <c r="N273" s="38">
        <f>VLOOKUP($B273,'Old LS-Reports'!$A$4:$V$344,8,FALSE)</f>
        <v>-14.505000000000001</v>
      </c>
      <c r="P273" s="41"/>
    </row>
    <row r="274" spans="1:16" x14ac:dyDescent="0.25">
      <c r="A274" s="39">
        <v>287500</v>
      </c>
      <c r="B274" s="39">
        <v>96502.856135800001</v>
      </c>
      <c r="C274" s="40">
        <f>VLOOKUP($B274,'Correlation sheet'!$C$4:$M$373,6,FALSE)</f>
        <v>1176907.6629999999</v>
      </c>
      <c r="D274" s="16">
        <f>VLOOKUP($B274,'Correlation sheet'!$C$4:$N$373,11,FALSE)</f>
        <v>0.1220000000000141</v>
      </c>
      <c r="E274" s="38">
        <f>VLOOKUP($B274,'Old LS-Reports'!$A$4:$V$344,5,FALSE)-D274</f>
        <v>271.8592261</v>
      </c>
      <c r="F274" s="16">
        <f>VLOOKUP($B274,'Correlation sheet'!$C$4:$M$373,10,FALSE)</f>
        <v>272.84899999999999</v>
      </c>
      <c r="G274" s="38">
        <f t="shared" si="12"/>
        <v>0.98977389999998877</v>
      </c>
      <c r="H274" s="38">
        <f>VLOOKUP($B274,'Old LS-Reports'!$A$4:$V$344,6,FALSE)-D274</f>
        <v>271.17122610000001</v>
      </c>
      <c r="I274" s="16">
        <f>VLOOKUP($B274,'Correlation sheet'!$C$4:$M$373,9,FALSE)</f>
        <v>272.13599999999997</v>
      </c>
      <c r="J274" s="38">
        <f t="shared" si="13"/>
        <v>0.96477389999995466</v>
      </c>
      <c r="K274" s="38">
        <f>VLOOKUP($B274,'Old LS-Reports'!$A$4:$V$344,16,FALSE)-D274</f>
        <v>266.5173145</v>
      </c>
      <c r="L274" s="38">
        <f>VLOOKUP($B274,'Old LS-Reports'!$A$4:$V$344,19,FALSE)-D274</f>
        <v>267.14650769999997</v>
      </c>
      <c r="M274" s="38">
        <f t="shared" si="14"/>
        <v>4.9894922999999949</v>
      </c>
      <c r="N274" s="38">
        <f>VLOOKUP($B274,'Old LS-Reports'!$A$4:$V$344,8,FALSE)</f>
        <v>-14.487</v>
      </c>
      <c r="P274" s="41"/>
    </row>
    <row r="275" spans="1:16" x14ac:dyDescent="0.25">
      <c r="A275" s="39">
        <v>287500</v>
      </c>
      <c r="B275" s="39">
        <v>96502.856135800001</v>
      </c>
      <c r="C275" s="40">
        <f>VLOOKUP($B275,'Correlation sheet'!$C$4:$M$373,6,FALSE)</f>
        <v>1176907.6629999999</v>
      </c>
      <c r="D275" s="16">
        <f>VLOOKUP($B275,'Correlation sheet'!$C$4:$N$373,11,FALSE)</f>
        <v>0.1220000000000141</v>
      </c>
      <c r="E275" s="38">
        <f>VLOOKUP($B275,'Old LS-Reports'!$A$4:$V$344,5,FALSE)-D275</f>
        <v>271.8592261</v>
      </c>
      <c r="F275" s="16">
        <f>VLOOKUP($B275,'Correlation sheet'!$C$4:$M$373,10,FALSE)</f>
        <v>272.84899999999999</v>
      </c>
      <c r="G275" s="38">
        <f t="shared" si="12"/>
        <v>0.98977389999998877</v>
      </c>
      <c r="H275" s="38">
        <f>VLOOKUP($B275,'Old LS-Reports'!$A$4:$V$344,6,FALSE)-D275</f>
        <v>271.17122610000001</v>
      </c>
      <c r="I275" s="16">
        <f>VLOOKUP($B275,'Correlation sheet'!$C$4:$M$373,9,FALSE)</f>
        <v>272.13599999999997</v>
      </c>
      <c r="J275" s="38">
        <f t="shared" si="13"/>
        <v>0.96477389999995466</v>
      </c>
      <c r="K275" s="38">
        <f>VLOOKUP($B275,'Old LS-Reports'!$A$4:$V$344,16,FALSE)-D275</f>
        <v>266.5173145</v>
      </c>
      <c r="L275" s="38">
        <f>VLOOKUP($B275,'Old LS-Reports'!$A$4:$V$344,19,FALSE)-D275</f>
        <v>267.14650769999997</v>
      </c>
      <c r="M275" s="38">
        <f t="shared" si="14"/>
        <v>4.9894922999999949</v>
      </c>
      <c r="N275" s="38">
        <f>VLOOKUP($B275,'Old LS-Reports'!$A$4:$V$344,8,FALSE)</f>
        <v>-14.487</v>
      </c>
      <c r="P275" s="41"/>
    </row>
    <row r="276" spans="1:16" x14ac:dyDescent="0.25">
      <c r="A276" s="39">
        <v>287520</v>
      </c>
      <c r="B276" s="39">
        <v>96522.8323351</v>
      </c>
      <c r="C276" s="40">
        <f>VLOOKUP($B276,'Correlation sheet'!$C$4:$M$373,6,FALSE)</f>
        <v>1176927.4520000031</v>
      </c>
      <c r="D276" s="16">
        <f>VLOOKUP($B276,'Correlation sheet'!$C$4:$N$373,11,FALSE)</f>
        <v>0.1220000000000141</v>
      </c>
      <c r="E276" s="38">
        <f>VLOOKUP($B276,'Old LS-Reports'!$A$4:$V$344,5,FALSE)-D276</f>
        <v>271.90848449999999</v>
      </c>
      <c r="F276" s="16">
        <f>VLOOKUP($B276,'Correlation sheet'!$C$4:$M$373,10,FALSE)</f>
        <v>272.84899999999999</v>
      </c>
      <c r="G276" s="38">
        <f t="shared" si="12"/>
        <v>0.94051550000000361</v>
      </c>
      <c r="H276" s="38">
        <f>VLOOKUP($B276,'Old LS-Reports'!$A$4:$V$344,6,FALSE)-D276</f>
        <v>271.2204845</v>
      </c>
      <c r="I276" s="16">
        <f>VLOOKUP($B276,'Correlation sheet'!$C$4:$M$373,9,FALSE)</f>
        <v>272.13599999999997</v>
      </c>
      <c r="J276" s="38">
        <f t="shared" si="13"/>
        <v>0.91551549999996951</v>
      </c>
      <c r="K276" s="38">
        <f>VLOOKUP($B276,'Old LS-Reports'!$A$4:$V$344,16,FALSE)-D276</f>
        <v>266.27399409999998</v>
      </c>
      <c r="L276" s="38">
        <f>VLOOKUP($B276,'Old LS-Reports'!$A$4:$V$344,19,FALSE)-D276</f>
        <v>267.557366</v>
      </c>
      <c r="M276" s="38">
        <f t="shared" si="14"/>
        <v>4.5786339999999655</v>
      </c>
      <c r="N276" s="38">
        <f>VLOOKUP($B276,'Old LS-Reports'!$A$4:$V$344,8,FALSE)</f>
        <v>-14.446</v>
      </c>
      <c r="P276" s="41"/>
    </row>
    <row r="277" spans="1:16" x14ac:dyDescent="0.25">
      <c r="A277" s="39">
        <v>287540</v>
      </c>
      <c r="B277" s="39">
        <v>96542.898633000004</v>
      </c>
      <c r="C277" s="40">
        <f>VLOOKUP($B277,'Correlation sheet'!$C$4:$M$373,6,FALSE)</f>
        <v>1176947.5179999988</v>
      </c>
      <c r="D277" s="16">
        <f>VLOOKUP($B277,'Correlation sheet'!$C$4:$N$373,11,FALSE)</f>
        <v>0.1220000000000141</v>
      </c>
      <c r="E277" s="38">
        <f>VLOOKUP($B277,'Old LS-Reports'!$A$4:$V$344,5,FALSE)-D277</f>
        <v>271.9515634</v>
      </c>
      <c r="F277" s="16">
        <f>VLOOKUP($B277,'Correlation sheet'!$C$4:$M$373,10,FALSE)</f>
        <v>272.84899999999999</v>
      </c>
      <c r="G277" s="38">
        <f t="shared" si="12"/>
        <v>0.89743659999999181</v>
      </c>
      <c r="H277" s="38">
        <f>VLOOKUP($B277,'Old LS-Reports'!$A$4:$V$344,6,FALSE)-D277</f>
        <v>271.26356340000001</v>
      </c>
      <c r="I277" s="16">
        <f>VLOOKUP($B277,'Correlation sheet'!$C$4:$M$373,9,FALSE)</f>
        <v>272.13599999999997</v>
      </c>
      <c r="J277" s="38">
        <f t="shared" si="13"/>
        <v>0.87243659999995771</v>
      </c>
      <c r="K277" s="38">
        <f>VLOOKUP($B277,'Old LS-Reports'!$A$4:$V$344,16,FALSE)-D277</f>
        <v>265.97215869999997</v>
      </c>
      <c r="L277" s="38">
        <f>VLOOKUP($B277,'Old LS-Reports'!$A$4:$V$344,19,FALSE)-D277</f>
        <v>267.04056489999999</v>
      </c>
      <c r="M277" s="38">
        <f t="shared" si="14"/>
        <v>5.0954350999999747</v>
      </c>
      <c r="N277" s="38">
        <f>VLOOKUP($B277,'Old LS-Reports'!$A$4:$V$344,8,FALSE)</f>
        <v>-14.41</v>
      </c>
      <c r="P277" s="41"/>
    </row>
    <row r="278" spans="1:16" x14ac:dyDescent="0.25">
      <c r="A278" s="39">
        <v>287560</v>
      </c>
      <c r="B278" s="39">
        <v>96562.898697500001</v>
      </c>
      <c r="C278" s="40">
        <f>VLOOKUP($B278,'Correlation sheet'!$C$4:$M$373,6,FALSE)</f>
        <v>1176967.5180000004</v>
      </c>
      <c r="D278" s="16">
        <f>VLOOKUP($B278,'Correlation sheet'!$C$4:$N$373,11,FALSE)</f>
        <v>0.1220000000000141</v>
      </c>
      <c r="E278" s="38">
        <f>VLOOKUP($B278,'Old LS-Reports'!$A$4:$V$344,5,FALSE)-D278</f>
        <v>271.99117380000001</v>
      </c>
      <c r="F278" s="16">
        <f>VLOOKUP($B278,'Correlation sheet'!$C$4:$M$373,10,FALSE)</f>
        <v>272.84899999999999</v>
      </c>
      <c r="G278" s="38">
        <f t="shared" si="12"/>
        <v>0.85782619999997678</v>
      </c>
      <c r="H278" s="38">
        <f>VLOOKUP($B278,'Old LS-Reports'!$A$4:$V$344,6,FALSE)-D278</f>
        <v>271.30317380000002</v>
      </c>
      <c r="I278" s="16">
        <f>VLOOKUP($B278,'Correlation sheet'!$C$4:$M$373,9,FALSE)</f>
        <v>272.13599999999997</v>
      </c>
      <c r="J278" s="38">
        <f t="shared" si="13"/>
        <v>0.83282619999994267</v>
      </c>
      <c r="K278" s="38">
        <f>VLOOKUP($B278,'Old LS-Reports'!$A$4:$V$344,16,FALSE)-D278</f>
        <v>265.45683129999998</v>
      </c>
      <c r="L278" s="38">
        <f>VLOOKUP($B278,'Old LS-Reports'!$A$4:$V$344,19,FALSE)-D278</f>
        <v>266.36016459999996</v>
      </c>
      <c r="M278" s="38">
        <f t="shared" si="14"/>
        <v>5.7758354000000054</v>
      </c>
      <c r="N278" s="38">
        <f>VLOOKUP($B278,'Old LS-Reports'!$A$4:$V$344,8,FALSE)</f>
        <v>-14.451000000000001</v>
      </c>
      <c r="P278" s="41"/>
    </row>
    <row r="279" spans="1:16" x14ac:dyDescent="0.25">
      <c r="A279" s="39">
        <v>287580</v>
      </c>
      <c r="B279" s="39">
        <v>96582.824005600007</v>
      </c>
      <c r="C279" s="40">
        <f>VLOOKUP($B279,'Correlation sheet'!$C$4:$M$373,6,FALSE)</f>
        <v>1176987.4440000029</v>
      </c>
      <c r="D279" s="16">
        <f>VLOOKUP($B279,'Correlation sheet'!$C$4:$N$373,11,FALSE)</f>
        <v>0.1220000000000141</v>
      </c>
      <c r="E279" s="38">
        <f>VLOOKUP($B279,'Old LS-Reports'!$A$4:$V$344,5,FALSE)-D279</f>
        <v>272.02233749999999</v>
      </c>
      <c r="F279" s="16">
        <f>VLOOKUP($B279,'Correlation sheet'!$C$4:$M$373,10,FALSE)</f>
        <v>272.84899999999999</v>
      </c>
      <c r="G279" s="38">
        <f t="shared" si="12"/>
        <v>0.82666249999999764</v>
      </c>
      <c r="H279" s="38">
        <f>VLOOKUP($B279,'Old LS-Reports'!$A$4:$V$344,6,FALSE)-D279</f>
        <v>271.3343375</v>
      </c>
      <c r="I279" s="16">
        <f>VLOOKUP($B279,'Correlation sheet'!$C$4:$M$373,9,FALSE)</f>
        <v>272.13599999999997</v>
      </c>
      <c r="J279" s="38">
        <f t="shared" si="13"/>
        <v>0.80166249999996353</v>
      </c>
      <c r="K279" s="38">
        <f>VLOOKUP($B279,'Old LS-Reports'!$A$4:$V$344,16,FALSE)-D279</f>
        <v>264.2034506</v>
      </c>
      <c r="L279" s="38">
        <f>VLOOKUP($B279,'Old LS-Reports'!$A$4:$V$344,19,FALSE)-D279</f>
        <v>266.2426653</v>
      </c>
      <c r="M279" s="38">
        <f t="shared" si="14"/>
        <v>5.8933346999999685</v>
      </c>
      <c r="N279" s="38">
        <f>VLOOKUP($B279,'Old LS-Reports'!$A$4:$V$344,8,FALSE)</f>
        <v>-14.442</v>
      </c>
      <c r="P279" s="41"/>
    </row>
    <row r="280" spans="1:16" x14ac:dyDescent="0.25">
      <c r="A280" s="39">
        <v>287600</v>
      </c>
      <c r="B280" s="39">
        <v>96602.878530100003</v>
      </c>
      <c r="C280" s="40">
        <f>VLOOKUP($B280,'Correlation sheet'!$C$4:$M$373,6,FALSE)</f>
        <v>1177007.497999999</v>
      </c>
      <c r="D280" s="16">
        <f>VLOOKUP($B280,'Correlation sheet'!$C$4:$N$373,11,FALSE)</f>
        <v>0.1220000000000141</v>
      </c>
      <c r="E280" s="38">
        <f>VLOOKUP($B280,'Old LS-Reports'!$A$4:$V$344,5,FALSE)-D280</f>
        <v>272.0438815</v>
      </c>
      <c r="F280" s="16">
        <f>VLOOKUP($B280,'Correlation sheet'!$C$4:$M$373,10,FALSE)</f>
        <v>272.84899999999999</v>
      </c>
      <c r="G280" s="38">
        <f t="shared" si="12"/>
        <v>0.80511849999999185</v>
      </c>
      <c r="H280" s="38">
        <f>VLOOKUP($B280,'Old LS-Reports'!$A$4:$V$344,6,FALSE)-D280</f>
        <v>271.35588150000001</v>
      </c>
      <c r="I280" s="16">
        <f>VLOOKUP($B280,'Correlation sheet'!$C$4:$M$373,9,FALSE)</f>
        <v>272.13599999999997</v>
      </c>
      <c r="J280" s="38">
        <f t="shared" si="13"/>
        <v>0.78011849999995775</v>
      </c>
      <c r="K280" s="38">
        <f>VLOOKUP($B280,'Old LS-Reports'!$A$4:$V$344,16,FALSE)-D280</f>
        <v>264.26929509999997</v>
      </c>
      <c r="L280" s="38">
        <f>VLOOKUP($B280,'Old LS-Reports'!$A$4:$V$344,19,FALSE)-D280</f>
        <v>266.58017709999996</v>
      </c>
      <c r="M280" s="38">
        <f t="shared" si="14"/>
        <v>5.5558229000000097</v>
      </c>
      <c r="N280" s="38">
        <f>VLOOKUP($B280,'Old LS-Reports'!$A$4:$V$344,8,FALSE)</f>
        <v>-14.388</v>
      </c>
      <c r="P280" s="41"/>
    </row>
    <row r="281" spans="1:16" x14ac:dyDescent="0.25">
      <c r="A281" s="39">
        <v>287620</v>
      </c>
      <c r="B281" s="39">
        <v>96622.878543600003</v>
      </c>
      <c r="C281" s="40">
        <f>VLOOKUP($B281,'Correlation sheet'!$C$4:$M$373,6,FALSE)</f>
        <v>1177027.4980000004</v>
      </c>
      <c r="D281" s="16">
        <f>VLOOKUP($B281,'Correlation sheet'!$C$4:$N$373,11,FALSE)</f>
        <v>0.1220000000000141</v>
      </c>
      <c r="E281" s="38">
        <f>VLOOKUP($B281,'Old LS-Reports'!$A$4:$V$344,5,FALSE)-D281</f>
        <v>272.06050740000001</v>
      </c>
      <c r="F281" s="16">
        <f>VLOOKUP($B281,'Correlation sheet'!$C$4:$M$373,10,FALSE)</f>
        <v>272.84899999999999</v>
      </c>
      <c r="G281" s="38">
        <f t="shared" si="12"/>
        <v>0.78849259999998367</v>
      </c>
      <c r="H281" s="38">
        <f>VLOOKUP($B281,'Old LS-Reports'!$A$4:$V$344,6,FALSE)-D281</f>
        <v>271.37250740000002</v>
      </c>
      <c r="I281" s="16">
        <f>VLOOKUP($B281,'Correlation sheet'!$C$4:$M$373,9,FALSE)</f>
        <v>272.13599999999997</v>
      </c>
      <c r="J281" s="38">
        <f t="shared" si="13"/>
        <v>0.76349259999994956</v>
      </c>
      <c r="K281" s="38">
        <f>VLOOKUP($B281,'Old LS-Reports'!$A$4:$V$344,16,FALSE)-D281</f>
        <v>264.68712919999996</v>
      </c>
      <c r="L281" s="38">
        <f>VLOOKUP($B281,'Old LS-Reports'!$A$4:$V$344,19,FALSE)-D281</f>
        <v>265.94925309999996</v>
      </c>
      <c r="M281" s="38">
        <f t="shared" si="14"/>
        <v>6.1867469000000028</v>
      </c>
      <c r="N281" s="38">
        <f>VLOOKUP($B281,'Old LS-Reports'!$A$4:$V$344,8,FALSE)</f>
        <v>-14.401</v>
      </c>
      <c r="P281" s="41"/>
    </row>
    <row r="282" spans="1:16" x14ac:dyDescent="0.25">
      <c r="A282" s="39">
        <v>287640</v>
      </c>
      <c r="B282" s="39">
        <v>96642.878557000004</v>
      </c>
      <c r="C282" s="40">
        <f>VLOOKUP($B282,'Correlation sheet'!$C$4:$M$373,6,FALSE)</f>
        <v>1177047.498000002</v>
      </c>
      <c r="D282" s="16">
        <f>VLOOKUP($B282,'Correlation sheet'!$C$4:$N$373,11,FALSE)</f>
        <v>0.1220000000000141</v>
      </c>
      <c r="E282" s="38">
        <f>VLOOKUP($B282,'Old LS-Reports'!$A$4:$V$344,5,FALSE)-D282</f>
        <v>272.07713339999998</v>
      </c>
      <c r="F282" s="16">
        <f>VLOOKUP($B282,'Correlation sheet'!$C$4:$M$373,10,FALSE)</f>
        <v>272.84899999999999</v>
      </c>
      <c r="G282" s="38">
        <f t="shared" si="12"/>
        <v>0.77186660000000984</v>
      </c>
      <c r="H282" s="38">
        <f>VLOOKUP($B282,'Old LS-Reports'!$A$4:$V$344,6,FALSE)-D282</f>
        <v>271.38913339999999</v>
      </c>
      <c r="I282" s="16">
        <f>VLOOKUP($B282,'Correlation sheet'!$C$4:$M$373,9,FALSE)</f>
        <v>272.13599999999997</v>
      </c>
      <c r="J282" s="38">
        <f t="shared" si="13"/>
        <v>0.74686659999997573</v>
      </c>
      <c r="K282" s="38">
        <f>VLOOKUP($B282,'Old LS-Reports'!$A$4:$V$344,16,FALSE)-D282</f>
        <v>265.57761679999999</v>
      </c>
      <c r="L282" s="38">
        <f>VLOOKUP($B282,'Old LS-Reports'!$A$4:$V$344,19,FALSE)-D282</f>
        <v>265.18097819999997</v>
      </c>
      <c r="M282" s="38">
        <f t="shared" si="14"/>
        <v>6.9550217999999973</v>
      </c>
      <c r="N282" s="38">
        <f>VLOOKUP($B282,'Old LS-Reports'!$A$4:$V$344,8,FALSE)</f>
        <v>-14.414999999999999</v>
      </c>
      <c r="P282" s="41"/>
    </row>
    <row r="283" spans="1:16" x14ac:dyDescent="0.25">
      <c r="A283" s="39">
        <v>287660</v>
      </c>
      <c r="B283" s="39">
        <v>96662.853734200005</v>
      </c>
      <c r="C283" s="40">
        <f>VLOOKUP($B283,'Correlation sheet'!$C$4:$M$373,6,FALSE)</f>
        <v>1177067.4729999993</v>
      </c>
      <c r="D283" s="16">
        <f>VLOOKUP($B283,'Correlation sheet'!$C$4:$N$373,11,FALSE)</f>
        <v>0.1220000000000141</v>
      </c>
      <c r="E283" s="38">
        <f>VLOOKUP($B283,'Old LS-Reports'!$A$4:$V$344,5,FALSE)-D283</f>
        <v>272.07957690000001</v>
      </c>
      <c r="F283" s="16">
        <f>VLOOKUP($B283,'Correlation sheet'!$C$4:$M$373,10,FALSE)</f>
        <v>272.84899999999999</v>
      </c>
      <c r="G283" s="38">
        <f t="shared" si="12"/>
        <v>0.76942309999998315</v>
      </c>
      <c r="H283" s="38">
        <f>VLOOKUP($B283,'Old LS-Reports'!$A$4:$V$344,6,FALSE)-D283</f>
        <v>271.39157690000002</v>
      </c>
      <c r="I283" s="16">
        <f>VLOOKUP($B283,'Correlation sheet'!$C$4:$M$373,9,FALSE)</f>
        <v>272.13599999999997</v>
      </c>
      <c r="J283" s="38">
        <f t="shared" si="13"/>
        <v>0.74442309999994905</v>
      </c>
      <c r="K283" s="38">
        <f>VLOOKUP($B283,'Old LS-Reports'!$A$4:$V$344,16,FALSE)-D283</f>
        <v>265.04243400000001</v>
      </c>
      <c r="L283" s="38">
        <f>VLOOKUP($B283,'Old LS-Reports'!$A$4:$V$344,19,FALSE)-D283</f>
        <v>265.03426609999997</v>
      </c>
      <c r="M283" s="38">
        <f t="shared" si="14"/>
        <v>7.1017338999999993</v>
      </c>
      <c r="N283" s="38">
        <f>VLOOKUP($B283,'Old LS-Reports'!$A$4:$V$344,8,FALSE)</f>
        <v>-14.401</v>
      </c>
      <c r="P283" s="41"/>
    </row>
    <row r="284" spans="1:16" x14ac:dyDescent="0.25">
      <c r="A284" s="39">
        <v>287680</v>
      </c>
      <c r="B284" s="39">
        <v>96682.888225200004</v>
      </c>
      <c r="C284" s="40">
        <f>VLOOKUP($B284,'Correlation sheet'!$C$4:$M$373,6,FALSE)</f>
        <v>1177087.5080000036</v>
      </c>
      <c r="D284" s="16">
        <f>VLOOKUP($B284,'Correlation sheet'!$C$4:$N$373,11,FALSE)</f>
        <v>0.1220000000000141</v>
      </c>
      <c r="E284" s="38">
        <f>VLOOKUP($B284,'Old LS-Reports'!$A$4:$V$344,5,FALSE)-D284</f>
        <v>272.05808379999996</v>
      </c>
      <c r="F284" s="16">
        <f>VLOOKUP($B284,'Correlation sheet'!$C$4:$M$373,10,FALSE)</f>
        <v>272.84899999999999</v>
      </c>
      <c r="G284" s="38">
        <f t="shared" si="12"/>
        <v>0.79091620000002649</v>
      </c>
      <c r="H284" s="38">
        <f>VLOOKUP($B284,'Old LS-Reports'!$A$4:$V$344,6,FALSE)-D284</f>
        <v>271.37008379999997</v>
      </c>
      <c r="I284" s="16">
        <f>VLOOKUP($B284,'Correlation sheet'!$C$4:$M$373,9,FALSE)</f>
        <v>272.13599999999997</v>
      </c>
      <c r="J284" s="38">
        <f t="shared" si="13"/>
        <v>0.76591619999999239</v>
      </c>
      <c r="K284" s="38">
        <f>VLOOKUP($B284,'Old LS-Reports'!$A$4:$V$344,16,FALSE)-D284</f>
        <v>265.26041420000001</v>
      </c>
      <c r="L284" s="38">
        <f>VLOOKUP($B284,'Old LS-Reports'!$A$4:$V$344,19,FALSE)-D284</f>
        <v>266.70041279999998</v>
      </c>
      <c r="M284" s="38">
        <f t="shared" si="14"/>
        <v>5.4355871999999863</v>
      </c>
      <c r="N284" s="38">
        <f>VLOOKUP($B284,'Old LS-Reports'!$A$4:$V$344,8,FALSE)</f>
        <v>-14.393000000000001</v>
      </c>
      <c r="P284" s="41"/>
    </row>
    <row r="285" spans="1:16" x14ac:dyDescent="0.25">
      <c r="A285" s="39">
        <v>287700</v>
      </c>
      <c r="B285" s="39">
        <v>96702.863357900002</v>
      </c>
      <c r="C285" s="40">
        <f>VLOOKUP($B285,'Correlation sheet'!$C$4:$M$373,6,FALSE)</f>
        <v>1177107.4830000012</v>
      </c>
      <c r="D285" s="16">
        <f>VLOOKUP($B285,'Correlation sheet'!$C$4:$N$373,11,FALSE)</f>
        <v>0.1220000000000141</v>
      </c>
      <c r="E285" s="38">
        <f>VLOOKUP($B285,'Old LS-Reports'!$A$4:$V$344,5,FALSE)-D285</f>
        <v>271.92769199999998</v>
      </c>
      <c r="F285" s="16">
        <f>VLOOKUP($B285,'Correlation sheet'!$C$4:$M$373,10,FALSE)</f>
        <v>272.84899999999999</v>
      </c>
      <c r="G285" s="38">
        <f t="shared" si="12"/>
        <v>0.92130800000001045</v>
      </c>
      <c r="H285" s="38">
        <f>VLOOKUP($B285,'Old LS-Reports'!$A$4:$V$344,6,FALSE)-D285</f>
        <v>271.23969199999999</v>
      </c>
      <c r="I285" s="16">
        <f>VLOOKUP($B285,'Correlation sheet'!$C$4:$M$373,9,FALSE)</f>
        <v>272.13599999999997</v>
      </c>
      <c r="J285" s="38">
        <f t="shared" si="13"/>
        <v>0.89630799999997635</v>
      </c>
      <c r="K285" s="38">
        <f>VLOOKUP($B285,'Old LS-Reports'!$A$4:$V$344,16,FALSE)-D285</f>
        <v>265.19703490000001</v>
      </c>
      <c r="L285" s="38">
        <f>VLOOKUP($B285,'Old LS-Reports'!$A$4:$V$344,19,FALSE)-D285</f>
        <v>266.97076799999996</v>
      </c>
      <c r="M285" s="38">
        <f t="shared" si="14"/>
        <v>5.1652320000000032</v>
      </c>
      <c r="N285" s="38">
        <f>VLOOKUP($B285,'Old LS-Reports'!$A$4:$V$344,8,FALSE)</f>
        <v>-14.403</v>
      </c>
      <c r="P285" s="41"/>
    </row>
    <row r="286" spans="1:16" x14ac:dyDescent="0.25">
      <c r="A286" s="39">
        <v>287720</v>
      </c>
      <c r="B286" s="39">
        <v>96722.860827500001</v>
      </c>
      <c r="C286" s="40">
        <f>VLOOKUP($B286,'Correlation sheet'!$C$4:$M$373,6,FALSE)</f>
        <v>1177127.4800000025</v>
      </c>
      <c r="D286" s="16">
        <f>VLOOKUP($B286,'Correlation sheet'!$C$4:$N$373,11,FALSE)</f>
        <v>0.1220000000000141</v>
      </c>
      <c r="E286" s="38">
        <f>VLOOKUP($B286,'Old LS-Reports'!$A$4:$V$344,5,FALSE)-D286</f>
        <v>271.84226619999998</v>
      </c>
      <c r="F286" s="16">
        <f>VLOOKUP($B286,'Correlation sheet'!$C$4:$M$373,10,FALSE)</f>
        <v>272.84899999999999</v>
      </c>
      <c r="G286" s="38">
        <f t="shared" si="12"/>
        <v>1.0067338000000063</v>
      </c>
      <c r="H286" s="38">
        <f>VLOOKUP($B286,'Old LS-Reports'!$A$4:$V$344,6,FALSE)-D286</f>
        <v>271.1542662</v>
      </c>
      <c r="I286" s="16">
        <f>VLOOKUP($B286,'Correlation sheet'!$C$4:$M$373,9,FALSE)</f>
        <v>272.13599999999997</v>
      </c>
      <c r="J286" s="38">
        <f t="shared" si="13"/>
        <v>0.98173379999997223</v>
      </c>
      <c r="K286" s="38">
        <f>VLOOKUP($B286,'Old LS-Reports'!$A$4:$V$344,16,FALSE)-D286</f>
        <v>265.2698456</v>
      </c>
      <c r="L286" s="38">
        <f>VLOOKUP($B286,'Old LS-Reports'!$A$4:$V$344,19,FALSE)-D286</f>
        <v>267.1787334</v>
      </c>
      <c r="M286" s="38">
        <f t="shared" si="14"/>
        <v>4.9572665999999685</v>
      </c>
      <c r="N286" s="38">
        <f>VLOOKUP($B286,'Old LS-Reports'!$A$4:$V$344,8,FALSE)</f>
        <v>-14.401999999999999</v>
      </c>
      <c r="P286" s="41"/>
    </row>
    <row r="287" spans="1:16" x14ac:dyDescent="0.25">
      <c r="A287" s="39">
        <v>287740</v>
      </c>
      <c r="B287" s="39">
        <v>96742.860827600001</v>
      </c>
      <c r="C287" s="40">
        <f>VLOOKUP($B287,'Correlation sheet'!$C$4:$M$373,6,FALSE)</f>
        <v>1177147.4800000042</v>
      </c>
      <c r="D287" s="16">
        <f>VLOOKUP($B287,'Correlation sheet'!$C$4:$N$373,11,FALSE)</f>
        <v>0.1220000000000141</v>
      </c>
      <c r="E287" s="38">
        <f>VLOOKUP($B287,'Old LS-Reports'!$A$4:$V$344,5,FALSE)-D287</f>
        <v>271.72318869999998</v>
      </c>
      <c r="F287" s="16">
        <f>VLOOKUP($B287,'Correlation sheet'!$C$4:$M$373,10,FALSE)</f>
        <v>272.84899999999999</v>
      </c>
      <c r="G287" s="38">
        <f t="shared" si="12"/>
        <v>1.1258113000000094</v>
      </c>
      <c r="H287" s="38">
        <f>VLOOKUP($B287,'Old LS-Reports'!$A$4:$V$344,6,FALSE)-D287</f>
        <v>271.03518869999999</v>
      </c>
      <c r="I287" s="16">
        <f>VLOOKUP($B287,'Correlation sheet'!$C$4:$M$373,9,FALSE)</f>
        <v>272.13599999999997</v>
      </c>
      <c r="J287" s="38">
        <f t="shared" si="13"/>
        <v>1.1008112999999753</v>
      </c>
      <c r="K287" s="38">
        <f>VLOOKUP($B287,'Old LS-Reports'!$A$4:$V$344,16,FALSE)-D287</f>
        <v>265.41357909999999</v>
      </c>
      <c r="L287" s="38">
        <f>VLOOKUP($B287,'Old LS-Reports'!$A$4:$V$344,19,FALSE)-D287</f>
        <v>267.42161949999996</v>
      </c>
      <c r="M287" s="38">
        <f t="shared" si="14"/>
        <v>4.7143805000000043</v>
      </c>
      <c r="N287" s="38">
        <f>VLOOKUP($B287,'Old LS-Reports'!$A$4:$V$344,8,FALSE)</f>
        <v>-14.391</v>
      </c>
      <c r="P287" s="41"/>
    </row>
    <row r="288" spans="1:16" x14ac:dyDescent="0.25">
      <c r="A288" s="39">
        <v>287760</v>
      </c>
      <c r="B288" s="39">
        <v>96762.855227799999</v>
      </c>
      <c r="C288" s="40">
        <f>VLOOKUP($B288,'Correlation sheet'!$C$4:$M$373,6,FALSE)</f>
        <v>1177167.4750000017</v>
      </c>
      <c r="D288" s="16">
        <f>VLOOKUP($B288,'Correlation sheet'!$C$4:$N$373,11,FALSE)</f>
        <v>0.14865282389428103</v>
      </c>
      <c r="E288" s="38">
        <f>VLOOKUP($B288,'Old LS-Reports'!$A$4:$V$344,5,FALSE)-D288</f>
        <v>271.60795717610574</v>
      </c>
      <c r="F288" s="16">
        <f>VLOOKUP($B288,'Correlation sheet'!$C$4:$M$373,10,FALSE)</f>
        <v>272.82234717610572</v>
      </c>
      <c r="G288" s="38">
        <f t="shared" si="12"/>
        <v>1.2143899999999803</v>
      </c>
      <c r="H288" s="38">
        <f>VLOOKUP($B288,'Old LS-Reports'!$A$4:$V$344,6,FALSE)-D288</f>
        <v>270.91995717610575</v>
      </c>
      <c r="I288" s="16">
        <f>VLOOKUP($B288,'Correlation sheet'!$C$4:$M$373,9,FALSE)</f>
        <v>272.1093471761057</v>
      </c>
      <c r="J288" s="38">
        <f t="shared" si="13"/>
        <v>1.1893899999999462</v>
      </c>
      <c r="K288" s="38">
        <f>VLOOKUP($B288,'Old LS-Reports'!$A$4:$V$344,16,FALSE)-D288</f>
        <v>265.68027687610572</v>
      </c>
      <c r="L288" s="38">
        <f>VLOOKUP($B288,'Old LS-Reports'!$A$4:$V$344,19,FALSE)-D288</f>
        <v>267.43793497610574</v>
      </c>
      <c r="M288" s="38">
        <f t="shared" si="14"/>
        <v>4.6714121999999634</v>
      </c>
      <c r="N288" s="38">
        <f>VLOOKUP($B288,'Old LS-Reports'!$A$4:$V$344,8,FALSE)</f>
        <v>-14.372999999999999</v>
      </c>
      <c r="P288" s="41"/>
    </row>
    <row r="289" spans="1:16" x14ac:dyDescent="0.25">
      <c r="A289" s="39">
        <v>287780</v>
      </c>
      <c r="B289" s="39">
        <v>96782.855151600001</v>
      </c>
      <c r="C289" s="40">
        <f>VLOOKUP($B289,'Correlation sheet'!$C$4:$M$373,6,FALSE)</f>
        <v>1177187.4749964057</v>
      </c>
      <c r="D289" s="16">
        <f>VLOOKUP($B289,'Correlation sheet'!$C$4:$N$373,11,FALSE)</f>
        <v>0.23072463018809231</v>
      </c>
      <c r="E289" s="38">
        <f>VLOOKUP($B289,'Old LS-Reports'!$A$4:$V$344,5,FALSE)-D289</f>
        <v>271.44016046981193</v>
      </c>
      <c r="F289" s="16">
        <f>VLOOKUP($B289,'Correlation sheet'!$C$4:$M$373,10,FALSE)</f>
        <v>272.74027536981191</v>
      </c>
      <c r="G289" s="38">
        <f t="shared" si="12"/>
        <v>1.3001148999999828</v>
      </c>
      <c r="H289" s="38">
        <f>VLOOKUP($B289,'Old LS-Reports'!$A$4:$V$344,6,FALSE)-D289</f>
        <v>270.75216046981194</v>
      </c>
      <c r="I289" s="16">
        <f>VLOOKUP($B289,'Correlation sheet'!$C$4:$M$373,9,FALSE)</f>
        <v>272.02727536981189</v>
      </c>
      <c r="J289" s="38">
        <f t="shared" si="13"/>
        <v>1.2751148999999486</v>
      </c>
      <c r="K289" s="38">
        <f>VLOOKUP($B289,'Old LS-Reports'!$A$4:$V$344,16,FALSE)-D289</f>
        <v>265.29692596981192</v>
      </c>
      <c r="L289" s="38">
        <f>VLOOKUP($B289,'Old LS-Reports'!$A$4:$V$344,19,FALSE)-D289</f>
        <v>266.7929575698119</v>
      </c>
      <c r="M289" s="38">
        <f t="shared" si="14"/>
        <v>5.2343177999999853</v>
      </c>
      <c r="N289" s="38">
        <f>VLOOKUP($B289,'Old LS-Reports'!$A$4:$V$344,8,FALSE)</f>
        <v>-14.353999999999999</v>
      </c>
      <c r="P289" s="41"/>
    </row>
    <row r="290" spans="1:16" x14ac:dyDescent="0.25">
      <c r="A290" s="39">
        <v>287800</v>
      </c>
      <c r="B290" s="39">
        <v>96802.846813800003</v>
      </c>
      <c r="C290" s="40">
        <f>VLOOKUP($B290,'Correlation sheet'!$C$4:$M$373,6,FALSE)</f>
        <v>1177207.4659723358</v>
      </c>
      <c r="D290" s="16">
        <f>VLOOKUP($B290,'Correlation sheet'!$C$4:$N$373,11,FALSE)</f>
        <v>0.31275942014627844</v>
      </c>
      <c r="E290" s="38">
        <f>VLOOKUP($B290,'Old LS-Reports'!$A$4:$V$344,5,FALSE)-D290</f>
        <v>271.29162857985369</v>
      </c>
      <c r="F290" s="16">
        <f>VLOOKUP($B290,'Correlation sheet'!$C$4:$M$373,10,FALSE)</f>
        <v>272.65824057985373</v>
      </c>
      <c r="G290" s="38">
        <f t="shared" si="12"/>
        <v>1.3666120000000319</v>
      </c>
      <c r="H290" s="38">
        <f>VLOOKUP($B290,'Old LS-Reports'!$A$4:$V$344,6,FALSE)-D290</f>
        <v>270.60362857985371</v>
      </c>
      <c r="I290" s="16">
        <f>VLOOKUP($B290,'Correlation sheet'!$C$4:$M$373,9,FALSE)</f>
        <v>271.9452405798537</v>
      </c>
      <c r="J290" s="38">
        <f t="shared" si="13"/>
        <v>1.3416119999999978</v>
      </c>
      <c r="K290" s="38">
        <f>VLOOKUP($B290,'Old LS-Reports'!$A$4:$V$344,16,FALSE)-D290</f>
        <v>264.93342897985372</v>
      </c>
      <c r="L290" s="38">
        <f>VLOOKUP($B290,'Old LS-Reports'!$A$4:$V$344,19,FALSE)-D290</f>
        <v>265.91311347985373</v>
      </c>
      <c r="M290" s="38">
        <f t="shared" si="14"/>
        <v>6.0321270999999683</v>
      </c>
      <c r="N290" s="38">
        <f>VLOOKUP($B290,'Old LS-Reports'!$A$4:$V$344,8,FALSE)</f>
        <v>-14.292999999999999</v>
      </c>
      <c r="P290" s="41"/>
    </row>
    <row r="291" spans="1:16" x14ac:dyDescent="0.25">
      <c r="A291" s="39">
        <v>287820</v>
      </c>
      <c r="B291" s="39">
        <v>96822.848239700004</v>
      </c>
      <c r="C291" s="40">
        <f>VLOOKUP($B291,'Correlation sheet'!$C$4:$M$373,6,FALSE)</f>
        <v>1177227.467935286</v>
      </c>
      <c r="D291" s="16">
        <f>VLOOKUP($B291,'Correlation sheet'!$C$4:$N$373,11,FALSE)</f>
        <v>0.38304759634183938</v>
      </c>
      <c r="E291" s="38">
        <f>VLOOKUP($B291,'Old LS-Reports'!$A$4:$V$344,5,FALSE)-D291</f>
        <v>271.15793830365817</v>
      </c>
      <c r="F291" s="16">
        <f>VLOOKUP($B291,'Correlation sheet'!$C$4:$M$373,10,FALSE)</f>
        <v>272.57616070365816</v>
      </c>
      <c r="G291" s="38">
        <f t="shared" si="12"/>
        <v>1.4182223999999906</v>
      </c>
      <c r="H291" s="38">
        <f>VLOOKUP($B291,'Old LS-Reports'!$A$4:$V$344,6,FALSE)-D291</f>
        <v>270.46993830365818</v>
      </c>
      <c r="I291" s="16">
        <f>VLOOKUP($B291,'Correlation sheet'!$C$4:$M$373,9,FALSE)</f>
        <v>271.86316070365814</v>
      </c>
      <c r="J291" s="38">
        <f t="shared" si="13"/>
        <v>1.3932223999999565</v>
      </c>
      <c r="K291" s="38">
        <f>VLOOKUP($B291,'Old LS-Reports'!$A$4:$V$344,16,FALSE)-D291</f>
        <v>265.04072960365818</v>
      </c>
      <c r="L291" s="38">
        <f>VLOOKUP($B291,'Old LS-Reports'!$A$4:$V$344,19,FALSE)-D291</f>
        <v>266.40385490365816</v>
      </c>
      <c r="M291" s="38">
        <f t="shared" si="14"/>
        <v>5.4593057999999814</v>
      </c>
      <c r="N291" s="38">
        <f>VLOOKUP($B291,'Old LS-Reports'!$A$4:$V$344,8,FALSE)</f>
        <v>-14.116</v>
      </c>
      <c r="P291" s="41"/>
    </row>
    <row r="292" spans="1:16" x14ac:dyDescent="0.25">
      <c r="A292" s="39">
        <v>287840</v>
      </c>
      <c r="B292" s="39">
        <v>96842.860277</v>
      </c>
      <c r="C292" s="40">
        <f>VLOOKUP($B292,'Correlation sheet'!$C$4:$M$373,6,FALSE)</f>
        <v>1177247.4798981869</v>
      </c>
      <c r="D292" s="16">
        <f>VLOOKUP($B292,'Correlation sheet'!$C$4:$N$373,11,FALSE)</f>
        <v>0.38514810824540291</v>
      </c>
      <c r="E292" s="38">
        <f>VLOOKUP($B292,'Old LS-Reports'!$A$4:$V$344,5,FALSE)-D292</f>
        <v>271.07850689175461</v>
      </c>
      <c r="F292" s="16">
        <f>VLOOKUP($B292,'Correlation sheet'!$C$4:$M$373,10,FALSE)</f>
        <v>272.49403979175457</v>
      </c>
      <c r="G292" s="38">
        <f t="shared" si="12"/>
        <v>1.4155328999999597</v>
      </c>
      <c r="H292" s="38">
        <f>VLOOKUP($B292,'Old LS-Reports'!$A$4:$V$344,6,FALSE)-D292</f>
        <v>270.39050689175463</v>
      </c>
      <c r="I292" s="16">
        <f>VLOOKUP($B292,'Correlation sheet'!$C$4:$M$373,9,FALSE)</f>
        <v>271.78103979175455</v>
      </c>
      <c r="J292" s="38">
        <f t="shared" si="13"/>
        <v>1.3905328999999256</v>
      </c>
      <c r="K292" s="38">
        <f>VLOOKUP($B292,'Old LS-Reports'!$A$4:$V$344,16,FALSE)-D292</f>
        <v>265.25806429175458</v>
      </c>
      <c r="L292" s="38">
        <f>VLOOKUP($B292,'Old LS-Reports'!$A$4:$V$344,19,FALSE)-D292</f>
        <v>266.79695889175457</v>
      </c>
      <c r="M292" s="38">
        <f t="shared" si="14"/>
        <v>4.9840808999999808</v>
      </c>
      <c r="N292" s="38">
        <f>VLOOKUP($B292,'Old LS-Reports'!$A$4:$V$344,8,FALSE)</f>
        <v>-13.779</v>
      </c>
      <c r="P292" s="41"/>
    </row>
    <row r="293" spans="1:16" x14ac:dyDescent="0.25">
      <c r="A293" s="39">
        <v>287860</v>
      </c>
      <c r="B293" s="39">
        <v>96862.874805300002</v>
      </c>
      <c r="C293" s="40">
        <f>VLOOKUP($B293,'Correlation sheet'!$C$4:$M$373,6,FALSE)</f>
        <v>1177267.4938748791</v>
      </c>
      <c r="D293" s="16">
        <f>VLOOKUP($B293,'Correlation sheet'!$C$4:$N$373,11,FALSE)</f>
        <v>0.37630218392519055</v>
      </c>
      <c r="E293" s="38">
        <f>VLOOKUP($B293,'Old LS-Reports'!$A$4:$V$344,5,FALSE)-D293</f>
        <v>271.01235841607479</v>
      </c>
      <c r="F293" s="16">
        <f>VLOOKUP($B293,'Correlation sheet'!$C$4:$M$373,10,FALSE)</f>
        <v>272.41191061607481</v>
      </c>
      <c r="G293" s="38">
        <f t="shared" si="12"/>
        <v>1.3995522000000165</v>
      </c>
      <c r="H293" s="38">
        <f>VLOOKUP($B293,'Old LS-Reports'!$A$4:$V$344,6,FALSE)-D293</f>
        <v>270.3243584160748</v>
      </c>
      <c r="I293" s="16">
        <f>VLOOKUP($B293,'Correlation sheet'!$C$4:$M$373,9,FALSE)</f>
        <v>271.69891061607478</v>
      </c>
      <c r="J293" s="38">
        <f t="shared" si="13"/>
        <v>1.3745521999999823</v>
      </c>
      <c r="K293" s="38">
        <f>VLOOKUP($B293,'Old LS-Reports'!$A$4:$V$344,16,FALSE)-D293</f>
        <v>265.35430581607483</v>
      </c>
      <c r="L293" s="38">
        <f>VLOOKUP($B293,'Old LS-Reports'!$A$4:$V$344,19,FALSE)-D293</f>
        <v>266.97020511607479</v>
      </c>
      <c r="M293" s="38">
        <f t="shared" si="14"/>
        <v>4.7287054999999896</v>
      </c>
      <c r="N293" s="38">
        <f>VLOOKUP($B293,'Old LS-Reports'!$A$4:$V$344,8,FALSE)</f>
        <v>-13.294</v>
      </c>
      <c r="P293" s="41"/>
    </row>
    <row r="294" spans="1:16" x14ac:dyDescent="0.25">
      <c r="A294" s="39">
        <v>287880</v>
      </c>
      <c r="B294" s="39">
        <v>96882.882205799993</v>
      </c>
      <c r="C294" s="40">
        <f>VLOOKUP($B294,'Correlation sheet'!$C$4:$M$373,6,FALSE)</f>
        <v>1177287.5018716077</v>
      </c>
      <c r="D294" s="16">
        <f>VLOOKUP($B294,'Correlation sheet'!$C$4:$N$373,11,FALSE)</f>
        <v>0.36746412027991937</v>
      </c>
      <c r="E294" s="38">
        <f>VLOOKUP($B294,'Old LS-Reports'!$A$4:$V$344,5,FALSE)-D294</f>
        <v>270.95270027972009</v>
      </c>
      <c r="F294" s="16">
        <f>VLOOKUP($B294,'Correlation sheet'!$C$4:$M$373,10,FALSE)</f>
        <v>272.32980597972011</v>
      </c>
      <c r="G294" s="38">
        <f t="shared" si="12"/>
        <v>1.3771057000000155</v>
      </c>
      <c r="H294" s="38">
        <f>VLOOKUP($B294,'Old LS-Reports'!$A$4:$V$344,6,FALSE)-D294</f>
        <v>270.2647002797201</v>
      </c>
      <c r="I294" s="16">
        <f>VLOOKUP($B294,'Correlation sheet'!$C$4:$M$373,9,FALSE)</f>
        <v>271.61680597972008</v>
      </c>
      <c r="J294" s="38">
        <f t="shared" si="13"/>
        <v>1.3521056999999814</v>
      </c>
      <c r="K294" s="38">
        <f>VLOOKUP($B294,'Old LS-Reports'!$A$4:$V$344,16,FALSE)-D294</f>
        <v>265.39280857972005</v>
      </c>
      <c r="L294" s="38">
        <f>VLOOKUP($B294,'Old LS-Reports'!$A$4:$V$344,19,FALSE)-D294</f>
        <v>266.98371107972008</v>
      </c>
      <c r="M294" s="38">
        <f t="shared" si="14"/>
        <v>4.6330949000000032</v>
      </c>
      <c r="N294" s="38">
        <f>VLOOKUP($B294,'Old LS-Reports'!$A$4:$V$344,8,FALSE)</f>
        <v>-12.747</v>
      </c>
      <c r="P294" s="41"/>
    </row>
    <row r="295" spans="1:16" x14ac:dyDescent="0.25">
      <c r="A295" s="39">
        <v>287900</v>
      </c>
      <c r="B295" s="39">
        <v>96902.903999999995</v>
      </c>
      <c r="C295" s="40">
        <f>VLOOKUP($B295,'Correlation sheet'!$C$4:$M$373,6,FALSE)</f>
        <v>1177307.4948716098</v>
      </c>
      <c r="D295" s="16">
        <f>VLOOKUP($B295,'Correlation sheet'!$C$4:$N$373,11,FALSE)</f>
        <v>0.35862751620180688</v>
      </c>
      <c r="E295" s="38">
        <f>VLOOKUP($B295,'Old LS-Reports'!$A$4:$V$344,5,FALSE)-D295</f>
        <v>270.8922775837982</v>
      </c>
      <c r="F295" s="16">
        <f>VLOOKUP($B295,'Correlation sheet'!$C$4:$M$373,10,FALSE)</f>
        <v>272.2477628837982</v>
      </c>
      <c r="G295" s="38">
        <f t="shared" si="12"/>
        <v>1.355485299999998</v>
      </c>
      <c r="H295" s="38">
        <f>VLOOKUP($B295,'Old LS-Reports'!$A$4:$V$344,6,FALSE)-D295</f>
        <v>270.20427758379822</v>
      </c>
      <c r="I295" s="16">
        <f>VLOOKUP($B295,'Correlation sheet'!$C$4:$M$373,9,FALSE)</f>
        <v>271.53476288379818</v>
      </c>
      <c r="J295" s="38">
        <f t="shared" si="13"/>
        <v>1.3304852999999639</v>
      </c>
      <c r="K295" s="38">
        <f>VLOOKUP($B295,'Old LS-Reports'!$A$4:$V$344,16,FALSE)-D295</f>
        <v>265.8933724837982</v>
      </c>
      <c r="L295" s="38">
        <f>VLOOKUP($B295,'Old LS-Reports'!$A$4:$V$344,19,FALSE)-D295</f>
        <v>266.22737248379821</v>
      </c>
      <c r="M295" s="38">
        <f t="shared" si="14"/>
        <v>5.3073903999999743</v>
      </c>
      <c r="N295" s="38">
        <f>VLOOKUP($B295,'Old LS-Reports'!$A$4:$V$344,8,FALSE)</f>
        <v>-12.186</v>
      </c>
      <c r="P295" s="41"/>
    </row>
    <row r="296" spans="1:16" x14ac:dyDescent="0.25">
      <c r="A296" s="39">
        <v>287920</v>
      </c>
      <c r="B296" s="39">
        <v>96922.911999999997</v>
      </c>
      <c r="C296" s="40">
        <f>VLOOKUP($B296,'Correlation sheet'!$C$4:$M$373,6,FALSE)</f>
        <v>1177327.5038716083</v>
      </c>
      <c r="D296" s="16">
        <f>VLOOKUP($B296,'Correlation sheet'!$C$4:$N$373,11,FALSE)</f>
        <v>0.34978936956548523</v>
      </c>
      <c r="E296" s="38">
        <f>VLOOKUP($B296,'Old LS-Reports'!$A$4:$V$344,5,FALSE)-D296</f>
        <v>270.8299155304345</v>
      </c>
      <c r="F296" s="16">
        <f>VLOOKUP($B296,'Correlation sheet'!$C$4:$M$373,10,FALSE)</f>
        <v>272.16565413043452</v>
      </c>
      <c r="G296" s="38">
        <f t="shared" si="12"/>
        <v>1.3357386000000133</v>
      </c>
      <c r="H296" s="38">
        <f>VLOOKUP($B296,'Old LS-Reports'!$A$4:$V$344,6,FALSE)-D296</f>
        <v>270.14191553043452</v>
      </c>
      <c r="I296" s="16">
        <f>VLOOKUP($B296,'Correlation sheet'!$C$4:$M$373,9,FALSE)</f>
        <v>271.4526541304345</v>
      </c>
      <c r="J296" s="38">
        <f t="shared" si="13"/>
        <v>1.3107385999999792</v>
      </c>
      <c r="K296" s="38">
        <f>VLOOKUP($B296,'Old LS-Reports'!$A$4:$V$344,16,FALSE)-D296</f>
        <v>267.26321063043451</v>
      </c>
      <c r="L296" s="38">
        <f>VLOOKUP($B296,'Old LS-Reports'!$A$4:$V$344,19,FALSE)-D296</f>
        <v>267.1462106304345</v>
      </c>
      <c r="M296" s="38">
        <f t="shared" si="14"/>
        <v>4.3064435000000003</v>
      </c>
      <c r="N296" s="38">
        <f>VLOOKUP($B296,'Old LS-Reports'!$A$4:$V$344,8,FALSE)</f>
        <v>-11.609</v>
      </c>
      <c r="P296" s="41"/>
    </row>
    <row r="297" spans="1:16" x14ac:dyDescent="0.25">
      <c r="A297" s="39">
        <v>287940</v>
      </c>
      <c r="B297" s="39">
        <v>96942.936000000002</v>
      </c>
      <c r="C297" s="40">
        <f>VLOOKUP($B297,'Correlation sheet'!$C$4:$M$373,6,FALSE)</f>
        <v>1177347.5268715706</v>
      </c>
      <c r="D297" s="16">
        <f>VLOOKUP($B297,'Correlation sheet'!$C$4:$N$373,11,FALSE)</f>
        <v>0.34093817305569019</v>
      </c>
      <c r="E297" s="38">
        <f>VLOOKUP($B297,'Old LS-Reports'!$A$4:$V$344,5,FALSE)-D297</f>
        <v>270.76719732694431</v>
      </c>
      <c r="F297" s="16">
        <f>VLOOKUP($B297,'Correlation sheet'!$C$4:$M$373,10,FALSE)</f>
        <v>272.08348792694431</v>
      </c>
      <c r="G297" s="38">
        <f t="shared" si="12"/>
        <v>1.3162906000000021</v>
      </c>
      <c r="H297" s="38">
        <f>VLOOKUP($B297,'Old LS-Reports'!$A$4:$V$344,6,FALSE)-D297</f>
        <v>270.07919732694432</v>
      </c>
      <c r="I297" s="16">
        <f>VLOOKUP($B297,'Correlation sheet'!$C$4:$M$373,9,FALSE)</f>
        <v>271.37048792694429</v>
      </c>
      <c r="J297" s="38">
        <f t="shared" si="13"/>
        <v>1.291290599999968</v>
      </c>
      <c r="K297" s="38">
        <f>VLOOKUP($B297,'Old LS-Reports'!$A$4:$V$344,16,FALSE)-D297</f>
        <v>266.4670618269443</v>
      </c>
      <c r="L297" s="38">
        <f>VLOOKUP($B297,'Old LS-Reports'!$A$4:$V$344,19,FALSE)-D297</f>
        <v>267.21806182694434</v>
      </c>
      <c r="M297" s="38">
        <f t="shared" si="14"/>
        <v>4.1524260999999569</v>
      </c>
      <c r="N297" s="38">
        <f>VLOOKUP($B297,'Old LS-Reports'!$A$4:$V$344,8,FALSE)</f>
        <v>-11.032</v>
      </c>
      <c r="P297" s="41"/>
    </row>
    <row r="298" spans="1:16" x14ac:dyDescent="0.25">
      <c r="A298" s="39">
        <v>287960</v>
      </c>
      <c r="B298" s="39">
        <v>96962.944000000003</v>
      </c>
      <c r="C298" s="40">
        <f>VLOOKUP($B298,'Correlation sheet'!$C$4:$M$373,6,FALSE)</f>
        <v>1177367.5348634245</v>
      </c>
      <c r="D298" s="16">
        <f>VLOOKUP($B298,'Correlation sheet'!$C$4:$N$373,11,FALSE)</f>
        <v>0.33209948940634604</v>
      </c>
      <c r="E298" s="38">
        <f>VLOOKUP($B298,'Old LS-Reports'!$A$4:$V$344,5,FALSE)-D298</f>
        <v>270.65173561059368</v>
      </c>
      <c r="F298" s="16">
        <f>VLOOKUP($B298,'Correlation sheet'!$C$4:$M$373,10,FALSE)</f>
        <v>272.00138331059367</v>
      </c>
      <c r="G298" s="38">
        <f t="shared" si="12"/>
        <v>1.3496476999999913</v>
      </c>
      <c r="H298" s="38">
        <f>VLOOKUP($B298,'Old LS-Reports'!$A$4:$V$344,6,FALSE)-D298</f>
        <v>269.96373561059369</v>
      </c>
      <c r="I298" s="16">
        <f>VLOOKUP($B298,'Correlation sheet'!$C$4:$M$373,9,FALSE)</f>
        <v>271.28838331059364</v>
      </c>
      <c r="J298" s="38">
        <f t="shared" si="13"/>
        <v>1.3246476999999572</v>
      </c>
      <c r="K298" s="38">
        <f>VLOOKUP($B298,'Old LS-Reports'!$A$4:$V$344,16,FALSE)-D298</f>
        <v>266.15090051059366</v>
      </c>
      <c r="L298" s="38">
        <f>VLOOKUP($B298,'Old LS-Reports'!$A$4:$V$344,19,FALSE)-D298</f>
        <v>267.26890051059365</v>
      </c>
      <c r="M298" s="38">
        <f t="shared" si="14"/>
        <v>4.0194827999999916</v>
      </c>
      <c r="N298" s="38">
        <f>VLOOKUP($B298,'Old LS-Reports'!$A$4:$V$344,8,FALSE)</f>
        <v>-10.488</v>
      </c>
      <c r="P298" s="41"/>
    </row>
    <row r="299" spans="1:16" x14ac:dyDescent="0.25">
      <c r="A299" s="39">
        <v>287980</v>
      </c>
      <c r="B299" s="39">
        <v>96982.944000000003</v>
      </c>
      <c r="C299" s="40">
        <f>VLOOKUP($B299,'Correlation sheet'!$C$4:$M$373,6,FALSE)</f>
        <v>1177387.5358264328</v>
      </c>
      <c r="D299" s="16">
        <f>VLOOKUP($B299,'Correlation sheet'!$C$4:$N$373,11,FALSE)</f>
        <v>0.32326056224906097</v>
      </c>
      <c r="E299" s="38">
        <f>VLOOKUP($B299,'Old LS-Reports'!$A$4:$V$344,5,FALSE)-D299</f>
        <v>270.56740783775092</v>
      </c>
      <c r="F299" s="16">
        <f>VLOOKUP($B299,'Correlation sheet'!$C$4:$M$373,10,FALSE)</f>
        <v>271.91930753775097</v>
      </c>
      <c r="G299" s="38">
        <f t="shared" si="12"/>
        <v>1.3518997000000468</v>
      </c>
      <c r="H299" s="38">
        <f>VLOOKUP($B299,'Old LS-Reports'!$A$4:$V$344,6,FALSE)-D299</f>
        <v>269.87940783775093</v>
      </c>
      <c r="I299" s="16">
        <f>VLOOKUP($B299,'Correlation sheet'!$C$4:$M$373,9,FALSE)</f>
        <v>271.20630753775094</v>
      </c>
      <c r="J299" s="38">
        <f t="shared" si="13"/>
        <v>1.3268997000000127</v>
      </c>
      <c r="K299" s="38">
        <f>VLOOKUP($B299,'Old LS-Reports'!$A$4:$V$344,16,FALSE)-D299</f>
        <v>266.24473943775092</v>
      </c>
      <c r="L299" s="38">
        <f>VLOOKUP($B299,'Old LS-Reports'!$A$4:$V$344,19,FALSE)-D299</f>
        <v>267.42173943775094</v>
      </c>
      <c r="M299" s="38">
        <f t="shared" si="14"/>
        <v>3.7845681000000013</v>
      </c>
      <c r="N299" s="38">
        <f>VLOOKUP($B299,'Old LS-Reports'!$A$4:$V$344,8,FALSE)</f>
        <v>-9.9860000000000007</v>
      </c>
      <c r="P299" s="41"/>
    </row>
    <row r="300" spans="1:16" x14ac:dyDescent="0.25">
      <c r="A300" s="39">
        <v>288000</v>
      </c>
      <c r="B300" s="39">
        <v>97002.948999999993</v>
      </c>
      <c r="C300" s="40">
        <f>VLOOKUP($B300,'Correlation sheet'!$C$4:$M$373,6,FALSE)</f>
        <v>1177407.7177588835</v>
      </c>
      <c r="D300" s="16">
        <f>VLOOKUP($B300,'Correlation sheet'!$C$4:$N$373,11,FALSE)</f>
        <v>0.31513455967666459</v>
      </c>
      <c r="E300" s="38">
        <f>VLOOKUP($B300,'Old LS-Reports'!$A$4:$V$344,5,FALSE)-D300</f>
        <v>270.50379724032331</v>
      </c>
      <c r="F300" s="16">
        <f>VLOOKUP($B300,'Correlation sheet'!$C$4:$M$373,10,FALSE)</f>
        <v>271.83648914032335</v>
      </c>
      <c r="G300" s="38">
        <f t="shared" si="12"/>
        <v>1.332691900000043</v>
      </c>
      <c r="H300" s="38">
        <f>VLOOKUP($B300,'Old LS-Reports'!$A$4:$V$344,6,FALSE)-D300</f>
        <v>269.81579724032332</v>
      </c>
      <c r="I300" s="16">
        <f>VLOOKUP($B300,'Correlation sheet'!$C$4:$M$373,9,FALSE)</f>
        <v>271.12348914032333</v>
      </c>
      <c r="J300" s="38">
        <f t="shared" si="13"/>
        <v>1.3076919000000089</v>
      </c>
      <c r="K300" s="38">
        <f>VLOOKUP($B300,'Old LS-Reports'!$A$4:$V$344,16,FALSE)-D300</f>
        <v>266.32786544032331</v>
      </c>
      <c r="L300" s="38">
        <f>VLOOKUP($B300,'Old LS-Reports'!$A$4:$V$344,19,FALSE)-D300</f>
        <v>267.33186544032333</v>
      </c>
      <c r="M300" s="38">
        <f t="shared" si="14"/>
        <v>3.7916237000000024</v>
      </c>
      <c r="N300" s="38">
        <f>VLOOKUP($B300,'Old LS-Reports'!$A$4:$V$344,8,FALSE)</f>
        <v>-9.5790000000000006</v>
      </c>
      <c r="P300" s="41"/>
    </row>
    <row r="301" spans="1:16" x14ac:dyDescent="0.25">
      <c r="A301" s="39">
        <v>288000</v>
      </c>
      <c r="B301" s="39">
        <v>97002.948999999993</v>
      </c>
      <c r="C301" s="40">
        <f>VLOOKUP($B301,'Correlation sheet'!$C$4:$M$373,6,FALSE)</f>
        <v>1177407.7177588835</v>
      </c>
      <c r="D301" s="16">
        <f>VLOOKUP($B301,'Correlation sheet'!$C$4:$N$373,11,FALSE)</f>
        <v>0.31513455967666459</v>
      </c>
      <c r="E301" s="38">
        <f>VLOOKUP($B301,'Old LS-Reports'!$A$4:$V$344,5,FALSE)-D301</f>
        <v>270.50379724032331</v>
      </c>
      <c r="F301" s="16">
        <f>VLOOKUP($B301,'Correlation sheet'!$C$4:$M$373,10,FALSE)</f>
        <v>271.83648914032335</v>
      </c>
      <c r="G301" s="38">
        <f t="shared" si="12"/>
        <v>1.332691900000043</v>
      </c>
      <c r="H301" s="38">
        <f>VLOOKUP($B301,'Old LS-Reports'!$A$4:$V$344,6,FALSE)-D301</f>
        <v>269.81579724032332</v>
      </c>
      <c r="I301" s="16">
        <f>VLOOKUP($B301,'Correlation sheet'!$C$4:$M$373,9,FALSE)</f>
        <v>271.12348914032333</v>
      </c>
      <c r="J301" s="38">
        <f t="shared" si="13"/>
        <v>1.3076919000000089</v>
      </c>
      <c r="K301" s="38">
        <f>VLOOKUP($B301,'Old LS-Reports'!$A$4:$V$344,16,FALSE)-D301</f>
        <v>266.32786544032331</v>
      </c>
      <c r="L301" s="38">
        <f>VLOOKUP($B301,'Old LS-Reports'!$A$4:$V$344,19,FALSE)-D301</f>
        <v>267.33186544032333</v>
      </c>
      <c r="M301" s="38">
        <f t="shared" si="14"/>
        <v>3.7916237000000024</v>
      </c>
      <c r="N301" s="38">
        <f>VLOOKUP($B301,'Old LS-Reports'!$A$4:$V$344,8,FALSE)</f>
        <v>-9.5790000000000006</v>
      </c>
      <c r="P301" s="41"/>
    </row>
    <row r="302" spans="1:16" x14ac:dyDescent="0.25">
      <c r="A302" s="39">
        <v>288020</v>
      </c>
      <c r="B302" s="39">
        <v>97022.95</v>
      </c>
      <c r="C302" s="40">
        <f>VLOOKUP($B302,'Correlation sheet'!$C$4:$M$373,6,FALSE)</f>
        <v>1177427.5557075653</v>
      </c>
      <c r="D302" s="16">
        <f>VLOOKUP($B302,'Correlation sheet'!$C$4:$N$373,11,FALSE)</f>
        <v>0.30560348838776008</v>
      </c>
      <c r="E302" s="38">
        <f>VLOOKUP($B302,'Old LS-Reports'!$A$4:$V$344,5,FALSE)-D302</f>
        <v>270.46308501161224</v>
      </c>
      <c r="F302" s="16">
        <f>VLOOKUP($B302,'Correlation sheet'!$C$4:$M$373,10,FALSE)</f>
        <v>271.75508231161223</v>
      </c>
      <c r="G302" s="38">
        <f t="shared" si="12"/>
        <v>1.2919972999999914</v>
      </c>
      <c r="H302" s="38">
        <f>VLOOKUP($B302,'Old LS-Reports'!$A$4:$V$344,6,FALSE)-D302</f>
        <v>269.77508501161225</v>
      </c>
      <c r="I302" s="16">
        <f>VLOOKUP($B302,'Correlation sheet'!$C$4:$M$373,9,FALSE)</f>
        <v>271.04208231161221</v>
      </c>
      <c r="J302" s="38">
        <f t="shared" si="13"/>
        <v>1.2669972999999572</v>
      </c>
      <c r="K302" s="38">
        <f>VLOOKUP($B302,'Old LS-Reports'!$A$4:$V$344,16,FALSE)-D302</f>
        <v>266.49239651161224</v>
      </c>
      <c r="L302" s="38">
        <f>VLOOKUP($B302,'Old LS-Reports'!$A$4:$V$344,19,FALSE)-D302</f>
        <v>267.17039651161224</v>
      </c>
      <c r="M302" s="38">
        <f t="shared" si="14"/>
        <v>3.8716857999999661</v>
      </c>
      <c r="N302" s="38">
        <f>VLOOKUP($B302,'Old LS-Reports'!$A$4:$V$344,8,FALSE)</f>
        <v>-9.3040000000000003</v>
      </c>
      <c r="P302" s="41"/>
    </row>
    <row r="303" spans="1:16" x14ac:dyDescent="0.25">
      <c r="A303" s="39">
        <v>288040</v>
      </c>
      <c r="B303" s="39">
        <v>97042.951000000001</v>
      </c>
      <c r="C303" s="40">
        <f>VLOOKUP($B303,'Correlation sheet'!$C$4:$M$373,6,FALSE)</f>
        <v>1177447.5596909919</v>
      </c>
      <c r="D303" s="16">
        <f>VLOOKUP($B303,'Correlation sheet'!$C$4:$N$373,11,FALSE)</f>
        <v>0.29676365579217645</v>
      </c>
      <c r="E303" s="38">
        <f>VLOOKUP($B303,'Old LS-Reports'!$A$4:$V$344,5,FALSE)-D303</f>
        <v>270.43313064420784</v>
      </c>
      <c r="F303" s="16">
        <f>VLOOKUP($B303,'Correlation sheet'!$C$4:$M$373,10,FALSE)</f>
        <v>271.67299414420785</v>
      </c>
      <c r="G303" s="38">
        <f t="shared" si="12"/>
        <v>1.2398635000000127</v>
      </c>
      <c r="H303" s="38">
        <f>VLOOKUP($B303,'Old LS-Reports'!$A$4:$V$344,6,FALSE)-D303</f>
        <v>269.74513064420785</v>
      </c>
      <c r="I303" s="16">
        <f>VLOOKUP($B303,'Correlation sheet'!$C$4:$M$373,9,FALSE)</f>
        <v>270.95999414420783</v>
      </c>
      <c r="J303" s="38">
        <f t="shared" si="13"/>
        <v>1.2148634999999786</v>
      </c>
      <c r="K303" s="38">
        <f>VLOOKUP($B303,'Old LS-Reports'!$A$4:$V$344,16,FALSE)-D303</f>
        <v>266.6322363442078</v>
      </c>
      <c r="L303" s="38">
        <f>VLOOKUP($B303,'Old LS-Reports'!$A$4:$V$344,19,FALSE)-D303</f>
        <v>267.08023634420783</v>
      </c>
      <c r="M303" s="38">
        <f t="shared" si="14"/>
        <v>3.879757799999993</v>
      </c>
      <c r="N303" s="38">
        <f>VLOOKUP($B303,'Old LS-Reports'!$A$4:$V$344,8,FALSE)</f>
        <v>-9.1560000000000006</v>
      </c>
      <c r="P303" s="41"/>
    </row>
    <row r="304" spans="1:16" x14ac:dyDescent="0.25">
      <c r="A304" s="39">
        <v>288060</v>
      </c>
      <c r="B304" s="39">
        <v>97062.941999999995</v>
      </c>
      <c r="C304" s="40">
        <f>VLOOKUP($B304,'Correlation sheet'!$C$4:$M$373,6,FALSE)</f>
        <v>1177467.5536901257</v>
      </c>
      <c r="D304" s="16">
        <f>VLOOKUP($B304,'Correlation sheet'!$C$4:$N$373,11,FALSE)</f>
        <v>0.28792885174198091</v>
      </c>
      <c r="E304" s="38">
        <f>VLOOKUP($B304,'Old LS-Reports'!$A$4:$V$344,5,FALSE)-D304</f>
        <v>270.38603654825801</v>
      </c>
      <c r="F304" s="16">
        <f>VLOOKUP($B304,'Correlation sheet'!$C$4:$M$373,10,FALSE)</f>
        <v>271.59094694825802</v>
      </c>
      <c r="G304" s="38">
        <f t="shared" si="12"/>
        <v>1.204910400000017</v>
      </c>
      <c r="H304" s="38">
        <f>VLOOKUP($B304,'Old LS-Reports'!$A$4:$V$344,6,FALSE)-D304</f>
        <v>269.69803654825802</v>
      </c>
      <c r="I304" s="16">
        <f>VLOOKUP($B304,'Correlation sheet'!$C$4:$M$373,9,FALSE)</f>
        <v>270.877946948258</v>
      </c>
      <c r="J304" s="38">
        <f t="shared" si="13"/>
        <v>1.1799103999999829</v>
      </c>
      <c r="K304" s="38">
        <f>VLOOKUP($B304,'Old LS-Reports'!$A$4:$V$344,16,FALSE)-D304</f>
        <v>266.72907114825802</v>
      </c>
      <c r="L304" s="38">
        <f>VLOOKUP($B304,'Old LS-Reports'!$A$4:$V$344,19,FALSE)-D304</f>
        <v>266.86607114825802</v>
      </c>
      <c r="M304" s="38">
        <f t="shared" si="14"/>
        <v>4.0118757999999843</v>
      </c>
      <c r="N304" s="38">
        <f>VLOOKUP($B304,'Old LS-Reports'!$A$4:$V$344,8,FALSE)</f>
        <v>-9.0730000000000004</v>
      </c>
      <c r="P304" s="41"/>
    </row>
    <row r="305" spans="1:16" x14ac:dyDescent="0.25">
      <c r="A305" s="39">
        <v>288080</v>
      </c>
      <c r="B305" s="39">
        <v>97082.941999999995</v>
      </c>
      <c r="C305" s="40">
        <f>VLOOKUP($B305,'Correlation sheet'!$C$4:$M$373,6,FALSE)</f>
        <v>1177487.5546901282</v>
      </c>
      <c r="D305" s="16">
        <f>VLOOKUP($B305,'Correlation sheet'!$C$4:$N$373,11,FALSE)</f>
        <v>0.27909227639383971</v>
      </c>
      <c r="E305" s="38">
        <f>VLOOKUP($B305,'Old LS-Reports'!$A$4:$V$344,5,FALSE)-D305</f>
        <v>270.33647042360616</v>
      </c>
      <c r="F305" s="16">
        <f>VLOOKUP($B305,'Correlation sheet'!$C$4:$M$373,10,FALSE)</f>
        <v>271.50887102360616</v>
      </c>
      <c r="G305" s="38">
        <f t="shared" si="12"/>
        <v>1.1724006000000031</v>
      </c>
      <c r="H305" s="38">
        <f>VLOOKUP($B305,'Old LS-Reports'!$A$4:$V$344,6,FALSE)-D305</f>
        <v>269.64847042360617</v>
      </c>
      <c r="I305" s="16">
        <f>VLOOKUP($B305,'Correlation sheet'!$C$4:$M$373,9,FALSE)</f>
        <v>270.79587102360614</v>
      </c>
      <c r="J305" s="38">
        <f t="shared" si="13"/>
        <v>1.147400599999969</v>
      </c>
      <c r="K305" s="38">
        <f>VLOOKUP($B305,'Old LS-Reports'!$A$4:$V$344,16,FALSE)-D305</f>
        <v>266.72490772360618</v>
      </c>
      <c r="L305" s="38">
        <f>VLOOKUP($B305,'Old LS-Reports'!$A$4:$V$344,19,FALSE)-D305</f>
        <v>266.66290772360617</v>
      </c>
      <c r="M305" s="38">
        <f t="shared" si="14"/>
        <v>4.1329632999999717</v>
      </c>
      <c r="N305" s="38">
        <f>VLOOKUP($B305,'Old LS-Reports'!$A$4:$V$344,8,FALSE)</f>
        <v>-9.016</v>
      </c>
      <c r="P305" s="41"/>
    </row>
    <row r="306" spans="1:16" x14ac:dyDescent="0.25">
      <c r="A306" s="39">
        <v>288100</v>
      </c>
      <c r="B306" s="39">
        <v>97102.956999999995</v>
      </c>
      <c r="C306" s="40">
        <f>VLOOKUP($B306,'Correlation sheet'!$C$4:$M$373,6,FALSE)</f>
        <v>1177507.5676901292</v>
      </c>
      <c r="D306" s="16">
        <f>VLOOKUP($B306,'Correlation sheet'!$C$4:$N$373,11,FALSE)</f>
        <v>0.27024974413205882</v>
      </c>
      <c r="E306" s="38">
        <f>VLOOKUP($B306,'Old LS-Reports'!$A$4:$V$344,5,FALSE)-D306</f>
        <v>270.30205995586795</v>
      </c>
      <c r="F306" s="16">
        <f>VLOOKUP($B306,'Correlation sheet'!$C$4:$M$373,10,FALSE)</f>
        <v>271.42674585586792</v>
      </c>
      <c r="G306" s="38">
        <f t="shared" si="12"/>
        <v>1.1246858999999745</v>
      </c>
      <c r="H306" s="38">
        <f>VLOOKUP($B306,'Old LS-Reports'!$A$4:$V$344,6,FALSE)-D306</f>
        <v>269.61405995586796</v>
      </c>
      <c r="I306" s="16">
        <f>VLOOKUP($B306,'Correlation sheet'!$C$4:$M$373,9,FALSE)</f>
        <v>270.7137458558679</v>
      </c>
      <c r="J306" s="38">
        <f t="shared" si="13"/>
        <v>1.0996858999999404</v>
      </c>
      <c r="K306" s="38">
        <f>VLOOKUP($B306,'Old LS-Reports'!$A$4:$V$344,16,FALSE)-D306</f>
        <v>266.42075025586792</v>
      </c>
      <c r="L306" s="38">
        <f>VLOOKUP($B306,'Old LS-Reports'!$A$4:$V$344,19,FALSE)-D306</f>
        <v>266.51675025586792</v>
      </c>
      <c r="M306" s="38">
        <f t="shared" si="14"/>
        <v>4.1969955999999797</v>
      </c>
      <c r="N306" s="38">
        <f>VLOOKUP($B306,'Old LS-Reports'!$A$4:$V$344,8,FALSE)</f>
        <v>-8.9920000000000009</v>
      </c>
      <c r="P306" s="41"/>
    </row>
    <row r="307" spans="1:16" x14ac:dyDescent="0.25">
      <c r="A307" s="39">
        <v>288120</v>
      </c>
      <c r="B307" s="39">
        <v>97122.956999999995</v>
      </c>
      <c r="C307" s="40">
        <f>VLOOKUP($B307,'Correlation sheet'!$C$4:$M$373,6,FALSE)</f>
        <v>1177527.5676901273</v>
      </c>
      <c r="D307" s="16">
        <f>VLOOKUP($B307,'Correlation sheet'!$C$4:$N$373,11,FALSE)</f>
        <v>0.26141246517505579</v>
      </c>
      <c r="E307" s="38">
        <f>VLOOKUP($B307,'Old LS-Reports'!$A$4:$V$344,5,FALSE)-D307</f>
        <v>270.26892813482493</v>
      </c>
      <c r="F307" s="16">
        <f>VLOOKUP($B307,'Correlation sheet'!$C$4:$M$373,10,FALSE)</f>
        <v>271.34467403482495</v>
      </c>
      <c r="G307" s="38">
        <f t="shared" si="12"/>
        <v>1.0757459000000154</v>
      </c>
      <c r="H307" s="38">
        <f>VLOOKUP($B307,'Old LS-Reports'!$A$4:$V$344,6,FALSE)-D307</f>
        <v>269.58092813482494</v>
      </c>
      <c r="I307" s="16">
        <f>VLOOKUP($B307,'Correlation sheet'!$C$4:$M$373,9,FALSE)</f>
        <v>270.63167403482493</v>
      </c>
      <c r="J307" s="38">
        <f t="shared" si="13"/>
        <v>1.0507458999999812</v>
      </c>
      <c r="K307" s="38">
        <f>VLOOKUP($B307,'Old LS-Reports'!$A$4:$V$344,16,FALSE)-D307</f>
        <v>266.28758753482492</v>
      </c>
      <c r="L307" s="38">
        <f>VLOOKUP($B307,'Old LS-Reports'!$A$4:$V$344,19,FALSE)-D307</f>
        <v>266.33258753482494</v>
      </c>
      <c r="M307" s="38">
        <f t="shared" si="14"/>
        <v>4.2990864999999872</v>
      </c>
      <c r="N307" s="38">
        <f>VLOOKUP($B307,'Old LS-Reports'!$A$4:$V$344,8,FALSE)</f>
        <v>-8.9700000000000006</v>
      </c>
      <c r="P307" s="41"/>
    </row>
    <row r="308" spans="1:16" x14ac:dyDescent="0.25">
      <c r="A308" s="39">
        <v>288140</v>
      </c>
      <c r="B308" s="39">
        <v>97142.962</v>
      </c>
      <c r="C308" s="40">
        <f>VLOOKUP($B308,'Correlation sheet'!$C$4:$M$373,6,FALSE)</f>
        <v>1177547.5716901298</v>
      </c>
      <c r="D308" s="16">
        <f>VLOOKUP($B308,'Correlation sheet'!$C$4:$N$373,11,FALSE)</f>
        <v>0.25257200060019613</v>
      </c>
      <c r="E308" s="38">
        <f>VLOOKUP($B308,'Old LS-Reports'!$A$4:$V$344,5,FALSE)-D308</f>
        <v>270.20490819939982</v>
      </c>
      <c r="F308" s="16">
        <f>VLOOKUP($B308,'Correlation sheet'!$C$4:$M$373,10,FALSE)</f>
        <v>271.2625857993998</v>
      </c>
      <c r="G308" s="38">
        <f t="shared" si="12"/>
        <v>1.0576775999999768</v>
      </c>
      <c r="H308" s="38">
        <f>VLOOKUP($B308,'Old LS-Reports'!$A$4:$V$344,6,FALSE)-D308</f>
        <v>269.51690819939984</v>
      </c>
      <c r="I308" s="16">
        <f>VLOOKUP($B308,'Correlation sheet'!$C$4:$M$373,9,FALSE)</f>
        <v>270.54958579939978</v>
      </c>
      <c r="J308" s="38">
        <f t="shared" si="13"/>
        <v>1.0326775999999427</v>
      </c>
      <c r="K308" s="38">
        <f>VLOOKUP($B308,'Old LS-Reports'!$A$4:$V$344,16,FALSE)-D308</f>
        <v>266.29842799939979</v>
      </c>
      <c r="L308" s="38">
        <f>VLOOKUP($B308,'Old LS-Reports'!$A$4:$V$344,19,FALSE)-D308</f>
        <v>266.48942799939982</v>
      </c>
      <c r="M308" s="38">
        <f t="shared" si="14"/>
        <v>4.0601577999999563</v>
      </c>
      <c r="N308" s="38">
        <f>VLOOKUP($B308,'Old LS-Reports'!$A$4:$V$344,8,FALSE)</f>
        <v>-8.9559999999999995</v>
      </c>
      <c r="P308" s="41"/>
    </row>
    <row r="309" spans="1:16" x14ac:dyDescent="0.25">
      <c r="A309" s="39">
        <v>288160</v>
      </c>
      <c r="B309" s="39">
        <v>97162.962</v>
      </c>
      <c r="C309" s="40">
        <f>VLOOKUP($B309,'Correlation sheet'!$C$4:$M$373,6,FALSE)</f>
        <v>1177567.5716901284</v>
      </c>
      <c r="D309" s="16">
        <f>VLOOKUP($B309,'Correlation sheet'!$C$4:$N$373,11,FALSE)</f>
        <v>0.24373452164502396</v>
      </c>
      <c r="E309" s="38">
        <f>VLOOKUP($B309,'Old LS-Reports'!$A$4:$V$344,5,FALSE)-D309</f>
        <v>270.13031417835498</v>
      </c>
      <c r="F309" s="16">
        <f>VLOOKUP($B309,'Correlation sheet'!$C$4:$M$373,10,FALSE)</f>
        <v>271.18051397835495</v>
      </c>
      <c r="G309" s="38">
        <f t="shared" si="12"/>
        <v>1.050199799999973</v>
      </c>
      <c r="H309" s="38">
        <f>VLOOKUP($B309,'Old LS-Reports'!$A$4:$V$344,6,FALSE)-D309</f>
        <v>269.44231417835499</v>
      </c>
      <c r="I309" s="16">
        <f>VLOOKUP($B309,'Correlation sheet'!$C$4:$M$373,9,FALSE)</f>
        <v>270.46751397835493</v>
      </c>
      <c r="J309" s="38">
        <f t="shared" si="13"/>
        <v>1.0251997999999389</v>
      </c>
      <c r="K309" s="38">
        <f>VLOOKUP($B309,'Old LS-Reports'!$A$4:$V$344,16,FALSE)-D309</f>
        <v>266.49226547835497</v>
      </c>
      <c r="L309" s="38">
        <f>VLOOKUP($B309,'Old LS-Reports'!$A$4:$V$344,19,FALSE)-D309</f>
        <v>266.60326547835496</v>
      </c>
      <c r="M309" s="38">
        <f t="shared" si="14"/>
        <v>3.8642484999999738</v>
      </c>
      <c r="N309" s="38">
        <f>VLOOKUP($B309,'Old LS-Reports'!$A$4:$V$344,8,FALSE)</f>
        <v>-8.9440000000000008</v>
      </c>
      <c r="P309" s="41"/>
    </row>
    <row r="310" spans="1:16" x14ac:dyDescent="0.25">
      <c r="A310" s="39">
        <v>288180</v>
      </c>
      <c r="B310" s="39">
        <v>97182.96</v>
      </c>
      <c r="C310" s="40">
        <f>VLOOKUP($B310,'Correlation sheet'!$C$4:$M$373,6,FALSE)</f>
        <v>1177587.5706901285</v>
      </c>
      <c r="D310" s="16">
        <f>VLOOKUP($B310,'Correlation sheet'!$C$4:$N$373,11,FALSE)</f>
        <v>0.2348985391049041</v>
      </c>
      <c r="E310" s="38">
        <f>VLOOKUP($B310,'Old LS-Reports'!$A$4:$V$344,5,FALSE)-D310</f>
        <v>270.05880306089512</v>
      </c>
      <c r="F310" s="16">
        <f>VLOOKUP($B310,'Correlation sheet'!$C$4:$M$373,10,FALSE)</f>
        <v>271.09844626089512</v>
      </c>
      <c r="G310" s="38">
        <f t="shared" si="12"/>
        <v>1.0396432000000004</v>
      </c>
      <c r="H310" s="38">
        <f>VLOOKUP($B310,'Old LS-Reports'!$A$4:$V$344,6,FALSE)-D310</f>
        <v>269.37080306089513</v>
      </c>
      <c r="I310" s="16">
        <f>VLOOKUP($B310,'Correlation sheet'!$C$4:$M$373,9,FALSE)</f>
        <v>270.38544626089509</v>
      </c>
      <c r="J310" s="38">
        <f t="shared" si="13"/>
        <v>1.0146431999999663</v>
      </c>
      <c r="K310" s="38">
        <f>VLOOKUP($B310,'Old LS-Reports'!$A$4:$V$344,16,FALSE)-D310</f>
        <v>266.68710146089512</v>
      </c>
      <c r="L310" s="38">
        <f>VLOOKUP($B310,'Old LS-Reports'!$A$4:$V$344,19,FALSE)-D310</f>
        <v>266.63310146089509</v>
      </c>
      <c r="M310" s="38">
        <f t="shared" si="14"/>
        <v>3.752344800000003</v>
      </c>
      <c r="N310" s="38">
        <f>VLOOKUP($B310,'Old LS-Reports'!$A$4:$V$344,8,FALSE)</f>
        <v>-8.93</v>
      </c>
      <c r="P310" s="41"/>
    </row>
    <row r="311" spans="1:16" x14ac:dyDescent="0.25">
      <c r="A311" s="39">
        <v>288200</v>
      </c>
      <c r="B311" s="39">
        <v>97202.96</v>
      </c>
      <c r="C311" s="40">
        <f>VLOOKUP($B311,'Correlation sheet'!$C$4:$M$373,6,FALSE)</f>
        <v>1177607.5706892833</v>
      </c>
      <c r="D311" s="16">
        <f>VLOOKUP($B311,'Correlation sheet'!$C$4:$N$373,11,FALSE)</f>
        <v>0.22606115668725124</v>
      </c>
      <c r="E311" s="38">
        <f>VLOOKUP($B311,'Old LS-Reports'!$A$4:$V$344,5,FALSE)-D311</f>
        <v>269.98989954331273</v>
      </c>
      <c r="F311" s="16">
        <f>VLOOKUP($B311,'Correlation sheet'!$C$4:$M$373,10,FALSE)</f>
        <v>271.01637444331277</v>
      </c>
      <c r="G311" s="38">
        <f t="shared" si="12"/>
        <v>1.0264749000000393</v>
      </c>
      <c r="H311" s="38">
        <f>VLOOKUP($B311,'Old LS-Reports'!$A$4:$V$344,6,FALSE)-D311</f>
        <v>269.30189954331274</v>
      </c>
      <c r="I311" s="16">
        <f>VLOOKUP($B311,'Correlation sheet'!$C$4:$M$373,9,FALSE)</f>
        <v>270.30337444331275</v>
      </c>
      <c r="J311" s="38">
        <f t="shared" si="13"/>
        <v>1.0014749000000052</v>
      </c>
      <c r="K311" s="38">
        <f>VLOOKUP($B311,'Old LS-Reports'!$A$4:$V$344,16,FALSE)-D311</f>
        <v>266.96393884331275</v>
      </c>
      <c r="L311" s="38">
        <f>VLOOKUP($B311,'Old LS-Reports'!$A$4:$V$344,19,FALSE)-D311</f>
        <v>266.47593884331275</v>
      </c>
      <c r="M311" s="38">
        <f t="shared" si="14"/>
        <v>3.8274356000000012</v>
      </c>
      <c r="N311" s="38">
        <f>VLOOKUP($B311,'Old LS-Reports'!$A$4:$V$344,8,FALSE)</f>
        <v>-8.9149999999999991</v>
      </c>
      <c r="P311" s="41"/>
    </row>
    <row r="312" spans="1:16" x14ac:dyDescent="0.25">
      <c r="A312" s="39">
        <v>288220</v>
      </c>
      <c r="B312" s="39">
        <v>97223</v>
      </c>
      <c r="C312" s="40">
        <f>VLOOKUP($B312,'Correlation sheet'!$C$4:$M$373,6,FALSE)</f>
        <v>1177627.6086740368</v>
      </c>
      <c r="D312" s="16">
        <f>VLOOKUP($B312,'Correlation sheet'!$C$4:$N$373,11,FALSE)</f>
        <v>0.21720545163242377</v>
      </c>
      <c r="E312" s="38">
        <f>VLOOKUP($B312,'Old LS-Reports'!$A$4:$V$344,5,FALSE)-D312</f>
        <v>269.95158674836756</v>
      </c>
      <c r="F312" s="16">
        <f>VLOOKUP($B312,'Correlation sheet'!$C$4:$M$373,10,FALSE)</f>
        <v>270.9341467483676</v>
      </c>
      <c r="G312" s="38">
        <f t="shared" si="12"/>
        <v>0.98256000000003496</v>
      </c>
      <c r="H312" s="38">
        <f>VLOOKUP($B312,'Old LS-Reports'!$A$4:$V$344,6,FALSE)-D312</f>
        <v>269.26358674836757</v>
      </c>
      <c r="I312" s="16">
        <f>VLOOKUP($B312,'Correlation sheet'!$C$4:$M$373,9,FALSE)</f>
        <v>270.22114674836757</v>
      </c>
      <c r="J312" s="38">
        <f t="shared" si="13"/>
        <v>0.95756000000000085</v>
      </c>
      <c r="K312" s="38">
        <f>VLOOKUP($B312,'Old LS-Reports'!$A$4:$V$344,16,FALSE)-D312</f>
        <v>267.69679454836756</v>
      </c>
      <c r="L312" s="38">
        <f>VLOOKUP($B312,'Old LS-Reports'!$A$4:$V$344,19,FALSE)-D312</f>
        <v>265.92179454836759</v>
      </c>
      <c r="M312" s="38">
        <f t="shared" si="14"/>
        <v>4.2993521999999871</v>
      </c>
      <c r="N312" s="38">
        <f>VLOOKUP($B312,'Old LS-Reports'!$A$4:$V$344,8,FALSE)</f>
        <v>-8.9550000000000001</v>
      </c>
      <c r="P312" s="41"/>
    </row>
    <row r="313" spans="1:16" x14ac:dyDescent="0.25">
      <c r="A313" s="39">
        <v>288240</v>
      </c>
      <c r="B313" s="39">
        <v>97243.001999999993</v>
      </c>
      <c r="C313" s="40">
        <f>VLOOKUP($B313,'Correlation sheet'!$C$4:$M$373,6,FALSE)</f>
        <v>1177647.6096260461</v>
      </c>
      <c r="D313" s="16">
        <f>VLOOKUP($B313,'Correlation sheet'!$C$4:$N$373,11,FALSE)</f>
        <v>0.20837027933998797</v>
      </c>
      <c r="E313" s="38">
        <f>VLOOKUP($B313,'Old LS-Reports'!$A$4:$V$344,5,FALSE)-D313</f>
        <v>269.93948922065999</v>
      </c>
      <c r="F313" s="16">
        <f>VLOOKUP($B313,'Correlation sheet'!$C$4:$M$373,10,FALSE)</f>
        <v>270.85207102065999</v>
      </c>
      <c r="G313" s="38">
        <f t="shared" si="12"/>
        <v>0.91258179999999811</v>
      </c>
      <c r="H313" s="38">
        <f>VLOOKUP($B313,'Old LS-Reports'!$A$4:$V$344,6,FALSE)-D313</f>
        <v>269.25148922066001</v>
      </c>
      <c r="I313" s="16">
        <f>VLOOKUP($B313,'Correlation sheet'!$C$4:$M$373,9,FALSE)</f>
        <v>270.13907102065997</v>
      </c>
      <c r="J313" s="38">
        <f t="shared" si="13"/>
        <v>0.88758179999996401</v>
      </c>
      <c r="K313" s="38">
        <f>VLOOKUP($B313,'Old LS-Reports'!$A$4:$V$344,16,FALSE)-D313</f>
        <v>267.04762972065998</v>
      </c>
      <c r="L313" s="38">
        <f>VLOOKUP($B313,'Old LS-Reports'!$A$4:$V$344,19,FALSE)-D313</f>
        <v>266.93462972065998</v>
      </c>
      <c r="M313" s="38">
        <f t="shared" si="14"/>
        <v>3.2044412999999849</v>
      </c>
      <c r="N313" s="38">
        <f>VLOOKUP($B313,'Old LS-Reports'!$A$4:$V$344,8,FALSE)</f>
        <v>-9.0030000000000001</v>
      </c>
      <c r="P313" s="41"/>
    </row>
    <row r="314" spans="1:16" x14ac:dyDescent="0.25">
      <c r="A314" s="39">
        <v>288260</v>
      </c>
      <c r="B314" s="39">
        <v>97263.123000000007</v>
      </c>
      <c r="C314" s="40">
        <f>VLOOKUP($B314,'Correlation sheet'!$C$4:$M$373,6,FALSE)</f>
        <v>1177667.7225418445</v>
      </c>
      <c r="D314" s="16">
        <f>VLOOKUP($B314,'Correlation sheet'!$C$4:$N$373,11,FALSE)</f>
        <v>0.19947966065029732</v>
      </c>
      <c r="E314" s="38">
        <f>VLOOKUP($B314,'Old LS-Reports'!$A$4:$V$344,5,FALSE)-D314</f>
        <v>269.90886093934972</v>
      </c>
      <c r="F314" s="16">
        <f>VLOOKUP($B314,'Correlation sheet'!$C$4:$M$373,10,FALSE)</f>
        <v>270.76953583934971</v>
      </c>
      <c r="G314" s="38">
        <f t="shared" si="12"/>
        <v>0.86067489999999225</v>
      </c>
      <c r="H314" s="38">
        <f>VLOOKUP($B314,'Old LS-Reports'!$A$4:$V$344,6,FALSE)-D314</f>
        <v>269.22086093934973</v>
      </c>
      <c r="I314" s="16">
        <f>VLOOKUP($B314,'Correlation sheet'!$C$4:$M$373,9,FALSE)</f>
        <v>270.05653583934969</v>
      </c>
      <c r="J314" s="38">
        <f t="shared" si="13"/>
        <v>0.83567489999995814</v>
      </c>
      <c r="K314" s="38">
        <f>VLOOKUP($B314,'Old LS-Reports'!$A$4:$V$344,16,FALSE)-D314</f>
        <v>266.64852033934972</v>
      </c>
      <c r="L314" s="38">
        <f>VLOOKUP($B314,'Old LS-Reports'!$A$4:$V$344,19,FALSE)-D314</f>
        <v>267.14652033934971</v>
      </c>
      <c r="M314" s="38">
        <f t="shared" si="14"/>
        <v>2.9100154999999859</v>
      </c>
      <c r="N314" s="38">
        <f>VLOOKUP($B314,'Old LS-Reports'!$A$4:$V$344,8,FALSE)</f>
        <v>-9.1910000000000007</v>
      </c>
      <c r="P314" s="41"/>
    </row>
    <row r="315" spans="1:16" x14ac:dyDescent="0.25">
      <c r="A315" s="39">
        <v>288280</v>
      </c>
      <c r="B315" s="39">
        <v>97283.202999999994</v>
      </c>
      <c r="C315" s="40">
        <f>VLOOKUP($B315,'Correlation sheet'!$C$4:$M$373,6,FALSE)</f>
        <v>1177687.8004575321</v>
      </c>
      <c r="D315" s="16">
        <f>VLOOKUP($B315,'Correlation sheet'!$C$4:$N$373,11,FALSE)</f>
        <v>0.19061081581929784</v>
      </c>
      <c r="E315" s="38">
        <f>VLOOKUP($B315,'Old LS-Reports'!$A$4:$V$344,5,FALSE)-D315</f>
        <v>269.87153278418072</v>
      </c>
      <c r="F315" s="16">
        <f>VLOOKUP($B315,'Correlation sheet'!$C$4:$M$373,10,FALSE)</f>
        <v>270.6871442841807</v>
      </c>
      <c r="G315" s="38">
        <f t="shared" si="12"/>
        <v>0.81561149999998861</v>
      </c>
      <c r="H315" s="38">
        <f>VLOOKUP($B315,'Old LS-Reports'!$A$4:$V$344,6,FALSE)-D315</f>
        <v>269.18353278418073</v>
      </c>
      <c r="I315" s="16">
        <f>VLOOKUP($B315,'Correlation sheet'!$C$4:$M$373,9,FALSE)</f>
        <v>269.97414428418068</v>
      </c>
      <c r="J315" s="38">
        <f t="shared" si="13"/>
        <v>0.7906114999999545</v>
      </c>
      <c r="K315" s="38">
        <f>VLOOKUP($B315,'Old LS-Reports'!$A$4:$V$344,16,FALSE)-D315</f>
        <v>267.6313891841807</v>
      </c>
      <c r="L315" s="38">
        <f>VLOOKUP($B315,'Old LS-Reports'!$A$4:$V$344,19,FALSE)-D315</f>
        <v>267.12838918418072</v>
      </c>
      <c r="M315" s="38">
        <f t="shared" si="14"/>
        <v>2.8457550999999626</v>
      </c>
      <c r="N315" s="38">
        <f>VLOOKUP($B315,'Old LS-Reports'!$A$4:$V$344,8,FALSE)</f>
        <v>-9.2910000000000004</v>
      </c>
      <c r="P315" s="41"/>
    </row>
    <row r="316" spans="1:16" x14ac:dyDescent="0.25">
      <c r="A316" s="39">
        <v>288300</v>
      </c>
      <c r="B316" s="39">
        <v>97303.203999999998</v>
      </c>
      <c r="C316" s="40">
        <f>VLOOKUP($B316,'Correlation sheet'!$C$4:$M$373,6,FALSE)</f>
        <v>1177707.8003741982</v>
      </c>
      <c r="D316" s="16">
        <f>VLOOKUP($B316,'Correlation sheet'!$C$4:$N$373,11,FALSE)</f>
        <v>0.18176879490198417</v>
      </c>
      <c r="E316" s="38">
        <f>VLOOKUP($B316,'Old LS-Reports'!$A$4:$V$344,5,FALSE)-D316</f>
        <v>269.79703670509804</v>
      </c>
      <c r="F316" s="16">
        <f>VLOOKUP($B316,'Correlation sheet'!$C$4:$M$373,10,FALSE)</f>
        <v>270.60507280509802</v>
      </c>
      <c r="G316" s="38">
        <f t="shared" si="12"/>
        <v>0.80803609999998116</v>
      </c>
      <c r="H316" s="38">
        <f>VLOOKUP($B316,'Old LS-Reports'!$A$4:$V$344,6,FALSE)-D316</f>
        <v>269.10903670509805</v>
      </c>
      <c r="I316" s="16">
        <f>VLOOKUP($B316,'Correlation sheet'!$C$4:$M$373,9,FALSE)</f>
        <v>269.892072805098</v>
      </c>
      <c r="J316" s="38">
        <f t="shared" si="13"/>
        <v>0.78303609999994706</v>
      </c>
      <c r="K316" s="38">
        <f>VLOOKUP($B316,'Old LS-Reports'!$A$4:$V$344,16,FALSE)-D316</f>
        <v>267.386231205098</v>
      </c>
      <c r="L316" s="38">
        <f>VLOOKUP($B316,'Old LS-Reports'!$A$4:$V$344,19,FALSE)-D316</f>
        <v>267.11123120509802</v>
      </c>
      <c r="M316" s="38">
        <f t="shared" si="14"/>
        <v>2.7808415999999738</v>
      </c>
      <c r="N316" s="38">
        <f>VLOOKUP($B316,'Old LS-Reports'!$A$4:$V$344,8,FALSE)</f>
        <v>-9.3719999999999999</v>
      </c>
      <c r="P316" s="41"/>
    </row>
    <row r="317" spans="1:16" x14ac:dyDescent="0.25">
      <c r="A317" s="39">
        <v>288320</v>
      </c>
      <c r="B317" s="39">
        <v>97323.285999999993</v>
      </c>
      <c r="C317" s="40">
        <f>VLOOKUP($B317,'Correlation sheet'!$C$4:$M$373,6,FALSE)</f>
        <v>1177727.8802898605</v>
      </c>
      <c r="D317" s="16">
        <f>VLOOKUP($B317,'Correlation sheet'!$C$4:$N$373,11,FALSE)</f>
        <v>0.17289695714930531</v>
      </c>
      <c r="E317" s="38">
        <f>VLOOKUP($B317,'Old LS-Reports'!$A$4:$V$344,5,FALSE)-D317</f>
        <v>269.73694934285072</v>
      </c>
      <c r="F317" s="16">
        <f>VLOOKUP($B317,'Correlation sheet'!$C$4:$M$373,10,FALSE)</f>
        <v>270.52267304285067</v>
      </c>
      <c r="G317" s="38">
        <f t="shared" si="12"/>
        <v>0.78572369999994862</v>
      </c>
      <c r="H317" s="38">
        <f>VLOOKUP($B317,'Old LS-Reports'!$A$4:$V$344,6,FALSE)-D317</f>
        <v>269.04894934285073</v>
      </c>
      <c r="I317" s="16">
        <f>VLOOKUP($B317,'Correlation sheet'!$C$4:$M$373,9,FALSE)</f>
        <v>269.80967304285065</v>
      </c>
      <c r="J317" s="38">
        <f t="shared" si="13"/>
        <v>0.76072369999991452</v>
      </c>
      <c r="K317" s="38">
        <f>VLOOKUP($B317,'Old LS-Reports'!$A$4:$V$344,16,FALSE)-D317</f>
        <v>266.5431030428507</v>
      </c>
      <c r="L317" s="38">
        <f>VLOOKUP($B317,'Old LS-Reports'!$A$4:$V$344,19,FALSE)-D317</f>
        <v>266.90210304285068</v>
      </c>
      <c r="M317" s="38">
        <f t="shared" si="14"/>
        <v>2.9075699999999642</v>
      </c>
      <c r="N317" s="38">
        <f>VLOOKUP($B317,'Old LS-Reports'!$A$4:$V$344,8,FALSE)</f>
        <v>-9.3979999999999997</v>
      </c>
      <c r="P317" s="41"/>
    </row>
    <row r="318" spans="1:16" x14ac:dyDescent="0.25">
      <c r="A318" s="39">
        <v>288340</v>
      </c>
      <c r="B318" s="39">
        <v>97343.285999999993</v>
      </c>
      <c r="C318" s="40">
        <f>VLOOKUP($B318,'Correlation sheet'!$C$4:$M$373,6,FALSE)</f>
        <v>1177747.8802065277</v>
      </c>
      <c r="D318" s="16">
        <f>VLOOKUP($B318,'Correlation sheet'!$C$4:$N$373,11,FALSE)</f>
        <v>0.16405883623588124</v>
      </c>
      <c r="E318" s="38">
        <f>VLOOKUP($B318,'Old LS-Reports'!$A$4:$V$344,5,FALSE)-D318</f>
        <v>269.68359576376412</v>
      </c>
      <c r="F318" s="16">
        <f>VLOOKUP($B318,'Correlation sheet'!$C$4:$M$373,10,FALSE)</f>
        <v>270.44060156376412</v>
      </c>
      <c r="G318" s="38">
        <f t="shared" si="12"/>
        <v>0.75700580000000173</v>
      </c>
      <c r="H318" s="38">
        <f>VLOOKUP($B318,'Old LS-Reports'!$A$4:$V$344,6,FALSE)-D318</f>
        <v>268.99559576376413</v>
      </c>
      <c r="I318" s="16">
        <f>VLOOKUP($B318,'Correlation sheet'!$C$4:$M$373,9,FALSE)</f>
        <v>269.7276015637641</v>
      </c>
      <c r="J318" s="38">
        <f t="shared" si="13"/>
        <v>0.73200579999996762</v>
      </c>
      <c r="K318" s="38">
        <f>VLOOKUP($B318,'Old LS-Reports'!$A$4:$V$344,16,FALSE)-D318</f>
        <v>266.42694116376413</v>
      </c>
      <c r="L318" s="38">
        <f>VLOOKUP($B318,'Old LS-Reports'!$A$4:$V$344,19,FALSE)-D318</f>
        <v>267.0579411637641</v>
      </c>
      <c r="M318" s="38">
        <f t="shared" si="14"/>
        <v>2.6696603999999979</v>
      </c>
      <c r="N318" s="38">
        <f>VLOOKUP($B318,'Old LS-Reports'!$A$4:$V$344,8,FALSE)</f>
        <v>-9.3010000000000002</v>
      </c>
      <c r="P318" s="41"/>
    </row>
    <row r="319" spans="1:16" x14ac:dyDescent="0.25">
      <c r="A319" s="39">
        <v>288360</v>
      </c>
      <c r="B319" s="39">
        <v>97363.381999999998</v>
      </c>
      <c r="C319" s="40">
        <f>VLOOKUP($B319,'Correlation sheet'!$C$4:$M$373,6,FALSE)</f>
        <v>1177767.9741404885</v>
      </c>
      <c r="D319" s="16">
        <f>VLOOKUP($B319,'Correlation sheet'!$C$4:$N$373,11,FALSE)</f>
        <v>0.15517902384794979</v>
      </c>
      <c r="E319" s="38">
        <f>VLOOKUP($B319,'Old LS-Reports'!$A$4:$V$344,5,FALSE)-D319</f>
        <v>269.64499807615204</v>
      </c>
      <c r="F319" s="16">
        <f>VLOOKUP($B319,'Correlation sheet'!$C$4:$M$373,10,FALSE)</f>
        <v>270.35814427615207</v>
      </c>
      <c r="G319" s="38">
        <f t="shared" si="12"/>
        <v>0.7131462000000397</v>
      </c>
      <c r="H319" s="38">
        <f>VLOOKUP($B319,'Old LS-Reports'!$A$4:$V$344,6,FALSE)-D319</f>
        <v>268.95699807615205</v>
      </c>
      <c r="I319" s="16">
        <f>VLOOKUP($B319,'Correlation sheet'!$C$4:$M$373,9,FALSE)</f>
        <v>269.64514427615205</v>
      </c>
      <c r="J319" s="38">
        <f t="shared" si="13"/>
        <v>0.68814620000000559</v>
      </c>
      <c r="K319" s="38">
        <f>VLOOKUP($B319,'Old LS-Reports'!$A$4:$V$344,16,FALSE)-D319</f>
        <v>266.37382097615205</v>
      </c>
      <c r="L319" s="38">
        <f>VLOOKUP($B319,'Old LS-Reports'!$A$4:$V$344,19,FALSE)-D319</f>
        <v>267.05482097615203</v>
      </c>
      <c r="M319" s="38">
        <f t="shared" si="14"/>
        <v>2.5903233000000228</v>
      </c>
      <c r="N319" s="38">
        <f>VLOOKUP($B319,'Old LS-Reports'!$A$4:$V$344,8,FALSE)</f>
        <v>-9.2260000000000009</v>
      </c>
      <c r="P319" s="41"/>
    </row>
    <row r="320" spans="1:16" x14ac:dyDescent="0.25">
      <c r="A320" s="39">
        <v>288380</v>
      </c>
      <c r="B320" s="39">
        <v>97383.445999999996</v>
      </c>
      <c r="C320" s="40">
        <f>VLOOKUP($B320,'Correlation sheet'!$C$4:$M$373,6,FALSE)</f>
        <v>1177788.037114942</v>
      </c>
      <c r="D320" s="16">
        <f>VLOOKUP($B320,'Correlation sheet'!$C$4:$N$373,11,FALSE)</f>
        <v>0.14631396630215932</v>
      </c>
      <c r="E320" s="38">
        <f>VLOOKUP($B320,'Old LS-Reports'!$A$4:$V$344,5,FALSE)-D320</f>
        <v>269.61032203369786</v>
      </c>
      <c r="F320" s="16">
        <f>VLOOKUP($B320,'Correlation sheet'!$C$4:$M$373,10,FALSE)</f>
        <v>270.27581403369783</v>
      </c>
      <c r="G320" s="38">
        <f t="shared" si="12"/>
        <v>0.66549199999997199</v>
      </c>
      <c r="H320" s="38">
        <f>VLOOKUP($B320,'Old LS-Reports'!$A$4:$V$344,6,FALSE)-D320</f>
        <v>268.92232203369787</v>
      </c>
      <c r="I320" s="16">
        <f>VLOOKUP($B320,'Correlation sheet'!$C$4:$M$373,9,FALSE)</f>
        <v>269.5628140336978</v>
      </c>
      <c r="J320" s="38">
        <f t="shared" si="13"/>
        <v>0.64049199999993789</v>
      </c>
      <c r="K320" s="38">
        <f>VLOOKUP($B320,'Old LS-Reports'!$A$4:$V$344,16,FALSE)-D320</f>
        <v>266.28068603369786</v>
      </c>
      <c r="L320" s="38">
        <f>VLOOKUP($B320,'Old LS-Reports'!$A$4:$V$344,19,FALSE)-D320</f>
        <v>266.96868603369785</v>
      </c>
      <c r="M320" s="38">
        <f t="shared" si="14"/>
        <v>2.5941279999999551</v>
      </c>
      <c r="N320" s="38">
        <f>VLOOKUP($B320,'Old LS-Reports'!$A$4:$V$344,8,FALSE)</f>
        <v>-9.0359999999999996</v>
      </c>
      <c r="P320" s="41"/>
    </row>
    <row r="321" spans="1:16" x14ac:dyDescent="0.25">
      <c r="A321" s="39">
        <v>288400</v>
      </c>
      <c r="B321" s="39">
        <v>97403.448999999993</v>
      </c>
      <c r="C321" s="40">
        <f>VLOOKUP($B321,'Correlation sheet'!$C$4:$M$373,6,FALSE)</f>
        <v>1177808.0391109339</v>
      </c>
      <c r="D321" s="16">
        <f>VLOOKUP($B321,'Correlation sheet'!$C$4:$N$373,11,FALSE)</f>
        <v>0.13747667808735287</v>
      </c>
      <c r="E321" s="38">
        <f>VLOOKUP($B321,'Old LS-Reports'!$A$4:$V$344,5,FALSE)-D321</f>
        <v>269.58077502191264</v>
      </c>
      <c r="F321" s="16">
        <f>VLOOKUP($B321,'Correlation sheet'!$C$4:$M$373,10,FALSE)</f>
        <v>270.19373402191263</v>
      </c>
      <c r="G321" s="38">
        <f t="shared" si="12"/>
        <v>0.61295899999998937</v>
      </c>
      <c r="H321" s="38">
        <f>VLOOKUP($B321,'Old LS-Reports'!$A$4:$V$344,6,FALSE)-D321</f>
        <v>268.89277502191266</v>
      </c>
      <c r="I321" s="16">
        <f>VLOOKUP($B321,'Correlation sheet'!$C$4:$M$373,9,FALSE)</f>
        <v>269.48073402191261</v>
      </c>
      <c r="J321" s="38">
        <f t="shared" si="13"/>
        <v>0.58795899999995527</v>
      </c>
      <c r="K321" s="38">
        <f>VLOOKUP($B321,'Old LS-Reports'!$A$4:$V$344,16,FALSE)-D321</f>
        <v>266.31452332191265</v>
      </c>
      <c r="L321" s="38">
        <f>VLOOKUP($B321,'Old LS-Reports'!$A$4:$V$344,19,FALSE)-D321</f>
        <v>267.02552332191266</v>
      </c>
      <c r="M321" s="38">
        <f t="shared" si="14"/>
        <v>2.4552106999999523</v>
      </c>
      <c r="N321" s="38">
        <f>VLOOKUP($B321,'Old LS-Reports'!$A$4:$V$344,8,FALSE)</f>
        <v>-8.7650000000000006</v>
      </c>
      <c r="P321" s="41"/>
    </row>
    <row r="322" spans="1:16" x14ac:dyDescent="0.25">
      <c r="A322" s="39">
        <v>288420</v>
      </c>
      <c r="B322" s="39">
        <v>97423.505000000005</v>
      </c>
      <c r="C322" s="40">
        <f>VLOOKUP($B322,'Correlation sheet'!$C$4:$M$373,6,FALSE)</f>
        <v>1177828.0941109143</v>
      </c>
      <c r="D322" s="16">
        <f>VLOOKUP($B322,'Correlation sheet'!$C$4:$N$373,11,FALSE)</f>
        <v>0.12861659656533675</v>
      </c>
      <c r="E322" s="38">
        <f>VLOOKUP($B322,'Old LS-Reports'!$A$4:$V$344,5,FALSE)-D322</f>
        <v>269.59908930343465</v>
      </c>
      <c r="F322" s="16">
        <f>VLOOKUP($B322,'Correlation sheet'!$C$4:$M$373,10,FALSE)</f>
        <v>270.11143650343467</v>
      </c>
      <c r="G322" s="38">
        <f t="shared" si="12"/>
        <v>0.51234720000002199</v>
      </c>
      <c r="H322" s="38">
        <f>VLOOKUP($B322,'Old LS-Reports'!$A$4:$V$344,6,FALSE)-D322</f>
        <v>268.91108930343466</v>
      </c>
      <c r="I322" s="16">
        <f>VLOOKUP($B322,'Correlation sheet'!$C$4:$M$373,9,FALSE)</f>
        <v>269.39843650343465</v>
      </c>
      <c r="J322" s="38">
        <f t="shared" si="13"/>
        <v>0.48734719999998788</v>
      </c>
      <c r="K322" s="38">
        <f>VLOOKUP($B322,'Old LS-Reports'!$A$4:$V$344,16,FALSE)-D322</f>
        <v>266.33338340343465</v>
      </c>
      <c r="L322" s="38">
        <f>VLOOKUP($B322,'Old LS-Reports'!$A$4:$V$344,19,FALSE)-D322</f>
        <v>266.98538340343464</v>
      </c>
      <c r="M322" s="38">
        <f t="shared" si="14"/>
        <v>2.4130531000000133</v>
      </c>
      <c r="N322" s="38">
        <f>VLOOKUP($B322,'Old LS-Reports'!$A$4:$V$344,8,FALSE)</f>
        <v>-8.4779999999999998</v>
      </c>
      <c r="P322" s="41"/>
    </row>
    <row r="323" spans="1:16" x14ac:dyDescent="0.25">
      <c r="A323" s="39">
        <v>288440</v>
      </c>
      <c r="B323" s="39">
        <v>97443.58</v>
      </c>
      <c r="C323" s="40">
        <f>VLOOKUP($B323,'Correlation sheet'!$C$4:$M$373,6,FALSE)</f>
        <v>1177848.1681109141</v>
      </c>
      <c r="D323" s="16">
        <f>VLOOKUP($B323,'Correlation sheet'!$C$4:$N$373,11,FALSE)</f>
        <v>0.11974418335296377</v>
      </c>
      <c r="E323" s="38">
        <f>VLOOKUP($B323,'Old LS-Reports'!$A$4:$V$344,5,FALSE)-D323</f>
        <v>269.55253841664705</v>
      </c>
      <c r="F323" s="16">
        <f>VLOOKUP($B323,'Correlation sheet'!$C$4:$M$373,10,FALSE)</f>
        <v>270.02906101664706</v>
      </c>
      <c r="G323" s="38">
        <f t="shared" ref="G323:G354" si="15">F323-E323</f>
        <v>0.47652260000000979</v>
      </c>
      <c r="H323" s="38">
        <f>VLOOKUP($B323,'Old LS-Reports'!$A$4:$V$344,6,FALSE)-D323</f>
        <v>268.86453841664706</v>
      </c>
      <c r="I323" s="16">
        <f>VLOOKUP($B323,'Correlation sheet'!$C$4:$M$373,9,FALSE)</f>
        <v>269.31606101664704</v>
      </c>
      <c r="J323" s="38">
        <f t="shared" ref="J323:J354" si="16">I323-H323</f>
        <v>0.45152259999997568</v>
      </c>
      <c r="K323" s="38">
        <f>VLOOKUP($B323,'Old LS-Reports'!$A$4:$V$344,16,FALSE)-D323</f>
        <v>266.46925581664703</v>
      </c>
      <c r="L323" s="38">
        <f>VLOOKUP($B323,'Old LS-Reports'!$A$4:$V$344,19,FALSE)-D323</f>
        <v>267.07225581664704</v>
      </c>
      <c r="M323" s="38">
        <f t="shared" ref="M323:M354" si="17">I323-L323</f>
        <v>2.2438051999999971</v>
      </c>
      <c r="N323" s="38">
        <f>VLOOKUP($B323,'Old LS-Reports'!$A$4:$V$344,8,FALSE)</f>
        <v>-8.2750000000000004</v>
      </c>
      <c r="P323" s="41"/>
    </row>
    <row r="324" spans="1:16" x14ac:dyDescent="0.25">
      <c r="A324" s="39">
        <v>288460</v>
      </c>
      <c r="B324" s="39">
        <v>97463.635999999999</v>
      </c>
      <c r="C324" s="40">
        <f>VLOOKUP($B324,'Correlation sheet'!$C$4:$M$373,6,FALSE)</f>
        <v>1177868.2231109133</v>
      </c>
      <c r="D324" s="16">
        <f>VLOOKUP($B324,'Correlation sheet'!$C$4:$N$373,11,FALSE)</f>
        <v>0.11088420190833403</v>
      </c>
      <c r="E324" s="38">
        <f>VLOOKUP($B324,'Old LS-Reports'!$A$4:$V$344,5,FALSE)-D324</f>
        <v>269.46425289809167</v>
      </c>
      <c r="F324" s="16">
        <f>VLOOKUP($B324,'Correlation sheet'!$C$4:$M$373,10,FALSE)</f>
        <v>269.94676349809168</v>
      </c>
      <c r="G324" s="38">
        <f t="shared" si="15"/>
        <v>0.48251060000001189</v>
      </c>
      <c r="H324" s="38">
        <f>VLOOKUP($B324,'Old LS-Reports'!$A$4:$V$344,6,FALSE)-D324</f>
        <v>268.77625289809168</v>
      </c>
      <c r="I324" s="16">
        <f>VLOOKUP($B324,'Correlation sheet'!$C$4:$M$373,9,FALSE)</f>
        <v>269.23376349809166</v>
      </c>
      <c r="J324" s="38">
        <f t="shared" si="16"/>
        <v>0.45751059999997779</v>
      </c>
      <c r="K324" s="38">
        <f>VLOOKUP($B324,'Old LS-Reports'!$A$4:$V$344,16,FALSE)-D324</f>
        <v>267.07311579809169</v>
      </c>
      <c r="L324" s="38">
        <f>VLOOKUP($B324,'Old LS-Reports'!$A$4:$V$344,19,FALSE)-D324</f>
        <v>267.33611579809167</v>
      </c>
      <c r="M324" s="38">
        <f t="shared" si="17"/>
        <v>1.8976476999999932</v>
      </c>
      <c r="N324" s="38">
        <f>VLOOKUP($B324,'Old LS-Reports'!$A$4:$V$344,8,FALSE)</f>
        <v>-8.1509999999999998</v>
      </c>
      <c r="P324" s="41"/>
    </row>
    <row r="325" spans="1:16" x14ac:dyDescent="0.25">
      <c r="A325" s="39">
        <v>288480</v>
      </c>
      <c r="B325" s="39">
        <v>97483.635999999999</v>
      </c>
      <c r="C325" s="40">
        <f>VLOOKUP($B325,'Correlation sheet'!$C$4:$M$373,6,FALSE)</f>
        <v>1177888.2231109117</v>
      </c>
      <c r="D325" s="16">
        <f>VLOOKUP($B325,'Correlation sheet'!$C$4:$N$373,11,FALSE)</f>
        <v>0.10204692295224049</v>
      </c>
      <c r="E325" s="38">
        <f>VLOOKUP($B325,'Old LS-Reports'!$A$4:$V$344,5,FALSE)-D325</f>
        <v>269.37027687704779</v>
      </c>
      <c r="F325" s="16">
        <f>VLOOKUP($B325,'Correlation sheet'!$C$4:$M$373,10,FALSE)</f>
        <v>269.86469167704774</v>
      </c>
      <c r="G325" s="38">
        <f t="shared" si="15"/>
        <v>0.49441479999995863</v>
      </c>
      <c r="H325" s="38">
        <f>VLOOKUP($B325,'Old LS-Reports'!$A$4:$V$344,6,FALSE)-D325</f>
        <v>268.6822768770478</v>
      </c>
      <c r="I325" s="16">
        <f>VLOOKUP($B325,'Correlation sheet'!$C$4:$M$373,9,FALSE)</f>
        <v>269.15169167704772</v>
      </c>
      <c r="J325" s="38">
        <f t="shared" si="16"/>
        <v>0.46941479999992453</v>
      </c>
      <c r="K325" s="38">
        <f>VLOOKUP($B325,'Old LS-Reports'!$A$4:$V$344,16,FALSE)-D325</f>
        <v>267.34295307704775</v>
      </c>
      <c r="L325" s="38">
        <f>VLOOKUP($B325,'Old LS-Reports'!$A$4:$V$344,19,FALSE)-D325</f>
        <v>267.46195307704778</v>
      </c>
      <c r="M325" s="38">
        <f t="shared" si="17"/>
        <v>1.6897385999999415</v>
      </c>
      <c r="N325" s="38">
        <f>VLOOKUP($B325,'Old LS-Reports'!$A$4:$V$344,8,FALSE)</f>
        <v>-8.14</v>
      </c>
      <c r="P325" s="41"/>
    </row>
    <row r="326" spans="1:16" x14ac:dyDescent="0.25">
      <c r="A326" s="39">
        <v>288500</v>
      </c>
      <c r="B326" s="39">
        <v>97503.635999999999</v>
      </c>
      <c r="C326" s="40">
        <f>VLOOKUP($B326,'Correlation sheet'!$C$4:$M$373,6,FALSE)</f>
        <v>1177908.9091106614</v>
      </c>
      <c r="D326" s="16">
        <f>VLOOKUP($B326,'Correlation sheet'!$C$4:$N$373,11,FALSE)</f>
        <v>9.6024106437710088E-2</v>
      </c>
      <c r="E326" s="38">
        <f>VLOOKUP($B326,'Old LS-Reports'!$A$4:$V$344,5,FALSE)-D326</f>
        <v>269.28511519356226</v>
      </c>
      <c r="F326" s="16">
        <f>VLOOKUP($B326,'Correlation sheet'!$C$4:$M$373,10,FALSE)</f>
        <v>269.77980479356228</v>
      </c>
      <c r="G326" s="38">
        <f t="shared" si="15"/>
        <v>0.49468960000001516</v>
      </c>
      <c r="H326" s="38">
        <f>VLOOKUP($B326,'Old LS-Reports'!$A$4:$V$344,6,FALSE)-D326</f>
        <v>268.59711519356227</v>
      </c>
      <c r="I326" s="16">
        <f>VLOOKUP($B326,'Correlation sheet'!$C$4:$M$373,9,FALSE)</f>
        <v>269.06680479356226</v>
      </c>
      <c r="J326" s="38">
        <f t="shared" si="16"/>
        <v>0.46968959999998106</v>
      </c>
      <c r="K326" s="38">
        <f>VLOOKUP($B326,'Old LS-Reports'!$A$4:$V$344,16,FALSE)-D326</f>
        <v>267.02697589356228</v>
      </c>
      <c r="L326" s="38">
        <f>VLOOKUP($B326,'Old LS-Reports'!$A$4:$V$344,19,FALSE)-D326</f>
        <v>267.43597589356227</v>
      </c>
      <c r="M326" s="38">
        <f t="shared" si="17"/>
        <v>1.6308288999999832</v>
      </c>
      <c r="N326" s="38">
        <f>VLOOKUP($B326,'Old LS-Reports'!$A$4:$V$344,8,FALSE)</f>
        <v>-8.1319999999999997</v>
      </c>
      <c r="P326" s="41"/>
    </row>
    <row r="327" spans="1:16" x14ac:dyDescent="0.25">
      <c r="A327" s="39">
        <v>288500</v>
      </c>
      <c r="B327" s="39">
        <v>97503.635999999999</v>
      </c>
      <c r="C327" s="40">
        <f>VLOOKUP($B327,'Correlation sheet'!$C$4:$M$373,6,FALSE)</f>
        <v>1177908.9091106614</v>
      </c>
      <c r="D327" s="16">
        <f>VLOOKUP($B327,'Correlation sheet'!$C$4:$N$373,11,FALSE)</f>
        <v>9.6024106437710088E-2</v>
      </c>
      <c r="E327" s="38">
        <f>VLOOKUP($B327,'Old LS-Reports'!$A$4:$V$344,5,FALSE)-D327</f>
        <v>269.28511519356226</v>
      </c>
      <c r="F327" s="16">
        <f>VLOOKUP($B327,'Correlation sheet'!$C$4:$M$373,10,FALSE)</f>
        <v>269.77980479356228</v>
      </c>
      <c r="G327" s="38">
        <f t="shared" si="15"/>
        <v>0.49468960000001516</v>
      </c>
      <c r="H327" s="38">
        <f>VLOOKUP($B327,'Old LS-Reports'!$A$4:$V$344,6,FALSE)-D327</f>
        <v>268.59711519356227</v>
      </c>
      <c r="I327" s="16">
        <f>VLOOKUP($B327,'Correlation sheet'!$C$4:$M$373,9,FALSE)</f>
        <v>269.06680479356226</v>
      </c>
      <c r="J327" s="38">
        <f t="shared" si="16"/>
        <v>0.46968959999998106</v>
      </c>
      <c r="K327" s="38">
        <f>VLOOKUP($B327,'Old LS-Reports'!$A$4:$V$344,16,FALSE)-D327</f>
        <v>267.02697589356228</v>
      </c>
      <c r="L327" s="38">
        <f>VLOOKUP($B327,'Old LS-Reports'!$A$4:$V$344,19,FALSE)-D327</f>
        <v>267.43597589356227</v>
      </c>
      <c r="M327" s="38">
        <f t="shared" si="17"/>
        <v>1.6308288999999832</v>
      </c>
      <c r="N327" s="38">
        <f>VLOOKUP($B327,'Old LS-Reports'!$A$4:$V$344,8,FALSE)</f>
        <v>-8.1319999999999997</v>
      </c>
      <c r="P327" s="41"/>
    </row>
    <row r="328" spans="1:16" x14ac:dyDescent="0.25">
      <c r="A328" s="39">
        <v>288520</v>
      </c>
      <c r="B328" s="39">
        <v>97523.635999999999</v>
      </c>
      <c r="C328" s="40">
        <f>VLOOKUP($B328,'Correlation sheet'!$C$4:$M$373,6,FALSE)</f>
        <v>1177928.2849908802</v>
      </c>
      <c r="D328" s="16">
        <f>VLOOKUP($B328,'Correlation sheet'!$C$4:$N$373,11,FALSE)</f>
        <v>8.4625395138516524E-2</v>
      </c>
      <c r="E328" s="38">
        <f>VLOOKUP($B328,'Old LS-Reports'!$A$4:$V$344,5,FALSE)-D328</f>
        <v>269.21785940486149</v>
      </c>
      <c r="F328" s="16">
        <f>VLOOKUP($B328,'Correlation sheet'!$C$4:$M$373,10,FALSE)</f>
        <v>269.70029410486148</v>
      </c>
      <c r="G328" s="38">
        <f t="shared" si="15"/>
        <v>0.48243469999999888</v>
      </c>
      <c r="H328" s="38">
        <f>VLOOKUP($B328,'Old LS-Reports'!$A$4:$V$344,6,FALSE)-D328</f>
        <v>268.5298594048615</v>
      </c>
      <c r="I328" s="16">
        <f>VLOOKUP($B328,'Correlation sheet'!$C$4:$M$373,9,FALSE)</f>
        <v>268.98729410486146</v>
      </c>
      <c r="J328" s="38">
        <f t="shared" si="16"/>
        <v>0.45743469999996478</v>
      </c>
      <c r="K328" s="38">
        <f>VLOOKUP($B328,'Old LS-Reports'!$A$4:$V$344,16,FALSE)-D328</f>
        <v>268.98337460486147</v>
      </c>
      <c r="L328" s="38">
        <f>VLOOKUP($B328,'Old LS-Reports'!$A$4:$V$344,19,FALSE)-D328</f>
        <v>268.68110430486149</v>
      </c>
      <c r="M328" s="38">
        <f t="shared" si="17"/>
        <v>0.30618979999997009</v>
      </c>
      <c r="N328" s="38">
        <f>VLOOKUP($B328,'Old LS-Reports'!$A$4:$V$344,8,FALSE)</f>
        <v>-8.1630000000000003</v>
      </c>
      <c r="P328" s="41"/>
    </row>
    <row r="329" spans="1:16" x14ac:dyDescent="0.25">
      <c r="A329" s="39">
        <v>288540</v>
      </c>
      <c r="B329" s="39">
        <v>97543.618000000002</v>
      </c>
      <c r="C329" s="40">
        <f>VLOOKUP($B329,'Correlation sheet'!$C$4:$M$373,6,FALSE)</f>
        <v>1177948.2669546034</v>
      </c>
      <c r="D329" s="16">
        <f>VLOOKUP($B329,'Correlation sheet'!$C$4:$N$373,11,FALSE)</f>
        <v>7.5795902685001693E-2</v>
      </c>
      <c r="E329" s="38">
        <f>VLOOKUP($B329,'Old LS-Reports'!$A$4:$V$344,5,FALSE)-D329</f>
        <v>269.13521229731498</v>
      </c>
      <c r="F329" s="16">
        <f>VLOOKUP($B329,'Correlation sheet'!$C$4:$M$373,10,FALSE)</f>
        <v>269.618296297315</v>
      </c>
      <c r="G329" s="38">
        <f t="shared" si="15"/>
        <v>0.48308400000001939</v>
      </c>
      <c r="H329" s="38">
        <f>VLOOKUP($B329,'Old LS-Reports'!$A$4:$V$344,6,FALSE)-D329</f>
        <v>268.44721229731499</v>
      </c>
      <c r="I329" s="16">
        <f>VLOOKUP($B329,'Correlation sheet'!$C$4:$M$373,9,FALSE)</f>
        <v>268.90529629731498</v>
      </c>
      <c r="J329" s="38">
        <f t="shared" si="16"/>
        <v>0.45808399999998528</v>
      </c>
      <c r="K329" s="38">
        <f>VLOOKUP($B329,'Old LS-Reports'!$A$4:$V$344,16,FALSE)-D329</f>
        <v>267.54720409731499</v>
      </c>
      <c r="L329" s="38">
        <f>VLOOKUP($B329,'Old LS-Reports'!$A$4:$V$344,19,FALSE)-D329</f>
        <v>267.12201619731502</v>
      </c>
      <c r="M329" s="38">
        <f t="shared" si="17"/>
        <v>1.7832800999999563</v>
      </c>
      <c r="N329" s="38">
        <f>VLOOKUP($B329,'Old LS-Reports'!$A$4:$V$344,8,FALSE)</f>
        <v>-8.2590000000000003</v>
      </c>
      <c r="P329" s="41"/>
    </row>
    <row r="330" spans="1:16" x14ac:dyDescent="0.25">
      <c r="A330" s="39">
        <v>288560</v>
      </c>
      <c r="B330" s="39">
        <v>97563.615999999995</v>
      </c>
      <c r="C330" s="40">
        <f>VLOOKUP($B330,'Correlation sheet'!$C$4:$M$373,6,FALSE)</f>
        <v>1177968.2639012965</v>
      </c>
      <c r="D330" s="16">
        <f>VLOOKUP($B330,'Correlation sheet'!$C$4:$N$373,11,FALSE)</f>
        <v>6.7038494212965816E-2</v>
      </c>
      <c r="E330" s="38">
        <f>VLOOKUP($B330,'Old LS-Reports'!$A$4:$V$344,5,FALSE)-D330</f>
        <v>269.08196150578704</v>
      </c>
      <c r="F330" s="16">
        <f>VLOOKUP($B330,'Correlation sheet'!$C$4:$M$373,10,FALSE)</f>
        <v>269.53623700578703</v>
      </c>
      <c r="G330" s="38">
        <f t="shared" si="15"/>
        <v>0.45427549999999428</v>
      </c>
      <c r="H330" s="38">
        <f>VLOOKUP($B330,'Old LS-Reports'!$A$4:$V$344,6,FALSE)-D330</f>
        <v>268.39396150578705</v>
      </c>
      <c r="I330" s="16">
        <f>VLOOKUP($B330,'Correlation sheet'!$C$4:$M$373,9,FALSE)</f>
        <v>268.82323700578701</v>
      </c>
      <c r="J330" s="38">
        <f t="shared" si="16"/>
        <v>0.42927549999996018</v>
      </c>
      <c r="K330" s="38">
        <f>VLOOKUP($B330,'Old LS-Reports'!$A$4:$V$344,16,FALSE)-D330</f>
        <v>267.27296150578701</v>
      </c>
      <c r="L330" s="38">
        <f>VLOOKUP($B330,'Old LS-Reports'!$A$4:$V$344,19,FALSE)-D330</f>
        <v>266.86626490578703</v>
      </c>
      <c r="M330" s="38">
        <f t="shared" si="17"/>
        <v>1.9569720999999731</v>
      </c>
      <c r="N330" s="38">
        <f>VLOOKUP($B330,'Old LS-Reports'!$A$4:$V$344,8,FALSE)</f>
        <v>-8.4979999999999993</v>
      </c>
      <c r="P330" s="41"/>
    </row>
    <row r="331" spans="1:16" x14ac:dyDescent="0.25">
      <c r="A331" s="39">
        <v>288580</v>
      </c>
      <c r="B331" s="39">
        <v>97583.531000000003</v>
      </c>
      <c r="C331" s="40">
        <f>VLOOKUP($B331,'Correlation sheet'!$C$4:$M$373,6,FALSE)</f>
        <v>1177988.2678479282</v>
      </c>
      <c r="D331" s="16">
        <f>VLOOKUP($B331,'Correlation sheet'!$C$4:$N$373,11,FALSE)</f>
        <v>7.7632498921616389E-2</v>
      </c>
      <c r="E331" s="38">
        <f>VLOOKUP($B331,'Old LS-Reports'!$A$4:$V$344,5,FALSE)-D331</f>
        <v>269.07136750107838</v>
      </c>
      <c r="F331" s="16">
        <f>VLOOKUP($B331,'Correlation sheet'!$C$4:$M$373,10,FALSE)</f>
        <v>269.45875010107841</v>
      </c>
      <c r="G331" s="38">
        <f t="shared" si="15"/>
        <v>0.38738260000002356</v>
      </c>
      <c r="H331" s="38">
        <f>VLOOKUP($B331,'Old LS-Reports'!$A$4:$V$344,6,FALSE)-D331</f>
        <v>268.3833675010784</v>
      </c>
      <c r="I331" s="16">
        <f>VLOOKUP($B331,'Correlation sheet'!$C$4:$M$373,9,FALSE)</f>
        <v>268.74575010107839</v>
      </c>
      <c r="J331" s="38">
        <f t="shared" si="16"/>
        <v>0.36238259999998945</v>
      </c>
      <c r="K331" s="38">
        <f>VLOOKUP($B331,'Old LS-Reports'!$A$4:$V$344,16,FALSE)-D331</f>
        <v>267.84536750107839</v>
      </c>
      <c r="L331" s="38">
        <f>VLOOKUP($B331,'Old LS-Reports'!$A$4:$V$344,19,FALSE)-D331</f>
        <v>267.5044318010784</v>
      </c>
      <c r="M331" s="38">
        <f t="shared" si="17"/>
        <v>1.241318299999989</v>
      </c>
      <c r="N331" s="38">
        <f>VLOOKUP($B331,'Old LS-Reports'!$A$4:$V$344,8,FALSE)</f>
        <v>-8.8800000000000008</v>
      </c>
      <c r="P331" s="41"/>
    </row>
    <row r="332" spans="1:16" x14ac:dyDescent="0.25">
      <c r="A332" s="39">
        <v>288600</v>
      </c>
      <c r="B332" s="39">
        <v>97603.53</v>
      </c>
      <c r="C332" s="40">
        <f>VLOOKUP($B332,'Correlation sheet'!$C$4:$M$373,6,FALSE)</f>
        <v>1178008.177795314</v>
      </c>
      <c r="D332" s="16">
        <f>VLOOKUP($B332,'Correlation sheet'!$C$4:$N$373,11,FALSE)</f>
        <v>8.2462701089980328E-2</v>
      </c>
      <c r="E332" s="38">
        <f>VLOOKUP($B332,'Old LS-Reports'!$A$4:$V$344,5,FALSE)-D332</f>
        <v>268.90836979891003</v>
      </c>
      <c r="F332" s="16">
        <f>VLOOKUP($B332,'Correlation sheet'!$C$4:$M$373,10,FALSE)</f>
        <v>269.41953729891003</v>
      </c>
      <c r="G332" s="38">
        <f t="shared" si="15"/>
        <v>0.51116749999999911</v>
      </c>
      <c r="H332" s="38">
        <f>VLOOKUP($B332,'Old LS-Reports'!$A$4:$V$344,6,FALSE)-D332</f>
        <v>268.22036979891004</v>
      </c>
      <c r="I332" s="16">
        <f>VLOOKUP($B332,'Correlation sheet'!$C$4:$M$373,9,FALSE)</f>
        <v>268.70653729891001</v>
      </c>
      <c r="J332" s="38">
        <f t="shared" si="16"/>
        <v>0.486167499999965</v>
      </c>
      <c r="K332" s="38">
        <f>VLOOKUP($B332,'Old LS-Reports'!$A$4:$V$344,16,FALSE)-D332</f>
        <v>268.23853729891005</v>
      </c>
      <c r="L332" s="38">
        <f>VLOOKUP($B332,'Old LS-Reports'!$A$4:$V$344,19,FALSE)-D332</f>
        <v>268.36013079891001</v>
      </c>
      <c r="M332" s="38">
        <f t="shared" si="17"/>
        <v>0.34640650000000051</v>
      </c>
      <c r="N332" s="38">
        <f>VLOOKUP($B332,'Old LS-Reports'!$A$4:$V$344,8,FALSE)</f>
        <v>-9.2279999999999998</v>
      </c>
      <c r="P332" s="41"/>
    </row>
    <row r="333" spans="1:16" x14ac:dyDescent="0.25">
      <c r="A333" s="39">
        <v>288620</v>
      </c>
      <c r="B333" s="39">
        <v>97623.434999999998</v>
      </c>
      <c r="C333" s="40">
        <f>VLOOKUP($B333,'Correlation sheet'!$C$4:$M$373,6,FALSE)</f>
        <v>1178028.0827427341</v>
      </c>
      <c r="D333" s="16">
        <f>VLOOKUP($B333,'Correlation sheet'!$C$4:$N$373,11,FALSE)</f>
        <v>8.2482278067402603E-2</v>
      </c>
      <c r="E333" s="38">
        <f>VLOOKUP($B333,'Old LS-Reports'!$A$4:$V$344,5,FALSE)-D333</f>
        <v>268.79957242193262</v>
      </c>
      <c r="F333" s="16">
        <f>VLOOKUP($B333,'Correlation sheet'!$C$4:$M$373,10,FALSE)</f>
        <v>269.38033434421442</v>
      </c>
      <c r="G333" s="38">
        <f t="shared" si="15"/>
        <v>0.5807619222817948</v>
      </c>
      <c r="H333" s="38">
        <f>VLOOKUP($B333,'Old LS-Reports'!$A$4:$V$344,6,FALSE)-D333</f>
        <v>268.11157242193264</v>
      </c>
      <c r="I333" s="16">
        <f>VLOOKUP($B333,'Correlation sheet'!$C$4:$M$373,9,FALSE)</f>
        <v>268.6673343442144</v>
      </c>
      <c r="J333" s="38">
        <f t="shared" si="16"/>
        <v>0.55576192228176069</v>
      </c>
      <c r="K333" s="38">
        <f>VLOOKUP($B333,'Old LS-Reports'!$A$4:$V$344,16,FALSE)-D333</f>
        <v>268.16851772193257</v>
      </c>
      <c r="L333" s="38">
        <f>VLOOKUP($B333,'Old LS-Reports'!$A$4:$V$344,19,FALSE)-D333</f>
        <v>268.39649282193261</v>
      </c>
      <c r="M333" s="38">
        <f t="shared" si="17"/>
        <v>0.27084152228178482</v>
      </c>
      <c r="N333" s="38">
        <f>VLOOKUP($B333,'Old LS-Reports'!$A$4:$V$344,8,FALSE)</f>
        <v>-9.5860000000000003</v>
      </c>
      <c r="P333" s="41"/>
    </row>
    <row r="334" spans="1:16" x14ac:dyDescent="0.25">
      <c r="A334" s="39">
        <v>288640</v>
      </c>
      <c r="B334" s="39">
        <v>97643.437000000005</v>
      </c>
      <c r="C334" s="40">
        <f>VLOOKUP($B334,'Correlation sheet'!$C$4:$M$373,6,FALSE)</f>
        <v>1178048.088689358</v>
      </c>
      <c r="D334" s="16">
        <f>VLOOKUP($B334,'Correlation sheet'!$C$4:$N$373,11,FALSE)</f>
        <v>8.2503869072752423E-2</v>
      </c>
      <c r="E334" s="38">
        <f>VLOOKUP($B334,'Old LS-Reports'!$A$4:$V$344,5,FALSE)-D334</f>
        <v>268.72004903092727</v>
      </c>
      <c r="F334" s="16">
        <f>VLOOKUP($B334,'Correlation sheet'!$C$4:$M$373,10,FALSE)</f>
        <v>269.34093247077135</v>
      </c>
      <c r="G334" s="38">
        <f t="shared" si="15"/>
        <v>0.62088343984407857</v>
      </c>
      <c r="H334" s="38">
        <f>VLOOKUP($B334,'Old LS-Reports'!$A$4:$V$344,6,FALSE)-D334</f>
        <v>268.03204903092728</v>
      </c>
      <c r="I334" s="16">
        <f>VLOOKUP($B334,'Correlation sheet'!$C$4:$M$373,9,FALSE)</f>
        <v>268.62793247077133</v>
      </c>
      <c r="J334" s="38">
        <f t="shared" si="16"/>
        <v>0.59588343984404446</v>
      </c>
      <c r="K334" s="38">
        <f>VLOOKUP($B334,'Old LS-Reports'!$A$4:$V$344,16,FALSE)-D334</f>
        <v>267.65049613092725</v>
      </c>
      <c r="L334" s="38">
        <f>VLOOKUP($B334,'Old LS-Reports'!$A$4:$V$344,19,FALSE)-D334</f>
        <v>267.86270423092725</v>
      </c>
      <c r="M334" s="38">
        <f t="shared" si="17"/>
        <v>0.76522823984407751</v>
      </c>
      <c r="N334" s="38">
        <f>VLOOKUP($B334,'Old LS-Reports'!$A$4:$V$344,8,FALSE)</f>
        <v>-10.035</v>
      </c>
      <c r="P334" s="41"/>
    </row>
    <row r="335" spans="1:16" x14ac:dyDescent="0.25">
      <c r="A335" s="39">
        <v>288660</v>
      </c>
      <c r="B335" s="39">
        <v>97663.305999999997</v>
      </c>
      <c r="C335" s="40">
        <f>VLOOKUP($B335,'Correlation sheet'!$C$4:$M$373,6,FALSE)</f>
        <v>1178067.9576370665</v>
      </c>
      <c r="D335" s="16">
        <f>VLOOKUP($B335,'Correlation sheet'!$C$4:$N$373,11,FALSE)</f>
        <v>8.2523612724457962E-2</v>
      </c>
      <c r="E335" s="38">
        <f>VLOOKUP($B335,'Old LS-Reports'!$A$4:$V$344,5,FALSE)-D335</f>
        <v>268.66921628727556</v>
      </c>
      <c r="F335" s="16">
        <f>VLOOKUP($B335,'Correlation sheet'!$C$4:$M$373,10,FALSE)</f>
        <v>269.30180041779846</v>
      </c>
      <c r="G335" s="38">
        <f t="shared" si="15"/>
        <v>0.63258413052290052</v>
      </c>
      <c r="H335" s="38">
        <f>VLOOKUP($B335,'Old LS-Reports'!$A$4:$V$344,6,FALSE)-D335</f>
        <v>267.98121628727557</v>
      </c>
      <c r="I335" s="16">
        <f>VLOOKUP($B335,'Correlation sheet'!$C$4:$M$373,9,FALSE)</f>
        <v>268.58880041779844</v>
      </c>
      <c r="J335" s="38">
        <f t="shared" si="16"/>
        <v>0.60758413052286642</v>
      </c>
      <c r="K335" s="38">
        <f>VLOOKUP($B335,'Old LS-Reports'!$A$4:$V$344,16,FALSE)-D335</f>
        <v>266.98147638727556</v>
      </c>
      <c r="L335" s="38">
        <f>VLOOKUP($B335,'Old LS-Reports'!$A$4:$V$344,19,FALSE)-D335</f>
        <v>267.01668848727553</v>
      </c>
      <c r="M335" s="38">
        <f t="shared" si="17"/>
        <v>1.5721119305229081</v>
      </c>
      <c r="N335" s="38">
        <f>VLOOKUP($B335,'Old LS-Reports'!$A$4:$V$344,8,FALSE)</f>
        <v>-10.503</v>
      </c>
      <c r="P335" s="41"/>
    </row>
    <row r="336" spans="1:16" x14ac:dyDescent="0.25">
      <c r="A336" s="39">
        <v>288680</v>
      </c>
      <c r="B336" s="39">
        <v>97683.312000000005</v>
      </c>
      <c r="C336" s="40">
        <f>VLOOKUP($B336,'Correlation sheet'!$C$4:$M$373,6,FALSE)</f>
        <v>1178087.9635836799</v>
      </c>
      <c r="D336" s="16">
        <f>VLOOKUP($B336,'Correlation sheet'!$C$4:$N$373,11,FALSE)</f>
        <v>8.2542699606449332E-2</v>
      </c>
      <c r="E336" s="38">
        <f>VLOOKUP($B336,'Old LS-Reports'!$A$4:$V$344,5,FALSE)-D336</f>
        <v>268.64539430039355</v>
      </c>
      <c r="F336" s="16">
        <f>VLOOKUP($B336,'Correlation sheet'!$C$4:$M$373,10,FALSE)</f>
        <v>269.26239854437603</v>
      </c>
      <c r="G336" s="38">
        <f t="shared" si="15"/>
        <v>0.61700424398247833</v>
      </c>
      <c r="H336" s="38">
        <f>VLOOKUP($B336,'Old LS-Reports'!$A$4:$V$344,6,FALSE)-D336</f>
        <v>267.95739430039356</v>
      </c>
      <c r="I336" s="16">
        <f>VLOOKUP($B336,'Correlation sheet'!$C$4:$M$373,9,FALSE)</f>
        <v>268.549398544376</v>
      </c>
      <c r="J336" s="38">
        <f t="shared" si="16"/>
        <v>0.59200424398244422</v>
      </c>
      <c r="K336" s="38">
        <f>VLOOKUP($B336,'Old LS-Reports'!$A$4:$V$344,16,FALSE)-D336</f>
        <v>266.97245730039356</v>
      </c>
      <c r="L336" s="38">
        <f>VLOOKUP($B336,'Old LS-Reports'!$A$4:$V$344,19,FALSE)-D336</f>
        <v>267.34142120039354</v>
      </c>
      <c r="M336" s="38">
        <f t="shared" si="17"/>
        <v>1.2079773439824635</v>
      </c>
      <c r="N336" s="38">
        <f>VLOOKUP($B336,'Old LS-Reports'!$A$4:$V$344,8,FALSE)</f>
        <v>-11.004</v>
      </c>
      <c r="P336" s="41"/>
    </row>
    <row r="337" spans="1:16" x14ac:dyDescent="0.25">
      <c r="A337" s="39">
        <v>288700</v>
      </c>
      <c r="B337" s="39">
        <v>97703.240999999995</v>
      </c>
      <c r="C337" s="40">
        <f>VLOOKUP($B337,'Correlation sheet'!$C$4:$M$373,6,FALSE)</f>
        <v>1178107.8935309043</v>
      </c>
      <c r="D337" s="16">
        <f>VLOOKUP($B337,'Correlation sheet'!$C$4:$N$373,11,FALSE)</f>
        <v>8.2563663524581443E-2</v>
      </c>
      <c r="E337" s="38">
        <f>VLOOKUP($B337,'Old LS-Reports'!$A$4:$V$344,5,FALSE)-D337</f>
        <v>268.63945653647539</v>
      </c>
      <c r="F337" s="16">
        <f>VLOOKUP($B337,'Correlation sheet'!$C$4:$M$373,10,FALSE)</f>
        <v>269.22314635236387</v>
      </c>
      <c r="G337" s="38">
        <f t="shared" si="15"/>
        <v>0.58368981588847646</v>
      </c>
      <c r="H337" s="38">
        <f>VLOOKUP($B337,'Old LS-Reports'!$A$4:$V$344,6,FALSE)-D337</f>
        <v>267.9514565364754</v>
      </c>
      <c r="I337" s="16">
        <f>VLOOKUP($B337,'Correlation sheet'!$C$4:$M$373,9,FALSE)</f>
        <v>268.51014635236385</v>
      </c>
      <c r="J337" s="38">
        <f t="shared" si="16"/>
        <v>0.55868981588844235</v>
      </c>
      <c r="K337" s="38">
        <f>VLOOKUP($B337,'Old LS-Reports'!$A$4:$V$344,16,FALSE)-D337</f>
        <v>267.09543633647542</v>
      </c>
      <c r="L337" s="38">
        <f>VLOOKUP($B337,'Old LS-Reports'!$A$4:$V$344,19,FALSE)-D337</f>
        <v>266.89475373647542</v>
      </c>
      <c r="M337" s="38">
        <f t="shared" si="17"/>
        <v>1.6153926158884246</v>
      </c>
      <c r="N337" s="38">
        <f>VLOOKUP($B337,'Old LS-Reports'!$A$4:$V$344,8,FALSE)</f>
        <v>-11.573</v>
      </c>
      <c r="P337" s="41"/>
    </row>
    <row r="338" spans="1:16" x14ac:dyDescent="0.25">
      <c r="A338" s="39">
        <v>288720</v>
      </c>
      <c r="B338" s="39">
        <v>97723.251999999993</v>
      </c>
      <c r="C338" s="40">
        <f>VLOOKUP($B338,'Correlation sheet'!$C$4:$M$373,6,FALSE)</f>
        <v>1178127.9044842732</v>
      </c>
      <c r="D338" s="16">
        <f>VLOOKUP($B338,'Correlation sheet'!$C$4:$N$373,11,FALSE)</f>
        <v>8.2582396316638551E-2</v>
      </c>
      <c r="E338" s="38">
        <f>VLOOKUP($B338,'Old LS-Reports'!$A$4:$V$344,5,FALSE)-D338</f>
        <v>268.64427370368338</v>
      </c>
      <c r="F338" s="16">
        <f>VLOOKUP($B338,'Correlation sheet'!$C$4:$M$373,10,FALSE)</f>
        <v>269.18373461809608</v>
      </c>
      <c r="G338" s="38">
        <f t="shared" si="15"/>
        <v>0.53946091441270028</v>
      </c>
      <c r="H338" s="38">
        <f>VLOOKUP($B338,'Old LS-Reports'!$A$4:$V$344,6,FALSE)-D338</f>
        <v>267.95627370368339</v>
      </c>
      <c r="I338" s="16">
        <f>VLOOKUP($B338,'Correlation sheet'!$C$4:$M$373,9,FALSE)</f>
        <v>268.47073461809606</v>
      </c>
      <c r="J338" s="38">
        <f t="shared" si="16"/>
        <v>0.51446091441266617</v>
      </c>
      <c r="K338" s="38">
        <f>VLOOKUP($B338,'Old LS-Reports'!$A$4:$V$344,16,FALSE)-D338</f>
        <v>267.24641760368337</v>
      </c>
      <c r="L338" s="38">
        <f>VLOOKUP($B338,'Old LS-Reports'!$A$4:$V$344,19,FALSE)-D338</f>
        <v>267.47459910368337</v>
      </c>
      <c r="M338" s="38">
        <f t="shared" si="17"/>
        <v>0.99613551441268555</v>
      </c>
      <c r="N338" s="38">
        <f>VLOOKUP($B338,'Old LS-Reports'!$A$4:$V$344,8,FALSE)</f>
        <v>-12.25</v>
      </c>
      <c r="P338" s="41"/>
    </row>
    <row r="339" spans="1:16" x14ac:dyDescent="0.25">
      <c r="A339" s="39">
        <v>288740</v>
      </c>
      <c r="B339" s="39">
        <v>97743.104000000007</v>
      </c>
      <c r="C339" s="40">
        <f>VLOOKUP($B339,'Correlation sheet'!$C$4:$M$373,6,FALSE)</f>
        <v>1178147.7634682059</v>
      </c>
      <c r="D339" s="16">
        <f>VLOOKUP($B339,'Correlation sheet'!$C$4:$N$373,11,FALSE)</f>
        <v>8.2602095072161319E-2</v>
      </c>
      <c r="E339" s="38">
        <f>VLOOKUP($B339,'Old LS-Reports'!$A$4:$V$344,5,FALSE)-D339</f>
        <v>268.68676080492781</v>
      </c>
      <c r="F339" s="16">
        <f>VLOOKUP($B339,'Correlation sheet'!$C$4:$M$373,10,FALSE)</f>
        <v>269.14462218886001</v>
      </c>
      <c r="G339" s="38">
        <f t="shared" si="15"/>
        <v>0.45786138393219744</v>
      </c>
      <c r="H339" s="38">
        <f>VLOOKUP($B339,'Old LS-Reports'!$A$4:$V$344,6,FALSE)-D339</f>
        <v>267.99876080492783</v>
      </c>
      <c r="I339" s="16">
        <f>VLOOKUP($B339,'Correlation sheet'!$C$4:$M$373,9,FALSE)</f>
        <v>268.43162218885999</v>
      </c>
      <c r="J339" s="38">
        <f t="shared" si="16"/>
        <v>0.43286138393216333</v>
      </c>
      <c r="K339" s="38">
        <f>VLOOKUP($B339,'Old LS-Reports'!$A$4:$V$344,16,FALSE)-D339</f>
        <v>267.50939790492782</v>
      </c>
      <c r="L339" s="38">
        <f>VLOOKUP($B339,'Old LS-Reports'!$A$4:$V$344,19,FALSE)-D339</f>
        <v>267.19490420492787</v>
      </c>
      <c r="M339" s="38">
        <f t="shared" si="17"/>
        <v>1.2367179839321238</v>
      </c>
      <c r="N339" s="38">
        <f>VLOOKUP($B339,'Old LS-Reports'!$A$4:$V$344,8,FALSE)</f>
        <v>-12.808</v>
      </c>
      <c r="P339" s="41"/>
    </row>
    <row r="340" spans="1:16" x14ac:dyDescent="0.25">
      <c r="A340" s="39">
        <v>288760</v>
      </c>
      <c r="B340" s="39">
        <v>97763.01</v>
      </c>
      <c r="C340" s="40">
        <f>VLOOKUP($B340,'Correlation sheet'!$C$4:$M$373,6,FALSE)</f>
        <v>1178167.6654668015</v>
      </c>
      <c r="D340" s="16">
        <f>VLOOKUP($B340,'Correlation sheet'!$C$4:$N$373,11,FALSE)</f>
        <v>8.2622210477154567E-2</v>
      </c>
      <c r="E340" s="38">
        <f>VLOOKUP($B340,'Old LS-Reports'!$A$4:$V$344,5,FALSE)-D340</f>
        <v>268.72187798952285</v>
      </c>
      <c r="F340" s="16">
        <f>VLOOKUP($B340,'Correlation sheet'!$C$4:$M$373,10,FALSE)</f>
        <v>269.10542504189812</v>
      </c>
      <c r="G340" s="38">
        <f t="shared" si="15"/>
        <v>0.38354705237526332</v>
      </c>
      <c r="H340" s="38">
        <f>VLOOKUP($B340,'Old LS-Reports'!$A$4:$V$344,6,FALSE)-D340</f>
        <v>268.03387798952286</v>
      </c>
      <c r="I340" s="16">
        <f>VLOOKUP($B340,'Correlation sheet'!$C$4:$M$373,9,FALSE)</f>
        <v>268.39242504189809</v>
      </c>
      <c r="J340" s="38">
        <f t="shared" si="16"/>
        <v>0.35854705237522921</v>
      </c>
      <c r="K340" s="38">
        <f>VLOOKUP($B340,'Old LS-Reports'!$A$4:$V$344,16,FALSE)-D340</f>
        <v>267.40237778952286</v>
      </c>
      <c r="L340" s="38">
        <f>VLOOKUP($B340,'Old LS-Reports'!$A$4:$V$344,19,FALSE)-D340</f>
        <v>267.17660268952284</v>
      </c>
      <c r="M340" s="38">
        <f t="shared" si="17"/>
        <v>1.2158223523752554</v>
      </c>
      <c r="N340" s="38">
        <f>VLOOKUP($B340,'Old LS-Reports'!$A$4:$V$344,8,FALSE)</f>
        <v>-13.365</v>
      </c>
      <c r="P340" s="41"/>
    </row>
    <row r="341" spans="1:16" x14ac:dyDescent="0.25">
      <c r="A341" s="39">
        <v>288780</v>
      </c>
      <c r="B341" s="39">
        <v>97783.016000000003</v>
      </c>
      <c r="C341" s="40">
        <f>VLOOKUP($B341,'Correlation sheet'!$C$4:$M$373,6,FALSE)</f>
        <v>1178187.6714668011</v>
      </c>
      <c r="D341" s="16">
        <f>VLOOKUP($B341,'Correlation sheet'!$C$4:$N$373,11,FALSE)</f>
        <v>8.26435234400833E-2</v>
      </c>
      <c r="E341" s="38">
        <f>VLOOKUP($B341,'Old LS-Reports'!$A$4:$V$344,5,FALSE)-D341</f>
        <v>268.74486907655989</v>
      </c>
      <c r="F341" s="16">
        <f>VLOOKUP($B341,'Correlation sheet'!$C$4:$M$373,10,FALSE)</f>
        <v>269.0660230633311</v>
      </c>
      <c r="G341" s="38">
        <f t="shared" si="15"/>
        <v>0.32115398677120766</v>
      </c>
      <c r="H341" s="38">
        <f>VLOOKUP($B341,'Old LS-Reports'!$A$4:$V$344,6,FALSE)-D341</f>
        <v>268.05686907655991</v>
      </c>
      <c r="I341" s="16">
        <f>VLOOKUP($B341,'Correlation sheet'!$C$4:$M$373,9,FALSE)</f>
        <v>268.35302306333108</v>
      </c>
      <c r="J341" s="38">
        <f t="shared" si="16"/>
        <v>0.29615398677117355</v>
      </c>
      <c r="K341" s="38">
        <f>VLOOKUP($B341,'Old LS-Reports'!$A$4:$V$344,16,FALSE)-D341</f>
        <v>267.35935647655992</v>
      </c>
      <c r="L341" s="38">
        <f>VLOOKUP($B341,'Old LS-Reports'!$A$4:$V$344,19,FALSE)-D341</f>
        <v>267.35342877655989</v>
      </c>
      <c r="M341" s="38">
        <f t="shared" si="17"/>
        <v>0.99959428677118467</v>
      </c>
      <c r="N341" s="38">
        <f>VLOOKUP($B341,'Old LS-Reports'!$A$4:$V$344,8,FALSE)</f>
        <v>-13.824</v>
      </c>
      <c r="P341" s="41"/>
    </row>
    <row r="342" spans="1:16" x14ac:dyDescent="0.25">
      <c r="A342" s="39">
        <v>288800</v>
      </c>
      <c r="B342" s="39">
        <v>97802.895000000004</v>
      </c>
      <c r="C342" s="40">
        <f>VLOOKUP($B342,'Correlation sheet'!$C$4:$M$373,6,FALSE)</f>
        <v>1178207.5474668026</v>
      </c>
      <c r="D342" s="16">
        <f>VLOOKUP($B342,'Correlation sheet'!$C$4:$N$373,11,FALSE)</f>
        <v>8.2663443165245098E-2</v>
      </c>
      <c r="E342" s="38">
        <f>VLOOKUP($B342,'Old LS-Reports'!$A$4:$V$344,5,FALSE)-D342</f>
        <v>268.75941585683478</v>
      </c>
      <c r="F342" s="16">
        <f>VLOOKUP($B342,'Correlation sheet'!$C$4:$M$373,10,FALSE)</f>
        <v>269.02687712081007</v>
      </c>
      <c r="G342" s="38">
        <f t="shared" si="15"/>
        <v>0.26746126397529224</v>
      </c>
      <c r="H342" s="38">
        <f>VLOOKUP($B342,'Old LS-Reports'!$A$4:$V$344,6,FALSE)-D342</f>
        <v>268.07141585683479</v>
      </c>
      <c r="I342" s="16">
        <f>VLOOKUP($B342,'Correlation sheet'!$C$4:$M$373,9,FALSE)</f>
        <v>268.31387712081005</v>
      </c>
      <c r="J342" s="38">
        <f t="shared" si="16"/>
        <v>0.24246126397525813</v>
      </c>
      <c r="K342" s="38">
        <f>VLOOKUP($B342,'Old LS-Reports'!$A$4:$V$344,16,FALSE)-D342</f>
        <v>267.43533655683473</v>
      </c>
      <c r="L342" s="38">
        <f>VLOOKUP($B342,'Old LS-Reports'!$A$4:$V$344,19,FALSE)-D342</f>
        <v>266.23875755683474</v>
      </c>
      <c r="M342" s="38">
        <f t="shared" si="17"/>
        <v>2.0751195639753064</v>
      </c>
      <c r="N342" s="38">
        <f>VLOOKUP($B342,'Old LS-Reports'!$A$4:$V$344,8,FALSE)</f>
        <v>-14.23</v>
      </c>
      <c r="P342" s="41"/>
    </row>
    <row r="343" spans="1:16" x14ac:dyDescent="0.25">
      <c r="A343" s="39">
        <v>288820</v>
      </c>
      <c r="B343" s="39">
        <v>97822.896999999997</v>
      </c>
      <c r="C343" s="40">
        <f>VLOOKUP($B343,'Correlation sheet'!$C$4:$M$373,6,FALSE)</f>
        <v>1178227.549466803</v>
      </c>
      <c r="D343" s="16">
        <f>VLOOKUP($B343,'Correlation sheet'!$C$4:$N$373,11,FALSE)</f>
        <v>8.2683541749759115E-2</v>
      </c>
      <c r="E343" s="38">
        <f>VLOOKUP($B343,'Old LS-Reports'!$A$4:$V$344,5,FALSE)-D343</f>
        <v>268.75262165825023</v>
      </c>
      <c r="F343" s="16">
        <f>VLOOKUP($B343,'Correlation sheet'!$C$4:$M$373,10,FALSE)</f>
        <v>268.98748302027394</v>
      </c>
      <c r="G343" s="38">
        <f t="shared" si="15"/>
        <v>0.23486136202370744</v>
      </c>
      <c r="H343" s="38">
        <f>VLOOKUP($B343,'Old LS-Reports'!$A$4:$V$344,6,FALSE)-D343</f>
        <v>268.06462165825025</v>
      </c>
      <c r="I343" s="16">
        <f>VLOOKUP($B343,'Correlation sheet'!$C$4:$M$373,9,FALSE)</f>
        <v>268.27448302027392</v>
      </c>
      <c r="J343" s="38">
        <f t="shared" si="16"/>
        <v>0.20986136202367334</v>
      </c>
      <c r="K343" s="38">
        <f>VLOOKUP($B343,'Old LS-Reports'!$A$4:$V$344,16,FALSE)-D343</f>
        <v>267.47031645825024</v>
      </c>
      <c r="L343" s="38">
        <f>VLOOKUP($B343,'Old LS-Reports'!$A$4:$V$344,19,FALSE)-D343</f>
        <v>267.63828845825026</v>
      </c>
      <c r="M343" s="38">
        <f t="shared" si="17"/>
        <v>0.63619456202366109</v>
      </c>
      <c r="N343" s="38">
        <f>VLOOKUP($B343,'Old LS-Reports'!$A$4:$V$344,8,FALSE)</f>
        <v>-14.513</v>
      </c>
      <c r="P343" s="41"/>
    </row>
    <row r="344" spans="1:16" x14ac:dyDescent="0.25">
      <c r="A344" s="39">
        <v>288840</v>
      </c>
      <c r="B344" s="39">
        <v>97842.876000000004</v>
      </c>
      <c r="C344" s="40">
        <f>VLOOKUP($B344,'Correlation sheet'!$C$4:$M$373,6,FALSE)</f>
        <v>1178247.5274668015</v>
      </c>
      <c r="D344" s="16">
        <f>VLOOKUP($B344,'Correlation sheet'!$C$4:$N$373,11,FALSE)</f>
        <v>8.2702323902481112E-2</v>
      </c>
      <c r="E344" s="38">
        <f>VLOOKUP($B344,'Old LS-Reports'!$A$4:$V$344,5,FALSE)-D344</f>
        <v>268.74154167609754</v>
      </c>
      <c r="F344" s="16">
        <f>VLOOKUP($B344,'Correlation sheet'!$C$4:$M$373,10,FALSE)</f>
        <v>268.94813618793523</v>
      </c>
      <c r="G344" s="38">
        <f t="shared" si="15"/>
        <v>0.20659451183769306</v>
      </c>
      <c r="H344" s="38">
        <f>VLOOKUP($B344,'Old LS-Reports'!$A$4:$V$344,6,FALSE)-D344</f>
        <v>268.05354167609755</v>
      </c>
      <c r="I344" s="16">
        <f>VLOOKUP($B344,'Correlation sheet'!$C$4:$M$373,9,FALSE)</f>
        <v>268.23513618793521</v>
      </c>
      <c r="J344" s="38">
        <f t="shared" si="16"/>
        <v>0.18159451183765896</v>
      </c>
      <c r="K344" s="38">
        <f>VLOOKUP($B344,'Old LS-Reports'!$A$4:$V$344,16,FALSE)-D344</f>
        <v>266.46429767609754</v>
      </c>
      <c r="L344" s="38">
        <f>VLOOKUP($B344,'Old LS-Reports'!$A$4:$V$344,19,FALSE)-D344</f>
        <v>266.48814417609753</v>
      </c>
      <c r="M344" s="38">
        <f t="shared" si="17"/>
        <v>1.7469920118376763</v>
      </c>
      <c r="N344" s="38">
        <f>VLOOKUP($B344,'Old LS-Reports'!$A$4:$V$344,8,FALSE)</f>
        <v>-14.782999999999999</v>
      </c>
      <c r="P344" s="41"/>
    </row>
    <row r="345" spans="1:16" x14ac:dyDescent="0.25">
      <c r="A345" s="39">
        <v>288860</v>
      </c>
      <c r="B345" s="39">
        <v>97862.844313599999</v>
      </c>
      <c r="C345" s="40">
        <f>VLOOKUP($B345,'Correlation sheet'!$C$4:$M$373,6,FALSE)</f>
        <v>1178267.5294668013</v>
      </c>
      <c r="D345" s="16">
        <f>VLOOKUP($B345,'Correlation sheet'!$C$4:$N$373,11,FALSE)</f>
        <v>8.272325086585397E-2</v>
      </c>
      <c r="E345" s="38">
        <f>VLOOKUP($B345,'Old LS-Reports'!$A$4:$V$344,5,FALSE)-D345</f>
        <v>268.72309034913417</v>
      </c>
      <c r="F345" s="16">
        <f>VLOOKUP($B345,'Correlation sheet'!$C$4:$M$373,10,FALSE)</f>
        <v>268.90874208740001</v>
      </c>
      <c r="G345" s="38">
        <f t="shared" si="15"/>
        <v>0.18565173826584669</v>
      </c>
      <c r="H345" s="38">
        <f>VLOOKUP($B345,'Old LS-Reports'!$A$4:$V$344,6,FALSE)-D345</f>
        <v>268.03509034913418</v>
      </c>
      <c r="I345" s="16">
        <f>VLOOKUP($B345,'Correlation sheet'!$C$4:$M$373,9,FALSE)</f>
        <v>268.19574208739999</v>
      </c>
      <c r="J345" s="38">
        <f t="shared" si="16"/>
        <v>0.16065173826581258</v>
      </c>
      <c r="K345" s="38">
        <f>VLOOKUP($B345,'Old LS-Reports'!$A$4:$V$344,16,FALSE)-D345</f>
        <v>266.91227674913415</v>
      </c>
      <c r="L345" s="38">
        <f>VLOOKUP($B345,'Old LS-Reports'!$A$4:$V$344,19,FALSE)-D345</f>
        <v>267.06766924913416</v>
      </c>
      <c r="M345" s="38">
        <f t="shared" si="17"/>
        <v>1.1280728382658367</v>
      </c>
      <c r="N345" s="38">
        <f>VLOOKUP($B345,'Old LS-Reports'!$A$4:$V$344,8,FALSE)</f>
        <v>-15.034000000000001</v>
      </c>
      <c r="P345" s="41"/>
    </row>
    <row r="346" spans="1:16" x14ac:dyDescent="0.25">
      <c r="A346" s="39">
        <v>288880</v>
      </c>
      <c r="B346" s="39">
        <v>97882.845840900001</v>
      </c>
      <c r="C346" s="40">
        <f>VLOOKUP($B346,'Correlation sheet'!$C$4:$M$373,6,FALSE)</f>
        <v>1178287.5304668045</v>
      </c>
      <c r="D346" s="16">
        <f>VLOOKUP($B346,'Correlation sheet'!$C$4:$N$373,11,FALSE)</f>
        <v>8.2742296658068426E-2</v>
      </c>
      <c r="E346" s="38">
        <f>VLOOKUP($B346,'Old LS-Reports'!$A$4:$V$344,5,FALSE)-D346</f>
        <v>268.71697970334191</v>
      </c>
      <c r="F346" s="16">
        <f>VLOOKUP($B346,'Correlation sheet'!$C$4:$M$373,10,FALSE)</f>
        <v>268.86934995636631</v>
      </c>
      <c r="G346" s="38">
        <f t="shared" si="15"/>
        <v>0.15237025302440088</v>
      </c>
      <c r="H346" s="38">
        <f>VLOOKUP($B346,'Old LS-Reports'!$A$4:$V$344,6,FALSE)-D346</f>
        <v>268.02897970334192</v>
      </c>
      <c r="I346" s="16">
        <f>VLOOKUP($B346,'Correlation sheet'!$C$4:$M$373,9,FALSE)</f>
        <v>268.15634995636628</v>
      </c>
      <c r="J346" s="38">
        <f t="shared" si="16"/>
        <v>0.12737025302436678</v>
      </c>
      <c r="K346" s="38">
        <f>VLOOKUP($B346,'Old LS-Reports'!$A$4:$V$344,16,FALSE)-D346</f>
        <v>264.90925770334195</v>
      </c>
      <c r="L346" s="38">
        <f>VLOOKUP($B346,'Old LS-Reports'!$A$4:$V$344,19,FALSE)-D346</f>
        <v>264.16977550334195</v>
      </c>
      <c r="M346" s="38">
        <f t="shared" si="17"/>
        <v>3.9865744530243319</v>
      </c>
      <c r="N346" s="38">
        <f>VLOOKUP($B346,'Old LS-Reports'!$A$4:$V$344,8,FALSE)</f>
        <v>-15.285</v>
      </c>
      <c r="P346" s="41"/>
    </row>
    <row r="347" spans="1:16" x14ac:dyDescent="0.25">
      <c r="A347" s="39">
        <v>288900</v>
      </c>
      <c r="B347" s="39">
        <v>97902.847291800004</v>
      </c>
      <c r="C347" s="40">
        <f>VLOOKUP($B347,'Correlation sheet'!$C$4:$M$373,6,FALSE)</f>
        <v>1178307.5324650579</v>
      </c>
      <c r="D347" s="16">
        <f>VLOOKUP($B347,'Correlation sheet'!$C$4:$N$373,11,FALSE)</f>
        <v>8.2763462223454098E-2</v>
      </c>
      <c r="E347" s="38">
        <f>VLOOKUP($B347,'Old LS-Reports'!$A$4:$V$344,5,FALSE)-D347</f>
        <v>268.71994793777657</v>
      </c>
      <c r="F347" s="16">
        <f>VLOOKUP($B347,'Correlation sheet'!$C$4:$M$373,10,FALSE)</f>
        <v>268.82995585927074</v>
      </c>
      <c r="G347" s="38">
        <f t="shared" si="15"/>
        <v>0.11000792149417293</v>
      </c>
      <c r="H347" s="38">
        <f>VLOOKUP($B347,'Old LS-Reports'!$A$4:$V$344,6,FALSE)-D347</f>
        <v>268.03194793777658</v>
      </c>
      <c r="I347" s="16">
        <f>VLOOKUP($B347,'Correlation sheet'!$C$4:$M$373,9,FALSE)</f>
        <v>268.11695585927072</v>
      </c>
      <c r="J347" s="38">
        <f t="shared" si="16"/>
        <v>8.5007921494138827E-2</v>
      </c>
      <c r="K347" s="38">
        <f>VLOOKUP($B347,'Old LS-Reports'!$A$4:$V$344,16,FALSE)-D347</f>
        <v>266.65923653777656</v>
      </c>
      <c r="L347" s="38">
        <f>VLOOKUP($B347,'Old LS-Reports'!$A$4:$V$344,19,FALSE)-D347</f>
        <v>267.45734573777656</v>
      </c>
      <c r="M347" s="38">
        <f t="shared" si="17"/>
        <v>0.6596101214941541</v>
      </c>
      <c r="N347" s="38">
        <f>VLOOKUP($B347,'Old LS-Reports'!$A$4:$V$344,8,FALSE)</f>
        <v>-15.526999999999999</v>
      </c>
      <c r="P347" s="41"/>
    </row>
    <row r="348" spans="1:16" x14ac:dyDescent="0.25">
      <c r="A348" s="39">
        <v>288920</v>
      </c>
      <c r="B348" s="39">
        <v>97922.832872300001</v>
      </c>
      <c r="C348" s="40">
        <f>VLOOKUP($B348,'Correlation sheet'!$C$4:$M$373,6,FALSE)</f>
        <v>1178327.5174464344</v>
      </c>
      <c r="D348" s="16">
        <f>VLOOKUP($B348,'Correlation sheet'!$C$4:$N$373,11,FALSE)</f>
        <v>8.2782387317877237E-2</v>
      </c>
      <c r="E348" s="38">
        <f>VLOOKUP($B348,'Old LS-Reports'!$A$4:$V$344,5,FALSE)-D348</f>
        <v>268.71577101268213</v>
      </c>
      <c r="F348" s="16">
        <f>VLOOKUP($B348,'Correlation sheet'!$C$4:$M$373,10,FALSE)</f>
        <v>268.79059527705175</v>
      </c>
      <c r="G348" s="38">
        <f t="shared" si="15"/>
        <v>7.4824264369624416E-2</v>
      </c>
      <c r="H348" s="38">
        <f>VLOOKUP($B348,'Old LS-Reports'!$A$4:$V$344,6,FALSE)-D348</f>
        <v>268.02777101268214</v>
      </c>
      <c r="I348" s="16">
        <f>VLOOKUP($B348,'Correlation sheet'!$C$4:$M$373,9,FALSE)</f>
        <v>268.07759527705173</v>
      </c>
      <c r="J348" s="38">
        <f t="shared" si="16"/>
        <v>4.982426436959031E-2</v>
      </c>
      <c r="K348" s="38">
        <f>VLOOKUP($B348,'Old LS-Reports'!$A$4:$V$344,16,FALSE)-D348</f>
        <v>266.63021761268215</v>
      </c>
      <c r="L348" s="38">
        <f>VLOOKUP($B348,'Old LS-Reports'!$A$4:$V$344,19,FALSE)-D348</f>
        <v>266.49426671268213</v>
      </c>
      <c r="M348" s="38">
        <f t="shared" si="17"/>
        <v>1.5833285643695945</v>
      </c>
      <c r="N348" s="38">
        <f>VLOOKUP($B348,'Old LS-Reports'!$A$4:$V$344,8,FALSE)</f>
        <v>-15.69</v>
      </c>
      <c r="P348" s="41"/>
    </row>
    <row r="349" spans="1:16" x14ac:dyDescent="0.25">
      <c r="A349" s="39">
        <v>288940</v>
      </c>
      <c r="B349" s="39">
        <v>97942.833034700001</v>
      </c>
      <c r="C349" s="40">
        <f>VLOOKUP($B349,'Correlation sheet'!$C$4:$M$373,6,FALSE)</f>
        <v>1178347.5174094203</v>
      </c>
      <c r="D349" s="16">
        <f>VLOOKUP($B349,'Correlation sheet'!$C$4:$N$373,11,FALSE)</f>
        <v>8.280215034540106E-2</v>
      </c>
      <c r="E349" s="38">
        <f>VLOOKUP($B349,'Old LS-Reports'!$A$4:$V$344,5,FALSE)-D349</f>
        <v>268.71082944965463</v>
      </c>
      <c r="F349" s="16">
        <f>VLOOKUP($B349,'Correlation sheet'!$C$4:$M$373,10,FALSE)</f>
        <v>268.75120518843181</v>
      </c>
      <c r="G349" s="38">
        <f t="shared" si="15"/>
        <v>4.0375738777186143E-2</v>
      </c>
      <c r="H349" s="38">
        <f>VLOOKUP($B349,'Old LS-Reports'!$A$4:$V$344,6,FALSE)-D349</f>
        <v>268.02282944965464</v>
      </c>
      <c r="I349" s="16">
        <f>VLOOKUP($B349,'Correlation sheet'!$C$4:$M$373,9,FALSE)</f>
        <v>268.03820518843179</v>
      </c>
      <c r="J349" s="38">
        <f t="shared" si="16"/>
        <v>1.5375738777152037E-2</v>
      </c>
      <c r="K349" s="38">
        <f>VLOOKUP($B349,'Old LS-Reports'!$A$4:$V$344,16,FALSE)-D349</f>
        <v>265.81319784965461</v>
      </c>
      <c r="L349" s="38">
        <f>VLOOKUP($B349,'Old LS-Reports'!$A$4:$V$344,19,FALSE)-D349</f>
        <v>266.74537984965463</v>
      </c>
      <c r="M349" s="38">
        <f t="shared" si="17"/>
        <v>1.2928253387771633</v>
      </c>
      <c r="N349" s="38">
        <f>VLOOKUP($B349,'Old LS-Reports'!$A$4:$V$344,8,FALSE)</f>
        <v>-15.733000000000001</v>
      </c>
      <c r="P349" s="41"/>
    </row>
    <row r="350" spans="1:16" x14ac:dyDescent="0.25">
      <c r="A350" s="39">
        <v>288960</v>
      </c>
      <c r="B350" s="39">
        <v>97962.840357499997</v>
      </c>
      <c r="C350" s="40">
        <f>VLOOKUP($B350,'Correlation sheet'!$C$4:$M$373,6,FALSE)</f>
        <v>1178367.525372342</v>
      </c>
      <c r="D350" s="16">
        <f>VLOOKUP($B350,'Correlation sheet'!$C$4:$N$373,11,FALSE)</f>
        <v>7.0842999313128985E-2</v>
      </c>
      <c r="E350" s="38">
        <f>VLOOKUP($B350,'Old LS-Reports'!$A$4:$V$344,5,FALSE)-D350</f>
        <v>268.70869400068688</v>
      </c>
      <c r="F350" s="16">
        <f>VLOOKUP($B350,'Correlation sheet'!$C$4:$M$373,10,FALSE)</f>
        <v>268.73615700068689</v>
      </c>
      <c r="G350" s="38">
        <f t="shared" si="15"/>
        <v>2.7463000000011561E-2</v>
      </c>
      <c r="H350" s="38">
        <f>VLOOKUP($B350,'Old LS-Reports'!$A$4:$V$344,6,FALSE)-D350</f>
        <v>268.02069400068689</v>
      </c>
      <c r="I350" s="16">
        <f>VLOOKUP($B350,'Correlation sheet'!$C$4:$M$373,9,FALSE)</f>
        <v>268.02315700068687</v>
      </c>
      <c r="J350" s="38">
        <f t="shared" si="16"/>
        <v>2.4629999999774554E-3</v>
      </c>
      <c r="K350" s="38">
        <f>VLOOKUP($B350,'Old LS-Reports'!$A$4:$V$344,16,FALSE)-D350</f>
        <v>265.76915700068685</v>
      </c>
      <c r="L350" s="38">
        <f>VLOOKUP($B350,'Old LS-Reports'!$A$4:$V$344,19,FALSE)-D350</f>
        <v>266.1946542006869</v>
      </c>
      <c r="M350" s="38">
        <f t="shared" si="17"/>
        <v>1.828502799999967</v>
      </c>
      <c r="N350" s="38">
        <f>VLOOKUP($B350,'Old LS-Reports'!$A$4:$V$344,8,FALSE)</f>
        <v>-15.651</v>
      </c>
      <c r="P350" s="41"/>
    </row>
    <row r="351" spans="1:16" x14ac:dyDescent="0.25">
      <c r="A351" s="39">
        <v>288980</v>
      </c>
      <c r="B351" s="39">
        <v>97982.841547999997</v>
      </c>
      <c r="C351" s="40">
        <f>VLOOKUP($B351,'Correlation sheet'!$C$4:$M$373,6,FALSE)</f>
        <v>1178387.5263352983</v>
      </c>
      <c r="D351" s="16">
        <f>VLOOKUP($B351,'Correlation sheet'!$C$4:$N$373,11,FALSE)</f>
        <v>6.9977614281924616E-2</v>
      </c>
      <c r="E351" s="38">
        <f>VLOOKUP($B351,'Old LS-Reports'!$A$4:$V$344,5,FALSE)-D351</f>
        <v>268.69411458571807</v>
      </c>
      <c r="F351" s="16">
        <f>VLOOKUP($B351,'Correlation sheet'!$C$4:$M$373,10,FALSE)</f>
        <v>268.74202238571809</v>
      </c>
      <c r="G351" s="38">
        <f t="shared" si="15"/>
        <v>4.7907800000018597E-2</v>
      </c>
      <c r="H351" s="38">
        <f>VLOOKUP($B351,'Old LS-Reports'!$A$4:$V$344,6,FALSE)-D351</f>
        <v>268.00611458571808</v>
      </c>
      <c r="I351" s="16">
        <f>VLOOKUP($B351,'Correlation sheet'!$C$4:$M$373,9,FALSE)</f>
        <v>268.02902238571806</v>
      </c>
      <c r="J351" s="38">
        <f t="shared" si="16"/>
        <v>2.2907799999984491E-2</v>
      </c>
      <c r="K351" s="38">
        <f>VLOOKUP($B351,'Old LS-Reports'!$A$4:$V$344,16,FALSE)-D351</f>
        <v>265.98002238571809</v>
      </c>
      <c r="L351" s="38">
        <f>VLOOKUP($B351,'Old LS-Reports'!$A$4:$V$344,19,FALSE)-D351</f>
        <v>267.23203998571807</v>
      </c>
      <c r="M351" s="38">
        <f t="shared" si="17"/>
        <v>0.79698239999999032</v>
      </c>
      <c r="N351" s="38">
        <f>VLOOKUP($B351,'Old LS-Reports'!$A$4:$V$344,8,FALSE)</f>
        <v>-15.436</v>
      </c>
      <c r="P351" s="41"/>
    </row>
    <row r="352" spans="1:16" x14ac:dyDescent="0.25">
      <c r="A352" s="39">
        <v>289000</v>
      </c>
      <c r="B352" s="39">
        <v>98002.835183100004</v>
      </c>
      <c r="C352" s="40">
        <f>VLOOKUP($B352,'Correlation sheet'!$C$4:$M$373,6,FALSE)</f>
        <v>1178407.8533017864</v>
      </c>
      <c r="D352" s="16">
        <f>VLOOKUP($B352,'Correlation sheet'!$C$4:$N$373,11,FALSE)</f>
        <v>7.101662704201317E-2</v>
      </c>
      <c r="E352" s="38">
        <f>VLOOKUP($B352,'Old LS-Reports'!$A$4:$V$344,5,FALSE)-D352</f>
        <v>268.69004447295799</v>
      </c>
      <c r="F352" s="16">
        <f>VLOOKUP($B352,'Correlation sheet'!$C$4:$M$373,10,FALSE)</f>
        <v>268.747983372958</v>
      </c>
      <c r="G352" s="38">
        <f t="shared" si="15"/>
        <v>5.7938900000010563E-2</v>
      </c>
      <c r="H352" s="38">
        <f>VLOOKUP($B352,'Old LS-Reports'!$A$4:$V$344,6,FALSE)-D352</f>
        <v>268.002044472958</v>
      </c>
      <c r="I352" s="16">
        <f>VLOOKUP($B352,'Correlation sheet'!$C$4:$M$373,9,FALSE)</f>
        <v>268.03498337295798</v>
      </c>
      <c r="J352" s="38">
        <f t="shared" si="16"/>
        <v>3.2938899999976456E-2</v>
      </c>
      <c r="K352" s="38">
        <f>VLOOKUP($B352,'Old LS-Reports'!$A$4:$V$344,16,FALSE)-D352</f>
        <v>266.33898337295801</v>
      </c>
      <c r="L352" s="38">
        <f>VLOOKUP($B352,'Old LS-Reports'!$A$4:$V$344,19,FALSE)-D352</f>
        <v>267.159510972958</v>
      </c>
      <c r="M352" s="38">
        <f t="shared" si="17"/>
        <v>0.87547239999997828</v>
      </c>
      <c r="N352" s="38">
        <f>VLOOKUP($B352,'Old LS-Reports'!$A$4:$V$344,8,FALSE)</f>
        <v>-15.08</v>
      </c>
      <c r="P352" s="41"/>
    </row>
    <row r="353" spans="1:16" x14ac:dyDescent="0.25">
      <c r="A353" s="39">
        <v>289020</v>
      </c>
      <c r="B353" s="39">
        <v>98022.94</v>
      </c>
      <c r="C353" s="40">
        <f>VLOOKUP($B353,'Correlation sheet'!$C$4:$M$373,6,FALSE)</f>
        <v>1178427.558294306</v>
      </c>
      <c r="D353" s="16">
        <f>VLOOKUP($B353,'Correlation sheet'!$C$4:$N$373,11,FALSE)</f>
        <v>7.2238036860312604E-2</v>
      </c>
      <c r="E353" s="38">
        <f>VLOOKUP($B353,'Old LS-Reports'!$A$4:$V$344,5,FALSE)-D353</f>
        <v>268.68903986313967</v>
      </c>
      <c r="F353" s="16">
        <f>VLOOKUP($B353,'Correlation sheet'!$C$4:$M$373,10,FALSE)</f>
        <v>268.75376196313971</v>
      </c>
      <c r="G353" s="38">
        <f t="shared" si="15"/>
        <v>6.4722100000039973E-2</v>
      </c>
      <c r="H353" s="38">
        <f>VLOOKUP($B353,'Old LS-Reports'!$A$4:$V$344,6,FALSE)-D353</f>
        <v>268.00103986313968</v>
      </c>
      <c r="I353" s="16">
        <f>VLOOKUP($B353,'Correlation sheet'!$C$4:$M$373,9,FALSE)</f>
        <v>268.04076196313969</v>
      </c>
      <c r="J353" s="38">
        <f t="shared" si="16"/>
        <v>3.9722100000005867E-2</v>
      </c>
      <c r="K353" s="38">
        <f>VLOOKUP($B353,'Old LS-Reports'!$A$4:$V$344,16,FALSE)-D353</f>
        <v>266.21476196313967</v>
      </c>
      <c r="L353" s="38">
        <f>VLOOKUP($B353,'Old LS-Reports'!$A$4:$V$344,19,FALSE)-D353</f>
        <v>267.06093766313967</v>
      </c>
      <c r="M353" s="38">
        <f t="shared" si="17"/>
        <v>0.97982430000001841</v>
      </c>
      <c r="N353" s="38">
        <f>VLOOKUP($B353,'Old LS-Reports'!$A$4:$V$344,8,FALSE)</f>
        <v>-14.628</v>
      </c>
      <c r="P353" s="41"/>
    </row>
    <row r="354" spans="1:16" x14ac:dyDescent="0.25">
      <c r="A354" s="39">
        <v>289037.92700000003</v>
      </c>
      <c r="B354" s="39">
        <v>98042.94</v>
      </c>
      <c r="C354" s="40">
        <f>VLOOKUP($B354,'Correlation sheet'!$C$4:$M$373,6,FALSE)</f>
        <v>1178447.558294306</v>
      </c>
      <c r="D354" s="16">
        <f>VLOOKUP($B354,'Correlation sheet'!$C$4:$N$373,11,FALSE)</f>
        <v>7.23729342210504E-2</v>
      </c>
      <c r="E354" s="38">
        <f>VLOOKUP($B354,'Old LS-Reports'!$A$4:$V$344,5,FALSE)-D354</f>
        <v>268.73815246577897</v>
      </c>
      <c r="F354" s="16">
        <f>VLOOKUP($B354,'Correlation sheet'!$C$4:$M$373,10,FALSE)</f>
        <v>268.759627065779</v>
      </c>
      <c r="G354" s="38">
        <f t="shared" si="15"/>
        <v>2.1474600000033206E-2</v>
      </c>
      <c r="H354" s="38">
        <f>VLOOKUP($B354,'Old LS-Reports'!$A$4:$V$344,6,FALSE)-D354</f>
        <v>268.05015246577898</v>
      </c>
      <c r="I354" s="16">
        <f>VLOOKUP($B354,'Correlation sheet'!$C$4:$M$373,9,FALSE)</f>
        <v>268.04662706577898</v>
      </c>
      <c r="J354" s="38">
        <f t="shared" si="16"/>
        <v>-3.5254000000009E-3</v>
      </c>
      <c r="K354" s="38">
        <f>VLOOKUP($B354,'Old LS-Reports'!$A$4:$V$344,16,FALSE)-D354</f>
        <v>265.80558786577893</v>
      </c>
      <c r="L354" s="38">
        <f>VLOOKUP($B354,'Old LS-Reports'!$A$4:$V$344,19,FALSE)-D354</f>
        <v>266.34234016577892</v>
      </c>
      <c r="M354" s="38">
        <f t="shared" si="17"/>
        <v>1.7042869000000564</v>
      </c>
      <c r="N354" s="38">
        <f>VLOOKUP($B354,'Old LS-Reports'!$A$4:$V$344,8,FALSE)</f>
        <v>-14.236000000000001</v>
      </c>
      <c r="P354" s="41"/>
    </row>
    <row r="355" spans="1:16" s="77" customFormat="1" x14ac:dyDescent="0.25">
      <c r="A355" s="75"/>
      <c r="B355" s="75"/>
      <c r="C355" s="76"/>
      <c r="P355" s="78"/>
    </row>
    <row r="356" spans="1:16" x14ac:dyDescent="0.25">
      <c r="A356" s="39">
        <v>289037.92700000003</v>
      </c>
      <c r="B356" s="39">
        <v>289037.59999999998</v>
      </c>
      <c r="C356" s="40">
        <f>VLOOKUP($B356,'Correlation sheet'!$C$370:$M$423,6,FALSE)</f>
        <v>1178467.558294306</v>
      </c>
      <c r="D356" s="16">
        <f>VLOOKUP($B356,'Correlation sheet'!$C$370:$M$423,11,FALSE)</f>
        <v>6.6508205190189074E-2</v>
      </c>
      <c r="E356" s="80">
        <f>VLOOKUP(B356,'Old LS-Reports'!A346:V397,5,FALSE)-D356</f>
        <v>268.74449179480979</v>
      </c>
      <c r="F356" s="16">
        <f>VLOOKUP($B356,'Correlation sheet'!$C$370:$M$423,10,FALSE)</f>
        <v>268.72349179480983</v>
      </c>
      <c r="G356" s="38">
        <f t="shared" ref="G356:G407" si="18">ROUND(F356-E356,3)</f>
        <v>-2.1000000000000001E-2</v>
      </c>
      <c r="H356" s="80">
        <f>VLOOKUP(B356,'Old LS-Reports'!A346:V397,6,FALSE)-D356</f>
        <v>268.0564917948098</v>
      </c>
      <c r="I356" s="16">
        <f>VLOOKUP($B356,'Correlation sheet'!$C$370:$M$423,9,FALSE)</f>
        <v>268.05249179480984</v>
      </c>
      <c r="J356" s="38">
        <f t="shared" ref="J356:J407" si="19">ROUND(I356-H356,3)</f>
        <v>-4.0000000000000001E-3</v>
      </c>
      <c r="K356" s="80">
        <f>VLOOKUP(B356,'Old LS-Reports'!A346:V397,16,FALSE)-D356</f>
        <v>265.80849179480981</v>
      </c>
      <c r="L356" s="80">
        <f>VLOOKUP(B356,'Old LS-Reports'!A346:V397,19,FALSE)-D356</f>
        <v>266.34849179480983</v>
      </c>
      <c r="M356" s="38">
        <f t="shared" ref="M356:M407" si="20">ROUND(I356-L356,3)</f>
        <v>1.704</v>
      </c>
      <c r="N356" s="80">
        <f>VLOOKUP(B356,'Old LS-Reports'!A346:V397,8,FALSE)</f>
        <v>14.236000000000001</v>
      </c>
    </row>
    <row r="357" spans="1:16" x14ac:dyDescent="0.25">
      <c r="A357" s="39">
        <v>289040</v>
      </c>
      <c r="B357" s="39">
        <v>289039.7</v>
      </c>
      <c r="C357" s="40">
        <f>VLOOKUP($B357,'Correlation sheet'!$C$370:$M$423,6,FALSE)</f>
        <v>1178469.6582943061</v>
      </c>
      <c r="D357" s="16">
        <f>VLOOKUP($B357,'Correlation sheet'!$C$370:$M$423,11,FALSE)</f>
        <v>6.6891917770135478E-2</v>
      </c>
      <c r="E357" s="80">
        <f>VLOOKUP(B357,'Old LS-Reports'!A347:V398,5,FALSE)-D357</f>
        <v>268.75010808222987</v>
      </c>
      <c r="F357" s="16">
        <f>VLOOKUP($B357,'Correlation sheet'!$C$370:$M$423,10,FALSE)</f>
        <v>268.72410808222986</v>
      </c>
      <c r="G357" s="38">
        <f t="shared" si="18"/>
        <v>-2.5999999999999999E-2</v>
      </c>
      <c r="H357" s="80">
        <f>VLOOKUP(B357,'Old LS-Reports'!A347:V398,6,FALSE)-D357</f>
        <v>268.06210808222988</v>
      </c>
      <c r="I357" s="16">
        <f>VLOOKUP($B357,'Correlation sheet'!$C$370:$M$423,9,FALSE)</f>
        <v>268.05310808222987</v>
      </c>
      <c r="J357" s="38">
        <f t="shared" si="19"/>
        <v>-8.9999999999999993E-3</v>
      </c>
      <c r="K357" s="80">
        <f>VLOOKUP(B357,'Old LS-Reports'!A347:V398,16,FALSE)-D357</f>
        <v>265.90010808222985</v>
      </c>
      <c r="L357" s="80">
        <f>VLOOKUP(B357,'Old LS-Reports'!A347:V398,19,FALSE)-D357</f>
        <v>266.40510808222984</v>
      </c>
      <c r="M357" s="38">
        <f t="shared" si="20"/>
        <v>1.6479999999999999</v>
      </c>
      <c r="N357" s="80">
        <f>VLOOKUP(B357,'Old LS-Reports'!A347:V398,8,FALSE)</f>
        <v>14.191000000000001</v>
      </c>
    </row>
    <row r="358" spans="1:16" x14ac:dyDescent="0.25">
      <c r="A358" s="39">
        <v>289060</v>
      </c>
      <c r="B358" s="39">
        <v>289059.7</v>
      </c>
      <c r="C358" s="40">
        <f>VLOOKUP($B358,'Correlation sheet'!$C$370:$M$423,6,FALSE)</f>
        <v>1178489.6582943061</v>
      </c>
      <c r="D358" s="16">
        <f>VLOOKUP($B358,'Correlation sheet'!$C$370:$M$423,11,FALSE)</f>
        <v>6.8022513769960824E-2</v>
      </c>
      <c r="E358" s="80">
        <f>VLOOKUP(B358,'Old LS-Reports'!A348:V399,5,FALSE)-D358</f>
        <v>268.79297748623003</v>
      </c>
      <c r="F358" s="16">
        <f>VLOOKUP($B358,'Correlation sheet'!$C$370:$M$423,10,FALSE)</f>
        <v>268.72997748623004</v>
      </c>
      <c r="G358" s="38">
        <f t="shared" si="18"/>
        <v>-6.3E-2</v>
      </c>
      <c r="H358" s="80">
        <f>VLOOKUP(B358,'Old LS-Reports'!A348:V399,6,FALSE)-D358</f>
        <v>268.10497748623004</v>
      </c>
      <c r="I358" s="16">
        <f>VLOOKUP($B358,'Correlation sheet'!$C$370:$M$423,9,FALSE)</f>
        <v>268.05897748623005</v>
      </c>
      <c r="J358" s="38">
        <f t="shared" si="19"/>
        <v>-4.5999999999999999E-2</v>
      </c>
      <c r="K358" s="80">
        <f>VLOOKUP(B358,'Old LS-Reports'!A348:V399,16,FALSE)-D358</f>
        <v>266.67397748623006</v>
      </c>
      <c r="L358" s="80">
        <f>VLOOKUP(B358,'Old LS-Reports'!A348:V399,19,FALSE)-D358</f>
        <v>266.87397748623005</v>
      </c>
      <c r="M358" s="38">
        <f t="shared" si="20"/>
        <v>1.1850000000000001</v>
      </c>
      <c r="N358" s="80">
        <f>VLOOKUP(B358,'Old LS-Reports'!A348:V399,8,FALSE)</f>
        <v>13.763</v>
      </c>
    </row>
    <row r="359" spans="1:16" x14ac:dyDescent="0.25">
      <c r="A359" s="39">
        <v>289080</v>
      </c>
      <c r="B359" s="39">
        <v>289079.7</v>
      </c>
      <c r="C359" s="40">
        <f>VLOOKUP($B359,'Correlation sheet'!$C$370:$M$423,6,FALSE)</f>
        <v>1178509.6582943061</v>
      </c>
      <c r="D359" s="16">
        <f>VLOOKUP($B359,'Correlation sheet'!$C$370:$M$423,11,FALSE)</f>
        <v>6.8153109769752973E-2</v>
      </c>
      <c r="E359" s="80">
        <f>VLOOKUP(B359,'Old LS-Reports'!A349:V400,5,FALSE)-D359</f>
        <v>268.78484689023026</v>
      </c>
      <c r="F359" s="16">
        <f>VLOOKUP($B359,'Correlation sheet'!$C$370:$M$423,10,FALSE)</f>
        <v>268.73584689023022</v>
      </c>
      <c r="G359" s="38">
        <f t="shared" si="18"/>
        <v>-4.9000000000000002E-2</v>
      </c>
      <c r="H359" s="80">
        <f>VLOOKUP(B359,'Old LS-Reports'!A349:V400,6,FALSE)-D359</f>
        <v>268.09684689023027</v>
      </c>
      <c r="I359" s="16">
        <f>VLOOKUP($B359,'Correlation sheet'!$C$370:$M$423,9,FALSE)</f>
        <v>268.06484689023023</v>
      </c>
      <c r="J359" s="38">
        <f t="shared" si="19"/>
        <v>-3.2000000000000001E-2</v>
      </c>
      <c r="K359" s="80">
        <f>VLOOKUP(B359,'Old LS-Reports'!A349:V400,16,FALSE)-D359</f>
        <v>266.61984689023024</v>
      </c>
      <c r="L359" s="80">
        <f>VLOOKUP(B359,'Old LS-Reports'!A349:V400,19,FALSE)-D359</f>
        <v>267.47384689023022</v>
      </c>
      <c r="M359" s="38">
        <f t="shared" si="20"/>
        <v>0.59099999999999997</v>
      </c>
      <c r="N359" s="80">
        <f>VLOOKUP(B359,'Old LS-Reports'!A349:V400,8,FALSE)</f>
        <v>13.379</v>
      </c>
    </row>
    <row r="360" spans="1:16" x14ac:dyDescent="0.25">
      <c r="A360" s="39">
        <v>289100</v>
      </c>
      <c r="B360" s="39">
        <v>289100</v>
      </c>
      <c r="C360" s="40">
        <f>VLOOKUP($B360,'Correlation sheet'!$C$370:$M$423,6,FALSE)</f>
        <v>1178529.9582943062</v>
      </c>
      <c r="D360" s="16">
        <f>VLOOKUP($B360,'Correlation sheet'!$C$370:$M$423,11,FALSE)</f>
        <v>6.9195664709582161E-2</v>
      </c>
      <c r="E360" s="80">
        <f>VLOOKUP(B360,'Old LS-Reports'!A350:V401,5,FALSE)-D360</f>
        <v>268.77080433529039</v>
      </c>
      <c r="F360" s="16">
        <f>VLOOKUP($B360,'Correlation sheet'!$C$370:$M$423,10,FALSE)</f>
        <v>268.7418043352904</v>
      </c>
      <c r="G360" s="38">
        <f t="shared" si="18"/>
        <v>-2.9000000000000001E-2</v>
      </c>
      <c r="H360" s="80">
        <f>VLOOKUP(B360,'Old LS-Reports'!A350:V401,6,FALSE)-D360</f>
        <v>268.0828043352904</v>
      </c>
      <c r="I360" s="16">
        <f>VLOOKUP($B360,'Correlation sheet'!$C$370:$M$423,9,FALSE)</f>
        <v>268.0708043352904</v>
      </c>
      <c r="J360" s="38">
        <f t="shared" si="19"/>
        <v>-1.2E-2</v>
      </c>
      <c r="K360" s="80">
        <f>VLOOKUP(B360,'Old LS-Reports'!A350:V401,16,FALSE)-D360</f>
        <v>265.97080433529044</v>
      </c>
      <c r="L360" s="80">
        <f>VLOOKUP(B360,'Old LS-Reports'!A350:V401,19,FALSE)-D360</f>
        <v>267.0708043352904</v>
      </c>
      <c r="M360" s="38">
        <f t="shared" si="20"/>
        <v>1</v>
      </c>
      <c r="N360" s="80">
        <f>VLOOKUP(B360,'Old LS-Reports'!A350:V401,8,FALSE)</f>
        <v>13.151</v>
      </c>
    </row>
    <row r="361" spans="1:16" x14ac:dyDescent="0.25">
      <c r="A361" s="39">
        <v>289120</v>
      </c>
      <c r="B361" s="39">
        <v>289120</v>
      </c>
      <c r="C361" s="40">
        <f>VLOOKUP($B361,'Correlation sheet'!$C$370:$M$423,6,FALSE)</f>
        <v>1178549.9582943062</v>
      </c>
      <c r="D361" s="16">
        <f>VLOOKUP($B361,'Correlation sheet'!$C$370:$M$423,11,FALSE)</f>
        <v>7.0326260709407507E-2</v>
      </c>
      <c r="E361" s="80">
        <f>VLOOKUP(B361,'Old LS-Reports'!A351:V402,5,FALSE)-D361</f>
        <v>268.7516737392906</v>
      </c>
      <c r="F361" s="16">
        <f>VLOOKUP($B361,'Correlation sheet'!$C$370:$M$423,10,FALSE)</f>
        <v>268.74767373929058</v>
      </c>
      <c r="G361" s="38">
        <f t="shared" si="18"/>
        <v>-4.0000000000000001E-3</v>
      </c>
      <c r="H361" s="80">
        <f>VLOOKUP(B361,'Old LS-Reports'!A351:V402,6,FALSE)-D361</f>
        <v>268.06367373929061</v>
      </c>
      <c r="I361" s="16">
        <f>VLOOKUP($B361,'Correlation sheet'!$C$370:$M$423,9,FALSE)</f>
        <v>268.07667373929058</v>
      </c>
      <c r="J361" s="38">
        <f t="shared" si="19"/>
        <v>1.2999999999999999E-2</v>
      </c>
      <c r="K361" s="80">
        <f>VLOOKUP(B361,'Old LS-Reports'!A351:V402,16,FALSE)-D361</f>
        <v>266.13967373929057</v>
      </c>
      <c r="L361" s="80">
        <f>VLOOKUP(B361,'Old LS-Reports'!A351:V402,19,FALSE)-D361</f>
        <v>267.1986737392906</v>
      </c>
      <c r="M361" s="38">
        <f t="shared" si="20"/>
        <v>0.878</v>
      </c>
      <c r="N361" s="80">
        <f>VLOOKUP(B361,'Old LS-Reports'!A351:V402,8,FALSE)</f>
        <v>13.095000000000001</v>
      </c>
    </row>
    <row r="362" spans="1:16" x14ac:dyDescent="0.25">
      <c r="A362" s="39">
        <v>289140</v>
      </c>
      <c r="B362" s="39">
        <v>289140</v>
      </c>
      <c r="C362" s="40">
        <f>VLOOKUP($B362,'Correlation sheet'!$C$370:$M$423,6,FALSE)</f>
        <v>1178569.9582943062</v>
      </c>
      <c r="D362" s="16">
        <f>VLOOKUP($B362,'Correlation sheet'!$C$370:$M$423,11,FALSE)</f>
        <v>7.1456856709232852E-2</v>
      </c>
      <c r="E362" s="80">
        <f>VLOOKUP(B362,'Old LS-Reports'!A352:V403,5,FALSE)-D362</f>
        <v>268.73154314329076</v>
      </c>
      <c r="F362" s="16">
        <f>VLOOKUP($B362,'Correlation sheet'!$C$370:$M$423,10,FALSE)</f>
        <v>268.75354314329076</v>
      </c>
      <c r="G362" s="38">
        <f t="shared" si="18"/>
        <v>2.1999999999999999E-2</v>
      </c>
      <c r="H362" s="80">
        <f>VLOOKUP(B362,'Old LS-Reports'!A352:V403,6,FALSE)-D362</f>
        <v>268.04354314329078</v>
      </c>
      <c r="I362" s="16">
        <f>VLOOKUP($B362,'Correlation sheet'!$C$370:$M$423,9,FALSE)</f>
        <v>268.08254314329076</v>
      </c>
      <c r="J362" s="38">
        <f t="shared" si="19"/>
        <v>3.9E-2</v>
      </c>
      <c r="K362" s="80">
        <f>VLOOKUP(B362,'Old LS-Reports'!A352:V403,16,FALSE)-D362</f>
        <v>266.99954314329079</v>
      </c>
      <c r="L362" s="80">
        <f>VLOOKUP(B362,'Old LS-Reports'!A352:V403,19,FALSE)-D362</f>
        <v>267.48254314329074</v>
      </c>
      <c r="M362" s="38">
        <f t="shared" si="20"/>
        <v>0.6</v>
      </c>
      <c r="N362" s="80">
        <f>VLOOKUP(B362,'Old LS-Reports'!A352:V403,8,FALSE)</f>
        <v>13.038</v>
      </c>
    </row>
    <row r="363" spans="1:16" x14ac:dyDescent="0.25">
      <c r="A363" s="39">
        <v>289160</v>
      </c>
      <c r="B363" s="39">
        <v>289160</v>
      </c>
      <c r="C363" s="40">
        <f>VLOOKUP($B363,'Correlation sheet'!$C$370:$M$423,6,FALSE)</f>
        <v>1178589.9582943062</v>
      </c>
      <c r="D363" s="16">
        <f>VLOOKUP($B363,'Correlation sheet'!$C$370:$M$423,11,FALSE)</f>
        <v>7.2587452709058198E-2</v>
      </c>
      <c r="E363" s="80">
        <f>VLOOKUP(B363,'Old LS-Reports'!A353:V404,5,FALSE)-D363</f>
        <v>268.72341254729093</v>
      </c>
      <c r="F363" s="16">
        <f>VLOOKUP($B363,'Correlation sheet'!$C$370:$M$423,10,FALSE)</f>
        <v>268.75941254729094</v>
      </c>
      <c r="G363" s="38">
        <f t="shared" si="18"/>
        <v>3.5999999999999997E-2</v>
      </c>
      <c r="H363" s="80">
        <f>VLOOKUP(B363,'Old LS-Reports'!A353:V404,6,FALSE)-D363</f>
        <v>268.03541254729095</v>
      </c>
      <c r="I363" s="16">
        <f>VLOOKUP($B363,'Correlation sheet'!$C$370:$M$423,9,FALSE)</f>
        <v>268.08841254729094</v>
      </c>
      <c r="J363" s="38">
        <f t="shared" si="19"/>
        <v>5.2999999999999999E-2</v>
      </c>
      <c r="K363" s="80">
        <f>VLOOKUP(B363,'Old LS-Reports'!A353:V404,16,FALSE)-D363</f>
        <v>266.67541254729093</v>
      </c>
      <c r="L363" s="80">
        <f>VLOOKUP(B363,'Old LS-Reports'!A353:V404,19,FALSE)-D363</f>
        <v>267.46841254729094</v>
      </c>
      <c r="M363" s="38">
        <f t="shared" si="20"/>
        <v>0.62</v>
      </c>
      <c r="N363" s="80">
        <f>VLOOKUP(B363,'Old LS-Reports'!A353:V404,8,FALSE)</f>
        <v>13.042</v>
      </c>
    </row>
    <row r="364" spans="1:16" x14ac:dyDescent="0.25">
      <c r="A364" s="39">
        <v>289180</v>
      </c>
      <c r="B364" s="39">
        <v>289180</v>
      </c>
      <c r="C364" s="40">
        <f>VLOOKUP($B364,'Correlation sheet'!$C$370:$M$423,6,FALSE)</f>
        <v>1178609.9582943062</v>
      </c>
      <c r="D364" s="16">
        <f>VLOOKUP($B364,'Correlation sheet'!$C$370:$M$423,11,FALSE)</f>
        <v>7.3718048708883543E-2</v>
      </c>
      <c r="E364" s="80">
        <f>VLOOKUP(B364,'Old LS-Reports'!A354:V405,5,FALSE)-D364</f>
        <v>268.72528195129109</v>
      </c>
      <c r="F364" s="16">
        <f>VLOOKUP($B364,'Correlation sheet'!$C$370:$M$423,10,FALSE)</f>
        <v>268.76528195129112</v>
      </c>
      <c r="G364" s="38">
        <f t="shared" si="18"/>
        <v>0.04</v>
      </c>
      <c r="H364" s="80">
        <f>VLOOKUP(B364,'Old LS-Reports'!A354:V405,6,FALSE)-D364</f>
        <v>268.03728195129111</v>
      </c>
      <c r="I364" s="16">
        <f>VLOOKUP($B364,'Correlation sheet'!$C$370:$M$423,9,FALSE)</f>
        <v>268.09428195129112</v>
      </c>
      <c r="J364" s="38">
        <f t="shared" si="19"/>
        <v>5.7000000000000002E-2</v>
      </c>
      <c r="K364" s="80">
        <f>VLOOKUP(B364,'Old LS-Reports'!A354:V405,16,FALSE)-D364</f>
        <v>267.18228195129109</v>
      </c>
      <c r="L364" s="80">
        <f>VLOOKUP(B364,'Old LS-Reports'!A354:V405,19,FALSE)-D364</f>
        <v>268.03228195129111</v>
      </c>
      <c r="M364" s="38">
        <f t="shared" si="20"/>
        <v>6.2E-2</v>
      </c>
      <c r="N364" s="80">
        <f>VLOOKUP(B364,'Old LS-Reports'!A354:V405,8,FALSE)</f>
        <v>13.108000000000001</v>
      </c>
    </row>
    <row r="365" spans="1:16" x14ac:dyDescent="0.25">
      <c r="A365" s="39">
        <v>289200</v>
      </c>
      <c r="B365" s="39">
        <v>289200</v>
      </c>
      <c r="C365" s="40">
        <f>VLOOKUP($B365,'Correlation sheet'!$C$370:$M$423,6,FALSE)</f>
        <v>1178629.9582943062</v>
      </c>
      <c r="D365" s="16">
        <f>VLOOKUP($B365,'Correlation sheet'!$C$370:$M$423,11,FALSE)</f>
        <v>7.4848644708708889E-2</v>
      </c>
      <c r="E365" s="80">
        <f>VLOOKUP(B365,'Old LS-Reports'!A355:V406,5,FALSE)-D365</f>
        <v>268.76815135529131</v>
      </c>
      <c r="F365" s="16">
        <f>VLOOKUP($B365,'Correlation sheet'!$C$370:$M$423,10,FALSE)</f>
        <v>268.77115135529129</v>
      </c>
      <c r="G365" s="38">
        <f t="shared" si="18"/>
        <v>3.0000000000000001E-3</v>
      </c>
      <c r="H365" s="80">
        <f>VLOOKUP(B365,'Old LS-Reports'!A355:V406,6,FALSE)-D365</f>
        <v>268.08015135529132</v>
      </c>
      <c r="I365" s="16">
        <f>VLOOKUP($B365,'Correlation sheet'!$C$370:$M$423,9,FALSE)</f>
        <v>268.1001513552913</v>
      </c>
      <c r="J365" s="38">
        <f t="shared" si="19"/>
        <v>0.02</v>
      </c>
      <c r="K365" s="80">
        <f>VLOOKUP(B365,'Old LS-Reports'!A355:V406,16,FALSE)-D365</f>
        <v>266.78615135529128</v>
      </c>
      <c r="L365" s="80">
        <f>VLOOKUP(B365,'Old LS-Reports'!A355:V406,19,FALSE)-D365</f>
        <v>267.92915135529131</v>
      </c>
      <c r="M365" s="38">
        <f t="shared" si="20"/>
        <v>0.17100000000000001</v>
      </c>
      <c r="N365" s="80">
        <f>VLOOKUP(B365,'Old LS-Reports'!A355:V406,8,FALSE)</f>
        <v>13.162000000000001</v>
      </c>
    </row>
    <row r="366" spans="1:16" x14ac:dyDescent="0.25">
      <c r="A366" s="39">
        <v>289220</v>
      </c>
      <c r="B366" s="39">
        <v>289220</v>
      </c>
      <c r="C366" s="40">
        <f>VLOOKUP($B366,'Correlation sheet'!$C$370:$M$423,6,FALSE)</f>
        <v>1178649.9582943062</v>
      </c>
      <c r="D366" s="16">
        <f>VLOOKUP($B366,'Correlation sheet'!$C$370:$M$423,11,FALSE)</f>
        <v>7.4979240708501038E-2</v>
      </c>
      <c r="E366" s="80">
        <f>VLOOKUP(B366,'Old LS-Reports'!A356:V407,5,FALSE)-D366</f>
        <v>268.82202075929149</v>
      </c>
      <c r="F366" s="16">
        <f>VLOOKUP($B366,'Correlation sheet'!$C$370:$M$423,10,FALSE)</f>
        <v>268.77702075929147</v>
      </c>
      <c r="G366" s="38">
        <f t="shared" si="18"/>
        <v>-4.4999999999999998E-2</v>
      </c>
      <c r="H366" s="80">
        <f>VLOOKUP(B366,'Old LS-Reports'!A356:V407,6,FALSE)-D366</f>
        <v>268.1340207592915</v>
      </c>
      <c r="I366" s="16">
        <f>VLOOKUP($B366,'Correlation sheet'!$C$370:$M$423,9,FALSE)</f>
        <v>268.10602075929148</v>
      </c>
      <c r="J366" s="38">
        <f t="shared" si="19"/>
        <v>-2.8000000000000001E-2</v>
      </c>
      <c r="K366" s="80">
        <f>VLOOKUP(B366,'Old LS-Reports'!A356:V407,16,FALSE)-D366</f>
        <v>266.91802075929149</v>
      </c>
      <c r="L366" s="80">
        <f>VLOOKUP(B366,'Old LS-Reports'!A356:V407,19,FALSE)-D366</f>
        <v>268.20802075929151</v>
      </c>
      <c r="M366" s="38">
        <f t="shared" si="20"/>
        <v>-0.10199999999999999</v>
      </c>
      <c r="N366" s="80">
        <f>VLOOKUP(B366,'Old LS-Reports'!A356:V407,8,FALSE)</f>
        <v>13.189</v>
      </c>
    </row>
    <row r="367" spans="1:16" x14ac:dyDescent="0.25">
      <c r="A367" s="39">
        <v>289240</v>
      </c>
      <c r="B367" s="39">
        <v>289240</v>
      </c>
      <c r="C367" s="40">
        <f>VLOOKUP($B367,'Correlation sheet'!$C$370:$M$423,6,FALSE)</f>
        <v>1178669.9582943062</v>
      </c>
      <c r="D367" s="16">
        <f>VLOOKUP($B367,'Correlation sheet'!$C$370:$M$423,11,FALSE)</f>
        <v>7.6109836708326384E-2</v>
      </c>
      <c r="E367" s="80">
        <f>VLOOKUP(B367,'Old LS-Reports'!A357:V408,5,FALSE)-D367</f>
        <v>268.88289016329168</v>
      </c>
      <c r="F367" s="16">
        <f>VLOOKUP($B367,'Correlation sheet'!$C$370:$M$423,10,FALSE)</f>
        <v>268.78289016329165</v>
      </c>
      <c r="G367" s="38">
        <f t="shared" si="18"/>
        <v>-0.1</v>
      </c>
      <c r="H367" s="80">
        <f>VLOOKUP(B367,'Old LS-Reports'!A357:V408,6,FALSE)-D367</f>
        <v>268.19489016329169</v>
      </c>
      <c r="I367" s="16">
        <f>VLOOKUP($B367,'Correlation sheet'!$C$370:$M$423,9,FALSE)</f>
        <v>268.11189016329166</v>
      </c>
      <c r="J367" s="38">
        <f t="shared" si="19"/>
        <v>-8.3000000000000004E-2</v>
      </c>
      <c r="K367" s="80">
        <f>VLOOKUP(B367,'Old LS-Reports'!A357:V408,16,FALSE)-D367</f>
        <v>266.49389016329167</v>
      </c>
      <c r="L367" s="80">
        <f>VLOOKUP(B367,'Old LS-Reports'!A357:V408,19,FALSE)-D367</f>
        <v>268.09289016329166</v>
      </c>
      <c r="M367" s="38">
        <f t="shared" si="20"/>
        <v>1.9E-2</v>
      </c>
      <c r="N367" s="80">
        <f>VLOOKUP(B367,'Old LS-Reports'!A357:V408,8,FALSE)</f>
        <v>13.202</v>
      </c>
    </row>
    <row r="368" spans="1:16" x14ac:dyDescent="0.25">
      <c r="A368" s="39">
        <v>289260</v>
      </c>
      <c r="B368" s="39">
        <v>289259.8</v>
      </c>
      <c r="C368" s="40">
        <f>VLOOKUP($B368,'Correlation sheet'!$C$370:$M$423,6,FALSE)</f>
        <v>1178689.7582943062</v>
      </c>
      <c r="D368" s="16">
        <f>VLOOKUP($B368,'Correlation sheet'!$C$370:$M$423,11,FALSE)</f>
        <v>7.729912674813022E-2</v>
      </c>
      <c r="E368" s="80">
        <f>VLOOKUP(B368,'Old LS-Reports'!A358:V409,5,FALSE)-D368</f>
        <v>268.93870087325189</v>
      </c>
      <c r="F368" s="16">
        <f>VLOOKUP($B368,'Correlation sheet'!$C$370:$M$423,10,FALSE)</f>
        <v>268.78870087325186</v>
      </c>
      <c r="G368" s="38">
        <f t="shared" si="18"/>
        <v>-0.15</v>
      </c>
      <c r="H368" s="80">
        <f>VLOOKUP(B368,'Old LS-Reports'!A358:V409,6,FALSE)-D368</f>
        <v>268.2507008732519</v>
      </c>
      <c r="I368" s="16">
        <f>VLOOKUP($B368,'Correlation sheet'!$C$370:$M$423,9,FALSE)</f>
        <v>268.11770087325186</v>
      </c>
      <c r="J368" s="38">
        <f t="shared" si="19"/>
        <v>-0.13300000000000001</v>
      </c>
      <c r="K368" s="80">
        <f>VLOOKUP(B368,'Old LS-Reports'!A358:V409,16,FALSE)-D368</f>
        <v>267.29870087325185</v>
      </c>
      <c r="L368" s="80">
        <f>VLOOKUP(B368,'Old LS-Reports'!A358:V409,19,FALSE)-D368</f>
        <v>267.97670087325184</v>
      </c>
      <c r="M368" s="38">
        <f t="shared" si="20"/>
        <v>0.14099999999999999</v>
      </c>
      <c r="N368" s="80">
        <f>VLOOKUP(B368,'Old LS-Reports'!A358:V409,8,FALSE)</f>
        <v>13.266999999999999</v>
      </c>
    </row>
    <row r="369" spans="1:14" x14ac:dyDescent="0.25">
      <c r="A369" s="39">
        <v>289280</v>
      </c>
      <c r="B369" s="39">
        <v>289279.8</v>
      </c>
      <c r="C369" s="40">
        <f>VLOOKUP($B369,'Correlation sheet'!$C$370:$M$423,6,FALSE)</f>
        <v>1178709.7582943062</v>
      </c>
      <c r="D369" s="16">
        <f>VLOOKUP($B369,'Correlation sheet'!$C$370:$M$423,11,FALSE)</f>
        <v>7.8429722747955566E-2</v>
      </c>
      <c r="E369" s="80">
        <f>VLOOKUP(B369,'Old LS-Reports'!A359:V410,5,FALSE)-D369</f>
        <v>268.98257027725202</v>
      </c>
      <c r="F369" s="16">
        <f>VLOOKUP($B369,'Correlation sheet'!$C$370:$M$423,10,FALSE)</f>
        <v>268.79457027725203</v>
      </c>
      <c r="G369" s="38">
        <f t="shared" si="18"/>
        <v>-0.188</v>
      </c>
      <c r="H369" s="80">
        <f>VLOOKUP(B369,'Old LS-Reports'!A359:V410,6,FALSE)-D369</f>
        <v>268.29457027725203</v>
      </c>
      <c r="I369" s="16">
        <f>VLOOKUP($B369,'Correlation sheet'!$C$370:$M$423,9,FALSE)</f>
        <v>268.12357027725204</v>
      </c>
      <c r="J369" s="38">
        <f t="shared" si="19"/>
        <v>-0.17100000000000001</v>
      </c>
      <c r="K369" s="80">
        <f>VLOOKUP(B369,'Old LS-Reports'!A359:V410,16,FALSE)-D369</f>
        <v>268.10057027725202</v>
      </c>
      <c r="L369" s="80">
        <f>VLOOKUP(B369,'Old LS-Reports'!A359:V410,19,FALSE)-D369</f>
        <v>268.18057027725206</v>
      </c>
      <c r="M369" s="38">
        <f t="shared" si="20"/>
        <v>-5.7000000000000002E-2</v>
      </c>
      <c r="N369" s="80">
        <f>VLOOKUP(B369,'Old LS-Reports'!A359:V410,8,FALSE)</f>
        <v>13.388999999999999</v>
      </c>
    </row>
    <row r="370" spans="1:14" x14ac:dyDescent="0.25">
      <c r="A370" s="39">
        <v>289300</v>
      </c>
      <c r="B370" s="39">
        <v>289299.8</v>
      </c>
      <c r="C370" s="40">
        <f>VLOOKUP($B370,'Correlation sheet'!$C$370:$M$423,6,FALSE)</f>
        <v>1178729.7582943062</v>
      </c>
      <c r="D370" s="16">
        <f>VLOOKUP($B370,'Correlation sheet'!$C$370:$M$423,11,FALSE)</f>
        <v>7.9560318747780912E-2</v>
      </c>
      <c r="E370" s="80">
        <f>VLOOKUP(B370,'Old LS-Reports'!A360:V411,5,FALSE)-D370</f>
        <v>268.99043968125221</v>
      </c>
      <c r="F370" s="16">
        <f>VLOOKUP($B370,'Correlation sheet'!$C$370:$M$423,10,FALSE)</f>
        <v>268.80043968125221</v>
      </c>
      <c r="G370" s="38">
        <f t="shared" si="18"/>
        <v>-0.19</v>
      </c>
      <c r="H370" s="80">
        <f>VLOOKUP(B370,'Old LS-Reports'!A360:V411,6,FALSE)-D370</f>
        <v>268.30243968125222</v>
      </c>
      <c r="I370" s="16">
        <f>VLOOKUP($B370,'Correlation sheet'!$C$370:$M$423,9,FALSE)</f>
        <v>268.12943968125222</v>
      </c>
      <c r="J370" s="38">
        <f t="shared" si="19"/>
        <v>-0.17299999999999999</v>
      </c>
      <c r="K370" s="80">
        <f>VLOOKUP(B370,'Old LS-Reports'!A360:V411,16,FALSE)-D370</f>
        <v>268.3034396812522</v>
      </c>
      <c r="L370" s="80">
        <f>VLOOKUP(B370,'Old LS-Reports'!A360:V411,19,FALSE)-D370</f>
        <v>268.40243968125225</v>
      </c>
      <c r="M370" s="38">
        <f t="shared" si="20"/>
        <v>-0.27300000000000002</v>
      </c>
      <c r="N370" s="80">
        <f>VLOOKUP(B370,'Old LS-Reports'!A360:V411,8,FALSE)</f>
        <v>13.651</v>
      </c>
    </row>
    <row r="371" spans="1:14" x14ac:dyDescent="0.25">
      <c r="A371" s="39">
        <v>289320</v>
      </c>
      <c r="B371" s="39">
        <v>289319.8</v>
      </c>
      <c r="C371" s="40">
        <f>VLOOKUP($B371,'Correlation sheet'!$C$370:$M$423,6,FALSE)</f>
        <v>1178749.7582943062</v>
      </c>
      <c r="D371" s="16">
        <f>VLOOKUP($B371,'Correlation sheet'!$C$370:$M$423,11,FALSE)</f>
        <v>8.0690914747606257E-2</v>
      </c>
      <c r="E371" s="80">
        <f>VLOOKUP(B371,'Old LS-Reports'!A361:V412,5,FALSE)-D371</f>
        <v>268.97030908525238</v>
      </c>
      <c r="F371" s="16">
        <f>VLOOKUP($B371,'Correlation sheet'!$C$370:$M$423,10,FALSE)</f>
        <v>268.80630908525239</v>
      </c>
      <c r="G371" s="38">
        <f t="shared" si="18"/>
        <v>-0.16400000000000001</v>
      </c>
      <c r="H371" s="80">
        <f>VLOOKUP(B371,'Old LS-Reports'!A361:V412,6,FALSE)-D371</f>
        <v>268.28230908525239</v>
      </c>
      <c r="I371" s="16">
        <f>VLOOKUP($B371,'Correlation sheet'!$C$370:$M$423,9,FALSE)</f>
        <v>268.1353090852524</v>
      </c>
      <c r="J371" s="38">
        <f t="shared" si="19"/>
        <v>-0.14699999999999999</v>
      </c>
      <c r="K371" s="80">
        <f>VLOOKUP(B371,'Old LS-Reports'!A361:V412,16,FALSE)-D371</f>
        <v>268.44930908525237</v>
      </c>
      <c r="L371" s="80">
        <f>VLOOKUP(B371,'Old LS-Reports'!A361:V412,19,FALSE)-D371</f>
        <v>268.37730908525242</v>
      </c>
      <c r="M371" s="38">
        <f t="shared" si="20"/>
        <v>-0.24199999999999999</v>
      </c>
      <c r="N371" s="80">
        <f>VLOOKUP(B371,'Old LS-Reports'!A361:V412,8,FALSE)</f>
        <v>14.07</v>
      </c>
    </row>
    <row r="372" spans="1:14" x14ac:dyDescent="0.25">
      <c r="A372" s="39">
        <v>289340</v>
      </c>
      <c r="B372" s="39">
        <v>289339.7</v>
      </c>
      <c r="C372" s="40">
        <f>VLOOKUP($B372,'Correlation sheet'!$C$370:$M$423,6,FALSE)</f>
        <v>1178769.6582943061</v>
      </c>
      <c r="D372" s="16">
        <f>VLOOKUP($B372,'Correlation sheet'!$C$370:$M$423,11,FALSE)</f>
        <v>8.0850857767416073E-2</v>
      </c>
      <c r="E372" s="80">
        <f>VLOOKUP(B372,'Old LS-Reports'!A362:V413,5,FALSE)-D372</f>
        <v>268.95514914223259</v>
      </c>
      <c r="F372" s="16">
        <f>VLOOKUP($B372,'Correlation sheet'!$C$370:$M$423,10,FALSE)</f>
        <v>268.81214914223256</v>
      </c>
      <c r="G372" s="38">
        <f t="shared" si="18"/>
        <v>-0.14299999999999999</v>
      </c>
      <c r="H372" s="80">
        <f>VLOOKUP(B372,'Old LS-Reports'!A362:V413,6,FALSE)-D372</f>
        <v>268.2671491422326</v>
      </c>
      <c r="I372" s="16">
        <f>VLOOKUP($B372,'Correlation sheet'!$C$370:$M$423,9,FALSE)</f>
        <v>268.14114914223256</v>
      </c>
      <c r="J372" s="38">
        <f t="shared" si="19"/>
        <v>-0.126</v>
      </c>
      <c r="K372" s="80">
        <f>VLOOKUP(B372,'Old LS-Reports'!A362:V413,16,FALSE)-D372</f>
        <v>268.46014914223258</v>
      </c>
      <c r="L372" s="80">
        <f>VLOOKUP(B372,'Old LS-Reports'!A362:V413,19,FALSE)-D372</f>
        <v>268.4281491422326</v>
      </c>
      <c r="M372" s="38">
        <f t="shared" si="20"/>
        <v>-0.28699999999999998</v>
      </c>
      <c r="N372" s="80">
        <f>VLOOKUP(B372,'Old LS-Reports'!A362:V413,8,FALSE)</f>
        <v>14.651999999999999</v>
      </c>
    </row>
    <row r="373" spans="1:14" x14ac:dyDescent="0.25">
      <c r="A373" s="39">
        <v>289360</v>
      </c>
      <c r="B373" s="39">
        <v>289359.7</v>
      </c>
      <c r="C373" s="40">
        <f>VLOOKUP($B373,'Correlation sheet'!$C$370:$M$423,6,FALSE)</f>
        <v>1178789.6582943061</v>
      </c>
      <c r="D373" s="16">
        <f>VLOOKUP($B373,'Correlation sheet'!$C$370:$M$423,11,FALSE)</f>
        <v>8.1981453767241419E-2</v>
      </c>
      <c r="E373" s="80">
        <f>VLOOKUP(B373,'Old LS-Reports'!A363:V414,5,FALSE)-D373</f>
        <v>268.95201854623275</v>
      </c>
      <c r="F373" s="16">
        <f>VLOOKUP($B373,'Correlation sheet'!$C$370:$M$423,10,FALSE)</f>
        <v>268.81801854623274</v>
      </c>
      <c r="G373" s="38">
        <f t="shared" si="18"/>
        <v>-0.13400000000000001</v>
      </c>
      <c r="H373" s="80">
        <f>VLOOKUP(B373,'Old LS-Reports'!A363:V414,6,FALSE)-D373</f>
        <v>268.26401854623276</v>
      </c>
      <c r="I373" s="16">
        <f>VLOOKUP($B373,'Correlation sheet'!$C$370:$M$423,9,FALSE)</f>
        <v>268.14701854623274</v>
      </c>
      <c r="J373" s="38">
        <f t="shared" si="19"/>
        <v>-0.11700000000000001</v>
      </c>
      <c r="K373" s="80">
        <f>VLOOKUP(B373,'Old LS-Reports'!A363:V414,16,FALSE)-D373</f>
        <v>268.52101854623277</v>
      </c>
      <c r="L373" s="80">
        <f>VLOOKUP(B373,'Old LS-Reports'!A363:V414,19,FALSE)-D373</f>
        <v>268.49701854623277</v>
      </c>
      <c r="M373" s="38">
        <f t="shared" si="20"/>
        <v>-0.35</v>
      </c>
      <c r="N373" s="80">
        <f>VLOOKUP(B373,'Old LS-Reports'!A363:V414,8,FALSE)</f>
        <v>15.27</v>
      </c>
    </row>
    <row r="374" spans="1:14" x14ac:dyDescent="0.25">
      <c r="A374" s="39">
        <v>289380</v>
      </c>
      <c r="B374" s="39">
        <v>289379.7</v>
      </c>
      <c r="C374" s="40">
        <f>VLOOKUP($B374,'Correlation sheet'!$C$370:$M$423,6,FALSE)</f>
        <v>1178809.6582943061</v>
      </c>
      <c r="D374" s="16">
        <f>VLOOKUP($B374,'Correlation sheet'!$C$370:$M$423,11,FALSE)</f>
        <v>8.3112049767066765E-2</v>
      </c>
      <c r="E374" s="80">
        <f>VLOOKUP(B374,'Old LS-Reports'!A364:V415,5,FALSE)-D374</f>
        <v>268.91388795023295</v>
      </c>
      <c r="F374" s="16">
        <f>VLOOKUP($B374,'Correlation sheet'!$C$370:$M$423,10,FALSE)</f>
        <v>268.82388795023292</v>
      </c>
      <c r="G374" s="38">
        <f t="shared" si="18"/>
        <v>-0.09</v>
      </c>
      <c r="H374" s="80">
        <f>VLOOKUP(B374,'Old LS-Reports'!A364:V415,6,FALSE)-D374</f>
        <v>268.22588795023296</v>
      </c>
      <c r="I374" s="16">
        <f>VLOOKUP($B374,'Correlation sheet'!$C$370:$M$423,9,FALSE)</f>
        <v>268.15288795023292</v>
      </c>
      <c r="J374" s="38">
        <f t="shared" si="19"/>
        <v>-7.2999999999999995E-2</v>
      </c>
      <c r="K374" s="80">
        <f>VLOOKUP(B374,'Old LS-Reports'!A364:V415,16,FALSE)-D374</f>
        <v>268.42488795023291</v>
      </c>
      <c r="L374" s="80">
        <f>VLOOKUP(B374,'Old LS-Reports'!A364:V415,19,FALSE)-D374</f>
        <v>268.38988795023295</v>
      </c>
      <c r="M374" s="38">
        <f t="shared" si="20"/>
        <v>-0.23699999999999999</v>
      </c>
      <c r="N374" s="80">
        <f>VLOOKUP(B374,'Old LS-Reports'!A364:V415,8,FALSE)</f>
        <v>15.878</v>
      </c>
    </row>
    <row r="375" spans="1:14" x14ac:dyDescent="0.25">
      <c r="A375" s="39">
        <v>289400</v>
      </c>
      <c r="B375" s="39">
        <v>289399.7</v>
      </c>
      <c r="C375" s="40">
        <f>VLOOKUP($B375,'Correlation sheet'!$C$370:$M$423,6,FALSE)</f>
        <v>1178829.6582943061</v>
      </c>
      <c r="D375" s="16">
        <f>VLOOKUP($B375,'Correlation sheet'!$C$370:$M$423,11,FALSE)</f>
        <v>8.424264576689211E-2</v>
      </c>
      <c r="E375" s="80">
        <f>VLOOKUP(B375,'Old LS-Reports'!A365:V416,5,FALSE)-D375</f>
        <v>268.90475735423308</v>
      </c>
      <c r="F375" s="16">
        <f>VLOOKUP($B375,'Correlation sheet'!$C$370:$M$423,10,FALSE)</f>
        <v>268.8297573542331</v>
      </c>
      <c r="G375" s="38">
        <f t="shared" si="18"/>
        <v>-7.4999999999999997E-2</v>
      </c>
      <c r="H375" s="80">
        <f>VLOOKUP(B375,'Old LS-Reports'!A365:V416,6,FALSE)-D375</f>
        <v>268.2167573542331</v>
      </c>
      <c r="I375" s="16">
        <f>VLOOKUP($B375,'Correlation sheet'!$C$370:$M$423,9,FALSE)</f>
        <v>268.1587573542331</v>
      </c>
      <c r="J375" s="38">
        <f t="shared" si="19"/>
        <v>-5.8000000000000003E-2</v>
      </c>
      <c r="K375" s="80">
        <f>VLOOKUP(B375,'Old LS-Reports'!A365:V416,16,FALSE)-D375</f>
        <v>268.38175735423312</v>
      </c>
      <c r="L375" s="80">
        <f>VLOOKUP(B375,'Old LS-Reports'!A365:V416,19,FALSE)-D375</f>
        <v>268.37475735423311</v>
      </c>
      <c r="M375" s="38">
        <f t="shared" si="20"/>
        <v>-0.216</v>
      </c>
      <c r="N375" s="80">
        <f>VLOOKUP(B375,'Old LS-Reports'!A365:V416,8,FALSE)</f>
        <v>16.457999999999998</v>
      </c>
    </row>
    <row r="376" spans="1:14" x14ac:dyDescent="0.25">
      <c r="A376" s="39">
        <v>289420</v>
      </c>
      <c r="B376" s="39">
        <v>289419.7</v>
      </c>
      <c r="C376" s="40">
        <f>VLOOKUP($B376,'Correlation sheet'!$C$370:$M$423,6,FALSE)</f>
        <v>1178849.6582943061</v>
      </c>
      <c r="D376" s="16">
        <f>VLOOKUP($B376,'Correlation sheet'!$C$370:$M$423,11,FALSE)</f>
        <v>8.5373241766717456E-2</v>
      </c>
      <c r="E376" s="80">
        <f>VLOOKUP(B376,'Old LS-Reports'!A366:V417,5,FALSE)-D376</f>
        <v>268.93162675823328</v>
      </c>
      <c r="F376" s="16">
        <f>VLOOKUP($B376,'Correlation sheet'!$C$370:$M$423,10,FALSE)</f>
        <v>268.83562675823327</v>
      </c>
      <c r="G376" s="38">
        <f t="shared" si="18"/>
        <v>-9.6000000000000002E-2</v>
      </c>
      <c r="H376" s="80">
        <f>VLOOKUP(B376,'Old LS-Reports'!A366:V417,6,FALSE)-D376</f>
        <v>268.24362675823329</v>
      </c>
      <c r="I376" s="16">
        <f>VLOOKUP($B376,'Correlation sheet'!$C$370:$M$423,9,FALSE)</f>
        <v>268.16462675823328</v>
      </c>
      <c r="J376" s="38">
        <f t="shared" si="19"/>
        <v>-7.9000000000000001E-2</v>
      </c>
      <c r="K376" s="80">
        <f>VLOOKUP(B376,'Old LS-Reports'!A366:V417,16,FALSE)-D376</f>
        <v>268.07062675823329</v>
      </c>
      <c r="L376" s="80">
        <f>VLOOKUP(B376,'Old LS-Reports'!A366:V417,19,FALSE)-D376</f>
        <v>268.18462675823326</v>
      </c>
      <c r="M376" s="38">
        <f t="shared" si="20"/>
        <v>-0.02</v>
      </c>
      <c r="N376" s="80">
        <f>VLOOKUP(B376,'Old LS-Reports'!A366:V417,8,FALSE)</f>
        <v>17.055</v>
      </c>
    </row>
    <row r="377" spans="1:14" x14ac:dyDescent="0.25">
      <c r="A377" s="39">
        <v>289440</v>
      </c>
      <c r="B377" s="39">
        <v>289439.8</v>
      </c>
      <c r="C377" s="40">
        <f>VLOOKUP($B377,'Correlation sheet'!$C$370:$M$423,6,FALSE)</f>
        <v>1178869.7582943062</v>
      </c>
      <c r="D377" s="16">
        <f>VLOOKUP($B377,'Correlation sheet'!$C$370:$M$423,11,FALSE)</f>
        <v>8.6474490746525134E-2</v>
      </c>
      <c r="E377" s="80">
        <f>VLOOKUP(B377,'Old LS-Reports'!A367:V418,5,FALSE)-D377</f>
        <v>268.94652550925349</v>
      </c>
      <c r="F377" s="16">
        <f>VLOOKUP($B377,'Correlation sheet'!$C$370:$M$423,10,FALSE)</f>
        <v>268.84152550925347</v>
      </c>
      <c r="G377" s="38">
        <f t="shared" si="18"/>
        <v>-0.105</v>
      </c>
      <c r="H377" s="80">
        <f>VLOOKUP(B377,'Old LS-Reports'!A367:V418,6,FALSE)-D377</f>
        <v>268.2585255092535</v>
      </c>
      <c r="I377" s="16">
        <f>VLOOKUP($B377,'Correlation sheet'!$C$370:$M$423,9,FALSE)</f>
        <v>268.17052550925348</v>
      </c>
      <c r="J377" s="38">
        <f t="shared" si="19"/>
        <v>-8.7999999999999995E-2</v>
      </c>
      <c r="K377" s="80">
        <f>VLOOKUP(B377,'Old LS-Reports'!A367:V418,16,FALSE)-D377</f>
        <v>267.64152550925348</v>
      </c>
      <c r="L377" s="80">
        <f>VLOOKUP(B377,'Old LS-Reports'!A367:V418,19,FALSE)-D377</f>
        <v>267.8285255092535</v>
      </c>
      <c r="M377" s="38">
        <f t="shared" si="20"/>
        <v>0.34200000000000003</v>
      </c>
      <c r="N377" s="80">
        <f>VLOOKUP(B377,'Old LS-Reports'!A367:V418,8,FALSE)</f>
        <v>17.643000000000001</v>
      </c>
    </row>
    <row r="378" spans="1:14" x14ac:dyDescent="0.25">
      <c r="A378" s="39">
        <v>289460</v>
      </c>
      <c r="B378" s="39">
        <v>289459.7</v>
      </c>
      <c r="C378" s="40">
        <f>VLOOKUP($B378,'Correlation sheet'!$C$370:$M$423,6,FALSE)</f>
        <v>1178889.6582943061</v>
      </c>
      <c r="D378" s="16">
        <f>VLOOKUP($B378,'Correlation sheet'!$C$370:$M$423,11,FALSE)</f>
        <v>8.6634433766334951E-2</v>
      </c>
      <c r="E378" s="80">
        <f>VLOOKUP(B378,'Old LS-Reports'!A368:V419,5,FALSE)-D378</f>
        <v>268.94236556623366</v>
      </c>
      <c r="F378" s="16">
        <f>VLOOKUP($B378,'Correlation sheet'!$C$370:$M$423,10,FALSE)</f>
        <v>268.84736556623363</v>
      </c>
      <c r="G378" s="38">
        <f t="shared" si="18"/>
        <v>-9.5000000000000001E-2</v>
      </c>
      <c r="H378" s="80">
        <f>VLOOKUP(B378,'Old LS-Reports'!A368:V419,6,FALSE)-D378</f>
        <v>268.25436556623367</v>
      </c>
      <c r="I378" s="16">
        <f>VLOOKUP($B378,'Correlation sheet'!$C$370:$M$423,9,FALSE)</f>
        <v>268.17636556623364</v>
      </c>
      <c r="J378" s="38">
        <f t="shared" si="19"/>
        <v>-7.8E-2</v>
      </c>
      <c r="K378" s="80">
        <f>VLOOKUP(B378,'Old LS-Reports'!A368:V419,16,FALSE)-D378</f>
        <v>268.36336556623365</v>
      </c>
      <c r="L378" s="80">
        <f>VLOOKUP(B378,'Old LS-Reports'!A368:V419,19,FALSE)-D378</f>
        <v>268.31936556623367</v>
      </c>
      <c r="M378" s="38">
        <f t="shared" si="20"/>
        <v>-0.14299999999999999</v>
      </c>
      <c r="N378" s="80">
        <f>VLOOKUP(B378,'Old LS-Reports'!A368:V419,8,FALSE)</f>
        <v>18.312999999999999</v>
      </c>
    </row>
    <row r="379" spans="1:14" x14ac:dyDescent="0.25">
      <c r="A379" s="39">
        <v>289480</v>
      </c>
      <c r="B379" s="39">
        <v>289479.8</v>
      </c>
      <c r="C379" s="40">
        <f>VLOOKUP($B379,'Correlation sheet'!$C$370:$M$423,6,FALSE)</f>
        <v>1178909.7582943062</v>
      </c>
      <c r="D379" s="16">
        <f>VLOOKUP($B379,'Correlation sheet'!$C$370:$M$423,11,FALSE)</f>
        <v>8.7735682746142629E-2</v>
      </c>
      <c r="E379" s="80">
        <f>VLOOKUP(B379,'Old LS-Reports'!A369:V420,5,FALSE)-D379</f>
        <v>268.95026431725387</v>
      </c>
      <c r="F379" s="16">
        <f>VLOOKUP($B379,'Correlation sheet'!$C$370:$M$423,10,FALSE)</f>
        <v>268.85326431725383</v>
      </c>
      <c r="G379" s="38">
        <f t="shared" si="18"/>
        <v>-9.7000000000000003E-2</v>
      </c>
      <c r="H379" s="80">
        <f>VLOOKUP(B379,'Old LS-Reports'!A369:V420,6,FALSE)-D379</f>
        <v>268.26226431725388</v>
      </c>
      <c r="I379" s="16">
        <f>VLOOKUP($B379,'Correlation sheet'!$C$370:$M$423,9,FALSE)</f>
        <v>268.18226431725384</v>
      </c>
      <c r="J379" s="38">
        <f t="shared" si="19"/>
        <v>-0.08</v>
      </c>
      <c r="K379" s="80">
        <f>VLOOKUP(B379,'Old LS-Reports'!A369:V420,16,FALSE)-D379</f>
        <v>268.13726431725388</v>
      </c>
      <c r="L379" s="80">
        <f>VLOOKUP(B379,'Old LS-Reports'!A369:V420,19,FALSE)-D379</f>
        <v>268.06726431725383</v>
      </c>
      <c r="M379" s="38">
        <f t="shared" si="20"/>
        <v>0.115</v>
      </c>
      <c r="N379" s="80">
        <f>VLOOKUP(B379,'Old LS-Reports'!A369:V420,8,FALSE)</f>
        <v>18.885999999999999</v>
      </c>
    </row>
    <row r="380" spans="1:14" x14ac:dyDescent="0.25">
      <c r="A380" s="39">
        <v>289500</v>
      </c>
      <c r="B380" s="39">
        <v>289499.8</v>
      </c>
      <c r="C380" s="40">
        <f>VLOOKUP($B380,'Correlation sheet'!$C$370:$M$423,6,FALSE)</f>
        <v>1178929.7582943062</v>
      </c>
      <c r="D380" s="16">
        <f>VLOOKUP($B380,'Correlation sheet'!$C$370:$M$423,11,FALSE)</f>
        <v>8.8866278745967975E-2</v>
      </c>
      <c r="E380" s="80">
        <f>VLOOKUP(B380,'Old LS-Reports'!A370:V421,5,FALSE)-D380</f>
        <v>268.95213372125403</v>
      </c>
      <c r="F380" s="16">
        <f>VLOOKUP($B380,'Correlation sheet'!$C$370:$M$423,10,FALSE)</f>
        <v>268.85913372125401</v>
      </c>
      <c r="G380" s="38">
        <f t="shared" si="18"/>
        <v>-9.2999999999999999E-2</v>
      </c>
      <c r="H380" s="80">
        <f>VLOOKUP(B380,'Old LS-Reports'!A370:V421,6,FALSE)-D380</f>
        <v>268.26413372125404</v>
      </c>
      <c r="I380" s="16">
        <f>VLOOKUP($B380,'Correlation sheet'!$C$370:$M$423,9,FALSE)</f>
        <v>268.18813372125402</v>
      </c>
      <c r="J380" s="38">
        <f t="shared" si="19"/>
        <v>-7.5999999999999998E-2</v>
      </c>
      <c r="K380" s="80">
        <f>VLOOKUP(B380,'Old LS-Reports'!A370:V421,16,FALSE)-D380</f>
        <v>268.58513372125401</v>
      </c>
      <c r="L380" s="80">
        <f>VLOOKUP(B380,'Old LS-Reports'!A370:V421,19,FALSE)-D380</f>
        <v>268.62813372125402</v>
      </c>
      <c r="M380" s="38">
        <f t="shared" si="20"/>
        <v>-0.44</v>
      </c>
      <c r="N380" s="80">
        <f>VLOOKUP(B380,'Old LS-Reports'!A370:V421,8,FALSE)</f>
        <v>19.483000000000001</v>
      </c>
    </row>
    <row r="381" spans="1:14" x14ac:dyDescent="0.25">
      <c r="A381" s="39">
        <v>289500</v>
      </c>
      <c r="B381" s="39">
        <v>289499.8</v>
      </c>
      <c r="C381" s="40">
        <f>VLOOKUP($B381,'Correlation sheet'!$C$370:$M$423,6,FALSE)</f>
        <v>1178929.7582943062</v>
      </c>
      <c r="D381" s="16">
        <f>VLOOKUP($B381,'Correlation sheet'!$C$370:$M$423,11,FALSE)</f>
        <v>8.8866278745967975E-2</v>
      </c>
      <c r="E381" s="80">
        <f>VLOOKUP(B381,'Old LS-Reports'!A371:V422,5,FALSE)-D381</f>
        <v>268.95213372125403</v>
      </c>
      <c r="F381" s="16">
        <f>VLOOKUP($B381,'Correlation sheet'!$C$370:$M$423,10,FALSE)</f>
        <v>268.85913372125401</v>
      </c>
      <c r="G381" s="38">
        <f t="shared" si="18"/>
        <v>-9.2999999999999999E-2</v>
      </c>
      <c r="H381" s="80">
        <f>VLOOKUP(B381,'Old LS-Reports'!A371:V422,6,FALSE)-D381</f>
        <v>268.26413372125404</v>
      </c>
      <c r="I381" s="16">
        <f>VLOOKUP($B381,'Correlation sheet'!$C$370:$M$423,9,FALSE)</f>
        <v>268.18813372125402</v>
      </c>
      <c r="J381" s="38">
        <f t="shared" si="19"/>
        <v>-7.5999999999999998E-2</v>
      </c>
      <c r="K381" s="80">
        <f>VLOOKUP(B381,'Old LS-Reports'!A371:V422,16,FALSE)-D381</f>
        <v>268.58513372125401</v>
      </c>
      <c r="L381" s="80">
        <f>VLOOKUP(B381,'Old LS-Reports'!A371:V422,19,FALSE)-D381</f>
        <v>268.62813372125402</v>
      </c>
      <c r="M381" s="38">
        <f t="shared" si="20"/>
        <v>-0.44</v>
      </c>
      <c r="N381" s="80">
        <f>VLOOKUP(B381,'Old LS-Reports'!A371:V422,8,FALSE)</f>
        <v>19.478000000000002</v>
      </c>
    </row>
    <row r="382" spans="1:14" x14ac:dyDescent="0.25">
      <c r="A382" s="39">
        <v>289520</v>
      </c>
      <c r="B382" s="39">
        <v>289519.8</v>
      </c>
      <c r="C382" s="40">
        <f>VLOOKUP($B382,'Correlation sheet'!$C$370:$M$423,6,FALSE)</f>
        <v>1178949.7582943062</v>
      </c>
      <c r="D382" s="16">
        <f>VLOOKUP($B382,'Correlation sheet'!$C$370:$M$423,11,FALSE)</f>
        <v>8.999687474579332E-2</v>
      </c>
      <c r="E382" s="80">
        <f>VLOOKUP(B382,'Old LS-Reports'!A372:V423,5,FALSE)-D382</f>
        <v>268.88300312525422</v>
      </c>
      <c r="F382" s="16">
        <f>VLOOKUP($B382,'Correlation sheet'!$C$370:$M$423,10,FALSE)</f>
        <v>268.86500312525419</v>
      </c>
      <c r="G382" s="38">
        <f t="shared" si="18"/>
        <v>-1.7999999999999999E-2</v>
      </c>
      <c r="H382" s="80">
        <f>VLOOKUP(B382,'Old LS-Reports'!A372:V423,6,FALSE)-D382</f>
        <v>268.19500312525423</v>
      </c>
      <c r="I382" s="16">
        <f>VLOOKUP($B382,'Correlation sheet'!$C$370:$M$423,9,FALSE)</f>
        <v>268.1940031252542</v>
      </c>
      <c r="J382" s="38">
        <f t="shared" si="19"/>
        <v>-1E-3</v>
      </c>
      <c r="K382" s="80">
        <f>VLOOKUP(B382,'Old LS-Reports'!A372:V423,16,FALSE)-D382</f>
        <v>268.43800312525423</v>
      </c>
      <c r="L382" s="80">
        <f>VLOOKUP(B382,'Old LS-Reports'!A372:V423,19,FALSE)-D382</f>
        <v>268.49600312525422</v>
      </c>
      <c r="M382" s="38">
        <f t="shared" si="20"/>
        <v>-0.30199999999999999</v>
      </c>
      <c r="N382" s="80">
        <f>VLOOKUP(B382,'Old LS-Reports'!A372:V423,8,FALSE)</f>
        <v>20.048999999999999</v>
      </c>
    </row>
    <row r="383" spans="1:14" x14ac:dyDescent="0.25">
      <c r="A383" s="39">
        <v>289540</v>
      </c>
      <c r="B383" s="39">
        <v>289539.8</v>
      </c>
      <c r="C383" s="40">
        <f>VLOOKUP($B383,'Correlation sheet'!$C$370:$M$423,6,FALSE)</f>
        <v>1178969.7582943062</v>
      </c>
      <c r="D383" s="16">
        <f>VLOOKUP($B383,'Correlation sheet'!$C$370:$M$423,11,FALSE)</f>
        <v>9.1127470745618666E-2</v>
      </c>
      <c r="E383" s="80">
        <f>VLOOKUP(B383,'Old LS-Reports'!A373:V424,5,FALSE)-D383</f>
        <v>268.8288725292544</v>
      </c>
      <c r="F383" s="16">
        <f>VLOOKUP($B383,'Correlation sheet'!$C$370:$M$423,10,FALSE)</f>
        <v>268.87087252925437</v>
      </c>
      <c r="G383" s="38">
        <f t="shared" si="18"/>
        <v>4.2000000000000003E-2</v>
      </c>
      <c r="H383" s="80">
        <f>VLOOKUP(B383,'Old LS-Reports'!A373:V424,6,FALSE)-D383</f>
        <v>268.14087252925441</v>
      </c>
      <c r="I383" s="16">
        <f>VLOOKUP($B383,'Correlation sheet'!$C$370:$M$423,9,FALSE)</f>
        <v>268.19987252925438</v>
      </c>
      <c r="J383" s="38">
        <f t="shared" si="19"/>
        <v>5.8999999999999997E-2</v>
      </c>
      <c r="K383" s="80">
        <f>VLOOKUP(B383,'Old LS-Reports'!A373:V424,16,FALSE)-D383</f>
        <v>268.55987252925439</v>
      </c>
      <c r="L383" s="80">
        <f>VLOOKUP(B383,'Old LS-Reports'!A373:V424,19,FALSE)-D383</f>
        <v>268.31387252925435</v>
      </c>
      <c r="M383" s="38">
        <f t="shared" si="20"/>
        <v>-0.114</v>
      </c>
      <c r="N383" s="80">
        <f>VLOOKUP(B383,'Old LS-Reports'!A373:V424,8,FALSE)</f>
        <v>20.62</v>
      </c>
    </row>
    <row r="384" spans="1:14" x14ac:dyDescent="0.25">
      <c r="A384" s="39">
        <v>289560</v>
      </c>
      <c r="B384" s="39">
        <v>289559.8</v>
      </c>
      <c r="C384" s="40">
        <f>VLOOKUP($B384,'Correlation sheet'!$C$370:$M$423,6,FALSE)</f>
        <v>1178989.7582943062</v>
      </c>
      <c r="D384" s="16">
        <f>VLOOKUP($B384,'Correlation sheet'!$C$370:$M$423,11,FALSE)</f>
        <v>9.2258066745444012E-2</v>
      </c>
      <c r="E384" s="80">
        <f>VLOOKUP(B384,'Old LS-Reports'!A374:V425,5,FALSE)-D384</f>
        <v>268.80274193325454</v>
      </c>
      <c r="F384" s="16">
        <f>VLOOKUP($B384,'Correlation sheet'!$C$370:$M$423,10,FALSE)</f>
        <v>268.87674193325455</v>
      </c>
      <c r="G384" s="38">
        <f t="shared" si="18"/>
        <v>7.3999999999999996E-2</v>
      </c>
      <c r="H384" s="80">
        <f>VLOOKUP(B384,'Old LS-Reports'!A374:V425,6,FALSE)-D384</f>
        <v>268.11474193325455</v>
      </c>
      <c r="I384" s="16">
        <f>VLOOKUP($B384,'Correlation sheet'!$C$370:$M$423,9,FALSE)</f>
        <v>268.20574193325456</v>
      </c>
      <c r="J384" s="38">
        <f t="shared" si="19"/>
        <v>9.0999999999999998E-2</v>
      </c>
      <c r="K384" s="80">
        <f>VLOOKUP(B384,'Old LS-Reports'!A374:V425,16,FALSE)-D384</f>
        <v>268.68674193325455</v>
      </c>
      <c r="L384" s="80">
        <f>VLOOKUP(B384,'Old LS-Reports'!A374:V425,19,FALSE)-D384</f>
        <v>268.36174193325456</v>
      </c>
      <c r="M384" s="38">
        <f t="shared" si="20"/>
        <v>-0.156</v>
      </c>
      <c r="N384" s="80">
        <f>VLOOKUP(B384,'Old LS-Reports'!A374:V425,8,FALSE)</f>
        <v>21.204000000000001</v>
      </c>
    </row>
    <row r="385" spans="1:14" x14ac:dyDescent="0.25">
      <c r="A385" s="39">
        <v>289580</v>
      </c>
      <c r="B385" s="39">
        <v>289579.8</v>
      </c>
      <c r="C385" s="40">
        <f>VLOOKUP($B385,'Correlation sheet'!$C$370:$M$423,6,FALSE)</f>
        <v>1179009.7582943062</v>
      </c>
      <c r="D385" s="16">
        <f>VLOOKUP($B385,'Correlation sheet'!$C$370:$M$423,11,FALSE)</f>
        <v>9.3388662745269357E-2</v>
      </c>
      <c r="E385" s="80">
        <f>VLOOKUP(B385,'Old LS-Reports'!A375:V426,5,FALSE)-D385</f>
        <v>268.80161133725471</v>
      </c>
      <c r="F385" s="16">
        <f>VLOOKUP($B385,'Correlation sheet'!$C$370:$M$423,10,FALSE)</f>
        <v>268.88261133725473</v>
      </c>
      <c r="G385" s="38">
        <f t="shared" si="18"/>
        <v>8.1000000000000003E-2</v>
      </c>
      <c r="H385" s="80">
        <f>VLOOKUP(B385,'Old LS-Reports'!A375:V426,6,FALSE)-D385</f>
        <v>268.11361133725472</v>
      </c>
      <c r="I385" s="16">
        <f>VLOOKUP($B385,'Correlation sheet'!$C$370:$M$423,9,FALSE)</f>
        <v>268.21161133725474</v>
      </c>
      <c r="J385" s="38">
        <f t="shared" si="19"/>
        <v>9.8000000000000004E-2</v>
      </c>
      <c r="K385" s="80">
        <f>VLOOKUP(B385,'Old LS-Reports'!A375:V426,16,FALSE)-D385</f>
        <v>268.60761133725475</v>
      </c>
      <c r="L385" s="80">
        <f>VLOOKUP(B385,'Old LS-Reports'!A375:V426,19,FALSE)-D385</f>
        <v>268.55061133725474</v>
      </c>
      <c r="M385" s="38">
        <f t="shared" si="20"/>
        <v>-0.33900000000000002</v>
      </c>
      <c r="N385" s="80">
        <f>VLOOKUP(B385,'Old LS-Reports'!A375:V426,8,FALSE)</f>
        <v>21.77</v>
      </c>
    </row>
    <row r="386" spans="1:14" x14ac:dyDescent="0.25">
      <c r="A386" s="39">
        <v>289600</v>
      </c>
      <c r="B386" s="39">
        <v>289599.90000000002</v>
      </c>
      <c r="C386" s="40">
        <f>VLOOKUP($B386,'Correlation sheet'!$C$370:$M$423,6,FALSE)</f>
        <v>1179029.8582943063</v>
      </c>
      <c r="D386" s="16">
        <f>VLOOKUP($B386,'Correlation sheet'!$C$370:$M$423,11,FALSE)</f>
        <v>7.6631840066909263E-2</v>
      </c>
      <c r="E386" s="80">
        <f>VLOOKUP(B386,'Old LS-Reports'!A376:V427,5,FALSE)-D386</f>
        <v>268.81936815993311</v>
      </c>
      <c r="F386" s="16">
        <f>VLOOKUP($B386,'Correlation sheet'!$C$370:$M$423,10,FALSE)</f>
        <v>268.90536815993306</v>
      </c>
      <c r="G386" s="38">
        <f t="shared" si="18"/>
        <v>8.5999999999999993E-2</v>
      </c>
      <c r="H386" s="80">
        <f>VLOOKUP(B386,'Old LS-Reports'!A376:V427,6,FALSE)-D386</f>
        <v>268.13136815993312</v>
      </c>
      <c r="I386" s="16">
        <f>VLOOKUP($B386,'Correlation sheet'!$C$370:$M$423,9,FALSE)</f>
        <v>268.23436815993307</v>
      </c>
      <c r="J386" s="38">
        <f t="shared" si="19"/>
        <v>0.10299999999999999</v>
      </c>
      <c r="K386" s="80">
        <f>VLOOKUP(B386,'Old LS-Reports'!A376:V427,16,FALSE)-D386</f>
        <v>268.5453681599331</v>
      </c>
      <c r="L386" s="80">
        <f>VLOOKUP(B386,'Old LS-Reports'!A376:V427,19,FALSE)-D386</f>
        <v>268.57836815993306</v>
      </c>
      <c r="M386" s="38">
        <f t="shared" si="20"/>
        <v>-0.34399999999999997</v>
      </c>
      <c r="N386" s="80">
        <f>VLOOKUP(B386,'Old LS-Reports'!A376:V427,8,FALSE)</f>
        <v>22.332999999999998</v>
      </c>
    </row>
    <row r="387" spans="1:14" x14ac:dyDescent="0.25">
      <c r="A387" s="39">
        <v>289620</v>
      </c>
      <c r="B387" s="39">
        <v>289619.90000000002</v>
      </c>
      <c r="C387" s="40">
        <f>VLOOKUP($B387,'Correlation sheet'!$C$370:$M$423,6,FALSE)</f>
        <v>1179049.8582943063</v>
      </c>
      <c r="D387" s="16">
        <f>VLOOKUP($B387,'Correlation sheet'!$C$370:$M$423,11,FALSE)</f>
        <v>6.0567659744776847E-2</v>
      </c>
      <c r="E387" s="80">
        <f>VLOOKUP(B387,'Old LS-Reports'!A377:V428,5,FALSE)-D387</f>
        <v>268.81343234025525</v>
      </c>
      <c r="F387" s="16">
        <f>VLOOKUP($B387,'Correlation sheet'!$C$370:$M$423,10,FALSE)</f>
        <v>268.93943234025522</v>
      </c>
      <c r="G387" s="38">
        <f t="shared" si="18"/>
        <v>0.126</v>
      </c>
      <c r="H387" s="80">
        <f>VLOOKUP(B387,'Old LS-Reports'!A377:V428,6,FALSE)-D387</f>
        <v>268.12543234025526</v>
      </c>
      <c r="I387" s="16">
        <f>VLOOKUP($B387,'Correlation sheet'!$C$370:$M$423,9,FALSE)</f>
        <v>268.26843234025523</v>
      </c>
      <c r="J387" s="38">
        <f t="shared" si="19"/>
        <v>0.14299999999999999</v>
      </c>
      <c r="K387" s="80">
        <f>VLOOKUP(B387,'Old LS-Reports'!A377:V428,16,FALSE)-D387</f>
        <v>268.70543234025524</v>
      </c>
      <c r="L387" s="80">
        <f>VLOOKUP(B387,'Old LS-Reports'!A377:V428,19,FALSE)-D387</f>
        <v>268.78343234025522</v>
      </c>
      <c r="M387" s="38">
        <f t="shared" si="20"/>
        <v>-0.51500000000000001</v>
      </c>
      <c r="N387" s="80">
        <f>VLOOKUP(B387,'Old LS-Reports'!A377:V428,8,FALSE)</f>
        <v>22.896999999999998</v>
      </c>
    </row>
    <row r="388" spans="1:14" x14ac:dyDescent="0.25">
      <c r="A388" s="39">
        <v>289640</v>
      </c>
      <c r="B388" s="39">
        <v>289639.8</v>
      </c>
      <c r="C388" s="40">
        <f>VLOOKUP($B388,'Correlation sheet'!$C$370:$M$423,6,FALSE)</f>
        <v>1179069.7582943062</v>
      </c>
      <c r="D388" s="16">
        <f>VLOOKUP($B388,'Correlation sheet'!$C$370:$M$423,11,FALSE)</f>
        <v>5.5673800324370859E-2</v>
      </c>
      <c r="E388" s="80">
        <f>VLOOKUP(B388,'Old LS-Reports'!A378:V429,5,FALSE)-D388</f>
        <v>268.83632619967563</v>
      </c>
      <c r="F388" s="16">
        <f>VLOOKUP($B388,'Correlation sheet'!$C$370:$M$423,10,FALSE)</f>
        <v>268.97332619967563</v>
      </c>
      <c r="G388" s="38">
        <f t="shared" si="18"/>
        <v>0.13700000000000001</v>
      </c>
      <c r="H388" s="80">
        <f>VLOOKUP(B388,'Old LS-Reports'!A378:V429,6,FALSE)-D388</f>
        <v>268.14832619967564</v>
      </c>
      <c r="I388" s="16">
        <f>VLOOKUP($B388,'Correlation sheet'!$C$370:$M$423,9,FALSE)</f>
        <v>268.30232619967563</v>
      </c>
      <c r="J388" s="38">
        <f t="shared" si="19"/>
        <v>0.154</v>
      </c>
      <c r="K388" s="80">
        <f>VLOOKUP(B388,'Old LS-Reports'!A378:V429,16,FALSE)-D388</f>
        <v>268.83532619967565</v>
      </c>
      <c r="L388" s="80">
        <f>VLOOKUP(B388,'Old LS-Reports'!A378:V429,19,FALSE)-D388</f>
        <v>268.85432619967565</v>
      </c>
      <c r="M388" s="38">
        <f t="shared" si="20"/>
        <v>-0.55200000000000005</v>
      </c>
      <c r="N388" s="80">
        <f>VLOOKUP(B388,'Old LS-Reports'!A378:V429,8,FALSE)</f>
        <v>23.387</v>
      </c>
    </row>
    <row r="389" spans="1:14" x14ac:dyDescent="0.25">
      <c r="A389" s="39">
        <v>289660</v>
      </c>
      <c r="B389" s="39">
        <v>289659.8</v>
      </c>
      <c r="C389" s="40">
        <f>VLOOKUP($B389,'Correlation sheet'!$C$370:$M$423,6,FALSE)</f>
        <v>1179089.7582943062</v>
      </c>
      <c r="D389" s="16">
        <f>VLOOKUP($B389,'Correlation sheet'!$C$370:$M$423,11,FALSE)</f>
        <v>5.0609620002205702E-2</v>
      </c>
      <c r="E389" s="80">
        <f>VLOOKUP(B389,'Old LS-Reports'!A379:V430,5,FALSE)-D389</f>
        <v>268.87439037999781</v>
      </c>
      <c r="F389" s="16">
        <f>VLOOKUP($B389,'Correlation sheet'!$C$370:$M$423,10,FALSE)</f>
        <v>269.00739037999779</v>
      </c>
      <c r="G389" s="38">
        <f t="shared" si="18"/>
        <v>0.13300000000000001</v>
      </c>
      <c r="H389" s="80">
        <f>VLOOKUP(B389,'Old LS-Reports'!A379:V430,6,FALSE)-D389</f>
        <v>268.18639037999782</v>
      </c>
      <c r="I389" s="16">
        <f>VLOOKUP($B389,'Correlation sheet'!$C$370:$M$423,9,FALSE)</f>
        <v>268.33639037999779</v>
      </c>
      <c r="J389" s="38">
        <f t="shared" si="19"/>
        <v>0.15</v>
      </c>
      <c r="K389" s="80">
        <f>VLOOKUP(B389,'Old LS-Reports'!A379:V430,16,FALSE)-D389</f>
        <v>268.94539037999778</v>
      </c>
      <c r="L389" s="80">
        <f>VLOOKUP(B389,'Old LS-Reports'!A379:V430,19,FALSE)-D389</f>
        <v>268.86439037999781</v>
      </c>
      <c r="M389" s="38">
        <f t="shared" si="20"/>
        <v>-0.52800000000000002</v>
      </c>
      <c r="N389" s="80">
        <f>VLOOKUP(B389,'Old LS-Reports'!A379:V430,8,FALSE)</f>
        <v>23.853999999999999</v>
      </c>
    </row>
    <row r="390" spans="1:14" x14ac:dyDescent="0.25">
      <c r="A390" s="39">
        <v>289680</v>
      </c>
      <c r="B390" s="39">
        <v>289679.8</v>
      </c>
      <c r="C390" s="40">
        <f>VLOOKUP($B390,'Correlation sheet'!$C$370:$M$423,6,FALSE)</f>
        <v>1179109.7582943062</v>
      </c>
      <c r="D390" s="16">
        <f>VLOOKUP($B390,'Correlation sheet'!$C$370:$M$423,11,FALSE)</f>
        <v>4.5545439680040545E-2</v>
      </c>
      <c r="E390" s="80">
        <f>VLOOKUP(B390,'Old LS-Reports'!A380:V431,5,FALSE)-D390</f>
        <v>268.89945456031995</v>
      </c>
      <c r="F390" s="16">
        <f>VLOOKUP($B390,'Correlation sheet'!$C$370:$M$423,10,FALSE)</f>
        <v>269.04145456031995</v>
      </c>
      <c r="G390" s="38">
        <f t="shared" si="18"/>
        <v>0.14199999999999999</v>
      </c>
      <c r="H390" s="80">
        <f>VLOOKUP(B390,'Old LS-Reports'!A380:V431,6,FALSE)-D390</f>
        <v>268.21145456031996</v>
      </c>
      <c r="I390" s="16">
        <f>VLOOKUP($B390,'Correlation sheet'!$C$370:$M$423,9,FALSE)</f>
        <v>268.37045456031996</v>
      </c>
      <c r="J390" s="38">
        <f t="shared" si="19"/>
        <v>0.159</v>
      </c>
      <c r="K390" s="80">
        <f>VLOOKUP(B390,'Old LS-Reports'!A380:V431,16,FALSE)-D390</f>
        <v>268.96045456031993</v>
      </c>
      <c r="L390" s="80">
        <f>VLOOKUP(B390,'Old LS-Reports'!A380:V431,19,FALSE)-D390</f>
        <v>268.94945456031996</v>
      </c>
      <c r="M390" s="38">
        <f t="shared" si="20"/>
        <v>-0.57899999999999996</v>
      </c>
      <c r="N390" s="80">
        <f>VLOOKUP(B390,'Old LS-Reports'!A380:V431,8,FALSE)</f>
        <v>24.375</v>
      </c>
    </row>
    <row r="391" spans="1:14" x14ac:dyDescent="0.25">
      <c r="A391" s="39">
        <v>289700</v>
      </c>
      <c r="B391" s="39">
        <v>289699.8</v>
      </c>
      <c r="C391" s="40">
        <f>VLOOKUP($B391,'Correlation sheet'!$C$370:$M$423,6,FALSE)</f>
        <v>1179129.7582943062</v>
      </c>
      <c r="D391" s="16">
        <f>VLOOKUP($B391,'Correlation sheet'!$C$370:$M$423,11,FALSE)</f>
        <v>4.0481259357875388E-2</v>
      </c>
      <c r="E391" s="80">
        <f>VLOOKUP(B391,'Old LS-Reports'!A381:V432,5,FALSE)-D391</f>
        <v>268.9245187406421</v>
      </c>
      <c r="F391" s="16">
        <f>VLOOKUP($B391,'Correlation sheet'!$C$370:$M$423,10,FALSE)</f>
        <v>269.07551874064211</v>
      </c>
      <c r="G391" s="38">
        <f t="shared" si="18"/>
        <v>0.151</v>
      </c>
      <c r="H391" s="80">
        <f>VLOOKUP(B391,'Old LS-Reports'!A381:V432,6,FALSE)-D391</f>
        <v>268.23651874064211</v>
      </c>
      <c r="I391" s="16">
        <f>VLOOKUP($B391,'Correlation sheet'!$C$370:$M$423,9,FALSE)</f>
        <v>268.40451874064212</v>
      </c>
      <c r="J391" s="38">
        <f t="shared" si="19"/>
        <v>0.16800000000000001</v>
      </c>
      <c r="K391" s="80">
        <f>VLOOKUP(B391,'Old LS-Reports'!A381:V432,16,FALSE)-D391</f>
        <v>269.05051874064213</v>
      </c>
      <c r="L391" s="80">
        <f>VLOOKUP(B391,'Old LS-Reports'!A381:V432,19,FALSE)-D391</f>
        <v>269.09151874064213</v>
      </c>
      <c r="M391" s="38">
        <f t="shared" si="20"/>
        <v>-0.68700000000000006</v>
      </c>
      <c r="N391" s="80">
        <f>VLOOKUP(B391,'Old LS-Reports'!A381:V432,8,FALSE)</f>
        <v>24.896000000000001</v>
      </c>
    </row>
    <row r="392" spans="1:14" x14ac:dyDescent="0.25">
      <c r="A392" s="39">
        <v>289720</v>
      </c>
      <c r="B392" s="39">
        <v>289719.90000000002</v>
      </c>
      <c r="C392" s="40">
        <f>VLOOKUP($B392,'Correlation sheet'!$C$370:$M$423,6,FALSE)</f>
        <v>1179149.8582943063</v>
      </c>
      <c r="D392" s="16">
        <f>VLOOKUP($B392,'Correlation sheet'!$C$370:$M$423,11,FALSE)</f>
        <v>3.6246758133984258E-2</v>
      </c>
      <c r="E392" s="80">
        <f>VLOOKUP(B392,'Old LS-Reports'!A382:V433,5,FALSE)-D392</f>
        <v>268.93675324186603</v>
      </c>
      <c r="F392" s="16">
        <f>VLOOKUP($B392,'Correlation sheet'!$C$370:$M$423,10,FALSE)</f>
        <v>269.10975324186603</v>
      </c>
      <c r="G392" s="38">
        <f t="shared" si="18"/>
        <v>0.17299999999999999</v>
      </c>
      <c r="H392" s="80">
        <f>VLOOKUP(B392,'Old LS-Reports'!A382:V433,6,FALSE)-D392</f>
        <v>268.24875324186604</v>
      </c>
      <c r="I392" s="16">
        <f>VLOOKUP($B392,'Correlation sheet'!$C$370:$M$423,9,FALSE)</f>
        <v>268.43875324186604</v>
      </c>
      <c r="J392" s="38">
        <f t="shared" si="19"/>
        <v>0.19</v>
      </c>
      <c r="K392" s="80">
        <f>VLOOKUP(B392,'Old LS-Reports'!A382:V433,16,FALSE)-D392</f>
        <v>269.14275324186599</v>
      </c>
      <c r="L392" s="80">
        <f>VLOOKUP(B392,'Old LS-Reports'!A382:V433,19,FALSE)-D392</f>
        <v>269.16175324186599</v>
      </c>
      <c r="M392" s="38">
        <f t="shared" si="20"/>
        <v>-0.72299999999999998</v>
      </c>
      <c r="N392" s="80">
        <f>VLOOKUP(B392,'Old LS-Reports'!A382:V433,8,FALSE)</f>
        <v>25.440999999999999</v>
      </c>
    </row>
    <row r="393" spans="1:14" x14ac:dyDescent="0.25">
      <c r="A393" s="39">
        <v>289740</v>
      </c>
      <c r="B393" s="39">
        <v>289739.90000000002</v>
      </c>
      <c r="C393" s="40">
        <f>VLOOKUP($B393,'Correlation sheet'!$C$370:$M$423,6,FALSE)</f>
        <v>1179169.8582943063</v>
      </c>
      <c r="D393" s="16">
        <f>VLOOKUP($B393,'Correlation sheet'!$C$370:$M$423,11,FALSE)</f>
        <v>3.1182577811819101E-2</v>
      </c>
      <c r="E393" s="80">
        <f>VLOOKUP(B393,'Old LS-Reports'!A383:V434,5,FALSE)-D393</f>
        <v>268.94581742218816</v>
      </c>
      <c r="F393" s="16">
        <f>VLOOKUP($B393,'Correlation sheet'!$C$370:$M$423,10,FALSE)</f>
        <v>269.14381742218819</v>
      </c>
      <c r="G393" s="38">
        <f t="shared" si="18"/>
        <v>0.19800000000000001</v>
      </c>
      <c r="H393" s="80">
        <f>VLOOKUP(B393,'Old LS-Reports'!A383:V434,6,FALSE)-D393</f>
        <v>268.25781742218817</v>
      </c>
      <c r="I393" s="16">
        <f>VLOOKUP($B393,'Correlation sheet'!$C$370:$M$423,9,FALSE)</f>
        <v>268.4728174221882</v>
      </c>
      <c r="J393" s="38">
        <f t="shared" si="19"/>
        <v>0.215</v>
      </c>
      <c r="K393" s="80">
        <f>VLOOKUP(B393,'Old LS-Reports'!A383:V434,16,FALSE)-D393</f>
        <v>269.2108174221882</v>
      </c>
      <c r="L393" s="80">
        <f>VLOOKUP(B393,'Old LS-Reports'!A383:V434,19,FALSE)-D393</f>
        <v>269.2348174221882</v>
      </c>
      <c r="M393" s="38">
        <f t="shared" si="20"/>
        <v>-0.76200000000000001</v>
      </c>
      <c r="N393" s="80">
        <f>VLOOKUP(B393,'Old LS-Reports'!A383:V434,8,FALSE)</f>
        <v>25.991</v>
      </c>
    </row>
    <row r="394" spans="1:14" x14ac:dyDescent="0.25">
      <c r="A394" s="39">
        <v>289760</v>
      </c>
      <c r="B394" s="39">
        <v>289759.90000000002</v>
      </c>
      <c r="C394" s="40">
        <f>VLOOKUP($B394,'Correlation sheet'!$C$370:$M$423,6,FALSE)</f>
        <v>1179189.8582943063</v>
      </c>
      <c r="D394" s="16">
        <f>VLOOKUP($B394,'Correlation sheet'!$C$370:$M$423,11,FALSE)</f>
        <v>2.6118397489653944E-2</v>
      </c>
      <c r="E394" s="80">
        <f>VLOOKUP(B394,'Old LS-Reports'!A384:V435,5,FALSE)-D394</f>
        <v>268.95188160251035</v>
      </c>
      <c r="F394" s="16">
        <f>VLOOKUP($B394,'Correlation sheet'!$C$370:$M$423,10,FALSE)</f>
        <v>269.17788160251035</v>
      </c>
      <c r="G394" s="38">
        <f t="shared" si="18"/>
        <v>0.22600000000000001</v>
      </c>
      <c r="H394" s="80">
        <f>VLOOKUP(B394,'Old LS-Reports'!A384:V435,6,FALSE)-D394</f>
        <v>268.26388160251037</v>
      </c>
      <c r="I394" s="16">
        <f>VLOOKUP($B394,'Correlation sheet'!$C$370:$M$423,9,FALSE)</f>
        <v>268.50688160251036</v>
      </c>
      <c r="J394" s="38">
        <f t="shared" si="19"/>
        <v>0.24299999999999999</v>
      </c>
      <c r="K394" s="80">
        <f>VLOOKUP(B394,'Old LS-Reports'!A384:V435,16,FALSE)-D394</f>
        <v>269.18788160251034</v>
      </c>
      <c r="L394" s="80">
        <f>VLOOKUP(B394,'Old LS-Reports'!A384:V435,19,FALSE)-D394</f>
        <v>269.22688160251033</v>
      </c>
      <c r="M394" s="38">
        <f t="shared" si="20"/>
        <v>-0.72</v>
      </c>
      <c r="N394" s="80">
        <f>VLOOKUP(B394,'Old LS-Reports'!A384:V435,8,FALSE)</f>
        <v>26.536000000000001</v>
      </c>
    </row>
    <row r="395" spans="1:14" x14ac:dyDescent="0.25">
      <c r="A395" s="39">
        <v>289780</v>
      </c>
      <c r="B395" s="39">
        <v>289779.90000000002</v>
      </c>
      <c r="C395" s="40">
        <f>VLOOKUP($B395,'Correlation sheet'!$C$370:$M$423,6,FALSE)</f>
        <v>1179209.8582943063</v>
      </c>
      <c r="D395" s="16">
        <f>VLOOKUP($B395,'Correlation sheet'!$C$370:$M$423,11,FALSE)</f>
        <v>2.1054217167488787E-2</v>
      </c>
      <c r="E395" s="80">
        <f>VLOOKUP(B395,'Old LS-Reports'!A385:V436,5,FALSE)-D395</f>
        <v>268.95594578283249</v>
      </c>
      <c r="F395" s="16">
        <f>VLOOKUP($B395,'Correlation sheet'!$C$370:$M$423,10,FALSE)</f>
        <v>269.21194578283252</v>
      </c>
      <c r="G395" s="38">
        <f t="shared" si="18"/>
        <v>0.25600000000000001</v>
      </c>
      <c r="H395" s="80">
        <f>VLOOKUP(B395,'Old LS-Reports'!A385:V436,6,FALSE)-D395</f>
        <v>268.2679457828325</v>
      </c>
      <c r="I395" s="16">
        <f>VLOOKUP($B395,'Correlation sheet'!$C$370:$M$423,9,FALSE)</f>
        <v>268.54094578283252</v>
      </c>
      <c r="J395" s="38">
        <f t="shared" si="19"/>
        <v>0.27300000000000002</v>
      </c>
      <c r="K395" s="80">
        <f>VLOOKUP(B395,'Old LS-Reports'!A385:V436,16,FALSE)-D395</f>
        <v>269.14594578283248</v>
      </c>
      <c r="L395" s="80">
        <f>VLOOKUP(B395,'Old LS-Reports'!A385:V436,19,FALSE)-D395</f>
        <v>269.1859457828325</v>
      </c>
      <c r="M395" s="38">
        <f t="shared" si="20"/>
        <v>-0.64500000000000002</v>
      </c>
      <c r="N395" s="80">
        <f>VLOOKUP(B395,'Old LS-Reports'!A385:V436,8,FALSE)</f>
        <v>27.077000000000002</v>
      </c>
    </row>
    <row r="396" spans="1:14" x14ac:dyDescent="0.25">
      <c r="A396" s="39">
        <v>289800</v>
      </c>
      <c r="B396" s="39">
        <v>289799.90000000002</v>
      </c>
      <c r="C396" s="40">
        <f>VLOOKUP($B396,'Correlation sheet'!$C$370:$M$423,6,FALSE)</f>
        <v>1179229.8582943063</v>
      </c>
      <c r="D396" s="16">
        <f>VLOOKUP($B396,'Correlation sheet'!$C$370:$M$423,11,FALSE)</f>
        <v>1.6990036845299983E-2</v>
      </c>
      <c r="E396" s="80">
        <f>VLOOKUP(B396,'Old LS-Reports'!A386:V437,5,FALSE)-D396</f>
        <v>268.95600996315471</v>
      </c>
      <c r="F396" s="16">
        <f>VLOOKUP($B396,'Correlation sheet'!$C$370:$M$423,10,FALSE)</f>
        <v>269.24600996315468</v>
      </c>
      <c r="G396" s="38">
        <f t="shared" si="18"/>
        <v>0.28999999999999998</v>
      </c>
      <c r="H396" s="80">
        <f>VLOOKUP(B396,'Old LS-Reports'!A386:V437,6,FALSE)-D396</f>
        <v>268.26800996315473</v>
      </c>
      <c r="I396" s="16">
        <f>VLOOKUP($B396,'Correlation sheet'!$C$370:$M$423,9,FALSE)</f>
        <v>268.57500996315468</v>
      </c>
      <c r="J396" s="38">
        <f t="shared" si="19"/>
        <v>0.307</v>
      </c>
      <c r="K396" s="80">
        <f>VLOOKUP(B396,'Old LS-Reports'!A386:V437,16,FALSE)-D396</f>
        <v>269.11900996315472</v>
      </c>
      <c r="L396" s="80">
        <f>VLOOKUP(B396,'Old LS-Reports'!A386:V437,19,FALSE)-D396</f>
        <v>269.13900996315471</v>
      </c>
      <c r="M396" s="38">
        <f t="shared" si="20"/>
        <v>-0.56399999999999995</v>
      </c>
      <c r="N396" s="80">
        <f>VLOOKUP(B396,'Old LS-Reports'!A386:V437,8,FALSE)</f>
        <v>27.605</v>
      </c>
    </row>
    <row r="397" spans="1:14" x14ac:dyDescent="0.25">
      <c r="A397" s="39">
        <v>289820</v>
      </c>
      <c r="B397" s="39">
        <v>289819.90000000002</v>
      </c>
      <c r="C397" s="40">
        <f>VLOOKUP($B397,'Correlation sheet'!$C$370:$M$423,6,FALSE)</f>
        <v>1179249.8582943063</v>
      </c>
      <c r="D397" s="16">
        <f>VLOOKUP($B397,'Correlation sheet'!$C$370:$M$423,11,FALSE)</f>
        <v>-3.3074143476824247E-2</v>
      </c>
      <c r="E397" s="80">
        <f>VLOOKUP(B397,'Old LS-Reports'!A387:V438,5,FALSE)-D397</f>
        <v>269.00007414347681</v>
      </c>
      <c r="F397" s="16">
        <f>VLOOKUP($B397,'Correlation sheet'!$C$370:$M$423,10,FALSE)</f>
        <v>269.28007414347684</v>
      </c>
      <c r="G397" s="38">
        <f t="shared" si="18"/>
        <v>0.28000000000000003</v>
      </c>
      <c r="H397" s="80">
        <f>VLOOKUP(B397,'Old LS-Reports'!A387:V438,6,FALSE)-D397</f>
        <v>268.31207414347682</v>
      </c>
      <c r="I397" s="16">
        <f>VLOOKUP($B397,'Correlation sheet'!$C$370:$M$423,9,FALSE)</f>
        <v>268.60907414347685</v>
      </c>
      <c r="J397" s="38">
        <f t="shared" si="19"/>
        <v>0.29699999999999999</v>
      </c>
      <c r="K397" s="80">
        <f>VLOOKUP(B397,'Old LS-Reports'!A387:V438,16,FALSE)-D397</f>
        <v>269.1710741434768</v>
      </c>
      <c r="L397" s="80">
        <f>VLOOKUP(B397,'Old LS-Reports'!A387:V438,19,FALSE)-D397</f>
        <v>269.17207414347683</v>
      </c>
      <c r="M397" s="38">
        <f t="shared" si="20"/>
        <v>-0.56299999999999994</v>
      </c>
      <c r="N397" s="80">
        <f>VLOOKUP(B397,'Old LS-Reports'!A387:V438,8,FALSE)</f>
        <v>28.126000000000001</v>
      </c>
    </row>
    <row r="398" spans="1:14" x14ac:dyDescent="0.25">
      <c r="A398" s="39">
        <v>289840</v>
      </c>
      <c r="B398" s="39">
        <v>289839.90000000002</v>
      </c>
      <c r="C398" s="40">
        <f>VLOOKUP($B398,'Correlation sheet'!$C$370:$M$423,6,FALSE)</f>
        <v>1179269.8582943063</v>
      </c>
      <c r="D398" s="16">
        <f>VLOOKUP($B398,'Correlation sheet'!$C$370:$M$423,11,FALSE)</f>
        <v>-0.10013832379900123</v>
      </c>
      <c r="E398" s="80">
        <f>VLOOKUP(B398,'Old LS-Reports'!A388:V439,5,FALSE)-D398</f>
        <v>269.05613832379902</v>
      </c>
      <c r="F398" s="16">
        <f>VLOOKUP($B398,'Correlation sheet'!$C$370:$M$423,10,FALSE)</f>
        <v>269.314138323799</v>
      </c>
      <c r="G398" s="38">
        <f t="shared" si="18"/>
        <v>0.25800000000000001</v>
      </c>
      <c r="H398" s="80">
        <f>VLOOKUP(B398,'Old LS-Reports'!A388:V439,6,FALSE)-D398</f>
        <v>268.36813832379903</v>
      </c>
      <c r="I398" s="16">
        <f>VLOOKUP($B398,'Correlation sheet'!$C$370:$M$423,9,FALSE)</f>
        <v>268.64313832379901</v>
      </c>
      <c r="J398" s="38">
        <f t="shared" si="19"/>
        <v>0.27500000000000002</v>
      </c>
      <c r="K398" s="80">
        <f>VLOOKUP(B398,'Old LS-Reports'!A388:V439,16,FALSE)-D398</f>
        <v>269.23613832379903</v>
      </c>
      <c r="L398" s="80">
        <f>VLOOKUP(B398,'Old LS-Reports'!A388:V439,19,FALSE)-D398</f>
        <v>269.24513832379898</v>
      </c>
      <c r="M398" s="38">
        <f t="shared" si="20"/>
        <v>-0.60199999999999998</v>
      </c>
      <c r="N398" s="80">
        <f>VLOOKUP(B398,'Old LS-Reports'!A388:V439,8,FALSE)</f>
        <v>28.661999999999999</v>
      </c>
    </row>
    <row r="399" spans="1:14" x14ac:dyDescent="0.25">
      <c r="A399" s="39">
        <v>289860</v>
      </c>
      <c r="B399" s="39">
        <v>289859.90000000002</v>
      </c>
      <c r="C399" s="40">
        <f>VLOOKUP($B399,'Correlation sheet'!$C$370:$M$423,6,FALSE)</f>
        <v>1179289.8582943063</v>
      </c>
      <c r="D399" s="16">
        <f>VLOOKUP($B399,'Correlation sheet'!$C$370:$M$423,11,FALSE)</f>
        <v>0.17391330537833483</v>
      </c>
      <c r="E399" s="80">
        <f>VLOOKUP(B399,'Old LS-Reports'!A389:V440,5,FALSE)-D399</f>
        <v>268.76708669462164</v>
      </c>
      <c r="F399" s="16">
        <f>VLOOKUP($B399,'Correlation sheet'!$C$370:$M$423,10,FALSE)</f>
        <v>269.00708669462165</v>
      </c>
      <c r="G399" s="38">
        <f t="shared" si="18"/>
        <v>0.24</v>
      </c>
      <c r="H399" s="80">
        <f>VLOOKUP(B399,'Old LS-Reports'!A389:V440,6,FALSE)-D399</f>
        <v>268.07908669462165</v>
      </c>
      <c r="I399" s="16">
        <f>VLOOKUP($B399,'Correlation sheet'!$C$370:$M$423,9,FALSE)</f>
        <v>268.33608669462166</v>
      </c>
      <c r="J399" s="38">
        <f t="shared" si="19"/>
        <v>0.25700000000000001</v>
      </c>
      <c r="K399" s="80">
        <f>VLOOKUP(B399,'Old LS-Reports'!A389:V440,16,FALSE)-D399</f>
        <v>269.00608669462167</v>
      </c>
      <c r="L399" s="80">
        <f>VLOOKUP(B399,'Old LS-Reports'!A389:V440,19,FALSE)-D399</f>
        <v>269.02108669462166</v>
      </c>
      <c r="M399" s="38">
        <f t="shared" si="20"/>
        <v>-0.68500000000000005</v>
      </c>
      <c r="N399" s="80">
        <f>VLOOKUP(B399,'Old LS-Reports'!A389:V440,8,FALSE)</f>
        <v>29.206</v>
      </c>
    </row>
    <row r="400" spans="1:14" x14ac:dyDescent="0.25">
      <c r="A400" s="39">
        <v>289880</v>
      </c>
      <c r="B400" s="39">
        <v>289879.90000000002</v>
      </c>
      <c r="C400" s="40">
        <f>VLOOKUP($B400,'Correlation sheet'!$C$370:$M$423,6,FALSE)</f>
        <v>1179309.8582943063</v>
      </c>
      <c r="D400" s="16">
        <f>VLOOKUP($B400,'Correlation sheet'!$C$370:$M$423,11,FALSE)</f>
        <v>0.16962202622482891</v>
      </c>
      <c r="E400" s="80">
        <f>VLOOKUP(B400,'Old LS-Reports'!A390:V441,5,FALSE)-D400</f>
        <v>268.75537797377518</v>
      </c>
      <c r="F400" s="16">
        <f>VLOOKUP($B400,'Correlation sheet'!$C$370:$M$423,10,FALSE)</f>
        <v>268.97737797377516</v>
      </c>
      <c r="G400" s="38">
        <f t="shared" si="18"/>
        <v>0.222</v>
      </c>
      <c r="H400" s="80">
        <f>VLOOKUP(B400,'Old LS-Reports'!A390:V441,6,FALSE)-D400</f>
        <v>268.06737797377519</v>
      </c>
      <c r="I400" s="16">
        <f>VLOOKUP($B400,'Correlation sheet'!$C$370:$M$423,9,FALSE)</f>
        <v>268.30637797377517</v>
      </c>
      <c r="J400" s="38">
        <f t="shared" si="19"/>
        <v>0.23899999999999999</v>
      </c>
      <c r="K400" s="80">
        <f>VLOOKUP(B400,'Old LS-Reports'!A390:V441,16,FALSE)-D400</f>
        <v>269.09537797377516</v>
      </c>
      <c r="L400" s="80">
        <f>VLOOKUP(B400,'Old LS-Reports'!A390:V441,19,FALSE)-D400</f>
        <v>269.10437797377517</v>
      </c>
      <c r="M400" s="38">
        <f t="shared" si="20"/>
        <v>-0.79800000000000004</v>
      </c>
      <c r="N400" s="80">
        <f>VLOOKUP(B400,'Old LS-Reports'!A390:V441,8,FALSE)</f>
        <v>29.295999999999999</v>
      </c>
    </row>
    <row r="401" spans="1:14" x14ac:dyDescent="0.25">
      <c r="A401" s="39">
        <v>289900</v>
      </c>
      <c r="B401" s="39">
        <v>289899.90000000002</v>
      </c>
      <c r="C401" s="40">
        <f>VLOOKUP($B401,'Correlation sheet'!$C$370:$M$423,6,FALSE)</f>
        <v>1179329.8582943063</v>
      </c>
      <c r="D401" s="16">
        <f>VLOOKUP($B401,'Correlation sheet'!$C$370:$M$423,11,FALSE)</f>
        <v>0.165330747071323</v>
      </c>
      <c r="E401" s="80">
        <f>VLOOKUP(B401,'Old LS-Reports'!A391:V442,5,FALSE)-D401</f>
        <v>268.74366925292867</v>
      </c>
      <c r="F401" s="16">
        <f>VLOOKUP($B401,'Correlation sheet'!$C$370:$M$423,10,FALSE)</f>
        <v>268.94766925292868</v>
      </c>
      <c r="G401" s="38">
        <f t="shared" si="18"/>
        <v>0.20399999999999999</v>
      </c>
      <c r="H401" s="80">
        <f>VLOOKUP(B401,'Old LS-Reports'!A391:V442,6,FALSE)-D401</f>
        <v>268.05566925292868</v>
      </c>
      <c r="I401" s="16">
        <f>VLOOKUP($B401,'Correlation sheet'!$C$370:$M$423,9,FALSE)</f>
        <v>268.27666925292868</v>
      </c>
      <c r="J401" s="38">
        <f t="shared" si="19"/>
        <v>0.221</v>
      </c>
      <c r="K401" s="80">
        <f>VLOOKUP(B401,'Old LS-Reports'!A391:V442,16,FALSE)-D401</f>
        <v>269.18666925292865</v>
      </c>
      <c r="L401" s="80">
        <f>VLOOKUP(B401,'Old LS-Reports'!A391:V442,19,FALSE)-D401</f>
        <v>269.15866925292869</v>
      </c>
      <c r="M401" s="38">
        <f t="shared" si="20"/>
        <v>-0.88200000000000001</v>
      </c>
      <c r="N401" s="80">
        <f>VLOOKUP(B401,'Old LS-Reports'!A391:V442,8,FALSE)</f>
        <v>28.574999999999999</v>
      </c>
    </row>
    <row r="402" spans="1:14" x14ac:dyDescent="0.25">
      <c r="A402" s="39">
        <v>290000</v>
      </c>
      <c r="B402" s="39">
        <v>289921.2</v>
      </c>
      <c r="C402" s="40">
        <f>VLOOKUP($B402,'Correlation sheet'!$C$370:$M$423,6,FALSE)</f>
        <v>1179351.1582943064</v>
      </c>
      <c r="D402" s="16">
        <f>VLOOKUP($B402,'Correlation sheet'!$C$370:$M$423,11,FALSE)</f>
        <v>0.16297053477285317</v>
      </c>
      <c r="E402" s="80">
        <f>VLOOKUP(B402,'Old LS-Reports'!A392:V443,5,FALSE)-D402</f>
        <v>268.73002946522712</v>
      </c>
      <c r="F402" s="16">
        <f>VLOOKUP($B402,'Correlation sheet'!$C$370:$M$423,10,FALSE)</f>
        <v>268.91602946522715</v>
      </c>
      <c r="G402" s="38">
        <f t="shared" si="18"/>
        <v>0.186</v>
      </c>
      <c r="H402" s="80">
        <f>VLOOKUP(B402,'Old LS-Reports'!A392:V443,6,FALSE)-D402</f>
        <v>268.04202946522713</v>
      </c>
      <c r="I402" s="16">
        <f>VLOOKUP($B402,'Correlation sheet'!$C$370:$M$423,9,FALSE)</f>
        <v>268.24502946522716</v>
      </c>
      <c r="J402" s="38">
        <f t="shared" si="19"/>
        <v>0.20300000000000001</v>
      </c>
      <c r="K402" s="80">
        <f>VLOOKUP(B402,'Old LS-Reports'!A392:V443,16,FALSE)-D402</f>
        <v>269.23302946522716</v>
      </c>
      <c r="L402" s="80">
        <f>VLOOKUP(B402,'Old LS-Reports'!A392:V443,19,FALSE)-D402</f>
        <v>269.21102946522717</v>
      </c>
      <c r="M402" s="38">
        <f t="shared" si="20"/>
        <v>-0.96599999999999997</v>
      </c>
      <c r="N402" s="80">
        <f>VLOOKUP(B402,'Old LS-Reports'!A392:V443,8,FALSE)</f>
        <v>27.05</v>
      </c>
    </row>
    <row r="403" spans="1:14" x14ac:dyDescent="0.25">
      <c r="A403" s="39">
        <v>290020</v>
      </c>
      <c r="B403" s="39">
        <v>289941.2</v>
      </c>
      <c r="C403" s="40">
        <f>VLOOKUP($B403,'Correlation sheet'!$C$370:$M$423,6,FALSE)</f>
        <v>1179371.1582943064</v>
      </c>
      <c r="D403" s="16">
        <f>VLOOKUP($B403,'Correlation sheet'!$C$370:$M$423,11,FALSE)</f>
        <v>0.15867925561934726</v>
      </c>
      <c r="E403" s="80">
        <f>VLOOKUP(B403,'Old LS-Reports'!A393:V444,5,FALSE)-D403</f>
        <v>268.73332074438065</v>
      </c>
      <c r="F403" s="16">
        <f>VLOOKUP($B403,'Correlation sheet'!$C$370:$M$423,10,FALSE)</f>
        <v>268.88632074438067</v>
      </c>
      <c r="G403" s="38">
        <f t="shared" si="18"/>
        <v>0.153</v>
      </c>
      <c r="H403" s="80">
        <f>VLOOKUP(B403,'Old LS-Reports'!A393:V444,6,FALSE)-D403</f>
        <v>268.07132074438067</v>
      </c>
      <c r="I403" s="16">
        <f>VLOOKUP($B403,'Correlation sheet'!$C$370:$M$423,9,FALSE)</f>
        <v>268.21532074438068</v>
      </c>
      <c r="J403" s="38">
        <f t="shared" si="19"/>
        <v>0.14399999999999999</v>
      </c>
      <c r="K403" s="80">
        <f>VLOOKUP(B403,'Old LS-Reports'!A393:V444,16,FALSE)-D403</f>
        <v>269.24532074438065</v>
      </c>
      <c r="L403" s="80">
        <f>VLOOKUP(B403,'Old LS-Reports'!A393:V444,19,FALSE)-D403</f>
        <v>269.23832074438064</v>
      </c>
      <c r="M403" s="38">
        <f t="shared" si="20"/>
        <v>-1.0229999999999999</v>
      </c>
      <c r="N403" s="80">
        <f>VLOOKUP(B403,'Old LS-Reports'!A393:V444,8,FALSE)</f>
        <v>24.986000000000001</v>
      </c>
    </row>
    <row r="404" spans="1:14" x14ac:dyDescent="0.25">
      <c r="A404" s="39">
        <v>290040</v>
      </c>
      <c r="B404" s="39">
        <v>289961.2</v>
      </c>
      <c r="C404" s="40">
        <f>VLOOKUP($B404,'Correlation sheet'!$C$370:$M$423,6,FALSE)</f>
        <v>1179391.1582943064</v>
      </c>
      <c r="D404" s="16">
        <f>VLOOKUP($B404,'Correlation sheet'!$C$370:$M$423,11,FALSE)</f>
        <v>0.15738797646582725</v>
      </c>
      <c r="E404" s="80">
        <f>VLOOKUP(B404,'Old LS-Reports'!A394:V445,5,FALSE)-D404</f>
        <v>268.73561202353415</v>
      </c>
      <c r="F404" s="16">
        <f>VLOOKUP($B404,'Correlation sheet'!$C$370:$M$423,10,FALSE)</f>
        <v>268.85661202353418</v>
      </c>
      <c r="G404" s="38">
        <f t="shared" si="18"/>
        <v>0.121</v>
      </c>
      <c r="H404" s="80">
        <f>VLOOKUP(B404,'Old LS-Reports'!A394:V445,6,FALSE)-D404</f>
        <v>268.09661202353419</v>
      </c>
      <c r="I404" s="16">
        <f>VLOOKUP($B404,'Correlation sheet'!$C$370:$M$423,9,FALSE)</f>
        <v>268.18561202353419</v>
      </c>
      <c r="J404" s="38">
        <f t="shared" si="19"/>
        <v>8.8999999999999996E-2</v>
      </c>
      <c r="K404" s="80">
        <f>VLOOKUP(B404,'Old LS-Reports'!A394:V445,16,FALSE)-D404</f>
        <v>269.09861202353414</v>
      </c>
      <c r="L404" s="80">
        <f>VLOOKUP(B404,'Old LS-Reports'!A394:V445,19,FALSE)-D404</f>
        <v>268.9616120235342</v>
      </c>
      <c r="M404" s="38">
        <f t="shared" si="20"/>
        <v>-0.77600000000000002</v>
      </c>
      <c r="N404" s="80">
        <f>VLOOKUP(B404,'Old LS-Reports'!A394:V445,8,FALSE)</f>
        <v>23.117000000000001</v>
      </c>
    </row>
    <row r="405" spans="1:14" x14ac:dyDescent="0.25">
      <c r="A405" s="39">
        <v>290060</v>
      </c>
      <c r="B405" s="39">
        <v>289981.2</v>
      </c>
      <c r="C405" s="40">
        <f>VLOOKUP($B405,'Correlation sheet'!$C$370:$M$423,6,FALSE)</f>
        <v>1179411.1582943064</v>
      </c>
      <c r="D405" s="16">
        <f>VLOOKUP($B405,'Correlation sheet'!$C$370:$M$423,11,FALSE)</f>
        <v>0.15609669731230724</v>
      </c>
      <c r="E405" s="80">
        <f>VLOOKUP(B405,'Old LS-Reports'!A395:V446,5,FALSE)-D405</f>
        <v>268.7619033026877</v>
      </c>
      <c r="F405" s="16">
        <f>VLOOKUP($B405,'Correlation sheet'!$C$370:$M$423,10,FALSE)</f>
        <v>268.8269033026877</v>
      </c>
      <c r="G405" s="38">
        <f t="shared" si="18"/>
        <v>6.5000000000000002E-2</v>
      </c>
      <c r="H405" s="80">
        <f>VLOOKUP(B405,'Old LS-Reports'!A395:V446,6,FALSE)-D405</f>
        <v>268.11590330268768</v>
      </c>
      <c r="I405" s="16">
        <f>VLOOKUP($B405,'Correlation sheet'!$C$370:$M$423,9,FALSE)</f>
        <v>268.1559033026877</v>
      </c>
      <c r="J405" s="38">
        <f t="shared" si="19"/>
        <v>0.04</v>
      </c>
      <c r="K405" s="80">
        <f>VLOOKUP(B405,'Old LS-Reports'!A395:V446,16,FALSE)-D405</f>
        <v>268.8029033026877</v>
      </c>
      <c r="L405" s="80">
        <f>VLOOKUP(B405,'Old LS-Reports'!A395:V446,19,FALSE)-D405</f>
        <v>268.71190330268769</v>
      </c>
      <c r="M405" s="38">
        <f t="shared" si="20"/>
        <v>-0.55600000000000005</v>
      </c>
      <c r="N405" s="80">
        <f>VLOOKUP(B405,'Old LS-Reports'!A395:V446,8,FALSE)</f>
        <v>21.928000000000001</v>
      </c>
    </row>
    <row r="406" spans="1:14" x14ac:dyDescent="0.25">
      <c r="A406" s="39">
        <v>290080</v>
      </c>
      <c r="B406" s="39">
        <v>290001.3</v>
      </c>
      <c r="C406" s="40">
        <f>VLOOKUP($B406,'Correlation sheet'!$C$370:$M$423,6,FALSE)</f>
        <v>1179431.2582943062</v>
      </c>
      <c r="D406" s="16">
        <f>VLOOKUP($B406,'Correlation sheet'!$C$370:$M$423,11,FALSE)</f>
        <v>0.15495396176277154</v>
      </c>
      <c r="E406" s="80">
        <f>VLOOKUP(B406,'Old LS-Reports'!A396:V447,5,FALSE)-D406</f>
        <v>268.78704603823724</v>
      </c>
      <c r="F406" s="16">
        <f>VLOOKUP($B406,'Correlation sheet'!$C$370:$M$423,10,FALSE)</f>
        <v>268.79704603823723</v>
      </c>
      <c r="G406" s="38">
        <f t="shared" si="18"/>
        <v>0.01</v>
      </c>
      <c r="H406" s="80">
        <f>VLOOKUP(B406,'Old LS-Reports'!A396:V447,6,FALSE)-D406</f>
        <v>268.13504603823725</v>
      </c>
      <c r="I406" s="16">
        <f>VLOOKUP($B406,'Correlation sheet'!$C$370:$M$423,9,FALSE)</f>
        <v>268.12604603823723</v>
      </c>
      <c r="J406" s="38">
        <f t="shared" si="19"/>
        <v>-8.9999999999999993E-3</v>
      </c>
      <c r="K406" s="80">
        <f>VLOOKUP(B406,'Old LS-Reports'!A396:V447,16,FALSE)-D406</f>
        <v>268.7980460382372</v>
      </c>
      <c r="L406" s="80">
        <f>VLOOKUP(B406,'Old LS-Reports'!A396:V447,19,FALSE)-D406</f>
        <v>268.70704603823725</v>
      </c>
      <c r="M406" s="38">
        <f t="shared" si="20"/>
        <v>-0.58099999999999996</v>
      </c>
      <c r="N406" s="80">
        <f>VLOOKUP(B406,'Old LS-Reports'!A396:V447,8,FALSE)</f>
        <v>21.46</v>
      </c>
    </row>
    <row r="407" spans="1:14" x14ac:dyDescent="0.25">
      <c r="A407" s="39">
        <v>290081.7</v>
      </c>
      <c r="B407" s="39">
        <v>290003.59999999998</v>
      </c>
      <c r="C407" s="40">
        <f>VLOOKUP($B407,'Correlation sheet'!$C$370:$M$423,6,FALSE)</f>
        <v>1179433.5582943063</v>
      </c>
      <c r="D407" s="16">
        <f>VLOOKUP($B407,'Correlation sheet'!$C$370:$M$423,11,FALSE)</f>
        <v>0.12937046466021229</v>
      </c>
      <c r="E407" s="80">
        <f>VLOOKUP(B407,'Old LS-Reports'!A397:V448,5,FALSE)-D407</f>
        <v>268.81262953533979</v>
      </c>
      <c r="F407" s="16">
        <f>VLOOKUP($B407,'Correlation sheet'!$C$370:$M$423,10,FALSE)</f>
        <v>268.79362953533979</v>
      </c>
      <c r="G407" s="38">
        <f t="shared" si="18"/>
        <v>-1.9E-2</v>
      </c>
      <c r="H407" s="80">
        <f>VLOOKUP(B407,'Old LS-Reports'!A397:V448,6,FALSE)-D407</f>
        <v>268.1826295353398</v>
      </c>
      <c r="I407" s="16">
        <f>VLOOKUP($B407,'Correlation sheet'!$C$370:$M$423,9,FALSE)</f>
        <v>268.1226295353398</v>
      </c>
      <c r="J407" s="38">
        <f t="shared" si="19"/>
        <v>-0.06</v>
      </c>
      <c r="K407" s="80">
        <f>VLOOKUP(B407,'Old LS-Reports'!A397:V448,16,FALSE)-D407</f>
        <v>268.82362953533976</v>
      </c>
      <c r="L407" s="80">
        <f>VLOOKUP(B407,'Old LS-Reports'!A397:V448,19,FALSE)-D407</f>
        <v>268.68062953533979</v>
      </c>
      <c r="M407" s="38">
        <f t="shared" si="20"/>
        <v>-0.55800000000000005</v>
      </c>
      <c r="N407" s="80">
        <f>VLOOKUP(B407,'Old LS-Reports'!A397:V448,8,FALSE)</f>
        <v>21.46</v>
      </c>
    </row>
  </sheetData>
  <autoFilter ref="A1:P354" xr:uid="{2839A0C6-609F-4BBD-9F9D-19A8EA613CFC}"/>
  <pageMargins left="0.7" right="0.7" top="0.75" bottom="0.75" header="0.3" footer="0.3"/>
  <pageSetup paperSize="9" scale="48" orientation="portrait" r:id="rId1"/>
  <colBreaks count="1" manualBreakCount="1">
    <brk id="15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B26E477F1CD7C4F88FAED7F30334C2E" ma:contentTypeVersion="16" ma:contentTypeDescription="Create a new document." ma:contentTypeScope="" ma:versionID="0a5d98e78ee335c72acb12ceb7e29c72">
  <xsd:schema xmlns:xsd="http://www.w3.org/2001/XMLSchema" xmlns:xs="http://www.w3.org/2001/XMLSchema" xmlns:p="http://schemas.microsoft.com/office/2006/metadata/properties" xmlns:ns2="622d1822-02c6-48ad-9e1a-87a0382c5fe6" xmlns:ns3="8eff7a8d-aae9-46dd-a337-3775d48c5bc8" targetNamespace="http://schemas.microsoft.com/office/2006/metadata/properties" ma:root="true" ma:fieldsID="518aedf7812f07eb427915f11fe3dcff" ns2:_="" ns3:_="">
    <xsd:import namespace="622d1822-02c6-48ad-9e1a-87a0382c5fe6"/>
    <xsd:import namespace="8eff7a8d-aae9-46dd-a337-3775d48c5bc8"/>
    <xsd:element name="properties">
      <xsd:complexType>
        <xsd:sequence>
          <xsd:element name="documentManagement">
            <xsd:complexType>
              <xsd:all>
                <xsd:element ref="ns2:Ablaufdatum" minOccurs="0"/>
                <xsd:element ref="ns2:Ersteller" minOccurs="0"/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2d1822-02c6-48ad-9e1a-87a0382c5fe6" elementFormDefault="qualified">
    <xsd:import namespace="http://schemas.microsoft.com/office/2006/documentManagement/types"/>
    <xsd:import namespace="http://schemas.microsoft.com/office/infopath/2007/PartnerControls"/>
    <xsd:element name="Ablaufdatum" ma:index="8" nillable="true" ma:displayName="Ablaufdatum" ma:format="DateOnly" ma:internalName="Ablaufdatum">
      <xsd:simpleType>
        <xsd:restriction base="dms:DateTime"/>
      </xsd:simpleType>
    </xsd:element>
    <xsd:element name="Ersteller" ma:index="9" nillable="true" ma:displayName="Ersteller" ma:format="Dropdown" ma:list="UserInfo" ma:SharePointGroup="0" ma:internalName="Erstell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b9778389-a646-42b7-bf57-4d79762fb62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ff7a8d-aae9-46dd-a337-3775d48c5bc8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7f8cea85-116f-4bd8-87fe-6ec74047ecb3}" ma:internalName="TaxCatchAll" ma:showField="CatchAllData" ma:web="8eff7a8d-aae9-46dd-a337-3775d48c5b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Ersteller xmlns="622d1822-02c6-48ad-9e1a-87a0382c5fe6">
      <UserInfo>
        <DisplayName/>
        <AccountId xsi:nil="true"/>
        <AccountType/>
      </UserInfo>
    </Ersteller>
    <Ablaufdatum xmlns="622d1822-02c6-48ad-9e1a-87a0382c5fe6" xsi:nil="true"/>
    <lcf76f155ced4ddcb4097134ff3c332f xmlns="622d1822-02c6-48ad-9e1a-87a0382c5fe6">
      <Terms xmlns="http://schemas.microsoft.com/office/infopath/2007/PartnerControls"/>
    </lcf76f155ced4ddcb4097134ff3c332f>
    <TaxCatchAll xmlns="8eff7a8d-aae9-46dd-a337-3775d48c5bc8" xsi:nil="true"/>
  </documentManagement>
</p:properties>
</file>

<file path=customXml/itemProps1.xml><?xml version="1.0" encoding="utf-8"?>
<ds:datastoreItem xmlns:ds="http://schemas.openxmlformats.org/officeDocument/2006/customXml" ds:itemID="{C7871382-6B4C-4588-9234-E8DD32CFD1F1}"/>
</file>

<file path=customXml/itemProps2.xml><?xml version="1.0" encoding="utf-8"?>
<ds:datastoreItem xmlns:ds="http://schemas.openxmlformats.org/officeDocument/2006/customXml" ds:itemID="{BE6BC2EE-D086-4D4A-9DF4-5431F62D839E}"/>
</file>

<file path=customXml/itemProps3.xml><?xml version="1.0" encoding="utf-8"?>
<ds:datastoreItem xmlns:ds="http://schemas.openxmlformats.org/officeDocument/2006/customXml" ds:itemID="{0EDC4D99-3282-48B1-ABE2-5205A415400A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HeadingPairs>
  <TitlesOfParts>
    <vt:vector size="9" baseType="lpstr">
      <vt:lpstr>Old LS-Reports</vt:lpstr>
      <vt:lpstr>Correlation sheet</vt:lpstr>
      <vt:lpstr>Revised LS</vt:lpstr>
      <vt:lpstr>'Old LS-Reports'!Excel_BuiltIn_Print_Titles</vt:lpstr>
      <vt:lpstr>'Correlation sheet'!Print_Area</vt:lpstr>
      <vt:lpstr>'Old LS-Reports'!Print_Area</vt:lpstr>
      <vt:lpstr>'Revised LS'!Print_Area</vt:lpstr>
      <vt:lpstr>'Correlation sheet'!Print_Titles</vt:lpstr>
      <vt:lpstr>'Old LS-Reports'!Print_Titles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Sahu, Babulal</dc:creator>
  <cp:lastModifiedBy>Vijay Pratap</cp:lastModifiedBy>
  <cp:lastPrinted>2023-03-16T13:12:09Z</cp:lastPrinted>
  <dcterms:created xsi:type="dcterms:W3CDTF">2015-06-05T18:19:34Z</dcterms:created>
  <dcterms:modified xsi:type="dcterms:W3CDTF">2024-11-04T07:54:43Z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0x010100BB26E477F1CD7C4F88FAED7F30334C2E</vt:lpwstr>
  </property>
</Properties>
</file>