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Commissioning of DFCCIL Lines-opening for Goods Traffic/301 opning documents/"/>
    </mc:Choice>
  </mc:AlternateContent>
  <xr:revisionPtr revIDLastSave="178" documentId="8_{EA88998F-C2AF-4161-AF7F-03BD4547DB1F}" xr6:coauthVersionLast="47" xr6:coauthVersionMax="47" xr10:uidLastSave="{A39BF1D5-4A23-4B12-A90E-133624E43C53}"/>
  <bookViews>
    <workbookView xWindow="-120" yWindow="-120" windowWidth="20640" windowHeight="11040" xr2:uid="{00000000-000D-0000-FFFF-FFFF00000000}"/>
  </bookViews>
  <sheets>
    <sheet name="Horizontal Curve List (ML)" sheetId="6" r:id="rId1"/>
    <sheet name=" Curve List for Drg." sheetId="9" r:id="rId2"/>
  </sheets>
  <definedNames>
    <definedName name="_xlnm._FilterDatabase" localSheetId="1" hidden="1">' Curve List for Drg.'!$A$2:$K$185</definedName>
    <definedName name="_xlnm._FilterDatabase" localSheetId="0" hidden="1">'Horizontal Curve List (ML)'!$A$2:$Q$186</definedName>
    <definedName name="_xlnm.Print_Area" localSheetId="1">' Curve List for Drg.'!$A$1:$K$205</definedName>
    <definedName name="_xlnm.Print_Area" localSheetId="0">'Horizontal Curve List (ML)'!$A$1:$R$208</definedName>
    <definedName name="_xlnm.Print_Titles" localSheetId="1">' Curve List for Drg.'!$2:$2</definedName>
    <definedName name="_xlnm.Print_Titles" localSheetId="0">'Horizontal Curve List (ML)'!$1:$2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4" i="6" l="1"/>
  <c r="O205" i="6"/>
  <c r="O206" i="6"/>
  <c r="O207" i="6"/>
  <c r="O208" i="6"/>
  <c r="N202" i="6"/>
  <c r="I185" i="6"/>
  <c r="I184" i="6"/>
  <c r="I183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4" i="6"/>
  <c r="I205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190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189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7" i="6"/>
  <c r="O6" i="6"/>
  <c r="O5" i="6"/>
  <c r="O4" i="6"/>
  <c r="O3" i="6"/>
  <c r="N207" i="6" l="1"/>
  <c r="N208" i="6"/>
  <c r="G208" i="6"/>
  <c r="G207" i="6"/>
  <c r="I208" i="6" s="1"/>
  <c r="G206" i="6"/>
  <c r="I207" i="6" s="1"/>
  <c r="G205" i="6"/>
  <c r="I206" i="6" s="1"/>
  <c r="K198" i="6"/>
  <c r="J198" i="6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3" i="9"/>
  <c r="N4" i="6" l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3" i="6"/>
  <c r="I3" i="6" l="1"/>
  <c r="K4" i="6" l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3" i="6"/>
</calcChain>
</file>

<file path=xl/sharedStrings.xml><?xml version="1.0" encoding="utf-8"?>
<sst xmlns="http://schemas.openxmlformats.org/spreadsheetml/2006/main" count="922" uniqueCount="311">
  <si>
    <t>1° 8' 30.702"</t>
  </si>
  <si>
    <t>1° 1' 18.392"</t>
  </si>
  <si>
    <t>Permissible Speed 
(km/ph)</t>
  </si>
  <si>
    <t xml:space="preserve">Hand of Curve </t>
  </si>
  <si>
    <t>LHS</t>
  </si>
  <si>
    <t>RHS</t>
  </si>
  <si>
    <t>02°18'00"</t>
  </si>
  <si>
    <t>01°05'49"</t>
  </si>
  <si>
    <t>01°05'05"</t>
  </si>
  <si>
    <t>01°18'49"</t>
  </si>
  <si>
    <t>03°18'05"</t>
  </si>
  <si>
    <t>01°55'35"</t>
  </si>
  <si>
    <t>00°51'41"</t>
  </si>
  <si>
    <t>01°14'54"</t>
  </si>
  <si>
    <t>27°23'35"</t>
  </si>
  <si>
    <t>06°17'04"</t>
  </si>
  <si>
    <t>10°14'34"</t>
  </si>
  <si>
    <t>18°31'20"</t>
  </si>
  <si>
    <t>00°48'06"</t>
  </si>
  <si>
    <t>01°13'28"</t>
  </si>
  <si>
    <t>01°49'19"</t>
  </si>
  <si>
    <t>00°21'40"</t>
  </si>
  <si>
    <t>00°07'31"</t>
  </si>
  <si>
    <t>00°24'50"</t>
  </si>
  <si>
    <t>00°17'32"</t>
  </si>
  <si>
    <t>00°31'55"</t>
  </si>
  <si>
    <t>00°13'19"</t>
  </si>
  <si>
    <t>00°11'35"</t>
  </si>
  <si>
    <t>00°26'14"</t>
  </si>
  <si>
    <t>01°32'58"</t>
  </si>
  <si>
    <t>02°28'07"</t>
  </si>
  <si>
    <t>01°47'58"</t>
  </si>
  <si>
    <t>01°45'12"</t>
  </si>
  <si>
    <t>00°51'37"</t>
  </si>
  <si>
    <t>01°14'58"</t>
  </si>
  <si>
    <t>00°52'51"</t>
  </si>
  <si>
    <t>00°44'55"</t>
  </si>
  <si>
    <t>08°12'22"</t>
  </si>
  <si>
    <t>06°13'26"</t>
  </si>
  <si>
    <t>19°16'18"</t>
  </si>
  <si>
    <t>08°14'34"</t>
  </si>
  <si>
    <t>08°15'56"</t>
  </si>
  <si>
    <t>01°16'27"</t>
  </si>
  <si>
    <t>01°18'53"</t>
  </si>
  <si>
    <t>01°10'27"</t>
  </si>
  <si>
    <t>01°20'59"</t>
  </si>
  <si>
    <t>00°25'18"</t>
  </si>
  <si>
    <t>00°58'23"</t>
  </si>
  <si>
    <t>00°30'11"</t>
  </si>
  <si>
    <t>00°24'30"</t>
  </si>
  <si>
    <t>01°33'07"</t>
  </si>
  <si>
    <t>01°33'16"</t>
  </si>
  <si>
    <t>02°00'17"</t>
  </si>
  <si>
    <t>01°57'28"</t>
  </si>
  <si>
    <t>00°29'53"</t>
  </si>
  <si>
    <t>02°10'09"</t>
  </si>
  <si>
    <t>02°09'20"</t>
  </si>
  <si>
    <t>02°23'22"</t>
  </si>
  <si>
    <t>02°23'05"</t>
  </si>
  <si>
    <t>08°30'48"</t>
  </si>
  <si>
    <t>02°46'04"</t>
  </si>
  <si>
    <t>00°35'42"</t>
  </si>
  <si>
    <t>TTP-1
Spiral Start</t>
  </si>
  <si>
    <t>TTP-2
Spiral End</t>
  </si>
  <si>
    <t>Remarks</t>
  </si>
  <si>
    <t>Applied 
Cant
(mm)</t>
  </si>
  <si>
    <t>Equilibrium Cant
(mm)</t>
  </si>
  <si>
    <t>Cant 
Deficiency
(mm)</t>
  </si>
  <si>
    <t>Radius
(m)</t>
  </si>
  <si>
    <t xml:space="preserve">Delta </t>
  </si>
  <si>
    <t xml:space="preserve">Degree 
of 
Curve </t>
  </si>
  <si>
    <t>Straight Length
(m)</t>
  </si>
  <si>
    <t>Transition Length
(m)</t>
  </si>
  <si>
    <t>Circular Length
(m)</t>
  </si>
  <si>
    <t>Versine
in 
(mm)</t>
  </si>
  <si>
    <t>Ambala Detour</t>
  </si>
  <si>
    <t>Rajpura Detour</t>
  </si>
  <si>
    <t>Sirhind  Detour</t>
  </si>
  <si>
    <t xml:space="preserve">Mandi Govindgarh-Cutt-Connection </t>
  </si>
  <si>
    <t>CTP-1
Circular Curve Start</t>
  </si>
  <si>
    <t>CTP-2
Circular Curve End</t>
  </si>
  <si>
    <t>DETAIL OF DFC CURVE</t>
  </si>
  <si>
    <t xml:space="preserve">CURVE NO.
</t>
  </si>
  <si>
    <t>DEF.ANGLE</t>
  </si>
  <si>
    <t>DEGREE</t>
  </si>
  <si>
    <t xml:space="preserve"> RADIUS(M)</t>
  </si>
  <si>
    <t>CCL(M)</t>
  </si>
  <si>
    <t>TRL(M)</t>
  </si>
  <si>
    <t>TTL/TL (M)</t>
  </si>
  <si>
    <t>SPEED 
(Vmax)</t>
  </si>
  <si>
    <t>Cd.
(mm)</t>
  </si>
  <si>
    <t>Ca.
(mm)</t>
  </si>
  <si>
    <t>LH</t>
  </si>
  <si>
    <t>RH</t>
  </si>
  <si>
    <t>02°09'37"</t>
  </si>
  <si>
    <t>09°39'27"</t>
  </si>
  <si>
    <t>12°34'43"</t>
  </si>
  <si>
    <t>08°24'11"</t>
  </si>
  <si>
    <t>00°20'31"</t>
  </si>
  <si>
    <t>02°00'41"</t>
  </si>
  <si>
    <t>02°05'21"</t>
  </si>
  <si>
    <t>00°29'56"</t>
  </si>
  <si>
    <t>03°16'22"</t>
  </si>
  <si>
    <t>04°03'25"</t>
  </si>
  <si>
    <t>02°25'47"</t>
  </si>
  <si>
    <t>02°02'07"</t>
  </si>
  <si>
    <t>04°01'16"</t>
  </si>
  <si>
    <t>04°39'40"</t>
  </si>
  <si>
    <t>03°15'59"</t>
  </si>
  <si>
    <t>11°40'25"</t>
  </si>
  <si>
    <t>65°35'05"</t>
  </si>
  <si>
    <t>108°49'30"</t>
  </si>
  <si>
    <t>63°32'08"</t>
  </si>
  <si>
    <t>00°27'53"</t>
  </si>
  <si>
    <t>01°12'13"</t>
  </si>
  <si>
    <t>00°33'32"</t>
  </si>
  <si>
    <t>00°38'01"</t>
  </si>
  <si>
    <t>01°50'55"</t>
  </si>
  <si>
    <t>01°51'28"</t>
  </si>
  <si>
    <t>00°33'46"</t>
  </si>
  <si>
    <t>00°32'26"</t>
  </si>
  <si>
    <t>01°08'10"</t>
  </si>
  <si>
    <t>04°20'55"</t>
  </si>
  <si>
    <t>05°42'17"</t>
  </si>
  <si>
    <t>02°28'05"</t>
  </si>
  <si>
    <t>01°19'24"</t>
  </si>
  <si>
    <t>00°45'23"</t>
  </si>
  <si>
    <t>00°58'25"</t>
  </si>
  <si>
    <t>05°24'31"</t>
  </si>
  <si>
    <t>05°47'09"</t>
  </si>
  <si>
    <t>03°35'14"</t>
  </si>
  <si>
    <t>03°41'39"</t>
  </si>
  <si>
    <t>00°39'09"</t>
  </si>
  <si>
    <t>01°14'50"</t>
  </si>
  <si>
    <t>00°38'07"</t>
  </si>
  <si>
    <t>03°00'49"</t>
  </si>
  <si>
    <t>03°36'44"</t>
  </si>
  <si>
    <t>00°45'16"</t>
  </si>
  <si>
    <t>00°32'21"</t>
  </si>
  <si>
    <t>14°21'53"</t>
  </si>
  <si>
    <t>42°03'37"</t>
  </si>
  <si>
    <t>32°25'13"</t>
  </si>
  <si>
    <t>08°50'12"</t>
  </si>
  <si>
    <t>01°32'37"</t>
  </si>
  <si>
    <t>03°41'05"</t>
  </si>
  <si>
    <t>04°34'48"</t>
  </si>
  <si>
    <t>02°02'50"</t>
  </si>
  <si>
    <t>01°39'40"</t>
  </si>
  <si>
    <t>00°47'45"</t>
  </si>
  <si>
    <t>00°34'38"</t>
  </si>
  <si>
    <t>01°28'56"</t>
  </si>
  <si>
    <t>02°35'00"</t>
  </si>
  <si>
    <t>02°33'28"</t>
  </si>
  <si>
    <t>00°44'28"</t>
  </si>
  <si>
    <t>00°41'07"</t>
  </si>
  <si>
    <t>01°36'39"</t>
  </si>
  <si>
    <t>01°21'20"</t>
  </si>
  <si>
    <t>00°26'45"</t>
  </si>
  <si>
    <t>01°34'18"</t>
  </si>
  <si>
    <t>01°49'49"</t>
  </si>
  <si>
    <t>00°01'38"</t>
  </si>
  <si>
    <t>00°02'22"</t>
  </si>
  <si>
    <t>00°16'27"</t>
  </si>
  <si>
    <t>00°05'08"</t>
  </si>
  <si>
    <t>03°15'15"</t>
  </si>
  <si>
    <t>00°04'44"</t>
  </si>
  <si>
    <t>03°31'42"</t>
  </si>
  <si>
    <t>48°10'00"</t>
  </si>
  <si>
    <t>128°38'45"</t>
  </si>
  <si>
    <t>107°23'23"</t>
  </si>
  <si>
    <t>32°39'57"</t>
  </si>
  <si>
    <t>02°26'54"</t>
  </si>
  <si>
    <t>02°17'15"</t>
  </si>
  <si>
    <t>10°43'13"</t>
  </si>
  <si>
    <t>10°50'56"</t>
  </si>
  <si>
    <t>11°04'50"</t>
  </si>
  <si>
    <t>09°17'26"</t>
  </si>
  <si>
    <t>04°38'32"</t>
  </si>
  <si>
    <t>02°38'07"</t>
  </si>
  <si>
    <t>00°15'28"</t>
  </si>
  <si>
    <t>01°48'04"</t>
  </si>
  <si>
    <t>01°30'49"</t>
  </si>
  <si>
    <t>02°04'11"</t>
  </si>
  <si>
    <t>01°40'14"</t>
  </si>
  <si>
    <t>00°19'33"</t>
  </si>
  <si>
    <t>03°41'57"</t>
  </si>
  <si>
    <t>02°03'36"</t>
  </si>
  <si>
    <t>01°35'49"</t>
  </si>
  <si>
    <t>01°53'45"</t>
  </si>
  <si>
    <t>01°15'01"</t>
  </si>
  <si>
    <t>01°13'56"</t>
  </si>
  <si>
    <t>00°56'01"</t>
  </si>
  <si>
    <t>00°58'45"</t>
  </si>
  <si>
    <t>01°54'04"</t>
  </si>
  <si>
    <t>01°55'53"</t>
  </si>
  <si>
    <t>00°04'33"</t>
  </si>
  <si>
    <t>00°05'19"</t>
  </si>
  <si>
    <t>00°05'04"</t>
  </si>
  <si>
    <t>03°06'36"</t>
  </si>
  <si>
    <t>02°43'13"</t>
  </si>
  <si>
    <t>03°05'04"</t>
  </si>
  <si>
    <t>01°45'48"</t>
  </si>
  <si>
    <t>01°44'08"</t>
  </si>
  <si>
    <t>01°40'02"</t>
  </si>
  <si>
    <t>01°32'55"</t>
  </si>
  <si>
    <t>02°49'05"</t>
  </si>
  <si>
    <t>00°49'27"</t>
  </si>
  <si>
    <t>00°23'33"</t>
  </si>
  <si>
    <t>02°34'43"</t>
  </si>
  <si>
    <t>00°54'37"</t>
  </si>
  <si>
    <t>0.875°</t>
  </si>
  <si>
    <t>0.5°</t>
  </si>
  <si>
    <t>0.25°</t>
  </si>
  <si>
    <t>0.583°</t>
  </si>
  <si>
    <t>1°</t>
  </si>
  <si>
    <t>0.7°</t>
  </si>
  <si>
    <t>0.35°</t>
  </si>
  <si>
    <t>0.625°</t>
  </si>
  <si>
    <t>0.565°</t>
  </si>
  <si>
    <t>1.029°</t>
  </si>
  <si>
    <t>1.902°</t>
  </si>
  <si>
    <t>1.25°</t>
  </si>
  <si>
    <t>0.438°</t>
  </si>
  <si>
    <t>0.729°</t>
  </si>
  <si>
    <t>0.146°</t>
  </si>
  <si>
    <t>0.035°</t>
  </si>
  <si>
    <t>0.117°</t>
  </si>
  <si>
    <t>0.087°</t>
  </si>
  <si>
    <t>0.088°</t>
  </si>
  <si>
    <t>0.07°</t>
  </si>
  <si>
    <t>0.175°</t>
  </si>
  <si>
    <t>1.75°</t>
  </si>
  <si>
    <t>0.219°</t>
  </si>
  <si>
    <t>0.972°</t>
  </si>
  <si>
    <t>1.167°</t>
  </si>
  <si>
    <t>0.632°</t>
  </si>
  <si>
    <t>1.094°</t>
  </si>
  <si>
    <t>2.496°</t>
  </si>
  <si>
    <t>2.5°</t>
  </si>
  <si>
    <t>0.778°</t>
  </si>
  <si>
    <t>0.216°</t>
  </si>
  <si>
    <t>0.292°</t>
  </si>
  <si>
    <t>2.188°</t>
  </si>
  <si>
    <t>0.389°</t>
  </si>
  <si>
    <t>0.302°</t>
  </si>
  <si>
    <t>0.33°</t>
  </si>
  <si>
    <t>0.603°</t>
  </si>
  <si>
    <t>0.021°</t>
  </si>
  <si>
    <t>0.029°</t>
  </si>
  <si>
    <t>0.044°</t>
  </si>
  <si>
    <t>0.039°</t>
  </si>
  <si>
    <t>0.493°</t>
  </si>
  <si>
    <t>2.489°</t>
  </si>
  <si>
    <t>0.833°</t>
  </si>
  <si>
    <t>0.761°</t>
  </si>
  <si>
    <t>0.486°</t>
  </si>
  <si>
    <t>0.043°</t>
  </si>
  <si>
    <t>0.417°</t>
  </si>
  <si>
    <t>0.233°</t>
  </si>
  <si>
    <t>New Dukheri Yard'</t>
  </si>
  <si>
    <t>DETAIL OF DFC CURVE (LINK LINE)</t>
  </si>
  <si>
    <t xml:space="preserve"> 0° 45 ' 16"</t>
  </si>
  <si>
    <t xml:space="preserve"> 0° 45 ' 15"</t>
  </si>
  <si>
    <t xml:space="preserve"> 0° 34 ' 44"</t>
  </si>
  <si>
    <t xml:space="preserve"> 0° 38 ' 3"</t>
  </si>
  <si>
    <t xml:space="preserve"> 1° 8 ' 24"</t>
  </si>
  <si>
    <t xml:space="preserve"> 3° 35 ' 34"</t>
  </si>
  <si>
    <t xml:space="preserve"> 3° 28 ' 50"</t>
  </si>
  <si>
    <t xml:space="preserve"> 1° 12 ' 48"</t>
  </si>
  <si>
    <t xml:space="preserve"> 1° 23 ' 9"</t>
  </si>
  <si>
    <t xml:space="preserve"> 1° 36 ' 3"</t>
  </si>
  <si>
    <t xml:space="preserve"> 1° 30 ' 34"</t>
  </si>
  <si>
    <t xml:space="preserve"> 4° 15 ' 39"</t>
  </si>
  <si>
    <t xml:space="preserve"> 5° 2 ' 57"</t>
  </si>
  <si>
    <t xml:space="preserve"> 2° 2 ' 14"</t>
  </si>
  <si>
    <t xml:space="preserve"> 2° 58 ' 51"</t>
  </si>
  <si>
    <t xml:space="preserve"> 0° 12 ' 28"</t>
  </si>
  <si>
    <t xml:space="preserve"> 4° 25 ' 7"</t>
  </si>
  <si>
    <t xml:space="preserve"> 1° 25 ' 40"</t>
  </si>
  <si>
    <t xml:space="preserve">old Curve No.
</t>
  </si>
  <si>
    <t>99A</t>
  </si>
  <si>
    <t>100A</t>
  </si>
  <si>
    <t>1.4°</t>
  </si>
  <si>
    <t>0.538°</t>
  </si>
  <si>
    <t>103A</t>
  </si>
  <si>
    <t>104A</t>
  </si>
  <si>
    <t>104B</t>
  </si>
  <si>
    <t>105A</t>
  </si>
  <si>
    <t>CURVE NO.</t>
  </si>
  <si>
    <t>New Shambhu</t>
  </si>
  <si>
    <t xml:space="preserve"> 
Curve No.
</t>
  </si>
  <si>
    <t xml:space="preserve"> 1° 34 ' 19"</t>
  </si>
  <si>
    <t xml:space="preserve"> 0° 21 ' 2.5"</t>
  </si>
  <si>
    <t xml:space="preserve"> 01° 39 '48"</t>
  </si>
  <si>
    <t xml:space="preserve"> 6° 19 '24"</t>
  </si>
  <si>
    <t xml:space="preserve"> 6° 11 ' 05"</t>
  </si>
  <si>
    <t>LIST OF HORIZONTAL CURVE OF DFC MAIN LINE [EDFC SAHNEWAL - PILKHANI SECTION- 301]</t>
  </si>
  <si>
    <t>LIST OF HORIZONTAL CURVE OF DFC LINK LINE [EDFC SAHNEWAL - PILKHANI SECTION- 301]</t>
  </si>
  <si>
    <t>106A</t>
  </si>
  <si>
    <t>107A</t>
  </si>
  <si>
    <t>108A</t>
  </si>
  <si>
    <t>108B</t>
  </si>
  <si>
    <t>108C</t>
  </si>
  <si>
    <t>108D</t>
  </si>
  <si>
    <t>109A</t>
  </si>
  <si>
    <t>109B</t>
  </si>
  <si>
    <t>110A</t>
  </si>
  <si>
    <t>110B</t>
  </si>
  <si>
    <t>107C</t>
  </si>
  <si>
    <t>107B</t>
  </si>
  <si>
    <t>107D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</si>
</sst>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\°"/>
    <numFmt numFmtId="166" formatCode="0.0"/>
  </numFmts>
  <fonts count="9" x14ac:knownFonts="1">
    <font>
      <sz val="11"/>
      <name val="Calibri"/>
    </font>
    <font>
      <sz val="11"/>
      <name val="Calibri"/>
      <family val="2"/>
    </font>
    <font>
      <b/>
      <sz val="16"/>
      <name val="Arial Unicode MS"/>
      <family val="2"/>
    </font>
    <font>
      <sz val="16"/>
      <name val="Arial Unicode MS"/>
      <family val="2"/>
    </font>
    <font>
      <b/>
      <sz val="18"/>
      <name val="Arial Unicode MS"/>
      <family val="2"/>
    </font>
    <font>
      <sz val="11"/>
      <color rgb="FFFF0000"/>
      <name val="Aptos Narrow"/>
      <family val="2"/>
    </font>
    <font>
      <sz val="11"/>
      <name val="Aptos Narrow"/>
      <family val="2"/>
    </font>
    <font>
      <sz val="11"/>
      <name val="Times New Roman"/>
      <family val="1"/>
    </font>
    <font>
      <b/>
      <sz val="16"/>
      <color rgb="FF7030A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2" fontId="5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5" fillId="0" borderId="1" xfId="0" quotePrefix="1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6DEE601B-804F-47E1-94EC-0EAA37BC1305}"/>
  </cellStyles>
  <dxfs count="5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FDF7"/>
      <color rgb="FFFFFBEF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08"/>
  <sheetViews>
    <sheetView tabSelected="1" view="pageBreakPreview" zoomScale="64" zoomScaleNormal="85" zoomScaleSheetLayoutView="40" workbookViewId="0">
      <pane ySplit="2" topLeftCell="A188" activePane="bottomLeft" state="frozen"/>
      <selection pane="bottomLeft" activeCell="F204" sqref="F204"/>
    </sheetView>
  </sheetViews>
  <sheetFormatPr defaultColWidth="20.140625" defaultRowHeight="22.5" x14ac:dyDescent="0.25"/>
  <cols>
    <col min="1" max="1" width="17.42578125" style="14" bestFit="1" customWidth="1"/>
    <col min="2" max="2" width="18.85546875" style="14" bestFit="1" customWidth="1"/>
    <col min="3" max="3" width="18.85546875" style="15" bestFit="1" customWidth="1"/>
    <col min="4" max="4" width="19.28515625" style="14" bestFit="1" customWidth="1"/>
    <col min="5" max="5" width="23" style="14" bestFit="1" customWidth="1"/>
    <col min="6" max="6" width="26" style="14" bestFit="1" customWidth="1"/>
    <col min="7" max="7" width="24.5703125" style="14" bestFit="1" customWidth="1"/>
    <col min="8" max="8" width="26.140625" style="14" customWidth="1"/>
    <col min="9" max="9" width="20.140625" style="35" bestFit="1" customWidth="1"/>
    <col min="10" max="10" width="23.5703125" style="15" bestFit="1" customWidth="1"/>
    <col min="11" max="11" width="20.28515625" style="17" bestFit="1" customWidth="1"/>
    <col min="12" max="12" width="19.5703125" style="14" bestFit="1" customWidth="1"/>
    <col min="13" max="13" width="20.5703125" style="17" bestFit="1" customWidth="1"/>
    <col min="14" max="14" width="20.7109375" style="18" bestFit="1" customWidth="1"/>
    <col min="15" max="15" width="20" style="14" bestFit="1" customWidth="1"/>
    <col min="16" max="16" width="21" style="14" bestFit="1" customWidth="1"/>
    <col min="17" max="17" width="17.42578125" style="14" bestFit="1" customWidth="1"/>
    <col min="18" max="18" width="18.5703125" style="14" customWidth="1"/>
    <col min="19" max="16384" width="20.140625" style="14"/>
  </cols>
  <sheetData>
    <row r="1" spans="1:18" ht="27" x14ac:dyDescent="0.25">
      <c r="H1" s="16" t="s">
        <v>296</v>
      </c>
    </row>
    <row r="2" spans="1:18" s="23" customFormat="1" ht="67.5" x14ac:dyDescent="0.25">
      <c r="A2" s="19" t="s">
        <v>290</v>
      </c>
      <c r="B2" s="19" t="s">
        <v>69</v>
      </c>
      <c r="C2" s="20" t="s">
        <v>68</v>
      </c>
      <c r="D2" s="19" t="s">
        <v>70</v>
      </c>
      <c r="E2" s="19" t="s">
        <v>62</v>
      </c>
      <c r="F2" s="19" t="s">
        <v>79</v>
      </c>
      <c r="G2" s="19" t="s">
        <v>80</v>
      </c>
      <c r="H2" s="19" t="s">
        <v>63</v>
      </c>
      <c r="I2" s="36" t="s">
        <v>71</v>
      </c>
      <c r="J2" s="20" t="s">
        <v>72</v>
      </c>
      <c r="K2" s="21" t="s">
        <v>73</v>
      </c>
      <c r="L2" s="19" t="s">
        <v>65</v>
      </c>
      <c r="M2" s="21" t="s">
        <v>66</v>
      </c>
      <c r="N2" s="22" t="s">
        <v>67</v>
      </c>
      <c r="O2" s="19" t="s">
        <v>74</v>
      </c>
      <c r="P2" s="19" t="s">
        <v>2</v>
      </c>
      <c r="Q2" s="19" t="s">
        <v>3</v>
      </c>
      <c r="R2" s="19" t="s">
        <v>64</v>
      </c>
    </row>
    <row r="3" spans="1:18" x14ac:dyDescent="0.25">
      <c r="A3" s="24">
        <v>1</v>
      </c>
      <c r="B3" s="25" t="s">
        <v>6</v>
      </c>
      <c r="C3" s="26">
        <v>2000</v>
      </c>
      <c r="D3" s="27">
        <v>0.875</v>
      </c>
      <c r="E3" s="25">
        <v>1076474.5307</v>
      </c>
      <c r="F3" s="25">
        <v>1076534.5307</v>
      </c>
      <c r="G3" s="25">
        <v>1076554.8134999999</v>
      </c>
      <c r="H3" s="25">
        <v>1076614.8134999999</v>
      </c>
      <c r="I3" s="37">
        <f t="shared" ref="I3:I34" si="0">E4-H3</f>
        <v>137.39390000025742</v>
      </c>
      <c r="J3" s="26">
        <f t="shared" ref="J3:J34" si="1">H3-G3</f>
        <v>60</v>
      </c>
      <c r="K3" s="25">
        <f t="shared" ref="K3:K34" si="2">G3-F3</f>
        <v>20.282799999928102</v>
      </c>
      <c r="L3" s="26">
        <v>60</v>
      </c>
      <c r="M3" s="25">
        <v>59</v>
      </c>
      <c r="N3" s="28">
        <f t="shared" ref="N3:N34" si="3">M3-L3</f>
        <v>-1</v>
      </c>
      <c r="O3" s="28">
        <f t="shared" ref="O3:O34" si="4">ABS((20^2*125)/C3)</f>
        <v>25</v>
      </c>
      <c r="P3" s="26">
        <v>100</v>
      </c>
      <c r="Q3" s="24" t="s">
        <v>4</v>
      </c>
      <c r="R3" s="24"/>
    </row>
    <row r="4" spans="1:18" x14ac:dyDescent="0.25">
      <c r="A4" s="24">
        <v>2</v>
      </c>
      <c r="B4" s="25" t="s">
        <v>30</v>
      </c>
      <c r="C4" s="26">
        <v>2000</v>
      </c>
      <c r="D4" s="27">
        <v>0.875</v>
      </c>
      <c r="E4" s="25">
        <v>1076752.2074000002</v>
      </c>
      <c r="F4" s="25">
        <v>1076812.2074000002</v>
      </c>
      <c r="G4" s="25">
        <v>1076838.3818000001</v>
      </c>
      <c r="H4" s="25">
        <v>1076898.3818000001</v>
      </c>
      <c r="I4" s="37">
        <f t="shared" si="0"/>
        <v>525.28329999977723</v>
      </c>
      <c r="J4" s="26">
        <f t="shared" si="1"/>
        <v>60</v>
      </c>
      <c r="K4" s="25">
        <f t="shared" si="2"/>
        <v>26.174399999901652</v>
      </c>
      <c r="L4" s="26">
        <v>60</v>
      </c>
      <c r="M4" s="25">
        <v>59</v>
      </c>
      <c r="N4" s="28">
        <f t="shared" si="3"/>
        <v>-1</v>
      </c>
      <c r="O4" s="28">
        <f t="shared" si="4"/>
        <v>25</v>
      </c>
      <c r="P4" s="26">
        <v>100</v>
      </c>
      <c r="Q4" s="24" t="s">
        <v>5</v>
      </c>
      <c r="R4" s="24"/>
    </row>
    <row r="5" spans="1:18" x14ac:dyDescent="0.25">
      <c r="A5" s="24">
        <v>3</v>
      </c>
      <c r="B5" s="25" t="s">
        <v>7</v>
      </c>
      <c r="C5" s="26">
        <v>3500</v>
      </c>
      <c r="D5" s="27">
        <v>0.5</v>
      </c>
      <c r="E5" s="25">
        <v>1077423.6650999999</v>
      </c>
      <c r="F5" s="25">
        <v>1077463.6650999999</v>
      </c>
      <c r="G5" s="25">
        <v>1077490.6813999999</v>
      </c>
      <c r="H5" s="25">
        <v>1077530.6813999999</v>
      </c>
      <c r="I5" s="37">
        <f t="shared" si="0"/>
        <v>374.93700000015087</v>
      </c>
      <c r="J5" s="26">
        <f t="shared" si="1"/>
        <v>40</v>
      </c>
      <c r="K5" s="25">
        <f t="shared" si="2"/>
        <v>27.016300000017509</v>
      </c>
      <c r="L5" s="26">
        <v>30</v>
      </c>
      <c r="M5" s="25">
        <v>33.713000000000001</v>
      </c>
      <c r="N5" s="28">
        <f t="shared" si="3"/>
        <v>3.713000000000001</v>
      </c>
      <c r="O5" s="28">
        <f t="shared" si="4"/>
        <v>14.285714285714286</v>
      </c>
      <c r="P5" s="26">
        <v>100</v>
      </c>
      <c r="Q5" s="24" t="s">
        <v>5</v>
      </c>
      <c r="R5" s="24"/>
    </row>
    <row r="6" spans="1:18" x14ac:dyDescent="0.25">
      <c r="A6" s="24">
        <v>4</v>
      </c>
      <c r="B6" s="25" t="s">
        <v>8</v>
      </c>
      <c r="C6" s="26">
        <v>7000</v>
      </c>
      <c r="D6" s="27">
        <v>0.25</v>
      </c>
      <c r="E6" s="25">
        <v>1077905.6184</v>
      </c>
      <c r="F6" s="25">
        <v>1077925.6184</v>
      </c>
      <c r="G6" s="25">
        <v>1078038.1351000001</v>
      </c>
      <c r="H6" s="25">
        <v>1078058.1351000001</v>
      </c>
      <c r="I6" s="37">
        <f t="shared" si="0"/>
        <v>3690.8044999998529</v>
      </c>
      <c r="J6" s="26">
        <f t="shared" si="1"/>
        <v>20</v>
      </c>
      <c r="K6" s="25">
        <f t="shared" si="2"/>
        <v>112.51670000003651</v>
      </c>
      <c r="L6" s="26">
        <v>10</v>
      </c>
      <c r="M6" s="25">
        <v>16.856999999999999</v>
      </c>
      <c r="N6" s="28">
        <f t="shared" si="3"/>
        <v>6.8569999999999993</v>
      </c>
      <c r="O6" s="28">
        <f t="shared" si="4"/>
        <v>7.1428571428571432</v>
      </c>
      <c r="P6" s="26">
        <v>100</v>
      </c>
      <c r="Q6" s="24" t="s">
        <v>4</v>
      </c>
      <c r="R6" s="24"/>
    </row>
    <row r="7" spans="1:18" x14ac:dyDescent="0.25">
      <c r="A7" s="24">
        <v>5</v>
      </c>
      <c r="B7" s="25" t="s">
        <v>9</v>
      </c>
      <c r="C7" s="26">
        <v>3000</v>
      </c>
      <c r="D7" s="27">
        <v>0.58333333333333337</v>
      </c>
      <c r="E7" s="25">
        <v>1081748.9395999999</v>
      </c>
      <c r="F7" s="25">
        <v>1081788.9395999999</v>
      </c>
      <c r="G7" s="25">
        <v>1081817.7132999999</v>
      </c>
      <c r="H7" s="25">
        <v>1081857.7132999999</v>
      </c>
      <c r="I7" s="37">
        <f t="shared" si="0"/>
        <v>153.18779999995604</v>
      </c>
      <c r="J7" s="26">
        <f t="shared" si="1"/>
        <v>40</v>
      </c>
      <c r="K7" s="25">
        <f t="shared" si="2"/>
        <v>28.773700000019744</v>
      </c>
      <c r="L7" s="26">
        <v>40</v>
      </c>
      <c r="M7" s="25">
        <v>45.932000000000002</v>
      </c>
      <c r="N7" s="28">
        <f t="shared" si="3"/>
        <v>5.9320000000000022</v>
      </c>
      <c r="O7" s="28">
        <f t="shared" si="4"/>
        <v>16.666666666666668</v>
      </c>
      <c r="P7" s="26">
        <v>100</v>
      </c>
      <c r="Q7" s="24" t="s">
        <v>5</v>
      </c>
      <c r="R7" s="24"/>
    </row>
    <row r="8" spans="1:18" x14ac:dyDescent="0.25">
      <c r="A8" s="24">
        <v>6</v>
      </c>
      <c r="B8" s="25" t="s">
        <v>10</v>
      </c>
      <c r="C8" s="26">
        <v>1750.0002999999999</v>
      </c>
      <c r="D8" s="27">
        <v>0.99999982857145797</v>
      </c>
      <c r="E8" s="25">
        <v>1082010.9010999999</v>
      </c>
      <c r="F8" s="25">
        <v>1082080.9010999999</v>
      </c>
      <c r="G8" s="25">
        <v>1082111.7324999999</v>
      </c>
      <c r="H8" s="25">
        <v>1082181.7324999999</v>
      </c>
      <c r="I8" s="37">
        <f t="shared" si="0"/>
        <v>162.3464999999851</v>
      </c>
      <c r="J8" s="26">
        <f t="shared" si="1"/>
        <v>70</v>
      </c>
      <c r="K8" s="25">
        <f t="shared" si="2"/>
        <v>30.831400000024587</v>
      </c>
      <c r="L8" s="26">
        <v>70</v>
      </c>
      <c r="M8" s="25">
        <v>78.739999999999995</v>
      </c>
      <c r="N8" s="28">
        <f t="shared" si="3"/>
        <v>8.7399999999999949</v>
      </c>
      <c r="O8" s="28">
        <f t="shared" si="4"/>
        <v>28.571423673470228</v>
      </c>
      <c r="P8" s="26">
        <v>100</v>
      </c>
      <c r="Q8" s="24" t="s">
        <v>4</v>
      </c>
      <c r="R8" s="24"/>
    </row>
    <row r="9" spans="1:18" x14ac:dyDescent="0.25">
      <c r="A9" s="24">
        <v>7</v>
      </c>
      <c r="B9" s="25" t="s">
        <v>11</v>
      </c>
      <c r="C9" s="26">
        <v>2500</v>
      </c>
      <c r="D9" s="27">
        <v>0.7</v>
      </c>
      <c r="E9" s="25">
        <v>1082344.0789999999</v>
      </c>
      <c r="F9" s="25">
        <v>1082394.0789999999</v>
      </c>
      <c r="G9" s="25">
        <v>1082428.1346</v>
      </c>
      <c r="H9" s="25">
        <v>1082478.1346</v>
      </c>
      <c r="I9" s="37">
        <f t="shared" si="0"/>
        <v>255.47060000011697</v>
      </c>
      <c r="J9" s="26">
        <f t="shared" si="1"/>
        <v>50</v>
      </c>
      <c r="K9" s="25">
        <f t="shared" si="2"/>
        <v>34.055600000079721</v>
      </c>
      <c r="L9" s="26">
        <v>60</v>
      </c>
      <c r="M9" s="25">
        <v>55.118000000000002</v>
      </c>
      <c r="N9" s="28">
        <f t="shared" si="3"/>
        <v>-4.8819999999999979</v>
      </c>
      <c r="O9" s="28">
        <f t="shared" si="4"/>
        <v>20</v>
      </c>
      <c r="P9" s="26">
        <v>100</v>
      </c>
      <c r="Q9" s="24" t="s">
        <v>5</v>
      </c>
      <c r="R9" s="24"/>
    </row>
    <row r="10" spans="1:18" x14ac:dyDescent="0.25">
      <c r="A10" s="24">
        <v>8</v>
      </c>
      <c r="B10" s="25" t="s">
        <v>31</v>
      </c>
      <c r="C10" s="26">
        <v>2500</v>
      </c>
      <c r="D10" s="27">
        <v>0.7</v>
      </c>
      <c r="E10" s="25">
        <v>1082733.6052000001</v>
      </c>
      <c r="F10" s="25">
        <v>1082783.6052000001</v>
      </c>
      <c r="G10" s="25">
        <v>1082812.1166000001</v>
      </c>
      <c r="H10" s="25">
        <v>1082862.1166000001</v>
      </c>
      <c r="I10" s="37">
        <f t="shared" si="0"/>
        <v>261.71360000013374</v>
      </c>
      <c r="J10" s="26">
        <f t="shared" si="1"/>
        <v>50</v>
      </c>
      <c r="K10" s="25">
        <f t="shared" si="2"/>
        <v>28.511399999959394</v>
      </c>
      <c r="L10" s="26">
        <v>50</v>
      </c>
      <c r="M10" s="25">
        <v>55.118000000000002</v>
      </c>
      <c r="N10" s="28">
        <f t="shared" si="3"/>
        <v>5.1180000000000021</v>
      </c>
      <c r="O10" s="28">
        <f t="shared" si="4"/>
        <v>20</v>
      </c>
      <c r="P10" s="26">
        <v>100</v>
      </c>
      <c r="Q10" s="24" t="s">
        <v>5</v>
      </c>
      <c r="R10" s="24"/>
    </row>
    <row r="11" spans="1:18" x14ac:dyDescent="0.25">
      <c r="A11" s="24">
        <v>9</v>
      </c>
      <c r="B11" s="25" t="s">
        <v>32</v>
      </c>
      <c r="C11" s="26">
        <v>2500</v>
      </c>
      <c r="D11" s="27">
        <v>0.7</v>
      </c>
      <c r="E11" s="25">
        <v>1083123.8302000002</v>
      </c>
      <c r="F11" s="25">
        <v>1083173.8302000002</v>
      </c>
      <c r="G11" s="25">
        <v>1083200.3296000003</v>
      </c>
      <c r="H11" s="25">
        <v>1083250.3296000003</v>
      </c>
      <c r="I11" s="37">
        <f t="shared" si="0"/>
        <v>685.07919999957085</v>
      </c>
      <c r="J11" s="26">
        <f t="shared" si="1"/>
        <v>50</v>
      </c>
      <c r="K11" s="25">
        <f t="shared" si="2"/>
        <v>26.499400000087917</v>
      </c>
      <c r="L11" s="26">
        <v>50</v>
      </c>
      <c r="M11" s="25">
        <v>55.118000000000002</v>
      </c>
      <c r="N11" s="28">
        <f t="shared" si="3"/>
        <v>5.1180000000000021</v>
      </c>
      <c r="O11" s="28">
        <f t="shared" si="4"/>
        <v>20</v>
      </c>
      <c r="P11" s="26">
        <v>100</v>
      </c>
      <c r="Q11" s="24" t="s">
        <v>4</v>
      </c>
      <c r="R11" s="24"/>
    </row>
    <row r="12" spans="1:18" x14ac:dyDescent="0.25">
      <c r="A12" s="24">
        <v>10</v>
      </c>
      <c r="B12" s="25" t="s">
        <v>12</v>
      </c>
      <c r="C12" s="26">
        <v>5000</v>
      </c>
      <c r="D12" s="27">
        <v>0.35</v>
      </c>
      <c r="E12" s="25">
        <v>1083935.4087999999</v>
      </c>
      <c r="F12" s="25">
        <v>1083975.4087999999</v>
      </c>
      <c r="G12" s="25">
        <v>1084010.5822999999</v>
      </c>
      <c r="H12" s="25">
        <v>1084050.5822999999</v>
      </c>
      <c r="I12" s="37">
        <f t="shared" si="0"/>
        <v>123.97820000024512</v>
      </c>
      <c r="J12" s="26">
        <f t="shared" si="1"/>
        <v>40</v>
      </c>
      <c r="K12" s="25">
        <f t="shared" si="2"/>
        <v>35.173500000033528</v>
      </c>
      <c r="L12" s="26">
        <v>20</v>
      </c>
      <c r="M12" s="25">
        <v>27.559000000000001</v>
      </c>
      <c r="N12" s="28">
        <f t="shared" si="3"/>
        <v>7.5590000000000011</v>
      </c>
      <c r="O12" s="28">
        <f t="shared" si="4"/>
        <v>10</v>
      </c>
      <c r="P12" s="26">
        <v>100</v>
      </c>
      <c r="Q12" s="24" t="s">
        <v>4</v>
      </c>
      <c r="R12" s="24"/>
    </row>
    <row r="13" spans="1:18" x14ac:dyDescent="0.25">
      <c r="A13" s="24">
        <v>11</v>
      </c>
      <c r="B13" s="25" t="s">
        <v>33</v>
      </c>
      <c r="C13" s="26">
        <v>5000</v>
      </c>
      <c r="D13" s="27">
        <v>0.35</v>
      </c>
      <c r="E13" s="25">
        <v>1084174.5605000001</v>
      </c>
      <c r="F13" s="25">
        <v>1084214.5605000001</v>
      </c>
      <c r="G13" s="25">
        <v>1084249.6451000001</v>
      </c>
      <c r="H13" s="25">
        <v>1084289.6451000001</v>
      </c>
      <c r="I13" s="37">
        <f t="shared" si="0"/>
        <v>227.71160000003874</v>
      </c>
      <c r="J13" s="26">
        <f t="shared" si="1"/>
        <v>40</v>
      </c>
      <c r="K13" s="25">
        <f t="shared" si="2"/>
        <v>35.084599999943748</v>
      </c>
      <c r="L13" s="26">
        <v>20</v>
      </c>
      <c r="M13" s="25">
        <v>27.559000000000001</v>
      </c>
      <c r="N13" s="28">
        <f t="shared" si="3"/>
        <v>7.5590000000000011</v>
      </c>
      <c r="O13" s="28">
        <f t="shared" si="4"/>
        <v>10</v>
      </c>
      <c r="P13" s="26">
        <v>100</v>
      </c>
      <c r="Q13" s="24" t="s">
        <v>5</v>
      </c>
      <c r="R13" s="24"/>
    </row>
    <row r="14" spans="1:18" x14ac:dyDescent="0.25">
      <c r="A14" s="24">
        <v>12</v>
      </c>
      <c r="B14" s="25" t="s">
        <v>34</v>
      </c>
      <c r="C14" s="26">
        <v>3000</v>
      </c>
      <c r="D14" s="27">
        <v>0.58333333333333337</v>
      </c>
      <c r="E14" s="25">
        <v>1084517.3567000001</v>
      </c>
      <c r="F14" s="25">
        <v>1084557.3567000001</v>
      </c>
      <c r="G14" s="25">
        <v>1084582.7764000001</v>
      </c>
      <c r="H14" s="25">
        <v>1084622.7764000001</v>
      </c>
      <c r="I14" s="37">
        <f t="shared" si="0"/>
        <v>62.054699999978766</v>
      </c>
      <c r="J14" s="26">
        <f t="shared" si="1"/>
        <v>40</v>
      </c>
      <c r="K14" s="25">
        <f t="shared" si="2"/>
        <v>25.419699999969453</v>
      </c>
      <c r="L14" s="26">
        <v>40</v>
      </c>
      <c r="M14" s="25">
        <v>45.932000000000002</v>
      </c>
      <c r="N14" s="28">
        <f t="shared" si="3"/>
        <v>5.9320000000000022</v>
      </c>
      <c r="O14" s="28">
        <f t="shared" si="4"/>
        <v>16.666666666666668</v>
      </c>
      <c r="P14" s="26">
        <v>100</v>
      </c>
      <c r="Q14" s="24" t="s">
        <v>5</v>
      </c>
      <c r="R14" s="24"/>
    </row>
    <row r="15" spans="1:18" x14ac:dyDescent="0.25">
      <c r="A15" s="24">
        <v>13</v>
      </c>
      <c r="B15" s="25" t="s">
        <v>13</v>
      </c>
      <c r="C15" s="26">
        <v>2800</v>
      </c>
      <c r="D15" s="27">
        <v>0.625</v>
      </c>
      <c r="E15" s="25">
        <v>1084684.8311000001</v>
      </c>
      <c r="F15" s="25">
        <v>1084724.8311000001</v>
      </c>
      <c r="G15" s="25">
        <v>1084745.8397000001</v>
      </c>
      <c r="H15" s="25">
        <v>1084785.8397000001</v>
      </c>
      <c r="I15" s="37">
        <f t="shared" si="0"/>
        <v>923.5293000000529</v>
      </c>
      <c r="J15" s="26">
        <f t="shared" si="1"/>
        <v>40</v>
      </c>
      <c r="K15" s="25">
        <f t="shared" si="2"/>
        <v>21.008600000059232</v>
      </c>
      <c r="L15" s="26">
        <v>40</v>
      </c>
      <c r="M15" s="25">
        <v>49.213000000000001</v>
      </c>
      <c r="N15" s="28">
        <f t="shared" si="3"/>
        <v>9.213000000000001</v>
      </c>
      <c r="O15" s="28">
        <f t="shared" si="4"/>
        <v>17.857142857142858</v>
      </c>
      <c r="P15" s="26">
        <v>100</v>
      </c>
      <c r="Q15" s="24" t="s">
        <v>4</v>
      </c>
      <c r="R15" s="24"/>
    </row>
    <row r="16" spans="1:18" x14ac:dyDescent="0.25">
      <c r="A16" s="24">
        <v>14</v>
      </c>
      <c r="B16" s="25" t="s">
        <v>35</v>
      </c>
      <c r="C16" s="26">
        <v>5000</v>
      </c>
      <c r="D16" s="27">
        <v>0.35</v>
      </c>
      <c r="E16" s="25">
        <v>1085709.3690000002</v>
      </c>
      <c r="F16" s="25">
        <v>1085749.3690000002</v>
      </c>
      <c r="G16" s="25">
        <v>1085786.2420000001</v>
      </c>
      <c r="H16" s="25">
        <v>1085826.2420000001</v>
      </c>
      <c r="I16" s="37">
        <f t="shared" si="0"/>
        <v>117.28689999994822</v>
      </c>
      <c r="J16" s="26">
        <f t="shared" si="1"/>
        <v>40</v>
      </c>
      <c r="K16" s="25">
        <f t="shared" si="2"/>
        <v>36.872999999905005</v>
      </c>
      <c r="L16" s="26">
        <v>20</v>
      </c>
      <c r="M16" s="25">
        <v>27.559000000000001</v>
      </c>
      <c r="N16" s="28">
        <f t="shared" si="3"/>
        <v>7.5590000000000011</v>
      </c>
      <c r="O16" s="28">
        <f t="shared" si="4"/>
        <v>10</v>
      </c>
      <c r="P16" s="26">
        <v>100</v>
      </c>
      <c r="Q16" s="24" t="s">
        <v>4</v>
      </c>
      <c r="R16" s="24"/>
    </row>
    <row r="17" spans="1:18" x14ac:dyDescent="0.25">
      <c r="A17" s="24">
        <v>15</v>
      </c>
      <c r="B17" s="25" t="s">
        <v>35</v>
      </c>
      <c r="C17" s="26">
        <v>5000</v>
      </c>
      <c r="D17" s="27">
        <v>0.35</v>
      </c>
      <c r="E17" s="25">
        <v>1085943.5289</v>
      </c>
      <c r="F17" s="25">
        <v>1085983.5289</v>
      </c>
      <c r="G17" s="25">
        <v>1086020.4018999999</v>
      </c>
      <c r="H17" s="25">
        <v>1086060.4018999999</v>
      </c>
      <c r="I17" s="37">
        <f t="shared" si="0"/>
        <v>403.03289999999106</v>
      </c>
      <c r="J17" s="26">
        <f t="shared" si="1"/>
        <v>40</v>
      </c>
      <c r="K17" s="25">
        <f t="shared" si="2"/>
        <v>36.872999999905005</v>
      </c>
      <c r="L17" s="26">
        <v>20</v>
      </c>
      <c r="M17" s="25">
        <v>27.559000000000001</v>
      </c>
      <c r="N17" s="28">
        <f t="shared" si="3"/>
        <v>7.5590000000000011</v>
      </c>
      <c r="O17" s="28">
        <f t="shared" si="4"/>
        <v>10</v>
      </c>
      <c r="P17" s="26">
        <v>100</v>
      </c>
      <c r="Q17" s="24" t="s">
        <v>5</v>
      </c>
      <c r="R17" s="24"/>
    </row>
    <row r="18" spans="1:18" x14ac:dyDescent="0.25">
      <c r="A18" s="24">
        <v>16</v>
      </c>
      <c r="B18" s="25" t="s">
        <v>36</v>
      </c>
      <c r="C18" s="26">
        <v>5000.0001000000002</v>
      </c>
      <c r="D18" s="27">
        <v>0.34999999300000012</v>
      </c>
      <c r="E18" s="25">
        <v>1086463.4347999999</v>
      </c>
      <c r="F18" s="25">
        <v>1086503.4347999999</v>
      </c>
      <c r="G18" s="25">
        <v>1086528.7671999999</v>
      </c>
      <c r="H18" s="25">
        <v>1086568.7671999999</v>
      </c>
      <c r="I18" s="37">
        <f t="shared" si="0"/>
        <v>170.18840000010096</v>
      </c>
      <c r="J18" s="26">
        <f t="shared" si="1"/>
        <v>40</v>
      </c>
      <c r="K18" s="25">
        <f t="shared" si="2"/>
        <v>25.332399999955669</v>
      </c>
      <c r="L18" s="26">
        <v>20</v>
      </c>
      <c r="M18" s="25">
        <v>27.559000000000001</v>
      </c>
      <c r="N18" s="28">
        <f t="shared" si="3"/>
        <v>7.5590000000000011</v>
      </c>
      <c r="O18" s="28">
        <f t="shared" si="4"/>
        <v>9.999999800000003</v>
      </c>
      <c r="P18" s="26">
        <v>100</v>
      </c>
      <c r="Q18" s="24" t="s">
        <v>5</v>
      </c>
      <c r="R18" s="24"/>
    </row>
    <row r="19" spans="1:18" x14ac:dyDescent="0.25">
      <c r="A19" s="24">
        <v>17</v>
      </c>
      <c r="B19" s="25" t="s">
        <v>36</v>
      </c>
      <c r="C19" s="26">
        <v>5000</v>
      </c>
      <c r="D19" s="27">
        <v>0.35</v>
      </c>
      <c r="E19" s="25">
        <v>1086738.9556</v>
      </c>
      <c r="F19" s="25">
        <v>1086778.9556</v>
      </c>
      <c r="G19" s="25">
        <v>1086804.2879999999</v>
      </c>
      <c r="H19" s="25">
        <v>1086844.2879999999</v>
      </c>
      <c r="I19" s="37">
        <f t="shared" si="0"/>
        <v>1851.2706999999937</v>
      </c>
      <c r="J19" s="26">
        <f t="shared" si="1"/>
        <v>40</v>
      </c>
      <c r="K19" s="25">
        <f t="shared" si="2"/>
        <v>25.332399999955669</v>
      </c>
      <c r="L19" s="26">
        <v>20</v>
      </c>
      <c r="M19" s="25">
        <v>27.559000000000001</v>
      </c>
      <c r="N19" s="28">
        <f t="shared" si="3"/>
        <v>7.5590000000000011</v>
      </c>
      <c r="O19" s="28">
        <f t="shared" si="4"/>
        <v>10</v>
      </c>
      <c r="P19" s="26">
        <v>100</v>
      </c>
      <c r="Q19" s="24" t="s">
        <v>4</v>
      </c>
      <c r="R19" s="24"/>
    </row>
    <row r="20" spans="1:18" x14ac:dyDescent="0.25">
      <c r="A20" s="24">
        <v>18</v>
      </c>
      <c r="B20" s="25" t="s">
        <v>14</v>
      </c>
      <c r="C20" s="26">
        <v>3100</v>
      </c>
      <c r="D20" s="27">
        <v>0.56451612903225812</v>
      </c>
      <c r="E20" s="25">
        <v>1088695.5586999999</v>
      </c>
      <c r="F20" s="25">
        <v>1088735.5586999999</v>
      </c>
      <c r="G20" s="25">
        <v>1090177.6605999998</v>
      </c>
      <c r="H20" s="25">
        <v>1090217.6605999998</v>
      </c>
      <c r="I20" s="37">
        <f t="shared" si="0"/>
        <v>125.15570000023581</v>
      </c>
      <c r="J20" s="26">
        <f t="shared" si="1"/>
        <v>40</v>
      </c>
      <c r="K20" s="25">
        <f t="shared" si="2"/>
        <v>1442.1018999998923</v>
      </c>
      <c r="L20" s="26">
        <v>40</v>
      </c>
      <c r="M20" s="25">
        <v>44.45</v>
      </c>
      <c r="N20" s="28">
        <f t="shared" si="3"/>
        <v>4.4500000000000028</v>
      </c>
      <c r="O20" s="28">
        <f t="shared" si="4"/>
        <v>16.129032258064516</v>
      </c>
      <c r="P20" s="26">
        <v>100</v>
      </c>
      <c r="Q20" s="24" t="s">
        <v>5</v>
      </c>
      <c r="R20" s="24"/>
    </row>
    <row r="21" spans="1:18" x14ac:dyDescent="0.25">
      <c r="A21" s="24">
        <v>19</v>
      </c>
      <c r="B21" s="25" t="s">
        <v>37</v>
      </c>
      <c r="C21" s="26">
        <v>1750.0002999999999</v>
      </c>
      <c r="D21" s="27">
        <v>0.99999982857145797</v>
      </c>
      <c r="E21" s="25">
        <v>1090342.8163000001</v>
      </c>
      <c r="F21" s="25">
        <v>1090412.8163000001</v>
      </c>
      <c r="G21" s="25">
        <v>1090593.4595000001</v>
      </c>
      <c r="H21" s="25">
        <v>1090663.4595000001</v>
      </c>
      <c r="I21" s="37">
        <f t="shared" si="0"/>
        <v>793.39529999997467</v>
      </c>
      <c r="J21" s="26">
        <f t="shared" si="1"/>
        <v>70</v>
      </c>
      <c r="K21" s="25">
        <f t="shared" si="2"/>
        <v>180.64320000004955</v>
      </c>
      <c r="L21" s="26">
        <v>70</v>
      </c>
      <c r="M21" s="25">
        <v>78.739999999999995</v>
      </c>
      <c r="N21" s="28">
        <f t="shared" si="3"/>
        <v>8.7399999999999949</v>
      </c>
      <c r="O21" s="28">
        <f t="shared" si="4"/>
        <v>28.571423673470228</v>
      </c>
      <c r="P21" s="26">
        <v>100</v>
      </c>
      <c r="Q21" s="24" t="s">
        <v>4</v>
      </c>
      <c r="R21" s="24"/>
    </row>
    <row r="22" spans="1:18" x14ac:dyDescent="0.25">
      <c r="A22" s="24">
        <v>20</v>
      </c>
      <c r="B22" s="25" t="s">
        <v>15</v>
      </c>
      <c r="C22" s="26">
        <v>1700.0002999999999</v>
      </c>
      <c r="D22" s="27">
        <v>1.0294115830450099</v>
      </c>
      <c r="E22" s="25">
        <v>1091456.8548000001</v>
      </c>
      <c r="F22" s="25">
        <v>1091526.8548000001</v>
      </c>
      <c r="G22" s="25">
        <v>1091643.3221</v>
      </c>
      <c r="H22" s="25">
        <v>1091713.3221</v>
      </c>
      <c r="I22" s="37">
        <f t="shared" si="0"/>
        <v>566.19680000003427</v>
      </c>
      <c r="J22" s="26">
        <f t="shared" si="1"/>
        <v>70</v>
      </c>
      <c r="K22" s="25">
        <f t="shared" si="2"/>
        <v>116.46729999990202</v>
      </c>
      <c r="L22" s="26">
        <v>80</v>
      </c>
      <c r="M22" s="25">
        <v>81.055999999999997</v>
      </c>
      <c r="N22" s="28">
        <f t="shared" si="3"/>
        <v>1.0559999999999974</v>
      </c>
      <c r="O22" s="28">
        <f t="shared" si="4"/>
        <v>29.411759515571852</v>
      </c>
      <c r="P22" s="26">
        <v>100</v>
      </c>
      <c r="Q22" s="24" t="s">
        <v>4</v>
      </c>
      <c r="R22" s="24"/>
    </row>
    <row r="23" spans="1:18" x14ac:dyDescent="0.25">
      <c r="A23" s="24">
        <v>21</v>
      </c>
      <c r="B23" s="25" t="s">
        <v>38</v>
      </c>
      <c r="C23" s="26">
        <v>1750.0002999999999</v>
      </c>
      <c r="D23" s="27">
        <v>0.99999982857145797</v>
      </c>
      <c r="E23" s="25">
        <v>1092279.5189</v>
      </c>
      <c r="F23" s="25">
        <v>1092349.5189</v>
      </c>
      <c r="G23" s="25">
        <v>1092469.6189000001</v>
      </c>
      <c r="H23" s="25">
        <v>1092539.6189000001</v>
      </c>
      <c r="I23" s="37">
        <f t="shared" si="0"/>
        <v>1883.7727999999188</v>
      </c>
      <c r="J23" s="26">
        <f t="shared" si="1"/>
        <v>70</v>
      </c>
      <c r="K23" s="25">
        <f t="shared" si="2"/>
        <v>120.10000000009313</v>
      </c>
      <c r="L23" s="26">
        <v>70</v>
      </c>
      <c r="M23" s="25">
        <v>78.739999999999995</v>
      </c>
      <c r="N23" s="28">
        <f t="shared" si="3"/>
        <v>8.7399999999999949</v>
      </c>
      <c r="O23" s="28">
        <f t="shared" si="4"/>
        <v>28.571423673470228</v>
      </c>
      <c r="P23" s="26">
        <v>100</v>
      </c>
      <c r="Q23" s="24" t="s">
        <v>5</v>
      </c>
      <c r="R23" s="24"/>
    </row>
    <row r="24" spans="1:18" x14ac:dyDescent="0.25">
      <c r="A24" s="24">
        <v>22</v>
      </c>
      <c r="B24" s="25" t="s">
        <v>39</v>
      </c>
      <c r="C24" s="26">
        <v>3000</v>
      </c>
      <c r="D24" s="27">
        <v>0.58333333333333304</v>
      </c>
      <c r="E24" s="25">
        <v>1094423.3917</v>
      </c>
      <c r="F24" s="25">
        <v>1094463.3917</v>
      </c>
      <c r="G24" s="25">
        <v>1095432.4517999999</v>
      </c>
      <c r="H24" s="25">
        <v>1095472.4517999999</v>
      </c>
      <c r="I24" s="37">
        <f t="shared" si="0"/>
        <v>2747.5950000002049</v>
      </c>
      <c r="J24" s="26">
        <f t="shared" si="1"/>
        <v>40</v>
      </c>
      <c r="K24" s="25">
        <f t="shared" si="2"/>
        <v>969.06009999988601</v>
      </c>
      <c r="L24" s="26">
        <v>40</v>
      </c>
      <c r="M24" s="25">
        <v>45.932000000000002</v>
      </c>
      <c r="N24" s="28">
        <f t="shared" si="3"/>
        <v>5.9320000000000022</v>
      </c>
      <c r="O24" s="28">
        <f t="shared" si="4"/>
        <v>16.666666666666668</v>
      </c>
      <c r="P24" s="26">
        <v>100</v>
      </c>
      <c r="Q24" s="24" t="s">
        <v>4</v>
      </c>
      <c r="R24" s="24"/>
    </row>
    <row r="25" spans="1:18" x14ac:dyDescent="0.25">
      <c r="A25" s="24">
        <v>23</v>
      </c>
      <c r="B25" s="25" t="s">
        <v>40</v>
      </c>
      <c r="C25" s="26">
        <v>1750.0002999999999</v>
      </c>
      <c r="D25" s="27">
        <v>0.99999982857145797</v>
      </c>
      <c r="E25" s="25">
        <v>1098220.0468000001</v>
      </c>
      <c r="F25" s="25">
        <v>1098290.0468000001</v>
      </c>
      <c r="G25" s="25">
        <v>1098471.8111</v>
      </c>
      <c r="H25" s="25">
        <v>1098541.8111</v>
      </c>
      <c r="I25" s="37">
        <f t="shared" si="0"/>
        <v>151.01839999994263</v>
      </c>
      <c r="J25" s="26">
        <f t="shared" si="1"/>
        <v>70</v>
      </c>
      <c r="K25" s="25">
        <f t="shared" si="2"/>
        <v>181.76429999992251</v>
      </c>
      <c r="L25" s="26">
        <v>70</v>
      </c>
      <c r="M25" s="25">
        <v>78.739999999999995</v>
      </c>
      <c r="N25" s="28">
        <f t="shared" si="3"/>
        <v>8.7399999999999949</v>
      </c>
      <c r="O25" s="28">
        <f t="shared" si="4"/>
        <v>28.571423673470228</v>
      </c>
      <c r="P25" s="26">
        <v>100</v>
      </c>
      <c r="Q25" s="24" t="s">
        <v>4</v>
      </c>
      <c r="R25" s="24"/>
    </row>
    <row r="26" spans="1:18" x14ac:dyDescent="0.25">
      <c r="A26" s="24">
        <v>24</v>
      </c>
      <c r="B26" s="25" t="s">
        <v>41</v>
      </c>
      <c r="C26" s="26">
        <v>1750.0002999999999</v>
      </c>
      <c r="D26" s="27">
        <v>0.99999982857145797</v>
      </c>
      <c r="E26" s="25">
        <v>1098692.8295</v>
      </c>
      <c r="F26" s="25">
        <v>1098762.8295</v>
      </c>
      <c r="G26" s="25">
        <v>1098945.2896</v>
      </c>
      <c r="H26" s="25">
        <v>1099015.2896</v>
      </c>
      <c r="I26" s="37">
        <f t="shared" si="0"/>
        <v>231.25059999991208</v>
      </c>
      <c r="J26" s="26">
        <f t="shared" si="1"/>
        <v>70</v>
      </c>
      <c r="K26" s="25">
        <f t="shared" si="2"/>
        <v>182.4601000000257</v>
      </c>
      <c r="L26" s="26">
        <v>70</v>
      </c>
      <c r="M26" s="25">
        <v>78.739999999999995</v>
      </c>
      <c r="N26" s="28">
        <f t="shared" si="3"/>
        <v>8.7399999999999949</v>
      </c>
      <c r="O26" s="28">
        <f t="shared" si="4"/>
        <v>28.571423673470228</v>
      </c>
      <c r="P26" s="26">
        <v>100</v>
      </c>
      <c r="Q26" s="24" t="s">
        <v>5</v>
      </c>
      <c r="R26" s="24"/>
    </row>
    <row r="27" spans="1:18" x14ac:dyDescent="0.25">
      <c r="A27" s="24">
        <v>25</v>
      </c>
      <c r="B27" s="25" t="s">
        <v>42</v>
      </c>
      <c r="C27" s="26">
        <v>3500</v>
      </c>
      <c r="D27" s="27">
        <v>0.5</v>
      </c>
      <c r="E27" s="25">
        <v>1099246.5401999999</v>
      </c>
      <c r="F27" s="25">
        <v>1099286.5401999999</v>
      </c>
      <c r="G27" s="25">
        <v>1099324.3829999999</v>
      </c>
      <c r="H27" s="25">
        <v>1099364.3829999999</v>
      </c>
      <c r="I27" s="37">
        <f t="shared" si="0"/>
        <v>93.457099999999627</v>
      </c>
      <c r="J27" s="26">
        <f t="shared" si="1"/>
        <v>40</v>
      </c>
      <c r="K27" s="25">
        <f t="shared" si="2"/>
        <v>37.842799999983981</v>
      </c>
      <c r="L27" s="26">
        <v>30</v>
      </c>
      <c r="M27" s="25">
        <v>39.369999999999997</v>
      </c>
      <c r="N27" s="28">
        <f t="shared" si="3"/>
        <v>9.3699999999999974</v>
      </c>
      <c r="O27" s="28">
        <f t="shared" si="4"/>
        <v>14.285714285714286</v>
      </c>
      <c r="P27" s="26">
        <v>100</v>
      </c>
      <c r="Q27" s="24" t="s">
        <v>4</v>
      </c>
      <c r="R27" s="24"/>
    </row>
    <row r="28" spans="1:18" x14ac:dyDescent="0.25">
      <c r="A28" s="24">
        <v>26</v>
      </c>
      <c r="B28" s="25" t="s">
        <v>43</v>
      </c>
      <c r="C28" s="26">
        <v>3500</v>
      </c>
      <c r="D28" s="27">
        <v>0.5</v>
      </c>
      <c r="E28" s="25">
        <v>1099457.8400999999</v>
      </c>
      <c r="F28" s="25">
        <v>1099497.8400999999</v>
      </c>
      <c r="G28" s="25">
        <v>1099538.1468</v>
      </c>
      <c r="H28" s="25">
        <v>1099578.1468</v>
      </c>
      <c r="I28" s="37">
        <f t="shared" si="0"/>
        <v>57.441499999957159</v>
      </c>
      <c r="J28" s="26">
        <f t="shared" si="1"/>
        <v>40</v>
      </c>
      <c r="K28" s="25">
        <f t="shared" si="2"/>
        <v>40.306700000073761</v>
      </c>
      <c r="L28" s="26">
        <v>30</v>
      </c>
      <c r="M28" s="25">
        <v>39.369999999999997</v>
      </c>
      <c r="N28" s="28">
        <f t="shared" si="3"/>
        <v>9.3699999999999974</v>
      </c>
      <c r="O28" s="28">
        <f t="shared" si="4"/>
        <v>14.285714285714286</v>
      </c>
      <c r="P28" s="26">
        <v>100</v>
      </c>
      <c r="Q28" s="24" t="s">
        <v>5</v>
      </c>
      <c r="R28" s="24"/>
    </row>
    <row r="29" spans="1:18" x14ac:dyDescent="0.25">
      <c r="A29" s="24">
        <v>27</v>
      </c>
      <c r="B29" s="25" t="s">
        <v>16</v>
      </c>
      <c r="C29" s="26">
        <v>920.0154</v>
      </c>
      <c r="D29" s="27">
        <v>1.9021420728392155</v>
      </c>
      <c r="E29" s="25">
        <v>1099635.5882999999</v>
      </c>
      <c r="F29" s="25">
        <v>1099755.5882999999</v>
      </c>
      <c r="G29" s="25">
        <v>1099800.0555</v>
      </c>
      <c r="H29" s="25">
        <v>1099920.0555</v>
      </c>
      <c r="I29" s="37">
        <f t="shared" si="0"/>
        <v>51.525099999969825</v>
      </c>
      <c r="J29" s="26">
        <f t="shared" si="1"/>
        <v>120</v>
      </c>
      <c r="K29" s="25">
        <f t="shared" si="2"/>
        <v>44.467200000071898</v>
      </c>
      <c r="L29" s="26">
        <v>110</v>
      </c>
      <c r="M29" s="25">
        <v>149.77699999999999</v>
      </c>
      <c r="N29" s="28">
        <f t="shared" si="3"/>
        <v>39.776999999999987</v>
      </c>
      <c r="O29" s="28">
        <f t="shared" si="4"/>
        <v>54.346916366834726</v>
      </c>
      <c r="P29" s="26">
        <v>100</v>
      </c>
      <c r="Q29" s="24" t="s">
        <v>5</v>
      </c>
      <c r="R29" s="24"/>
    </row>
    <row r="30" spans="1:18" x14ac:dyDescent="0.25">
      <c r="A30" s="24">
        <v>28</v>
      </c>
      <c r="B30" s="25" t="s">
        <v>17</v>
      </c>
      <c r="C30" s="26">
        <v>1400.0009</v>
      </c>
      <c r="D30" s="27">
        <v>1.24999919642909</v>
      </c>
      <c r="E30" s="25">
        <v>1099971.5806</v>
      </c>
      <c r="F30" s="25">
        <v>1100051.5806</v>
      </c>
      <c r="G30" s="25">
        <v>1100424.1621000001</v>
      </c>
      <c r="H30" s="25">
        <v>1100504.1621000001</v>
      </c>
      <c r="I30" s="37">
        <f t="shared" si="0"/>
        <v>344.7198999999091</v>
      </c>
      <c r="J30" s="26">
        <f t="shared" si="1"/>
        <v>80</v>
      </c>
      <c r="K30" s="25">
        <f t="shared" si="2"/>
        <v>372.58150000008754</v>
      </c>
      <c r="L30" s="26">
        <v>80</v>
      </c>
      <c r="M30" s="25">
        <v>98.421999999999997</v>
      </c>
      <c r="N30" s="28">
        <f t="shared" si="3"/>
        <v>18.421999999999997</v>
      </c>
      <c r="O30" s="28">
        <f t="shared" si="4"/>
        <v>35.714262755116799</v>
      </c>
      <c r="P30" s="26">
        <v>100</v>
      </c>
      <c r="Q30" s="24" t="s">
        <v>4</v>
      </c>
      <c r="R30" s="24"/>
    </row>
    <row r="31" spans="1:18" x14ac:dyDescent="0.25">
      <c r="A31" s="24">
        <v>29</v>
      </c>
      <c r="B31" s="25" t="s">
        <v>44</v>
      </c>
      <c r="C31" s="26">
        <v>3000</v>
      </c>
      <c r="D31" s="27">
        <v>0.58333333333333337</v>
      </c>
      <c r="E31" s="25">
        <v>1100848.882</v>
      </c>
      <c r="F31" s="25">
        <v>1100888.882</v>
      </c>
      <c r="G31" s="25">
        <v>1100910.3546</v>
      </c>
      <c r="H31" s="25">
        <v>1100950.3546</v>
      </c>
      <c r="I31" s="37">
        <f t="shared" si="0"/>
        <v>347.3230999999214</v>
      </c>
      <c r="J31" s="26">
        <f t="shared" si="1"/>
        <v>40</v>
      </c>
      <c r="K31" s="25">
        <f t="shared" si="2"/>
        <v>21.472599999979138</v>
      </c>
      <c r="L31" s="26">
        <v>40</v>
      </c>
      <c r="M31" s="25">
        <v>45.929000000000002</v>
      </c>
      <c r="N31" s="28">
        <f t="shared" si="3"/>
        <v>5.929000000000002</v>
      </c>
      <c r="O31" s="28">
        <f t="shared" si="4"/>
        <v>16.666666666666668</v>
      </c>
      <c r="P31" s="26">
        <v>100</v>
      </c>
      <c r="Q31" s="24" t="s">
        <v>5</v>
      </c>
      <c r="R31" s="24"/>
    </row>
    <row r="32" spans="1:18" x14ac:dyDescent="0.25">
      <c r="A32" s="24">
        <v>30</v>
      </c>
      <c r="B32" s="25" t="s">
        <v>45</v>
      </c>
      <c r="C32" s="26">
        <v>3500</v>
      </c>
      <c r="D32" s="27">
        <v>0.5</v>
      </c>
      <c r="E32" s="25">
        <v>1101297.6776999999</v>
      </c>
      <c r="F32" s="25">
        <v>1101337.6776999999</v>
      </c>
      <c r="G32" s="25">
        <v>1101380.1229999999</v>
      </c>
      <c r="H32" s="25">
        <v>1101420.1229999999</v>
      </c>
      <c r="I32" s="37">
        <f t="shared" si="0"/>
        <v>162.21710000000894</v>
      </c>
      <c r="J32" s="26">
        <f t="shared" si="1"/>
        <v>40</v>
      </c>
      <c r="K32" s="25">
        <f t="shared" si="2"/>
        <v>42.445300000021234</v>
      </c>
      <c r="L32" s="26">
        <v>30</v>
      </c>
      <c r="M32" s="25">
        <v>39.369</v>
      </c>
      <c r="N32" s="28">
        <f t="shared" si="3"/>
        <v>9.3689999999999998</v>
      </c>
      <c r="O32" s="28">
        <f t="shared" si="4"/>
        <v>14.285714285714286</v>
      </c>
      <c r="P32" s="26">
        <v>100</v>
      </c>
      <c r="Q32" s="24" t="s">
        <v>4</v>
      </c>
      <c r="R32" s="24"/>
    </row>
    <row r="33" spans="1:18" x14ac:dyDescent="0.25">
      <c r="A33" s="24">
        <v>31</v>
      </c>
      <c r="B33" s="25" t="s">
        <v>18</v>
      </c>
      <c r="C33" s="26">
        <v>5000</v>
      </c>
      <c r="D33" s="27">
        <v>0.35</v>
      </c>
      <c r="E33" s="25">
        <v>1101582.3400999999</v>
      </c>
      <c r="F33" s="25">
        <v>1101612.3400999999</v>
      </c>
      <c r="G33" s="25">
        <v>1101652.2918</v>
      </c>
      <c r="H33" s="25">
        <v>1101682.2918</v>
      </c>
      <c r="I33" s="37">
        <f t="shared" si="0"/>
        <v>276.16189999994822</v>
      </c>
      <c r="J33" s="26">
        <f t="shared" si="1"/>
        <v>30</v>
      </c>
      <c r="K33" s="25">
        <f t="shared" si="2"/>
        <v>39.951700000092387</v>
      </c>
      <c r="L33" s="26">
        <v>20</v>
      </c>
      <c r="M33" s="25">
        <v>27.556999999999999</v>
      </c>
      <c r="N33" s="28">
        <f t="shared" si="3"/>
        <v>7.5569999999999986</v>
      </c>
      <c r="O33" s="28">
        <f t="shared" si="4"/>
        <v>10</v>
      </c>
      <c r="P33" s="26">
        <v>100</v>
      </c>
      <c r="Q33" s="24" t="s">
        <v>5</v>
      </c>
      <c r="R33" s="24"/>
    </row>
    <row r="34" spans="1:18" x14ac:dyDescent="0.25">
      <c r="A34" s="24">
        <v>32</v>
      </c>
      <c r="B34" s="25" t="s">
        <v>46</v>
      </c>
      <c r="C34" s="26">
        <v>6999.9998999999998</v>
      </c>
      <c r="D34" s="27">
        <v>0.25000000357142899</v>
      </c>
      <c r="E34" s="25">
        <v>1101958.4537</v>
      </c>
      <c r="F34" s="25">
        <v>1101978.4537</v>
      </c>
      <c r="G34" s="25">
        <v>1102009.9608</v>
      </c>
      <c r="H34" s="25">
        <v>1102029.9608</v>
      </c>
      <c r="I34" s="37">
        <f t="shared" si="0"/>
        <v>1046.2393999998458</v>
      </c>
      <c r="J34" s="26">
        <f t="shared" si="1"/>
        <v>20</v>
      </c>
      <c r="K34" s="25">
        <f t="shared" si="2"/>
        <v>31.507100000046194</v>
      </c>
      <c r="L34" s="26">
        <v>15</v>
      </c>
      <c r="M34" s="25">
        <v>19.681999999999999</v>
      </c>
      <c r="N34" s="28">
        <f t="shared" si="3"/>
        <v>4.6819999999999986</v>
      </c>
      <c r="O34" s="28">
        <f t="shared" si="4"/>
        <v>7.1428572448979608</v>
      </c>
      <c r="P34" s="26">
        <v>100</v>
      </c>
      <c r="Q34" s="24" t="s">
        <v>4</v>
      </c>
      <c r="R34" s="24"/>
    </row>
    <row r="35" spans="1:18" x14ac:dyDescent="0.25">
      <c r="A35" s="24">
        <v>33</v>
      </c>
      <c r="B35" s="25" t="s">
        <v>19</v>
      </c>
      <c r="C35" s="26">
        <v>4000</v>
      </c>
      <c r="D35" s="27">
        <v>0.4375</v>
      </c>
      <c r="E35" s="25">
        <v>1103076.2001999998</v>
      </c>
      <c r="F35" s="25">
        <v>1103106.2001999998</v>
      </c>
      <c r="G35" s="25">
        <v>1103161.6884999999</v>
      </c>
      <c r="H35" s="25">
        <v>1103191.6884999999</v>
      </c>
      <c r="I35" s="37">
        <f t="shared" ref="I35:I66" si="5">E36-H35</f>
        <v>193.45449999999255</v>
      </c>
      <c r="J35" s="26">
        <f t="shared" ref="J35:J66" si="6">H35-G35</f>
        <v>30</v>
      </c>
      <c r="K35" s="25">
        <f t="shared" ref="K35:K66" si="7">G35-F35</f>
        <v>55.488300000084564</v>
      </c>
      <c r="L35" s="26">
        <v>30</v>
      </c>
      <c r="M35" s="25">
        <v>34.447000000000003</v>
      </c>
      <c r="N35" s="28">
        <f t="shared" ref="N35:N66" si="8">M35-L35</f>
        <v>4.4470000000000027</v>
      </c>
      <c r="O35" s="28">
        <f t="shared" ref="O35:O66" si="9">ABS((20^2*125)/C35)</f>
        <v>12.5</v>
      </c>
      <c r="P35" s="26">
        <v>100</v>
      </c>
      <c r="Q35" s="24" t="s">
        <v>4</v>
      </c>
      <c r="R35" s="24"/>
    </row>
    <row r="36" spans="1:18" x14ac:dyDescent="0.25">
      <c r="A36" s="24">
        <v>34</v>
      </c>
      <c r="B36" s="25" t="s">
        <v>20</v>
      </c>
      <c r="C36" s="26">
        <v>2400</v>
      </c>
      <c r="D36" s="27">
        <v>0.72916666666666663</v>
      </c>
      <c r="E36" s="25">
        <v>1103385.1429999999</v>
      </c>
      <c r="F36" s="25">
        <v>1103435.1429999999</v>
      </c>
      <c r="G36" s="25">
        <v>1103461.4661999999</v>
      </c>
      <c r="H36" s="25">
        <v>1103511.4661999999</v>
      </c>
      <c r="I36" s="37">
        <f t="shared" si="5"/>
        <v>254.88490000017919</v>
      </c>
      <c r="J36" s="26">
        <f t="shared" si="6"/>
        <v>50</v>
      </c>
      <c r="K36" s="25">
        <f t="shared" si="7"/>
        <v>26.323199999984354</v>
      </c>
      <c r="L36" s="26">
        <v>50</v>
      </c>
      <c r="M36" s="25">
        <v>57.411999999999999</v>
      </c>
      <c r="N36" s="28">
        <f t="shared" si="8"/>
        <v>7.411999999999999</v>
      </c>
      <c r="O36" s="28">
        <f t="shared" si="9"/>
        <v>20.833333333333332</v>
      </c>
      <c r="P36" s="26">
        <v>100</v>
      </c>
      <c r="Q36" s="24" t="s">
        <v>5</v>
      </c>
      <c r="R36" s="24"/>
    </row>
    <row r="37" spans="1:18" x14ac:dyDescent="0.25">
      <c r="A37" s="24">
        <v>35</v>
      </c>
      <c r="B37" s="25" t="s">
        <v>47</v>
      </c>
      <c r="C37" s="26">
        <v>5000</v>
      </c>
      <c r="D37" s="27">
        <v>0.35</v>
      </c>
      <c r="E37" s="25">
        <v>1103766.3511000001</v>
      </c>
      <c r="F37" s="25">
        <v>1103796.3511000001</v>
      </c>
      <c r="G37" s="25">
        <v>1103851.2592</v>
      </c>
      <c r="H37" s="25">
        <v>1103881.2592</v>
      </c>
      <c r="I37" s="37">
        <f t="shared" si="5"/>
        <v>726.86250000004657</v>
      </c>
      <c r="J37" s="26">
        <f t="shared" si="6"/>
        <v>30</v>
      </c>
      <c r="K37" s="25">
        <f t="shared" si="7"/>
        <v>54.908099999884143</v>
      </c>
      <c r="L37" s="26">
        <v>25</v>
      </c>
      <c r="M37" s="25">
        <v>27.556999999999999</v>
      </c>
      <c r="N37" s="28">
        <f t="shared" si="8"/>
        <v>2.5569999999999986</v>
      </c>
      <c r="O37" s="28">
        <f t="shared" si="9"/>
        <v>10</v>
      </c>
      <c r="P37" s="26">
        <v>100</v>
      </c>
      <c r="Q37" s="24" t="s">
        <v>4</v>
      </c>
      <c r="R37" s="24"/>
    </row>
    <row r="38" spans="1:18" x14ac:dyDescent="0.25">
      <c r="A38" s="24">
        <v>36</v>
      </c>
      <c r="B38" s="25" t="s">
        <v>21</v>
      </c>
      <c r="C38" s="26">
        <v>12000</v>
      </c>
      <c r="D38" s="27">
        <v>0.14583333333333334</v>
      </c>
      <c r="E38" s="25">
        <v>1104608.1217</v>
      </c>
      <c r="F38" s="25">
        <v>1104638.1217</v>
      </c>
      <c r="G38" s="25">
        <v>1104683.7753000001</v>
      </c>
      <c r="H38" s="25">
        <v>1104713.7753000001</v>
      </c>
      <c r="I38" s="37">
        <f t="shared" si="5"/>
        <v>2951.1754000000656</v>
      </c>
      <c r="J38" s="26">
        <f t="shared" si="6"/>
        <v>30</v>
      </c>
      <c r="K38" s="25">
        <f t="shared" si="7"/>
        <v>45.653600000077859</v>
      </c>
      <c r="L38" s="26">
        <v>10</v>
      </c>
      <c r="M38" s="25">
        <v>11.481999999999999</v>
      </c>
      <c r="N38" s="28">
        <f t="shared" si="8"/>
        <v>1.4819999999999993</v>
      </c>
      <c r="O38" s="28">
        <f t="shared" si="9"/>
        <v>4.166666666666667</v>
      </c>
      <c r="P38" s="26">
        <v>100</v>
      </c>
      <c r="Q38" s="24" t="s">
        <v>5</v>
      </c>
      <c r="R38" s="24"/>
    </row>
    <row r="39" spans="1:18" x14ac:dyDescent="0.25">
      <c r="A39" s="24">
        <v>37</v>
      </c>
      <c r="B39" s="25" t="s">
        <v>22</v>
      </c>
      <c r="C39" s="26">
        <v>49999.999799999998</v>
      </c>
      <c r="D39" s="27">
        <v>3.5000000140000001E-2</v>
      </c>
      <c r="E39" s="25">
        <v>1107664.9507000002</v>
      </c>
      <c r="F39" s="25">
        <v>1107684.9507000002</v>
      </c>
      <c r="G39" s="25">
        <v>1107774.2408000003</v>
      </c>
      <c r="H39" s="25">
        <v>1107794.2408000003</v>
      </c>
      <c r="I39" s="37">
        <f t="shared" si="5"/>
        <v>417.02249999972992</v>
      </c>
      <c r="J39" s="26">
        <f t="shared" si="6"/>
        <v>20</v>
      </c>
      <c r="K39" s="25">
        <f t="shared" si="7"/>
        <v>89.29010000010021</v>
      </c>
      <c r="L39" s="26">
        <v>10</v>
      </c>
      <c r="M39" s="25">
        <v>2.7559999999999998</v>
      </c>
      <c r="N39" s="28">
        <f t="shared" si="8"/>
        <v>-7.2439999999999998</v>
      </c>
      <c r="O39" s="28">
        <f t="shared" si="9"/>
        <v>1.0000000040000001</v>
      </c>
      <c r="P39" s="26">
        <v>100</v>
      </c>
      <c r="Q39" s="24" t="s">
        <v>4</v>
      </c>
      <c r="R39" s="24"/>
    </row>
    <row r="40" spans="1:18" x14ac:dyDescent="0.25">
      <c r="A40" s="24">
        <v>38</v>
      </c>
      <c r="B40" s="25" t="s">
        <v>23</v>
      </c>
      <c r="C40" s="26">
        <v>15000</v>
      </c>
      <c r="D40" s="27">
        <v>0.11666666666666667</v>
      </c>
      <c r="E40" s="25">
        <v>1108211.2633</v>
      </c>
      <c r="F40" s="25">
        <v>1108231.2633</v>
      </c>
      <c r="G40" s="25">
        <v>1108319.6015000001</v>
      </c>
      <c r="H40" s="25">
        <v>1108339.6015000001</v>
      </c>
      <c r="I40" s="37">
        <f t="shared" si="5"/>
        <v>333.79209999996237</v>
      </c>
      <c r="J40" s="26">
        <f t="shared" si="6"/>
        <v>20</v>
      </c>
      <c r="K40" s="25">
        <f t="shared" si="7"/>
        <v>88.338200000114739</v>
      </c>
      <c r="L40" s="26">
        <v>10</v>
      </c>
      <c r="M40" s="25">
        <v>9.1850000000000005</v>
      </c>
      <c r="N40" s="28">
        <f t="shared" si="8"/>
        <v>-0.8149999999999995</v>
      </c>
      <c r="O40" s="28">
        <f t="shared" si="9"/>
        <v>3.3333333333333335</v>
      </c>
      <c r="P40" s="26">
        <v>100</v>
      </c>
      <c r="Q40" s="24" t="s">
        <v>5</v>
      </c>
      <c r="R40" s="24"/>
    </row>
    <row r="41" spans="1:18" x14ac:dyDescent="0.25">
      <c r="A41" s="24">
        <v>39</v>
      </c>
      <c r="B41" s="25" t="s">
        <v>24</v>
      </c>
      <c r="C41" s="26">
        <v>20000.000100000001</v>
      </c>
      <c r="D41" s="27">
        <v>8.74999995625E-2</v>
      </c>
      <c r="E41" s="25">
        <v>1108673.3936000001</v>
      </c>
      <c r="F41" s="25">
        <v>1108693.3936000001</v>
      </c>
      <c r="G41" s="25">
        <v>1108775.4243000001</v>
      </c>
      <c r="H41" s="25">
        <v>1108795.4243000001</v>
      </c>
      <c r="I41" s="37">
        <f t="shared" si="5"/>
        <v>1012.7169000001159</v>
      </c>
      <c r="J41" s="26">
        <f t="shared" si="6"/>
        <v>20</v>
      </c>
      <c r="K41" s="25">
        <f t="shared" si="7"/>
        <v>82.03070000000298</v>
      </c>
      <c r="L41" s="26">
        <v>10</v>
      </c>
      <c r="M41" s="25">
        <v>6.8890000000000002</v>
      </c>
      <c r="N41" s="28">
        <f t="shared" si="8"/>
        <v>-3.1109999999999998</v>
      </c>
      <c r="O41" s="28">
        <f t="shared" si="9"/>
        <v>2.4999999874999999</v>
      </c>
      <c r="P41" s="26">
        <v>100</v>
      </c>
      <c r="Q41" s="24" t="s">
        <v>4</v>
      </c>
      <c r="R41" s="24"/>
    </row>
    <row r="42" spans="1:18" x14ac:dyDescent="0.25">
      <c r="A42" s="24">
        <v>40</v>
      </c>
      <c r="B42" s="25" t="s">
        <v>25</v>
      </c>
      <c r="C42" s="26">
        <v>7000</v>
      </c>
      <c r="D42" s="27">
        <v>0.25</v>
      </c>
      <c r="E42" s="25">
        <v>1109808.1412000002</v>
      </c>
      <c r="F42" s="25">
        <v>1109848.1412000002</v>
      </c>
      <c r="G42" s="25">
        <v>1109873.1337000001</v>
      </c>
      <c r="H42" s="25">
        <v>1109913.1337000001</v>
      </c>
      <c r="I42" s="37">
        <f t="shared" si="5"/>
        <v>90.422800000058487</v>
      </c>
      <c r="J42" s="26">
        <f t="shared" si="6"/>
        <v>40</v>
      </c>
      <c r="K42" s="25">
        <f t="shared" si="7"/>
        <v>24.992499999934807</v>
      </c>
      <c r="L42" s="26">
        <v>10</v>
      </c>
      <c r="M42" s="25">
        <v>19.684000000000001</v>
      </c>
      <c r="N42" s="28">
        <f t="shared" si="8"/>
        <v>9.6840000000000011</v>
      </c>
      <c r="O42" s="28">
        <f t="shared" si="9"/>
        <v>7.1428571428571432</v>
      </c>
      <c r="P42" s="26">
        <v>100</v>
      </c>
      <c r="Q42" s="24" t="s">
        <v>5</v>
      </c>
      <c r="R42" s="24"/>
    </row>
    <row r="43" spans="1:18" x14ac:dyDescent="0.25">
      <c r="A43" s="24">
        <v>41</v>
      </c>
      <c r="B43" s="25" t="s">
        <v>48</v>
      </c>
      <c r="C43" s="26">
        <v>7000</v>
      </c>
      <c r="D43" s="27">
        <v>0.25</v>
      </c>
      <c r="E43" s="25">
        <v>1110003.5565000002</v>
      </c>
      <c r="F43" s="25">
        <v>1110043.5565000002</v>
      </c>
      <c r="G43" s="25">
        <v>1110065.0203000002</v>
      </c>
      <c r="H43" s="25">
        <v>1110105.0203000002</v>
      </c>
      <c r="I43" s="37">
        <f t="shared" si="5"/>
        <v>927.5995999998413</v>
      </c>
      <c r="J43" s="26">
        <f t="shared" si="6"/>
        <v>40</v>
      </c>
      <c r="K43" s="25">
        <f t="shared" si="7"/>
        <v>21.463800000026822</v>
      </c>
      <c r="L43" s="26">
        <v>10</v>
      </c>
      <c r="M43" s="25">
        <v>19.684000000000001</v>
      </c>
      <c r="N43" s="28">
        <f t="shared" si="8"/>
        <v>9.6840000000000011</v>
      </c>
      <c r="O43" s="28">
        <f t="shared" si="9"/>
        <v>7.1428571428571432</v>
      </c>
      <c r="P43" s="26">
        <v>100</v>
      </c>
      <c r="Q43" s="24" t="s">
        <v>4</v>
      </c>
      <c r="R43" s="24"/>
    </row>
    <row r="44" spans="1:18" x14ac:dyDescent="0.25">
      <c r="A44" s="24">
        <v>42</v>
      </c>
      <c r="B44" s="25" t="s">
        <v>26</v>
      </c>
      <c r="C44" s="26">
        <v>20000</v>
      </c>
      <c r="D44" s="27">
        <v>8.7499999999999994E-2</v>
      </c>
      <c r="E44" s="25">
        <v>1111032.6199</v>
      </c>
      <c r="F44" s="25">
        <v>1111062.6199</v>
      </c>
      <c r="G44" s="25">
        <v>1111110.1075000002</v>
      </c>
      <c r="H44" s="25">
        <v>1111140.1075000002</v>
      </c>
      <c r="I44" s="37">
        <f t="shared" si="5"/>
        <v>576.97079999977723</v>
      </c>
      <c r="J44" s="26">
        <f t="shared" si="6"/>
        <v>30</v>
      </c>
      <c r="K44" s="25">
        <f t="shared" si="7"/>
        <v>47.487600000109524</v>
      </c>
      <c r="L44" s="26">
        <v>10</v>
      </c>
      <c r="M44" s="25">
        <v>6.8890000000000002</v>
      </c>
      <c r="N44" s="28">
        <f t="shared" si="8"/>
        <v>-3.1109999999999998</v>
      </c>
      <c r="O44" s="28">
        <f t="shared" si="9"/>
        <v>2.5</v>
      </c>
      <c r="P44" s="26">
        <v>100</v>
      </c>
      <c r="Q44" s="24" t="s">
        <v>4</v>
      </c>
      <c r="R44" s="24"/>
    </row>
    <row r="45" spans="1:18" x14ac:dyDescent="0.25">
      <c r="A45" s="24">
        <v>43</v>
      </c>
      <c r="B45" s="25" t="s">
        <v>27</v>
      </c>
      <c r="C45" s="26">
        <v>25000.0003</v>
      </c>
      <c r="D45" s="27">
        <v>6.9999999160000007E-2</v>
      </c>
      <c r="E45" s="25">
        <v>1111717.0782999999</v>
      </c>
      <c r="F45" s="25">
        <v>1111747.0782999999</v>
      </c>
      <c r="G45" s="25">
        <v>1111801.3354</v>
      </c>
      <c r="H45" s="25">
        <v>1111831.3354</v>
      </c>
      <c r="I45" s="37">
        <f t="shared" si="5"/>
        <v>1426.2404000000097</v>
      </c>
      <c r="J45" s="26">
        <f t="shared" si="6"/>
        <v>30</v>
      </c>
      <c r="K45" s="25">
        <f t="shared" si="7"/>
        <v>54.257100000046194</v>
      </c>
      <c r="L45" s="26">
        <v>10</v>
      </c>
      <c r="M45" s="25">
        <v>5.5110000000000001</v>
      </c>
      <c r="N45" s="28">
        <f t="shared" si="8"/>
        <v>-4.4889999999999999</v>
      </c>
      <c r="O45" s="28">
        <f t="shared" si="9"/>
        <v>1.9999999760000002</v>
      </c>
      <c r="P45" s="26">
        <v>100</v>
      </c>
      <c r="Q45" s="24" t="s">
        <v>5</v>
      </c>
      <c r="R45" s="24"/>
    </row>
    <row r="46" spans="1:18" x14ac:dyDescent="0.25">
      <c r="A46" s="24">
        <v>44</v>
      </c>
      <c r="B46" s="25" t="s">
        <v>28</v>
      </c>
      <c r="C46" s="26">
        <v>10000</v>
      </c>
      <c r="D46" s="27">
        <v>0.17499999999999999</v>
      </c>
      <c r="E46" s="25">
        <v>1113257.5758</v>
      </c>
      <c r="F46" s="25">
        <v>1113287.5758</v>
      </c>
      <c r="G46" s="25">
        <v>1113333.8799000001</v>
      </c>
      <c r="H46" s="25">
        <v>1113363.8799000001</v>
      </c>
      <c r="I46" s="37">
        <f t="shared" si="5"/>
        <v>729.05529999989085</v>
      </c>
      <c r="J46" s="26">
        <f t="shared" si="6"/>
        <v>30</v>
      </c>
      <c r="K46" s="25">
        <f t="shared" si="7"/>
        <v>46.304100000066683</v>
      </c>
      <c r="L46" s="26">
        <v>10</v>
      </c>
      <c r="M46" s="25">
        <v>13.779</v>
      </c>
      <c r="N46" s="28">
        <f t="shared" si="8"/>
        <v>3.7789999999999999</v>
      </c>
      <c r="O46" s="28">
        <f t="shared" si="9"/>
        <v>5</v>
      </c>
      <c r="P46" s="26">
        <v>100</v>
      </c>
      <c r="Q46" s="24" t="s">
        <v>5</v>
      </c>
      <c r="R46" s="24"/>
    </row>
    <row r="47" spans="1:18" x14ac:dyDescent="0.25">
      <c r="A47" s="24">
        <v>45</v>
      </c>
      <c r="B47" s="25" t="s">
        <v>49</v>
      </c>
      <c r="C47" s="26">
        <v>9999.9999000000007</v>
      </c>
      <c r="D47" s="27">
        <v>0.17500000174999999</v>
      </c>
      <c r="E47" s="25">
        <v>1114092.9351999999</v>
      </c>
      <c r="F47" s="25">
        <v>1114122.9351999999</v>
      </c>
      <c r="G47" s="25">
        <v>1114164.1827</v>
      </c>
      <c r="H47" s="25">
        <v>1114194.1827</v>
      </c>
      <c r="I47" s="37">
        <f t="shared" si="5"/>
        <v>1803.4539999999106</v>
      </c>
      <c r="J47" s="26">
        <f t="shared" si="6"/>
        <v>30</v>
      </c>
      <c r="K47" s="25">
        <f t="shared" si="7"/>
        <v>41.247500000055879</v>
      </c>
      <c r="L47" s="26">
        <v>10</v>
      </c>
      <c r="M47" s="25">
        <v>13.779</v>
      </c>
      <c r="N47" s="28">
        <f t="shared" si="8"/>
        <v>3.7789999999999999</v>
      </c>
      <c r="O47" s="28">
        <f t="shared" si="9"/>
        <v>5.0000000500000006</v>
      </c>
      <c r="P47" s="26">
        <v>100</v>
      </c>
      <c r="Q47" s="24" t="s">
        <v>4</v>
      </c>
      <c r="R47" s="24"/>
    </row>
    <row r="48" spans="1:18" x14ac:dyDescent="0.25">
      <c r="A48" s="24">
        <v>46</v>
      </c>
      <c r="B48" s="25" t="s">
        <v>50</v>
      </c>
      <c r="C48" s="26">
        <v>3000</v>
      </c>
      <c r="D48" s="27">
        <v>0.58333333333333304</v>
      </c>
      <c r="E48" s="25">
        <v>1115997.6366999999</v>
      </c>
      <c r="F48" s="25">
        <v>1116037.6366999999</v>
      </c>
      <c r="G48" s="25">
        <v>1116078.8984999999</v>
      </c>
      <c r="H48" s="25">
        <v>1116118.8984999999</v>
      </c>
      <c r="I48" s="37">
        <f t="shared" si="5"/>
        <v>255.55480000004172</v>
      </c>
      <c r="J48" s="26">
        <f t="shared" si="6"/>
        <v>40</v>
      </c>
      <c r="K48" s="25">
        <f t="shared" si="7"/>
        <v>41.261799999978393</v>
      </c>
      <c r="L48" s="26">
        <v>40</v>
      </c>
      <c r="M48" s="25">
        <v>45.930999999999997</v>
      </c>
      <c r="N48" s="28">
        <f t="shared" si="8"/>
        <v>5.9309999999999974</v>
      </c>
      <c r="O48" s="28">
        <f t="shared" si="9"/>
        <v>16.666666666666668</v>
      </c>
      <c r="P48" s="26">
        <v>100</v>
      </c>
      <c r="Q48" s="24" t="s">
        <v>4</v>
      </c>
      <c r="R48" s="24"/>
    </row>
    <row r="49" spans="1:18" x14ac:dyDescent="0.25">
      <c r="A49" s="24">
        <v>47</v>
      </c>
      <c r="B49" s="25" t="s">
        <v>51</v>
      </c>
      <c r="C49" s="26">
        <v>3000</v>
      </c>
      <c r="D49" s="27">
        <v>0.58333333333333337</v>
      </c>
      <c r="E49" s="25">
        <v>1116374.4532999999</v>
      </c>
      <c r="F49" s="25">
        <v>1116414.4532999999</v>
      </c>
      <c r="G49" s="25">
        <v>1116455.8504999999</v>
      </c>
      <c r="H49" s="25">
        <v>1116495.8504999999</v>
      </c>
      <c r="I49" s="37">
        <f t="shared" si="5"/>
        <v>878.52910000015981</v>
      </c>
      <c r="J49" s="26">
        <f t="shared" si="6"/>
        <v>40</v>
      </c>
      <c r="K49" s="25">
        <f t="shared" si="7"/>
        <v>41.397200000006706</v>
      </c>
      <c r="L49" s="26">
        <v>40</v>
      </c>
      <c r="M49" s="25">
        <v>45.930999999999997</v>
      </c>
      <c r="N49" s="28">
        <f t="shared" si="8"/>
        <v>5.9309999999999974</v>
      </c>
      <c r="O49" s="28">
        <f t="shared" si="9"/>
        <v>16.666666666666668</v>
      </c>
      <c r="P49" s="26">
        <v>100</v>
      </c>
      <c r="Q49" s="24" t="s">
        <v>5</v>
      </c>
      <c r="R49" s="24"/>
    </row>
    <row r="50" spans="1:18" x14ac:dyDescent="0.25">
      <c r="A50" s="24">
        <v>48</v>
      </c>
      <c r="B50" s="25" t="s">
        <v>52</v>
      </c>
      <c r="C50" s="26">
        <v>2500</v>
      </c>
      <c r="D50" s="27">
        <v>0.7</v>
      </c>
      <c r="E50" s="25">
        <v>1117374.3796000001</v>
      </c>
      <c r="F50" s="25">
        <v>1117424.3796000001</v>
      </c>
      <c r="G50" s="25">
        <v>1117461.8499</v>
      </c>
      <c r="H50" s="25">
        <v>1117511.8499</v>
      </c>
      <c r="I50" s="37">
        <f t="shared" si="5"/>
        <v>95.707999999867752</v>
      </c>
      <c r="J50" s="26">
        <f t="shared" si="6"/>
        <v>50</v>
      </c>
      <c r="K50" s="25">
        <f t="shared" si="7"/>
        <v>37.470299999928102</v>
      </c>
      <c r="L50" s="26">
        <v>50</v>
      </c>
      <c r="M50" s="25">
        <v>55.118000000000002</v>
      </c>
      <c r="N50" s="28">
        <f t="shared" si="8"/>
        <v>5.1180000000000021</v>
      </c>
      <c r="O50" s="28">
        <f t="shared" si="9"/>
        <v>20</v>
      </c>
      <c r="P50" s="26">
        <v>100</v>
      </c>
      <c r="Q50" s="24" t="s">
        <v>5</v>
      </c>
      <c r="R50" s="24"/>
    </row>
    <row r="51" spans="1:18" x14ac:dyDescent="0.25">
      <c r="A51" s="24">
        <v>49</v>
      </c>
      <c r="B51" s="25" t="s">
        <v>53</v>
      </c>
      <c r="C51" s="26">
        <v>3000</v>
      </c>
      <c r="D51" s="27">
        <v>0.58333333333333304</v>
      </c>
      <c r="E51" s="25">
        <v>1117607.5578999999</v>
      </c>
      <c r="F51" s="25">
        <v>1117647.5578999999</v>
      </c>
      <c r="G51" s="25">
        <v>1117710.0600999999</v>
      </c>
      <c r="H51" s="25">
        <v>1117750.0600999999</v>
      </c>
      <c r="I51" s="37">
        <f t="shared" si="5"/>
        <v>3989.6668000000063</v>
      </c>
      <c r="J51" s="26">
        <f t="shared" si="6"/>
        <v>40</v>
      </c>
      <c r="K51" s="25">
        <f t="shared" si="7"/>
        <v>62.502199999988079</v>
      </c>
      <c r="L51" s="26">
        <v>40</v>
      </c>
      <c r="M51" s="25">
        <v>45.930999999999997</v>
      </c>
      <c r="N51" s="28">
        <f t="shared" si="8"/>
        <v>5.9309999999999974</v>
      </c>
      <c r="O51" s="28">
        <f t="shared" si="9"/>
        <v>16.666666666666668</v>
      </c>
      <c r="P51" s="26">
        <v>100</v>
      </c>
      <c r="Q51" s="24" t="s">
        <v>4</v>
      </c>
      <c r="R51" s="24"/>
    </row>
    <row r="52" spans="1:18" x14ac:dyDescent="0.25">
      <c r="A52" s="24">
        <v>50</v>
      </c>
      <c r="B52" s="25" t="s">
        <v>54</v>
      </c>
      <c r="C52" s="26">
        <v>6999.9997000000003</v>
      </c>
      <c r="D52" s="27">
        <v>0.25000001071428601</v>
      </c>
      <c r="E52" s="25">
        <v>1121739.7268999999</v>
      </c>
      <c r="F52" s="25">
        <v>1121779.7268999999</v>
      </c>
      <c r="G52" s="25">
        <v>1121800.5884</v>
      </c>
      <c r="H52" s="25">
        <v>1121840.5884</v>
      </c>
      <c r="I52" s="37">
        <f t="shared" si="5"/>
        <v>54.410200000042096</v>
      </c>
      <c r="J52" s="26">
        <f t="shared" si="6"/>
        <v>40</v>
      </c>
      <c r="K52" s="25">
        <f t="shared" si="7"/>
        <v>20.861500000115484</v>
      </c>
      <c r="L52" s="26">
        <v>10</v>
      </c>
      <c r="M52" s="25">
        <v>19.684000000000001</v>
      </c>
      <c r="N52" s="28">
        <f t="shared" si="8"/>
        <v>9.6840000000000011</v>
      </c>
      <c r="O52" s="28">
        <f t="shared" si="9"/>
        <v>7.1428574489796048</v>
      </c>
      <c r="P52" s="26">
        <v>100</v>
      </c>
      <c r="Q52" s="24" t="s">
        <v>4</v>
      </c>
      <c r="R52" s="24"/>
    </row>
    <row r="53" spans="1:18" x14ac:dyDescent="0.25">
      <c r="A53" s="24">
        <v>51</v>
      </c>
      <c r="B53" s="25" t="s">
        <v>54</v>
      </c>
      <c r="C53" s="26">
        <v>6999.9998999999998</v>
      </c>
      <c r="D53" s="27">
        <v>0.25000000357142865</v>
      </c>
      <c r="E53" s="25">
        <v>1121894.9986</v>
      </c>
      <c r="F53" s="25">
        <v>1121934.9986</v>
      </c>
      <c r="G53" s="25">
        <v>1121955.8601000002</v>
      </c>
      <c r="H53" s="25">
        <v>1121995.8601000002</v>
      </c>
      <c r="I53" s="37">
        <f t="shared" si="5"/>
        <v>2905.281100000022</v>
      </c>
      <c r="J53" s="26">
        <f t="shared" si="6"/>
        <v>40</v>
      </c>
      <c r="K53" s="25">
        <f t="shared" si="7"/>
        <v>20.861500000115484</v>
      </c>
      <c r="L53" s="26">
        <v>10</v>
      </c>
      <c r="M53" s="25">
        <v>19.684000000000001</v>
      </c>
      <c r="N53" s="28">
        <f t="shared" si="8"/>
        <v>9.6840000000000011</v>
      </c>
      <c r="O53" s="28">
        <f t="shared" si="9"/>
        <v>7.1428572448979608</v>
      </c>
      <c r="P53" s="26">
        <v>100</v>
      </c>
      <c r="Q53" s="24" t="s">
        <v>5</v>
      </c>
      <c r="R53" s="24"/>
    </row>
    <row r="54" spans="1:18" x14ac:dyDescent="0.25">
      <c r="A54" s="24">
        <v>52</v>
      </c>
      <c r="B54" s="25" t="s">
        <v>55</v>
      </c>
      <c r="C54" s="26">
        <v>3000</v>
      </c>
      <c r="D54" s="27">
        <v>0.58333333333333304</v>
      </c>
      <c r="E54" s="25">
        <v>1124901.1412000002</v>
      </c>
      <c r="F54" s="25">
        <v>1124941.1412000002</v>
      </c>
      <c r="G54" s="25">
        <v>1125014.7200000002</v>
      </c>
      <c r="H54" s="25">
        <v>1125054.7200000002</v>
      </c>
      <c r="I54" s="37">
        <f t="shared" si="5"/>
        <v>78.979599999729544</v>
      </c>
      <c r="J54" s="26">
        <f t="shared" si="6"/>
        <v>40</v>
      </c>
      <c r="K54" s="25">
        <f t="shared" si="7"/>
        <v>73.578800000017509</v>
      </c>
      <c r="L54" s="26">
        <v>40</v>
      </c>
      <c r="M54" s="25">
        <v>45.930999999999997</v>
      </c>
      <c r="N54" s="28">
        <f t="shared" si="8"/>
        <v>5.9309999999999974</v>
      </c>
      <c r="O54" s="28">
        <f t="shared" si="9"/>
        <v>16.666666666666668</v>
      </c>
      <c r="P54" s="26">
        <v>100</v>
      </c>
      <c r="Q54" s="24" t="s">
        <v>4</v>
      </c>
      <c r="R54" s="24"/>
    </row>
    <row r="55" spans="1:18" x14ac:dyDescent="0.25">
      <c r="A55" s="24">
        <v>53</v>
      </c>
      <c r="B55" s="25" t="s">
        <v>56</v>
      </c>
      <c r="C55" s="26">
        <v>3000</v>
      </c>
      <c r="D55" s="27">
        <v>0.58333333333333337</v>
      </c>
      <c r="E55" s="25">
        <v>1125133.6995999999</v>
      </c>
      <c r="F55" s="25">
        <v>1125173.6995999999</v>
      </c>
      <c r="G55" s="25">
        <v>1125246.5614</v>
      </c>
      <c r="H55" s="25">
        <v>1125286.5614</v>
      </c>
      <c r="I55" s="37">
        <f t="shared" si="5"/>
        <v>816.14709999994375</v>
      </c>
      <c r="J55" s="26">
        <f t="shared" si="6"/>
        <v>40</v>
      </c>
      <c r="K55" s="25">
        <f t="shared" si="7"/>
        <v>72.861800000071526</v>
      </c>
      <c r="L55" s="26">
        <v>40</v>
      </c>
      <c r="M55" s="25">
        <v>45.930999999999997</v>
      </c>
      <c r="N55" s="28">
        <f t="shared" si="8"/>
        <v>5.9309999999999974</v>
      </c>
      <c r="O55" s="28">
        <f t="shared" si="9"/>
        <v>16.666666666666668</v>
      </c>
      <c r="P55" s="26">
        <v>100</v>
      </c>
      <c r="Q55" s="24" t="s">
        <v>5</v>
      </c>
      <c r="R55" s="24"/>
    </row>
    <row r="56" spans="1:18" x14ac:dyDescent="0.25">
      <c r="A56" s="24">
        <v>54</v>
      </c>
      <c r="B56" s="25" t="s">
        <v>57</v>
      </c>
      <c r="C56" s="26">
        <v>3000</v>
      </c>
      <c r="D56" s="27">
        <v>0.58333333333333337</v>
      </c>
      <c r="E56" s="25">
        <v>1126102.7084999999</v>
      </c>
      <c r="F56" s="25">
        <v>1126142.7084999999</v>
      </c>
      <c r="G56" s="25">
        <v>1126227.8218999999</v>
      </c>
      <c r="H56" s="25">
        <v>1126267.8218999999</v>
      </c>
      <c r="I56" s="37">
        <f t="shared" si="5"/>
        <v>82.127800000132993</v>
      </c>
      <c r="J56" s="26">
        <f t="shared" si="6"/>
        <v>40</v>
      </c>
      <c r="K56" s="25">
        <f t="shared" si="7"/>
        <v>85.113399999914691</v>
      </c>
      <c r="L56" s="26">
        <v>40</v>
      </c>
      <c r="M56" s="25">
        <v>45.930999999999997</v>
      </c>
      <c r="N56" s="28">
        <f t="shared" si="8"/>
        <v>5.9309999999999974</v>
      </c>
      <c r="O56" s="28">
        <f t="shared" si="9"/>
        <v>16.666666666666668</v>
      </c>
      <c r="P56" s="26">
        <v>100</v>
      </c>
      <c r="Q56" s="24" t="s">
        <v>5</v>
      </c>
      <c r="R56" s="24"/>
    </row>
    <row r="57" spans="1:18" x14ac:dyDescent="0.25">
      <c r="A57" s="24">
        <v>55</v>
      </c>
      <c r="B57" s="25" t="s">
        <v>58</v>
      </c>
      <c r="C57" s="26">
        <v>3000</v>
      </c>
      <c r="D57" s="27">
        <v>0.58333333333333304</v>
      </c>
      <c r="E57" s="25">
        <v>1126349.9497</v>
      </c>
      <c r="F57" s="25">
        <v>1126389.9497</v>
      </c>
      <c r="G57" s="25">
        <v>1126474.811</v>
      </c>
      <c r="H57" s="25">
        <v>1126514.811</v>
      </c>
      <c r="I57" s="37">
        <f t="shared" si="5"/>
        <v>2869.9170999999624</v>
      </c>
      <c r="J57" s="26">
        <f t="shared" si="6"/>
        <v>40</v>
      </c>
      <c r="K57" s="25">
        <f t="shared" si="7"/>
        <v>84.861299999989569</v>
      </c>
      <c r="L57" s="26">
        <v>40</v>
      </c>
      <c r="M57" s="25">
        <v>45.930999999999997</v>
      </c>
      <c r="N57" s="28">
        <f t="shared" si="8"/>
        <v>5.9309999999999974</v>
      </c>
      <c r="O57" s="28">
        <f t="shared" si="9"/>
        <v>16.666666666666668</v>
      </c>
      <c r="P57" s="26">
        <v>100</v>
      </c>
      <c r="Q57" s="24" t="s">
        <v>4</v>
      </c>
      <c r="R57" s="24"/>
    </row>
    <row r="58" spans="1:18" x14ac:dyDescent="0.25">
      <c r="A58" s="24">
        <v>56</v>
      </c>
      <c r="B58" s="25" t="s">
        <v>59</v>
      </c>
      <c r="C58" s="26">
        <v>4000</v>
      </c>
      <c r="D58" s="27">
        <v>0.4375</v>
      </c>
      <c r="E58" s="25">
        <v>1129384.7280999999</v>
      </c>
      <c r="F58" s="25">
        <v>1129414.7280999999</v>
      </c>
      <c r="G58" s="25">
        <v>1129979.0795</v>
      </c>
      <c r="H58" s="25">
        <v>1130009.0795</v>
      </c>
      <c r="I58" s="37">
        <f t="shared" si="5"/>
        <v>2413.3707999999169</v>
      </c>
      <c r="J58" s="26">
        <f t="shared" si="6"/>
        <v>30</v>
      </c>
      <c r="K58" s="25">
        <f t="shared" si="7"/>
        <v>564.35140000004321</v>
      </c>
      <c r="L58" s="26">
        <v>30</v>
      </c>
      <c r="M58" s="25">
        <v>34.447000000000003</v>
      </c>
      <c r="N58" s="28">
        <f t="shared" si="8"/>
        <v>4.4470000000000027</v>
      </c>
      <c r="O58" s="28">
        <f t="shared" si="9"/>
        <v>12.5</v>
      </c>
      <c r="P58" s="26">
        <v>100</v>
      </c>
      <c r="Q58" s="24" t="s">
        <v>5</v>
      </c>
      <c r="R58" s="24"/>
    </row>
    <row r="59" spans="1:18" x14ac:dyDescent="0.25">
      <c r="A59" s="24">
        <v>57</v>
      </c>
      <c r="B59" s="25" t="s">
        <v>94</v>
      </c>
      <c r="C59" s="26">
        <v>2500</v>
      </c>
      <c r="D59" s="27">
        <v>0.7</v>
      </c>
      <c r="E59" s="25">
        <v>1132422.4502999999</v>
      </c>
      <c r="F59" s="25">
        <v>1132472.4502999999</v>
      </c>
      <c r="G59" s="25">
        <v>1132516.7095999999</v>
      </c>
      <c r="H59" s="25">
        <v>1132566.7095999999</v>
      </c>
      <c r="I59" s="37">
        <f t="shared" si="5"/>
        <v>291.91830000001937</v>
      </c>
      <c r="J59" s="26">
        <f t="shared" si="6"/>
        <v>50</v>
      </c>
      <c r="K59" s="25">
        <f t="shared" si="7"/>
        <v>44.259300000034273</v>
      </c>
      <c r="L59" s="26">
        <v>50</v>
      </c>
      <c r="M59" s="25">
        <v>55.118000000000002</v>
      </c>
      <c r="N59" s="28">
        <f t="shared" si="8"/>
        <v>5.1180000000000021</v>
      </c>
      <c r="O59" s="28">
        <f t="shared" si="9"/>
        <v>20</v>
      </c>
      <c r="P59" s="26">
        <v>100</v>
      </c>
      <c r="Q59" s="24" t="s">
        <v>4</v>
      </c>
      <c r="R59" s="24"/>
    </row>
    <row r="60" spans="1:18" x14ac:dyDescent="0.25">
      <c r="A60" s="24">
        <v>58</v>
      </c>
      <c r="B60" s="25" t="s">
        <v>95</v>
      </c>
      <c r="C60" s="26">
        <v>1000.0119999999999</v>
      </c>
      <c r="D60" s="27">
        <v>1.749979000251997</v>
      </c>
      <c r="E60" s="25">
        <v>1132858.6279</v>
      </c>
      <c r="F60" s="25">
        <v>1132978.6279</v>
      </c>
      <c r="G60" s="25">
        <v>1133027.1825999999</v>
      </c>
      <c r="H60" s="25">
        <v>1133147.1825999999</v>
      </c>
      <c r="I60" s="37">
        <f t="shared" si="5"/>
        <v>516.58760000020266</v>
      </c>
      <c r="J60" s="26">
        <f t="shared" si="6"/>
        <v>120</v>
      </c>
      <c r="K60" s="25">
        <f t="shared" si="7"/>
        <v>48.554699999978766</v>
      </c>
      <c r="L60" s="26">
        <v>130</v>
      </c>
      <c r="M60" s="25">
        <v>137.79499999999999</v>
      </c>
      <c r="N60" s="28">
        <f t="shared" si="8"/>
        <v>7.7949999999999875</v>
      </c>
      <c r="O60" s="28">
        <f t="shared" si="9"/>
        <v>49.999400007199917</v>
      </c>
      <c r="P60" s="26">
        <v>100</v>
      </c>
      <c r="Q60" s="24" t="s">
        <v>5</v>
      </c>
      <c r="R60" s="24"/>
    </row>
    <row r="61" spans="1:18" x14ac:dyDescent="0.25">
      <c r="A61" s="24">
        <v>59</v>
      </c>
      <c r="B61" s="25" t="s">
        <v>96</v>
      </c>
      <c r="C61" s="26">
        <v>1000.0119999999999</v>
      </c>
      <c r="D61" s="27">
        <v>1.7499790002519999</v>
      </c>
      <c r="E61" s="25">
        <v>1133663.7702000001</v>
      </c>
      <c r="F61" s="25">
        <v>1133783.7702000001</v>
      </c>
      <c r="G61" s="25">
        <v>1133883.3112000001</v>
      </c>
      <c r="H61" s="25">
        <v>1134003.3112000001</v>
      </c>
      <c r="I61" s="37">
        <f t="shared" si="5"/>
        <v>686.93349999981001</v>
      </c>
      <c r="J61" s="26">
        <f t="shared" si="6"/>
        <v>120</v>
      </c>
      <c r="K61" s="25">
        <f t="shared" si="7"/>
        <v>99.540999999968335</v>
      </c>
      <c r="L61" s="26">
        <v>130</v>
      </c>
      <c r="M61" s="25">
        <v>137.79300000000001</v>
      </c>
      <c r="N61" s="28">
        <f t="shared" si="8"/>
        <v>7.7930000000000064</v>
      </c>
      <c r="O61" s="28">
        <f t="shared" si="9"/>
        <v>49.999400007199917</v>
      </c>
      <c r="P61" s="26">
        <v>100</v>
      </c>
      <c r="Q61" s="24" t="s">
        <v>4</v>
      </c>
      <c r="R61" s="24"/>
    </row>
    <row r="62" spans="1:18" x14ac:dyDescent="0.25">
      <c r="A62" s="24">
        <v>60</v>
      </c>
      <c r="B62" s="25" t="s">
        <v>97</v>
      </c>
      <c r="C62" s="26">
        <v>1750.0002999999999</v>
      </c>
      <c r="D62" s="27">
        <v>0.99999982857145797</v>
      </c>
      <c r="E62" s="25">
        <v>1134690.2446999999</v>
      </c>
      <c r="F62" s="25">
        <v>1134760.2446999999</v>
      </c>
      <c r="G62" s="25">
        <v>1134946.9003999999</v>
      </c>
      <c r="H62" s="25">
        <v>1135016.9003999999</v>
      </c>
      <c r="I62" s="37">
        <f t="shared" si="5"/>
        <v>1461.124099999899</v>
      </c>
      <c r="J62" s="26">
        <f t="shared" si="6"/>
        <v>70</v>
      </c>
      <c r="K62" s="25">
        <f t="shared" si="7"/>
        <v>186.65570000000298</v>
      </c>
      <c r="L62" s="26">
        <v>70</v>
      </c>
      <c r="M62" s="25">
        <v>78.736000000000004</v>
      </c>
      <c r="N62" s="28">
        <f t="shared" si="8"/>
        <v>8.7360000000000042</v>
      </c>
      <c r="O62" s="28">
        <f t="shared" si="9"/>
        <v>28.571423673470228</v>
      </c>
      <c r="P62" s="26">
        <v>100</v>
      </c>
      <c r="Q62" s="24" t="s">
        <v>5</v>
      </c>
      <c r="R62" s="24"/>
    </row>
    <row r="63" spans="1:18" x14ac:dyDescent="0.25">
      <c r="A63" s="24">
        <v>61</v>
      </c>
      <c r="B63" s="25" t="s">
        <v>98</v>
      </c>
      <c r="C63" s="26">
        <v>14999.999900000001</v>
      </c>
      <c r="D63" s="27">
        <v>0.11666666744444444</v>
      </c>
      <c r="E63" s="25">
        <v>1136478.0244999998</v>
      </c>
      <c r="F63" s="25">
        <v>1136498.0244999998</v>
      </c>
      <c r="G63" s="25">
        <v>1136567.5145999999</v>
      </c>
      <c r="H63" s="25">
        <v>1136587.5145999999</v>
      </c>
      <c r="I63" s="37">
        <f t="shared" si="5"/>
        <v>297.78759999992326</v>
      </c>
      <c r="J63" s="26">
        <f t="shared" si="6"/>
        <v>20</v>
      </c>
      <c r="K63" s="25">
        <f t="shared" si="7"/>
        <v>69.490100000053644</v>
      </c>
      <c r="L63" s="26">
        <v>10</v>
      </c>
      <c r="M63" s="25">
        <v>9.1809999999999992</v>
      </c>
      <c r="N63" s="28">
        <f t="shared" si="8"/>
        <v>-0.81900000000000084</v>
      </c>
      <c r="O63" s="28">
        <f t="shared" si="9"/>
        <v>3.3333333555555558</v>
      </c>
      <c r="P63" s="26">
        <v>100</v>
      </c>
      <c r="Q63" s="24" t="s">
        <v>5</v>
      </c>
      <c r="R63" s="24"/>
    </row>
    <row r="64" spans="1:18" x14ac:dyDescent="0.25">
      <c r="A64" s="24">
        <v>62</v>
      </c>
      <c r="B64" s="25" t="s">
        <v>99</v>
      </c>
      <c r="C64" s="26">
        <v>2500</v>
      </c>
      <c r="D64" s="27">
        <v>0.7</v>
      </c>
      <c r="E64" s="25">
        <v>1136885.3021999998</v>
      </c>
      <c r="F64" s="25">
        <v>1136935.3021999998</v>
      </c>
      <c r="G64" s="25">
        <v>1136973.0657999997</v>
      </c>
      <c r="H64" s="25">
        <v>1137023.0657999997</v>
      </c>
      <c r="I64" s="37">
        <f t="shared" si="5"/>
        <v>118.58410000009462</v>
      </c>
      <c r="J64" s="26">
        <f t="shared" si="6"/>
        <v>50</v>
      </c>
      <c r="K64" s="25">
        <f t="shared" si="7"/>
        <v>37.763599999947473</v>
      </c>
      <c r="L64" s="26">
        <v>50</v>
      </c>
      <c r="M64" s="25">
        <v>55.118000000000002</v>
      </c>
      <c r="N64" s="28">
        <f t="shared" si="8"/>
        <v>5.1180000000000021</v>
      </c>
      <c r="O64" s="28">
        <f t="shared" si="9"/>
        <v>20</v>
      </c>
      <c r="P64" s="26">
        <v>100</v>
      </c>
      <c r="Q64" s="24" t="s">
        <v>4</v>
      </c>
      <c r="R64" s="24"/>
    </row>
    <row r="65" spans="1:18" x14ac:dyDescent="0.25">
      <c r="A65" s="24">
        <v>63</v>
      </c>
      <c r="B65" s="25" t="s">
        <v>100</v>
      </c>
      <c r="C65" s="26">
        <v>2500</v>
      </c>
      <c r="D65" s="27">
        <v>0.7</v>
      </c>
      <c r="E65" s="25">
        <v>1137141.6498999998</v>
      </c>
      <c r="F65" s="25">
        <v>1137191.6498999998</v>
      </c>
      <c r="G65" s="25">
        <v>1137232.8059999999</v>
      </c>
      <c r="H65" s="25">
        <v>1137282.8059999999</v>
      </c>
      <c r="I65" s="37">
        <f t="shared" si="5"/>
        <v>1261.3218000002671</v>
      </c>
      <c r="J65" s="26">
        <f t="shared" si="6"/>
        <v>50</v>
      </c>
      <c r="K65" s="25">
        <f t="shared" si="7"/>
        <v>41.156100000021979</v>
      </c>
      <c r="L65" s="26">
        <v>50</v>
      </c>
      <c r="M65" s="25">
        <v>55.118000000000002</v>
      </c>
      <c r="N65" s="28">
        <f t="shared" si="8"/>
        <v>5.1180000000000021</v>
      </c>
      <c r="O65" s="28">
        <f t="shared" si="9"/>
        <v>20</v>
      </c>
      <c r="P65" s="26">
        <v>100</v>
      </c>
      <c r="Q65" s="24" t="s">
        <v>5</v>
      </c>
      <c r="R65" s="24"/>
    </row>
    <row r="66" spans="1:18" x14ac:dyDescent="0.25">
      <c r="A66" s="24">
        <v>64</v>
      </c>
      <c r="B66" s="25" t="s">
        <v>101</v>
      </c>
      <c r="C66" s="26">
        <v>7999.9998999999998</v>
      </c>
      <c r="D66" s="27">
        <v>0.218750002734375</v>
      </c>
      <c r="E66" s="25">
        <v>1138544.1278000001</v>
      </c>
      <c r="F66" s="25">
        <v>1138564.1278000001</v>
      </c>
      <c r="G66" s="25">
        <v>1138613.8048</v>
      </c>
      <c r="H66" s="25">
        <v>1138633.8048</v>
      </c>
      <c r="I66" s="37">
        <f t="shared" si="5"/>
        <v>4019.3290999999736</v>
      </c>
      <c r="J66" s="26">
        <f t="shared" si="6"/>
        <v>20</v>
      </c>
      <c r="K66" s="25">
        <f t="shared" si="7"/>
        <v>49.67699999990873</v>
      </c>
      <c r="L66" s="26">
        <v>10</v>
      </c>
      <c r="M66" s="25">
        <v>17.221</v>
      </c>
      <c r="N66" s="28">
        <f t="shared" si="8"/>
        <v>7.2210000000000001</v>
      </c>
      <c r="O66" s="28">
        <f t="shared" si="9"/>
        <v>6.2500000781250007</v>
      </c>
      <c r="P66" s="26">
        <v>100</v>
      </c>
      <c r="Q66" s="24" t="s">
        <v>4</v>
      </c>
      <c r="R66" s="24"/>
    </row>
    <row r="67" spans="1:18" x14ac:dyDescent="0.25">
      <c r="A67" s="24">
        <v>65</v>
      </c>
      <c r="B67" s="25" t="s">
        <v>102</v>
      </c>
      <c r="C67" s="26">
        <v>1800.0001999999999</v>
      </c>
      <c r="D67" s="27">
        <v>0.97222211419754301</v>
      </c>
      <c r="E67" s="25">
        <v>1142653.1339</v>
      </c>
      <c r="F67" s="25">
        <v>1142723.1339</v>
      </c>
      <c r="G67" s="25">
        <v>1142755.9478</v>
      </c>
      <c r="H67" s="25">
        <v>1142825.9478</v>
      </c>
      <c r="I67" s="37">
        <f t="shared" ref="I67:I98" si="10">E68-H67</f>
        <v>60.444900000235066</v>
      </c>
      <c r="J67" s="26">
        <f t="shared" ref="J67:J98" si="11">H67-G67</f>
        <v>70</v>
      </c>
      <c r="K67" s="25">
        <f t="shared" ref="K67:K98" si="12">G67-F67</f>
        <v>32.813899999950081</v>
      </c>
      <c r="L67" s="26">
        <v>70</v>
      </c>
      <c r="M67" s="25">
        <v>76.549000000000007</v>
      </c>
      <c r="N67" s="28">
        <f t="shared" ref="N67:N98" si="13">M67-L67</f>
        <v>6.5490000000000066</v>
      </c>
      <c r="O67" s="28">
        <f t="shared" ref="O67:O98" si="14">ABS((20^2*125)/C67)</f>
        <v>27.777774691358367</v>
      </c>
      <c r="P67" s="26">
        <v>100</v>
      </c>
      <c r="Q67" s="24" t="s">
        <v>4</v>
      </c>
      <c r="R67" s="24"/>
    </row>
    <row r="68" spans="1:18" x14ac:dyDescent="0.25">
      <c r="A68" s="24">
        <v>66</v>
      </c>
      <c r="B68" s="25" t="s">
        <v>103</v>
      </c>
      <c r="C68" s="26">
        <v>1500.0007000000001</v>
      </c>
      <c r="D68" s="27">
        <v>1.1666661222224763</v>
      </c>
      <c r="E68" s="25">
        <v>1142886.3927000002</v>
      </c>
      <c r="F68" s="25">
        <v>1142966.3927000002</v>
      </c>
      <c r="G68" s="25">
        <v>1142992.6006000002</v>
      </c>
      <c r="H68" s="25">
        <v>1143072.6006000002</v>
      </c>
      <c r="I68" s="37">
        <f t="shared" si="10"/>
        <v>922.47449999977835</v>
      </c>
      <c r="J68" s="26">
        <f t="shared" si="11"/>
        <v>80</v>
      </c>
      <c r="K68" s="25">
        <f t="shared" si="12"/>
        <v>26.207900000037625</v>
      </c>
      <c r="L68" s="26">
        <v>90</v>
      </c>
      <c r="M68" s="25">
        <v>91.86</v>
      </c>
      <c r="N68" s="28">
        <f t="shared" si="13"/>
        <v>1.8599999999999994</v>
      </c>
      <c r="O68" s="28">
        <f t="shared" si="14"/>
        <v>33.333317777785034</v>
      </c>
      <c r="P68" s="26">
        <v>100</v>
      </c>
      <c r="Q68" s="24" t="s">
        <v>5</v>
      </c>
      <c r="R68" s="24"/>
    </row>
    <row r="69" spans="1:18" x14ac:dyDescent="0.25">
      <c r="A69" s="24">
        <v>67</v>
      </c>
      <c r="B69" s="25" t="s">
        <v>104</v>
      </c>
      <c r="C69" s="26">
        <v>2500</v>
      </c>
      <c r="D69" s="27">
        <v>0.7</v>
      </c>
      <c r="E69" s="25">
        <v>1143995.0751</v>
      </c>
      <c r="F69" s="25">
        <v>1144045.0751</v>
      </c>
      <c r="G69" s="25">
        <v>1144101.0906</v>
      </c>
      <c r="H69" s="25">
        <v>1144151.0906</v>
      </c>
      <c r="I69" s="37">
        <f t="shared" si="10"/>
        <v>423.0276999999769</v>
      </c>
      <c r="J69" s="26">
        <f t="shared" si="11"/>
        <v>50</v>
      </c>
      <c r="K69" s="25">
        <f t="shared" si="12"/>
        <v>56.015499999979511</v>
      </c>
      <c r="L69" s="26">
        <v>50</v>
      </c>
      <c r="M69" s="25">
        <v>55.118000000000002</v>
      </c>
      <c r="N69" s="28">
        <f t="shared" si="13"/>
        <v>5.1180000000000021</v>
      </c>
      <c r="O69" s="28">
        <f t="shared" si="14"/>
        <v>20</v>
      </c>
      <c r="P69" s="26">
        <v>100</v>
      </c>
      <c r="Q69" s="24" t="s">
        <v>4</v>
      </c>
      <c r="R69" s="24"/>
    </row>
    <row r="70" spans="1:18" x14ac:dyDescent="0.25">
      <c r="A70" s="24">
        <v>68</v>
      </c>
      <c r="B70" s="25" t="s">
        <v>105</v>
      </c>
      <c r="C70" s="26">
        <v>2770</v>
      </c>
      <c r="D70" s="27">
        <v>0.63176895306859204</v>
      </c>
      <c r="E70" s="25">
        <v>1144574.1183</v>
      </c>
      <c r="F70" s="25">
        <v>1144614.1183</v>
      </c>
      <c r="G70" s="25">
        <v>1144672.5135999999</v>
      </c>
      <c r="H70" s="25">
        <v>1144712.5135999999</v>
      </c>
      <c r="I70" s="37">
        <f t="shared" si="10"/>
        <v>789.95259999996051</v>
      </c>
      <c r="J70" s="26">
        <f t="shared" si="11"/>
        <v>40</v>
      </c>
      <c r="K70" s="25">
        <f t="shared" si="12"/>
        <v>58.395299999974668</v>
      </c>
      <c r="L70" s="26">
        <v>40</v>
      </c>
      <c r="M70" s="25">
        <v>49.744</v>
      </c>
      <c r="N70" s="28">
        <f t="shared" si="13"/>
        <v>9.7439999999999998</v>
      </c>
      <c r="O70" s="28">
        <f t="shared" si="14"/>
        <v>18.050541516245488</v>
      </c>
      <c r="P70" s="26">
        <v>100</v>
      </c>
      <c r="Q70" s="24" t="s">
        <v>4</v>
      </c>
      <c r="R70" s="24"/>
    </row>
    <row r="71" spans="1:18" x14ac:dyDescent="0.25">
      <c r="A71" s="24">
        <v>69</v>
      </c>
      <c r="B71" s="25" t="s">
        <v>106</v>
      </c>
      <c r="C71" s="26">
        <v>1600.0002999999999</v>
      </c>
      <c r="D71" s="27">
        <v>1.0937497949219135</v>
      </c>
      <c r="E71" s="25">
        <v>1145502.4661999999</v>
      </c>
      <c r="F71" s="25">
        <v>1145572.4661999999</v>
      </c>
      <c r="G71" s="25">
        <v>1145614.7600999998</v>
      </c>
      <c r="H71" s="25">
        <v>1145684.7600999998</v>
      </c>
      <c r="I71" s="37">
        <f t="shared" si="10"/>
        <v>325.43960000015795</v>
      </c>
      <c r="J71" s="26">
        <f t="shared" si="11"/>
        <v>70</v>
      </c>
      <c r="K71" s="25">
        <f t="shared" si="12"/>
        <v>42.293899999931455</v>
      </c>
      <c r="L71" s="26">
        <v>80</v>
      </c>
      <c r="M71" s="25">
        <v>86.117000000000004</v>
      </c>
      <c r="N71" s="28">
        <f t="shared" si="13"/>
        <v>6.1170000000000044</v>
      </c>
      <c r="O71" s="28">
        <f t="shared" si="14"/>
        <v>31.2499941406261</v>
      </c>
      <c r="P71" s="26">
        <v>100</v>
      </c>
      <c r="Q71" s="24" t="s">
        <v>5</v>
      </c>
      <c r="R71" s="24"/>
    </row>
    <row r="72" spans="1:18" x14ac:dyDescent="0.25">
      <c r="A72" s="24">
        <v>70</v>
      </c>
      <c r="B72" s="25" t="s">
        <v>107</v>
      </c>
      <c r="C72" s="26">
        <v>1750.0002999999999</v>
      </c>
      <c r="D72" s="27">
        <v>0.99999982857145797</v>
      </c>
      <c r="E72" s="25">
        <v>1146010.1997</v>
      </c>
      <c r="F72" s="25">
        <v>1146080.1997</v>
      </c>
      <c r="G72" s="25">
        <v>1146152.5671999999</v>
      </c>
      <c r="H72" s="25">
        <v>1146222.5671999999</v>
      </c>
      <c r="I72" s="37">
        <f t="shared" si="10"/>
        <v>174.95130000007339</v>
      </c>
      <c r="J72" s="26">
        <f t="shared" si="11"/>
        <v>70</v>
      </c>
      <c r="K72" s="25">
        <f t="shared" si="12"/>
        <v>72.367499999934807</v>
      </c>
      <c r="L72" s="26">
        <v>70</v>
      </c>
      <c r="M72" s="25">
        <v>78.736000000000004</v>
      </c>
      <c r="N72" s="28">
        <f t="shared" si="13"/>
        <v>8.7360000000000042</v>
      </c>
      <c r="O72" s="28">
        <f t="shared" si="14"/>
        <v>28.571423673470228</v>
      </c>
      <c r="P72" s="26">
        <v>100</v>
      </c>
      <c r="Q72" s="24" t="s">
        <v>5</v>
      </c>
      <c r="R72" s="24"/>
    </row>
    <row r="73" spans="1:18" x14ac:dyDescent="0.25">
      <c r="A73" s="24">
        <v>71</v>
      </c>
      <c r="B73" s="25" t="s">
        <v>108</v>
      </c>
      <c r="C73" s="26">
        <v>2000</v>
      </c>
      <c r="D73" s="27">
        <v>0.875</v>
      </c>
      <c r="E73" s="25">
        <v>1146397.5185</v>
      </c>
      <c r="F73" s="25">
        <v>1146457.5185</v>
      </c>
      <c r="G73" s="25">
        <v>1146511.541</v>
      </c>
      <c r="H73" s="25">
        <v>1146571.541</v>
      </c>
      <c r="I73" s="37">
        <f t="shared" si="10"/>
        <v>496.84150000009686</v>
      </c>
      <c r="J73" s="26">
        <f t="shared" si="11"/>
        <v>60</v>
      </c>
      <c r="K73" s="25">
        <f t="shared" si="12"/>
        <v>54.022499999962747</v>
      </c>
      <c r="L73" s="26">
        <v>60</v>
      </c>
      <c r="M73" s="25">
        <v>68.894000000000005</v>
      </c>
      <c r="N73" s="28">
        <f t="shared" si="13"/>
        <v>8.8940000000000055</v>
      </c>
      <c r="O73" s="28">
        <f t="shared" si="14"/>
        <v>25</v>
      </c>
      <c r="P73" s="26">
        <v>100</v>
      </c>
      <c r="Q73" s="24" t="s">
        <v>5</v>
      </c>
      <c r="R73" s="24"/>
    </row>
    <row r="74" spans="1:18" x14ac:dyDescent="0.25">
      <c r="A74" s="24">
        <v>72</v>
      </c>
      <c r="B74" s="25" t="s">
        <v>109</v>
      </c>
      <c r="C74" s="26">
        <v>1750.0002999999999</v>
      </c>
      <c r="D74" s="27">
        <v>0.99999982857145797</v>
      </c>
      <c r="E74" s="25">
        <v>1147068.3825000001</v>
      </c>
      <c r="F74" s="25">
        <v>1147138.3825000001</v>
      </c>
      <c r="G74" s="25">
        <v>1147424.9327</v>
      </c>
      <c r="H74" s="25">
        <v>1147494.9327</v>
      </c>
      <c r="I74" s="37">
        <f t="shared" si="10"/>
        <v>433.31869999994524</v>
      </c>
      <c r="J74" s="26">
        <f t="shared" si="11"/>
        <v>70</v>
      </c>
      <c r="K74" s="25">
        <f t="shared" si="12"/>
        <v>286.55019999993965</v>
      </c>
      <c r="L74" s="26">
        <v>70</v>
      </c>
      <c r="M74" s="25">
        <v>78.736000000000004</v>
      </c>
      <c r="N74" s="28">
        <f t="shared" si="13"/>
        <v>8.7360000000000042</v>
      </c>
      <c r="O74" s="28">
        <f t="shared" si="14"/>
        <v>28.571423673470228</v>
      </c>
      <c r="P74" s="26">
        <v>100</v>
      </c>
      <c r="Q74" s="24" t="s">
        <v>5</v>
      </c>
      <c r="R74" s="24"/>
    </row>
    <row r="75" spans="1:18" x14ac:dyDescent="0.25">
      <c r="A75" s="24">
        <v>73</v>
      </c>
      <c r="B75" s="25" t="s">
        <v>110</v>
      </c>
      <c r="C75" s="26">
        <v>701</v>
      </c>
      <c r="D75" s="27">
        <v>2.4964336661911601</v>
      </c>
      <c r="E75" s="25">
        <v>1147928.2514</v>
      </c>
      <c r="F75" s="25">
        <v>1148088.2514</v>
      </c>
      <c r="G75" s="25">
        <v>1148730.5052</v>
      </c>
      <c r="H75" s="25">
        <v>1148890.5052</v>
      </c>
      <c r="I75" s="37">
        <f t="shared" si="10"/>
        <v>455.25999999977648</v>
      </c>
      <c r="J75" s="26">
        <f t="shared" si="11"/>
        <v>160</v>
      </c>
      <c r="K75" s="25">
        <f t="shared" si="12"/>
        <v>642.25380000006407</v>
      </c>
      <c r="L75" s="26">
        <v>165</v>
      </c>
      <c r="M75" s="25">
        <v>196.845</v>
      </c>
      <c r="N75" s="28">
        <f t="shared" si="13"/>
        <v>31.844999999999999</v>
      </c>
      <c r="O75" s="28">
        <f t="shared" si="14"/>
        <v>71.32667617689016</v>
      </c>
      <c r="P75" s="26">
        <v>100</v>
      </c>
      <c r="Q75" s="24" t="s">
        <v>4</v>
      </c>
      <c r="R75" s="38" t="s">
        <v>75</v>
      </c>
    </row>
    <row r="76" spans="1:18" x14ac:dyDescent="0.25">
      <c r="A76" s="24">
        <v>74</v>
      </c>
      <c r="B76" s="25" t="s">
        <v>111</v>
      </c>
      <c r="C76" s="26">
        <v>700.08</v>
      </c>
      <c r="D76" s="27">
        <v>2.4997143183636155</v>
      </c>
      <c r="E76" s="25">
        <v>1149345.7651999998</v>
      </c>
      <c r="F76" s="25">
        <v>1149505.7651999998</v>
      </c>
      <c r="G76" s="25">
        <v>1150675.3065999998</v>
      </c>
      <c r="H76" s="25">
        <v>1150835.3065999998</v>
      </c>
      <c r="I76" s="37">
        <f t="shared" si="10"/>
        <v>373.33000000030734</v>
      </c>
      <c r="J76" s="26">
        <f t="shared" si="11"/>
        <v>160</v>
      </c>
      <c r="K76" s="25">
        <f t="shared" si="12"/>
        <v>1169.5413999999873</v>
      </c>
      <c r="L76" s="26">
        <v>165</v>
      </c>
      <c r="M76" s="25">
        <v>196.70699999999999</v>
      </c>
      <c r="N76" s="28">
        <f t="shared" si="13"/>
        <v>31.706999999999994</v>
      </c>
      <c r="O76" s="28">
        <f t="shared" si="14"/>
        <v>71.420409096103299</v>
      </c>
      <c r="P76" s="26">
        <v>100</v>
      </c>
      <c r="Q76" s="24" t="s">
        <v>5</v>
      </c>
      <c r="R76" s="38"/>
    </row>
    <row r="77" spans="1:18" x14ac:dyDescent="0.25">
      <c r="A77" s="24">
        <v>75</v>
      </c>
      <c r="B77" s="25" t="s">
        <v>112</v>
      </c>
      <c r="C77" s="26">
        <v>700</v>
      </c>
      <c r="D77" s="27">
        <v>2.5</v>
      </c>
      <c r="E77" s="25">
        <v>1151208.6366000001</v>
      </c>
      <c r="F77" s="25">
        <v>1151368.6366000001</v>
      </c>
      <c r="G77" s="25">
        <v>1151984.8693000001</v>
      </c>
      <c r="H77" s="25">
        <v>1152144.8693000001</v>
      </c>
      <c r="I77" s="37">
        <f t="shared" si="10"/>
        <v>177.9527999998536</v>
      </c>
      <c r="J77" s="26">
        <f t="shared" si="11"/>
        <v>160</v>
      </c>
      <c r="K77" s="25">
        <f t="shared" si="12"/>
        <v>616.23270000005141</v>
      </c>
      <c r="L77" s="26">
        <v>165</v>
      </c>
      <c r="M77" s="25">
        <v>196.52799999999999</v>
      </c>
      <c r="N77" s="28">
        <f t="shared" si="13"/>
        <v>31.527999999999992</v>
      </c>
      <c r="O77" s="28">
        <f t="shared" si="14"/>
        <v>71.428571428571431</v>
      </c>
      <c r="P77" s="26">
        <v>100</v>
      </c>
      <c r="Q77" s="24" t="s">
        <v>4</v>
      </c>
      <c r="R77" s="38"/>
    </row>
    <row r="78" spans="1:18" x14ac:dyDescent="0.25">
      <c r="A78" s="24">
        <v>76</v>
      </c>
      <c r="B78" s="25" t="s">
        <v>113</v>
      </c>
      <c r="C78" s="26">
        <v>9999.9999000000007</v>
      </c>
      <c r="D78" s="27">
        <v>0.17500000174999999</v>
      </c>
      <c r="E78" s="25">
        <v>1152322.8221</v>
      </c>
      <c r="F78" s="25">
        <v>1152352.8221</v>
      </c>
      <c r="G78" s="25">
        <v>1152403.9221999999</v>
      </c>
      <c r="H78" s="25">
        <v>1152433.9221999999</v>
      </c>
      <c r="I78" s="37">
        <f t="shared" si="10"/>
        <v>101.23519999999553</v>
      </c>
      <c r="J78" s="26">
        <f t="shared" si="11"/>
        <v>30</v>
      </c>
      <c r="K78" s="25">
        <f t="shared" si="12"/>
        <v>51.100099999923259</v>
      </c>
      <c r="L78" s="26">
        <v>10</v>
      </c>
      <c r="M78" s="25">
        <v>13.61</v>
      </c>
      <c r="N78" s="28">
        <f t="shared" si="13"/>
        <v>3.6099999999999994</v>
      </c>
      <c r="O78" s="28">
        <f t="shared" si="14"/>
        <v>5.0000000500000006</v>
      </c>
      <c r="P78" s="26">
        <v>100</v>
      </c>
      <c r="Q78" s="24" t="s">
        <v>5</v>
      </c>
      <c r="R78" s="24"/>
    </row>
    <row r="79" spans="1:18" x14ac:dyDescent="0.25">
      <c r="A79" s="24">
        <v>77</v>
      </c>
      <c r="B79" s="25" t="s">
        <v>113</v>
      </c>
      <c r="C79" s="26">
        <v>10000</v>
      </c>
      <c r="D79" s="27">
        <v>0.17499999999999999</v>
      </c>
      <c r="E79" s="25">
        <v>1152535.1573999999</v>
      </c>
      <c r="F79" s="25">
        <v>1152565.1573999999</v>
      </c>
      <c r="G79" s="25">
        <v>1152616.2574999998</v>
      </c>
      <c r="H79" s="25">
        <v>1152646.2574999998</v>
      </c>
      <c r="I79" s="37">
        <f t="shared" si="10"/>
        <v>1037.1291000000201</v>
      </c>
      <c r="J79" s="26">
        <f t="shared" si="11"/>
        <v>30</v>
      </c>
      <c r="K79" s="25">
        <f t="shared" si="12"/>
        <v>51.100099999923259</v>
      </c>
      <c r="L79" s="26">
        <v>10</v>
      </c>
      <c r="M79" s="25">
        <v>13.61</v>
      </c>
      <c r="N79" s="28">
        <f t="shared" si="13"/>
        <v>3.6099999999999994</v>
      </c>
      <c r="O79" s="28">
        <f t="shared" si="14"/>
        <v>5</v>
      </c>
      <c r="P79" s="26">
        <v>100</v>
      </c>
      <c r="Q79" s="24" t="s">
        <v>4</v>
      </c>
      <c r="R79" s="24"/>
    </row>
    <row r="80" spans="1:18" x14ac:dyDescent="0.25">
      <c r="A80" s="24">
        <v>78</v>
      </c>
      <c r="B80" s="25" t="s">
        <v>114</v>
      </c>
      <c r="C80" s="26">
        <v>3500</v>
      </c>
      <c r="D80" s="27">
        <v>0.5</v>
      </c>
      <c r="E80" s="25">
        <v>1153683.3865999999</v>
      </c>
      <c r="F80" s="25">
        <v>1153723.3865999999</v>
      </c>
      <c r="G80" s="25">
        <v>1153756.9119999998</v>
      </c>
      <c r="H80" s="25">
        <v>1153796.9119999998</v>
      </c>
      <c r="I80" s="37">
        <f t="shared" si="10"/>
        <v>270.5250000001397</v>
      </c>
      <c r="J80" s="26">
        <f t="shared" si="11"/>
        <v>40</v>
      </c>
      <c r="K80" s="25">
        <f t="shared" si="12"/>
        <v>33.525399999925867</v>
      </c>
      <c r="L80" s="26">
        <v>30</v>
      </c>
      <c r="M80" s="25">
        <v>39.006</v>
      </c>
      <c r="N80" s="28">
        <f t="shared" si="13"/>
        <v>9.0060000000000002</v>
      </c>
      <c r="O80" s="28">
        <f t="shared" si="14"/>
        <v>14.285714285714286</v>
      </c>
      <c r="P80" s="26">
        <v>100</v>
      </c>
      <c r="Q80" s="24" t="s">
        <v>5</v>
      </c>
      <c r="R80" s="24"/>
    </row>
    <row r="81" spans="1:18" x14ac:dyDescent="0.25">
      <c r="A81" s="24">
        <v>79</v>
      </c>
      <c r="B81" s="25" t="s">
        <v>115</v>
      </c>
      <c r="C81" s="26">
        <v>12000</v>
      </c>
      <c r="D81" s="27">
        <v>0.14583333333333334</v>
      </c>
      <c r="E81" s="25">
        <v>1154067.4369999999</v>
      </c>
      <c r="F81" s="25">
        <v>1154087.4369999999</v>
      </c>
      <c r="G81" s="25">
        <v>1154184.4639999999</v>
      </c>
      <c r="H81" s="25">
        <v>1154204.4639999999</v>
      </c>
      <c r="I81" s="37">
        <f t="shared" si="10"/>
        <v>697.38259999989532</v>
      </c>
      <c r="J81" s="26">
        <f t="shared" si="11"/>
        <v>20</v>
      </c>
      <c r="K81" s="25">
        <f t="shared" si="12"/>
        <v>97.027000000001863</v>
      </c>
      <c r="L81" s="26">
        <v>10</v>
      </c>
      <c r="M81" s="25">
        <v>11.27</v>
      </c>
      <c r="N81" s="28">
        <f t="shared" si="13"/>
        <v>1.2699999999999996</v>
      </c>
      <c r="O81" s="28">
        <f t="shared" si="14"/>
        <v>4.166666666666667</v>
      </c>
      <c r="P81" s="26">
        <v>100</v>
      </c>
      <c r="Q81" s="24" t="s">
        <v>5</v>
      </c>
      <c r="R81" s="24"/>
    </row>
    <row r="82" spans="1:18" x14ac:dyDescent="0.25">
      <c r="A82" s="24">
        <v>80</v>
      </c>
      <c r="B82" s="25" t="s">
        <v>116</v>
      </c>
      <c r="C82" s="26">
        <v>10000</v>
      </c>
      <c r="D82" s="27">
        <v>0.17499999999999999</v>
      </c>
      <c r="E82" s="25">
        <v>1154901.8465999998</v>
      </c>
      <c r="F82" s="25">
        <v>1154921.8465999998</v>
      </c>
      <c r="G82" s="25">
        <v>1155012.4289999998</v>
      </c>
      <c r="H82" s="25">
        <v>1155032.4289999998</v>
      </c>
      <c r="I82" s="37">
        <f t="shared" si="10"/>
        <v>60.366200000280514</v>
      </c>
      <c r="J82" s="26">
        <f t="shared" si="11"/>
        <v>20</v>
      </c>
      <c r="K82" s="25">
        <f t="shared" si="12"/>
        <v>90.582399999955669</v>
      </c>
      <c r="L82" s="26">
        <v>10</v>
      </c>
      <c r="M82" s="25">
        <v>13.525</v>
      </c>
      <c r="N82" s="28">
        <f t="shared" si="13"/>
        <v>3.5250000000000004</v>
      </c>
      <c r="O82" s="28">
        <f t="shared" si="14"/>
        <v>5</v>
      </c>
      <c r="P82" s="26">
        <v>100</v>
      </c>
      <c r="Q82" s="24" t="s">
        <v>4</v>
      </c>
      <c r="R82" s="24"/>
    </row>
    <row r="83" spans="1:18" x14ac:dyDescent="0.25">
      <c r="A83" s="24">
        <v>81</v>
      </c>
      <c r="B83" s="25" t="s">
        <v>117</v>
      </c>
      <c r="C83" s="26">
        <v>2500</v>
      </c>
      <c r="D83" s="27">
        <v>0.7</v>
      </c>
      <c r="E83" s="25">
        <v>1155092.7952000001</v>
      </c>
      <c r="F83" s="25">
        <v>1155142.7952000001</v>
      </c>
      <c r="G83" s="25">
        <v>1155173.4536000001</v>
      </c>
      <c r="H83" s="25">
        <v>1155223.4536000001</v>
      </c>
      <c r="I83" s="37">
        <f t="shared" si="10"/>
        <v>68.351199999917299</v>
      </c>
      <c r="J83" s="26">
        <f t="shared" si="11"/>
        <v>50</v>
      </c>
      <c r="K83" s="25">
        <f t="shared" si="12"/>
        <v>30.658400000073016</v>
      </c>
      <c r="L83" s="26">
        <v>50</v>
      </c>
      <c r="M83" s="25">
        <v>54.715000000000003</v>
      </c>
      <c r="N83" s="28">
        <f t="shared" si="13"/>
        <v>4.7150000000000034</v>
      </c>
      <c r="O83" s="28">
        <f t="shared" si="14"/>
        <v>20</v>
      </c>
      <c r="P83" s="26">
        <v>100</v>
      </c>
      <c r="Q83" s="24" t="s">
        <v>4</v>
      </c>
      <c r="R83" s="24"/>
    </row>
    <row r="84" spans="1:18" x14ac:dyDescent="0.25">
      <c r="A84" s="24">
        <v>82</v>
      </c>
      <c r="B84" s="25" t="s">
        <v>118</v>
      </c>
      <c r="C84" s="26">
        <v>2250</v>
      </c>
      <c r="D84" s="27">
        <v>0.77777777777777779</v>
      </c>
      <c r="E84" s="25">
        <v>1155291.8048</v>
      </c>
      <c r="F84" s="25">
        <v>1155341.8048</v>
      </c>
      <c r="G84" s="25">
        <v>1155364.7608</v>
      </c>
      <c r="H84" s="25">
        <v>1155414.7608</v>
      </c>
      <c r="I84" s="37">
        <f t="shared" si="10"/>
        <v>2345.6808999998029</v>
      </c>
      <c r="J84" s="26">
        <f t="shared" si="11"/>
        <v>50</v>
      </c>
      <c r="K84" s="25">
        <f t="shared" si="12"/>
        <v>22.956000000005588</v>
      </c>
      <c r="L84" s="26">
        <v>50</v>
      </c>
      <c r="M84" s="25">
        <v>60.786999999999999</v>
      </c>
      <c r="N84" s="28">
        <f t="shared" si="13"/>
        <v>10.786999999999999</v>
      </c>
      <c r="O84" s="28">
        <f t="shared" si="14"/>
        <v>22.222222222222221</v>
      </c>
      <c r="P84" s="26">
        <v>100</v>
      </c>
      <c r="Q84" s="24" t="s">
        <v>5</v>
      </c>
      <c r="R84" s="24"/>
    </row>
    <row r="85" spans="1:18" x14ac:dyDescent="0.25">
      <c r="A85" s="24">
        <v>83</v>
      </c>
      <c r="B85" s="25" t="s">
        <v>119</v>
      </c>
      <c r="C85" s="26">
        <v>8099.9998999999998</v>
      </c>
      <c r="D85" s="27">
        <v>0.21604938538332599</v>
      </c>
      <c r="E85" s="25">
        <v>1157760.4416999999</v>
      </c>
      <c r="F85" s="25">
        <v>1157790.4416999999</v>
      </c>
      <c r="G85" s="25">
        <v>1157839.9920999999</v>
      </c>
      <c r="H85" s="25">
        <v>1157869.9920999999</v>
      </c>
      <c r="I85" s="37">
        <f t="shared" si="10"/>
        <v>55.784000000217929</v>
      </c>
      <c r="J85" s="26">
        <f t="shared" si="11"/>
        <v>30</v>
      </c>
      <c r="K85" s="25">
        <f t="shared" si="12"/>
        <v>49.550400000065565</v>
      </c>
      <c r="L85" s="26">
        <v>10</v>
      </c>
      <c r="M85" s="25">
        <v>16.802</v>
      </c>
      <c r="N85" s="28">
        <f t="shared" si="13"/>
        <v>6.8019999999999996</v>
      </c>
      <c r="O85" s="28">
        <f t="shared" si="14"/>
        <v>6.1728395823807354</v>
      </c>
      <c r="P85" s="26">
        <v>100</v>
      </c>
      <c r="Q85" s="24" t="s">
        <v>4</v>
      </c>
      <c r="R85" s="24"/>
    </row>
    <row r="86" spans="1:18" x14ac:dyDescent="0.25">
      <c r="A86" s="24">
        <v>84</v>
      </c>
      <c r="B86" s="25" t="s">
        <v>120</v>
      </c>
      <c r="C86" s="26">
        <v>7000.0001000000002</v>
      </c>
      <c r="D86" s="27">
        <v>0.24999999642857149</v>
      </c>
      <c r="E86" s="25">
        <v>1157925.7761000001</v>
      </c>
      <c r="F86" s="25">
        <v>1157965.7761000001</v>
      </c>
      <c r="G86" s="25">
        <v>1157991.8031000001</v>
      </c>
      <c r="H86" s="25">
        <v>1158031.8031000001</v>
      </c>
      <c r="I86" s="37">
        <f t="shared" si="10"/>
        <v>151.96759999985807</v>
      </c>
      <c r="J86" s="26">
        <f t="shared" si="11"/>
        <v>40</v>
      </c>
      <c r="K86" s="25">
        <f t="shared" si="12"/>
        <v>26.027000000001863</v>
      </c>
      <c r="L86" s="26">
        <v>10</v>
      </c>
      <c r="M86" s="25">
        <v>19.501999999999999</v>
      </c>
      <c r="N86" s="28">
        <f t="shared" si="13"/>
        <v>9.5019999999999989</v>
      </c>
      <c r="O86" s="28">
        <f t="shared" si="14"/>
        <v>7.1428570408163274</v>
      </c>
      <c r="P86" s="26">
        <v>100</v>
      </c>
      <c r="Q86" s="24" t="s">
        <v>5</v>
      </c>
      <c r="R86" s="24"/>
    </row>
    <row r="87" spans="1:18" x14ac:dyDescent="0.25">
      <c r="A87" s="24">
        <v>85</v>
      </c>
      <c r="B87" s="25" t="s">
        <v>121</v>
      </c>
      <c r="C87" s="26">
        <v>4000</v>
      </c>
      <c r="D87" s="27">
        <v>0.4375</v>
      </c>
      <c r="E87" s="25">
        <v>1158183.7707</v>
      </c>
      <c r="F87" s="25">
        <v>1158213.7707</v>
      </c>
      <c r="G87" s="25">
        <v>1158263.0869</v>
      </c>
      <c r="H87" s="25">
        <v>1158293.0869</v>
      </c>
      <c r="I87" s="37">
        <f t="shared" si="10"/>
        <v>60.674899999983609</v>
      </c>
      <c r="J87" s="26">
        <f t="shared" si="11"/>
        <v>30</v>
      </c>
      <c r="K87" s="25">
        <f t="shared" si="12"/>
        <v>49.316200000001118</v>
      </c>
      <c r="L87" s="26">
        <v>30</v>
      </c>
      <c r="M87" s="25">
        <v>34.024000000000001</v>
      </c>
      <c r="N87" s="28">
        <f t="shared" si="13"/>
        <v>4.0240000000000009</v>
      </c>
      <c r="O87" s="28">
        <f t="shared" si="14"/>
        <v>12.5</v>
      </c>
      <c r="P87" s="26">
        <v>100</v>
      </c>
      <c r="Q87" s="24" t="s">
        <v>5</v>
      </c>
      <c r="R87" s="24"/>
    </row>
    <row r="88" spans="1:18" x14ac:dyDescent="0.25">
      <c r="A88" s="24">
        <v>86</v>
      </c>
      <c r="B88" s="25" t="s">
        <v>122</v>
      </c>
      <c r="C88" s="26">
        <v>1500.0007000000001</v>
      </c>
      <c r="D88" s="27">
        <v>1.1666661222224799</v>
      </c>
      <c r="E88" s="25">
        <v>1158353.7618</v>
      </c>
      <c r="F88" s="25">
        <v>1158433.7618</v>
      </c>
      <c r="G88" s="25">
        <v>1158467.6115999999</v>
      </c>
      <c r="H88" s="25">
        <v>1158547.6115999999</v>
      </c>
      <c r="I88" s="37">
        <f t="shared" si="10"/>
        <v>257.53310000011697</v>
      </c>
      <c r="J88" s="26">
        <f t="shared" si="11"/>
        <v>80</v>
      </c>
      <c r="K88" s="25">
        <f t="shared" si="12"/>
        <v>33.849799999967217</v>
      </c>
      <c r="L88" s="26">
        <v>90</v>
      </c>
      <c r="M88" s="25">
        <v>91.438000000000002</v>
      </c>
      <c r="N88" s="28">
        <f t="shared" si="13"/>
        <v>1.4380000000000024</v>
      </c>
      <c r="O88" s="28">
        <f t="shared" si="14"/>
        <v>33.333317777785034</v>
      </c>
      <c r="P88" s="26">
        <v>100</v>
      </c>
      <c r="Q88" s="24" t="s">
        <v>4</v>
      </c>
      <c r="R88" s="24"/>
    </row>
    <row r="89" spans="1:18" x14ac:dyDescent="0.25">
      <c r="A89" s="24">
        <v>87</v>
      </c>
      <c r="B89" s="25" t="s">
        <v>123</v>
      </c>
      <c r="C89" s="26">
        <v>4000</v>
      </c>
      <c r="D89" s="27">
        <v>0.4375</v>
      </c>
      <c r="E89" s="25">
        <v>1158805.1447000001</v>
      </c>
      <c r="F89" s="25">
        <v>1158835.1447000001</v>
      </c>
      <c r="G89" s="25">
        <v>1159203.4096000001</v>
      </c>
      <c r="H89" s="25">
        <v>1159233.4096000001</v>
      </c>
      <c r="I89" s="37">
        <f t="shared" si="10"/>
        <v>466.67849999992177</v>
      </c>
      <c r="J89" s="26">
        <f t="shared" si="11"/>
        <v>30</v>
      </c>
      <c r="K89" s="25">
        <f t="shared" si="12"/>
        <v>368.26490000006743</v>
      </c>
      <c r="L89" s="26">
        <v>30</v>
      </c>
      <c r="M89" s="25">
        <v>34.023000000000003</v>
      </c>
      <c r="N89" s="28">
        <f t="shared" si="13"/>
        <v>4.0230000000000032</v>
      </c>
      <c r="O89" s="28">
        <f t="shared" si="14"/>
        <v>12.5</v>
      </c>
      <c r="P89" s="26">
        <v>100</v>
      </c>
      <c r="Q89" s="24" t="s">
        <v>5</v>
      </c>
      <c r="R89" s="24"/>
    </row>
    <row r="90" spans="1:18" x14ac:dyDescent="0.25">
      <c r="A90" s="24">
        <v>88</v>
      </c>
      <c r="B90" s="25" t="s">
        <v>124</v>
      </c>
      <c r="C90" s="26">
        <v>3500</v>
      </c>
      <c r="D90" s="27">
        <v>0.5</v>
      </c>
      <c r="E90" s="25">
        <v>1159700.0881000001</v>
      </c>
      <c r="F90" s="25">
        <v>1159740.0881000001</v>
      </c>
      <c r="G90" s="25">
        <v>1159850.8521</v>
      </c>
      <c r="H90" s="25">
        <v>1159890.8521</v>
      </c>
      <c r="I90" s="37">
        <f t="shared" si="10"/>
        <v>826.22909999988042</v>
      </c>
      <c r="J90" s="26">
        <f t="shared" si="11"/>
        <v>40</v>
      </c>
      <c r="K90" s="25">
        <f t="shared" si="12"/>
        <v>110.76399999996647</v>
      </c>
      <c r="L90" s="26">
        <v>30</v>
      </c>
      <c r="M90" s="25">
        <v>39.006</v>
      </c>
      <c r="N90" s="28">
        <f t="shared" si="13"/>
        <v>9.0060000000000002</v>
      </c>
      <c r="O90" s="28">
        <f t="shared" si="14"/>
        <v>14.285714285714286</v>
      </c>
      <c r="P90" s="26">
        <v>100</v>
      </c>
      <c r="Q90" s="24" t="s">
        <v>4</v>
      </c>
      <c r="R90" s="24"/>
    </row>
    <row r="91" spans="1:18" x14ac:dyDescent="0.25">
      <c r="A91" s="24">
        <v>89</v>
      </c>
      <c r="B91" s="25" t="s">
        <v>125</v>
      </c>
      <c r="C91" s="26">
        <v>3500</v>
      </c>
      <c r="D91" s="27">
        <v>0.5</v>
      </c>
      <c r="E91" s="25">
        <v>1160717.0811999999</v>
      </c>
      <c r="F91" s="25">
        <v>1160757.0811999999</v>
      </c>
      <c r="G91" s="25">
        <v>1160797.9124999999</v>
      </c>
      <c r="H91" s="25">
        <v>1160837.9124999999</v>
      </c>
      <c r="I91" s="37">
        <f t="shared" si="10"/>
        <v>52.380700000096112</v>
      </c>
      <c r="J91" s="26">
        <f t="shared" si="11"/>
        <v>40</v>
      </c>
      <c r="K91" s="25">
        <f t="shared" si="12"/>
        <v>40.83129999996163</v>
      </c>
      <c r="L91" s="26">
        <v>30</v>
      </c>
      <c r="M91" s="25">
        <v>39.006</v>
      </c>
      <c r="N91" s="28">
        <f t="shared" si="13"/>
        <v>9.0060000000000002</v>
      </c>
      <c r="O91" s="28">
        <f t="shared" si="14"/>
        <v>14.285714285714286</v>
      </c>
      <c r="P91" s="26">
        <v>100</v>
      </c>
      <c r="Q91" s="24" t="s">
        <v>4</v>
      </c>
      <c r="R91" s="24"/>
    </row>
    <row r="92" spans="1:18" x14ac:dyDescent="0.25">
      <c r="A92" s="24">
        <v>90</v>
      </c>
      <c r="B92" s="25" t="s">
        <v>125</v>
      </c>
      <c r="C92" s="26">
        <v>3500</v>
      </c>
      <c r="D92" s="27">
        <v>0.5</v>
      </c>
      <c r="E92" s="25">
        <v>1160890.2932</v>
      </c>
      <c r="F92" s="25">
        <v>1160930.2932</v>
      </c>
      <c r="G92" s="25">
        <v>1160971.1244999999</v>
      </c>
      <c r="H92" s="25">
        <v>1161011.1244999999</v>
      </c>
      <c r="I92" s="37">
        <f t="shared" si="10"/>
        <v>277.97690000012517</v>
      </c>
      <c r="J92" s="26">
        <f t="shared" si="11"/>
        <v>40</v>
      </c>
      <c r="K92" s="25">
        <f t="shared" si="12"/>
        <v>40.83129999996163</v>
      </c>
      <c r="L92" s="26">
        <v>30</v>
      </c>
      <c r="M92" s="25">
        <v>39.006</v>
      </c>
      <c r="N92" s="28">
        <f t="shared" si="13"/>
        <v>9.0060000000000002</v>
      </c>
      <c r="O92" s="28">
        <f t="shared" si="14"/>
        <v>14.285714285714286</v>
      </c>
      <c r="P92" s="26">
        <v>100</v>
      </c>
      <c r="Q92" s="24" t="s">
        <v>5</v>
      </c>
      <c r="R92" s="24"/>
    </row>
    <row r="93" spans="1:18" x14ac:dyDescent="0.25">
      <c r="A93" s="24">
        <v>91</v>
      </c>
      <c r="B93" s="25" t="s">
        <v>126</v>
      </c>
      <c r="C93" s="26">
        <v>5000.0001000000002</v>
      </c>
      <c r="D93" s="27">
        <v>0.34999999300000012</v>
      </c>
      <c r="E93" s="25">
        <v>1161289.1014</v>
      </c>
      <c r="F93" s="25">
        <v>1161329.1014</v>
      </c>
      <c r="G93" s="25">
        <v>1161355.0982000001</v>
      </c>
      <c r="H93" s="25">
        <v>1161395.0982000001</v>
      </c>
      <c r="I93" s="37">
        <f t="shared" si="10"/>
        <v>208.05869999993593</v>
      </c>
      <c r="J93" s="26">
        <f t="shared" si="11"/>
        <v>40</v>
      </c>
      <c r="K93" s="25">
        <f t="shared" si="12"/>
        <v>25.996800000080839</v>
      </c>
      <c r="L93" s="26">
        <v>20</v>
      </c>
      <c r="M93" s="25">
        <v>27.303999999999998</v>
      </c>
      <c r="N93" s="28">
        <f t="shared" si="13"/>
        <v>7.3039999999999985</v>
      </c>
      <c r="O93" s="28">
        <f t="shared" si="14"/>
        <v>9.999999800000003</v>
      </c>
      <c r="P93" s="26">
        <v>100</v>
      </c>
      <c r="Q93" s="24" t="s">
        <v>5</v>
      </c>
      <c r="R93" s="24"/>
    </row>
    <row r="94" spans="1:18" x14ac:dyDescent="0.25">
      <c r="A94" s="24">
        <v>92</v>
      </c>
      <c r="B94" s="25" t="s">
        <v>127</v>
      </c>
      <c r="C94" s="26">
        <v>5000</v>
      </c>
      <c r="D94" s="27">
        <v>0.35</v>
      </c>
      <c r="E94" s="25">
        <v>1161603.1569000001</v>
      </c>
      <c r="F94" s="25">
        <v>1161633.1569000001</v>
      </c>
      <c r="G94" s="25">
        <v>1161688.1241000001</v>
      </c>
      <c r="H94" s="25">
        <v>1161718.1241000001</v>
      </c>
      <c r="I94" s="37">
        <f t="shared" si="10"/>
        <v>564.73619999992661</v>
      </c>
      <c r="J94" s="26">
        <f t="shared" si="11"/>
        <v>30</v>
      </c>
      <c r="K94" s="25">
        <f t="shared" si="12"/>
        <v>54.967200000071898</v>
      </c>
      <c r="L94" s="26">
        <v>20</v>
      </c>
      <c r="M94" s="25">
        <v>27.219000000000001</v>
      </c>
      <c r="N94" s="28">
        <f t="shared" si="13"/>
        <v>7.2190000000000012</v>
      </c>
      <c r="O94" s="28">
        <f t="shared" si="14"/>
        <v>10</v>
      </c>
      <c r="P94" s="26">
        <v>100</v>
      </c>
      <c r="Q94" s="24" t="s">
        <v>4</v>
      </c>
      <c r="R94" s="24"/>
    </row>
    <row r="95" spans="1:18" x14ac:dyDescent="0.25">
      <c r="A95" s="24">
        <v>93</v>
      </c>
      <c r="B95" s="25" t="s">
        <v>128</v>
      </c>
      <c r="C95" s="26">
        <v>1750.0002999999999</v>
      </c>
      <c r="D95" s="27">
        <v>0.99999982857145797</v>
      </c>
      <c r="E95" s="25">
        <v>1162282.8603000001</v>
      </c>
      <c r="F95" s="25">
        <v>1162352.8603000001</v>
      </c>
      <c r="G95" s="25">
        <v>1162448.0605000001</v>
      </c>
      <c r="H95" s="25">
        <v>1162518.0605000001</v>
      </c>
      <c r="I95" s="37">
        <f t="shared" si="10"/>
        <v>161.96879999991506</v>
      </c>
      <c r="J95" s="26">
        <f t="shared" si="11"/>
        <v>70</v>
      </c>
      <c r="K95" s="25">
        <f t="shared" si="12"/>
        <v>95.200200000079349</v>
      </c>
      <c r="L95" s="26">
        <v>70</v>
      </c>
      <c r="M95" s="25">
        <v>78.322000000000003</v>
      </c>
      <c r="N95" s="28">
        <f t="shared" si="13"/>
        <v>8.3220000000000027</v>
      </c>
      <c r="O95" s="28">
        <f t="shared" si="14"/>
        <v>28.571423673470228</v>
      </c>
      <c r="P95" s="26">
        <v>100</v>
      </c>
      <c r="Q95" s="24" t="s">
        <v>4</v>
      </c>
      <c r="R95" s="24"/>
    </row>
    <row r="96" spans="1:18" x14ac:dyDescent="0.25">
      <c r="A96" s="24">
        <v>94</v>
      </c>
      <c r="B96" s="25" t="s">
        <v>129</v>
      </c>
      <c r="C96" s="26">
        <v>1750.0002999999999</v>
      </c>
      <c r="D96" s="27">
        <v>0.99999982857145797</v>
      </c>
      <c r="E96" s="25">
        <v>1162680.0293000001</v>
      </c>
      <c r="F96" s="25">
        <v>1162750.0293000001</v>
      </c>
      <c r="G96" s="25">
        <v>1162856.7467</v>
      </c>
      <c r="H96" s="25">
        <v>1162926.7467</v>
      </c>
      <c r="I96" s="37">
        <f t="shared" si="10"/>
        <v>572.94010000000708</v>
      </c>
      <c r="J96" s="26">
        <f t="shared" si="11"/>
        <v>70</v>
      </c>
      <c r="K96" s="25">
        <f t="shared" si="12"/>
        <v>106.71739999996498</v>
      </c>
      <c r="L96" s="26">
        <v>70</v>
      </c>
      <c r="M96" s="25">
        <v>78.322000000000003</v>
      </c>
      <c r="N96" s="28">
        <f t="shared" si="13"/>
        <v>8.3220000000000027</v>
      </c>
      <c r="O96" s="28">
        <f t="shared" si="14"/>
        <v>28.571423673470228</v>
      </c>
      <c r="P96" s="26">
        <v>100</v>
      </c>
      <c r="Q96" s="24" t="s">
        <v>5</v>
      </c>
      <c r="R96" s="24"/>
    </row>
    <row r="97" spans="1:18" x14ac:dyDescent="0.25">
      <c r="A97" s="24">
        <v>95</v>
      </c>
      <c r="B97" s="25" t="s">
        <v>130</v>
      </c>
      <c r="C97" s="26">
        <v>1750.0002999999999</v>
      </c>
      <c r="D97" s="27">
        <v>0.99999982857145797</v>
      </c>
      <c r="E97" s="25">
        <v>1163499.6868</v>
      </c>
      <c r="F97" s="25">
        <v>1163569.6868</v>
      </c>
      <c r="G97" s="25">
        <v>1163609.2564000001</v>
      </c>
      <c r="H97" s="25">
        <v>1163679.2564000001</v>
      </c>
      <c r="I97" s="37">
        <f t="shared" si="10"/>
        <v>384.81309999991208</v>
      </c>
      <c r="J97" s="26">
        <f t="shared" si="11"/>
        <v>70</v>
      </c>
      <c r="K97" s="25">
        <f t="shared" si="12"/>
        <v>39.569600000046194</v>
      </c>
      <c r="L97" s="26">
        <v>70</v>
      </c>
      <c r="M97" s="25">
        <v>78.322000000000003</v>
      </c>
      <c r="N97" s="28">
        <f t="shared" si="13"/>
        <v>8.3220000000000027</v>
      </c>
      <c r="O97" s="28">
        <f t="shared" si="14"/>
        <v>28.571423673470228</v>
      </c>
      <c r="P97" s="26">
        <v>100</v>
      </c>
      <c r="Q97" s="24" t="s">
        <v>5</v>
      </c>
      <c r="R97" s="24"/>
    </row>
    <row r="98" spans="1:18" x14ac:dyDescent="0.25">
      <c r="A98" s="24">
        <v>96</v>
      </c>
      <c r="B98" s="25" t="s">
        <v>131</v>
      </c>
      <c r="C98" s="26">
        <v>1750.0002999999999</v>
      </c>
      <c r="D98" s="27">
        <v>0.99999982857145797</v>
      </c>
      <c r="E98" s="25">
        <v>1164064.0695</v>
      </c>
      <c r="F98" s="25">
        <v>1164134.0695</v>
      </c>
      <c r="G98" s="25">
        <v>1164176.9049</v>
      </c>
      <c r="H98" s="25">
        <v>1164246.9049</v>
      </c>
      <c r="I98" s="37">
        <f t="shared" si="10"/>
        <v>1033.0435000001453</v>
      </c>
      <c r="J98" s="26">
        <f t="shared" si="11"/>
        <v>70</v>
      </c>
      <c r="K98" s="25">
        <f t="shared" si="12"/>
        <v>42.835399999981746</v>
      </c>
      <c r="L98" s="26">
        <v>70</v>
      </c>
      <c r="M98" s="25">
        <v>78.322000000000003</v>
      </c>
      <c r="N98" s="28">
        <f t="shared" si="13"/>
        <v>8.3220000000000027</v>
      </c>
      <c r="O98" s="28">
        <f t="shared" si="14"/>
        <v>28.571423673470228</v>
      </c>
      <c r="P98" s="26">
        <v>100</v>
      </c>
      <c r="Q98" s="24" t="s">
        <v>4</v>
      </c>
      <c r="R98" s="24"/>
    </row>
    <row r="99" spans="1:18" x14ac:dyDescent="0.25">
      <c r="A99" s="24">
        <v>97</v>
      </c>
      <c r="B99" s="25" t="s">
        <v>132</v>
      </c>
      <c r="C99" s="26">
        <v>10000</v>
      </c>
      <c r="D99" s="27">
        <v>0.17499999999999999</v>
      </c>
      <c r="E99" s="25">
        <v>1165279.9484000001</v>
      </c>
      <c r="F99" s="25">
        <v>1165299.9484000001</v>
      </c>
      <c r="G99" s="25">
        <v>1165393.8180000002</v>
      </c>
      <c r="H99" s="25">
        <v>1165413.8180000002</v>
      </c>
      <c r="I99" s="37">
        <f t="shared" ref="I99:I130" si="15">E100-H99</f>
        <v>205.30189999984577</v>
      </c>
      <c r="J99" s="26">
        <f t="shared" ref="J99:J130" si="16">H99-G99</f>
        <v>20</v>
      </c>
      <c r="K99" s="25">
        <f t="shared" ref="K99:K130" si="17">G99-F99</f>
        <v>93.86960000009276</v>
      </c>
      <c r="L99" s="26">
        <v>10</v>
      </c>
      <c r="M99" s="25">
        <v>13.53</v>
      </c>
      <c r="N99" s="28">
        <f t="shared" ref="N99:N130" si="18">M99-L99</f>
        <v>3.5299999999999994</v>
      </c>
      <c r="O99" s="28">
        <f t="shared" ref="O99:O130" si="19">ABS((20^2*125)/C99)</f>
        <v>5</v>
      </c>
      <c r="P99" s="26">
        <v>100</v>
      </c>
      <c r="Q99" s="24" t="s">
        <v>5</v>
      </c>
      <c r="R99" s="24"/>
    </row>
    <row r="100" spans="1:18" x14ac:dyDescent="0.25">
      <c r="A100" s="24">
        <v>98</v>
      </c>
      <c r="B100" s="25" t="s">
        <v>133</v>
      </c>
      <c r="C100" s="26">
        <v>4000</v>
      </c>
      <c r="D100" s="27">
        <v>0.4375</v>
      </c>
      <c r="E100" s="25">
        <v>1165619.1199</v>
      </c>
      <c r="F100" s="25">
        <v>1165649.1199</v>
      </c>
      <c r="G100" s="25">
        <v>1165706.1833000001</v>
      </c>
      <c r="H100" s="25">
        <v>1165736.1833000001</v>
      </c>
      <c r="I100" s="37">
        <f t="shared" si="15"/>
        <v>281.33959999983199</v>
      </c>
      <c r="J100" s="26">
        <f t="shared" si="16"/>
        <v>30</v>
      </c>
      <c r="K100" s="25">
        <f t="shared" si="17"/>
        <v>57.063400000100955</v>
      </c>
      <c r="L100" s="26">
        <v>30</v>
      </c>
      <c r="M100" s="25">
        <v>34.024000000000001</v>
      </c>
      <c r="N100" s="28">
        <f t="shared" si="18"/>
        <v>4.0240000000000009</v>
      </c>
      <c r="O100" s="28">
        <f t="shared" si="19"/>
        <v>12.5</v>
      </c>
      <c r="P100" s="26">
        <v>100</v>
      </c>
      <c r="Q100" s="24" t="s">
        <v>4</v>
      </c>
      <c r="R100" s="24"/>
    </row>
    <row r="101" spans="1:18" x14ac:dyDescent="0.25">
      <c r="A101" s="24">
        <v>99</v>
      </c>
      <c r="B101" s="25" t="s">
        <v>134</v>
      </c>
      <c r="C101" s="26">
        <v>7000</v>
      </c>
      <c r="D101" s="27">
        <v>0.25</v>
      </c>
      <c r="E101" s="25">
        <v>1166017.5229</v>
      </c>
      <c r="F101" s="25">
        <v>1166047.5229</v>
      </c>
      <c r="G101" s="25">
        <v>1166095.1399000001</v>
      </c>
      <c r="H101" s="25">
        <v>1166125.1399000001</v>
      </c>
      <c r="I101" s="37">
        <f t="shared" si="15"/>
        <v>1502.247199999867</v>
      </c>
      <c r="J101" s="26">
        <f t="shared" si="16"/>
        <v>30</v>
      </c>
      <c r="K101" s="25">
        <f t="shared" si="17"/>
        <v>47.617000000085682</v>
      </c>
      <c r="L101" s="26">
        <v>10</v>
      </c>
      <c r="M101" s="25">
        <v>19.442</v>
      </c>
      <c r="N101" s="28">
        <f t="shared" si="18"/>
        <v>9.4420000000000002</v>
      </c>
      <c r="O101" s="28">
        <f t="shared" si="19"/>
        <v>7.1428571428571432</v>
      </c>
      <c r="P101" s="26">
        <v>100</v>
      </c>
      <c r="Q101" s="24" t="s">
        <v>5</v>
      </c>
      <c r="R101" s="24"/>
    </row>
    <row r="102" spans="1:18" x14ac:dyDescent="0.25">
      <c r="A102" s="24">
        <v>100</v>
      </c>
      <c r="B102" s="25" t="s">
        <v>135</v>
      </c>
      <c r="C102" s="26">
        <v>1750.0002999999999</v>
      </c>
      <c r="D102" s="27">
        <v>0.99999982857145797</v>
      </c>
      <c r="E102" s="25">
        <v>1167627.3870999999</v>
      </c>
      <c r="F102" s="25">
        <v>1167697.3870999999</v>
      </c>
      <c r="G102" s="25">
        <v>1167719.4325999999</v>
      </c>
      <c r="H102" s="25">
        <v>1167789.4325999999</v>
      </c>
      <c r="I102" s="37">
        <f t="shared" si="15"/>
        <v>272.91859999997541</v>
      </c>
      <c r="J102" s="26">
        <f t="shared" si="16"/>
        <v>70</v>
      </c>
      <c r="K102" s="25">
        <f t="shared" si="17"/>
        <v>22.045500000007451</v>
      </c>
      <c r="L102" s="26">
        <v>70</v>
      </c>
      <c r="M102" s="25">
        <v>78.322000000000003</v>
      </c>
      <c r="N102" s="28">
        <f t="shared" si="18"/>
        <v>8.3220000000000027</v>
      </c>
      <c r="O102" s="28">
        <f t="shared" si="19"/>
        <v>28.571423673470228</v>
      </c>
      <c r="P102" s="26">
        <v>100</v>
      </c>
      <c r="Q102" s="24" t="s">
        <v>4</v>
      </c>
      <c r="R102" s="24"/>
    </row>
    <row r="103" spans="1:18" x14ac:dyDescent="0.25">
      <c r="A103" s="24">
        <v>101</v>
      </c>
      <c r="B103" s="25" t="s">
        <v>136</v>
      </c>
      <c r="C103" s="26">
        <v>3500</v>
      </c>
      <c r="D103" s="27">
        <v>0.5</v>
      </c>
      <c r="E103" s="25">
        <v>1168062.3511999999</v>
      </c>
      <c r="F103" s="25">
        <v>1168102.3511999999</v>
      </c>
      <c r="G103" s="25">
        <v>1168283.0156999999</v>
      </c>
      <c r="H103" s="25">
        <v>1168323.0156999999</v>
      </c>
      <c r="I103" s="37">
        <f t="shared" si="15"/>
        <v>1219.9009000002407</v>
      </c>
      <c r="J103" s="26">
        <f t="shared" si="16"/>
        <v>40</v>
      </c>
      <c r="K103" s="25">
        <f t="shared" si="17"/>
        <v>180.6644999999553</v>
      </c>
      <c r="L103" s="26">
        <v>30</v>
      </c>
      <c r="M103" s="25">
        <v>39.005000000000003</v>
      </c>
      <c r="N103" s="28">
        <f t="shared" si="18"/>
        <v>9.0050000000000026</v>
      </c>
      <c r="O103" s="28">
        <f t="shared" si="19"/>
        <v>14.285714285714286</v>
      </c>
      <c r="P103" s="26">
        <v>100</v>
      </c>
      <c r="Q103" s="24" t="s">
        <v>5</v>
      </c>
      <c r="R103" s="24"/>
    </row>
    <row r="104" spans="1:18" x14ac:dyDescent="0.25">
      <c r="A104" s="24">
        <v>102</v>
      </c>
      <c r="B104" s="25" t="s">
        <v>61</v>
      </c>
      <c r="C104" s="26">
        <v>5999.9998999999998</v>
      </c>
      <c r="D104" s="27">
        <v>0.29166667152777798</v>
      </c>
      <c r="E104" s="25">
        <v>1169542.9166000001</v>
      </c>
      <c r="F104" s="25">
        <v>1169582.9166000001</v>
      </c>
      <c r="G104" s="25">
        <v>1169605.2156000002</v>
      </c>
      <c r="H104" s="25">
        <v>1169645.2156000002</v>
      </c>
      <c r="I104" s="37">
        <f t="shared" si="15"/>
        <v>2649.9775999998674</v>
      </c>
      <c r="J104" s="26">
        <f t="shared" si="16"/>
        <v>40</v>
      </c>
      <c r="K104" s="25">
        <f t="shared" si="17"/>
        <v>22.299000000115484</v>
      </c>
      <c r="L104" s="26">
        <v>20</v>
      </c>
      <c r="M104" s="25">
        <v>22.753</v>
      </c>
      <c r="N104" s="28">
        <f t="shared" si="18"/>
        <v>2.7530000000000001</v>
      </c>
      <c r="O104" s="28">
        <f t="shared" si="19"/>
        <v>8.3333334722222254</v>
      </c>
      <c r="P104" s="26">
        <v>100</v>
      </c>
      <c r="Q104" s="24" t="s">
        <v>4</v>
      </c>
      <c r="R104" s="24"/>
    </row>
    <row r="105" spans="1:18" x14ac:dyDescent="0.25">
      <c r="A105" s="24">
        <v>103</v>
      </c>
      <c r="B105" s="25" t="s">
        <v>137</v>
      </c>
      <c r="C105" s="26">
        <v>5000.0001000000002</v>
      </c>
      <c r="D105" s="27">
        <v>0.34999999300000001</v>
      </c>
      <c r="E105" s="25">
        <v>1172295.1932000001</v>
      </c>
      <c r="F105" s="25">
        <v>1172335.1932000001</v>
      </c>
      <c r="G105" s="25">
        <v>1172361.0217000002</v>
      </c>
      <c r="H105" s="25">
        <v>1172401.0217000002</v>
      </c>
      <c r="I105" s="37">
        <f t="shared" si="15"/>
        <v>166.54639999987558</v>
      </c>
      <c r="J105" s="26">
        <f t="shared" si="16"/>
        <v>40</v>
      </c>
      <c r="K105" s="25">
        <f t="shared" si="17"/>
        <v>25.828500000061467</v>
      </c>
      <c r="L105" s="26">
        <v>20</v>
      </c>
      <c r="M105" s="25">
        <v>27.303999999999998</v>
      </c>
      <c r="N105" s="28">
        <f t="shared" si="18"/>
        <v>7.3039999999999985</v>
      </c>
      <c r="O105" s="28">
        <f t="shared" si="19"/>
        <v>9.999999800000003</v>
      </c>
      <c r="P105" s="26">
        <v>100</v>
      </c>
      <c r="Q105" s="24" t="s">
        <v>4</v>
      </c>
      <c r="R105" s="24"/>
    </row>
    <row r="106" spans="1:18" x14ac:dyDescent="0.25">
      <c r="A106" s="24">
        <v>104</v>
      </c>
      <c r="B106" s="25" t="s">
        <v>137</v>
      </c>
      <c r="C106" s="26">
        <v>5000</v>
      </c>
      <c r="D106" s="27">
        <v>0.35</v>
      </c>
      <c r="E106" s="25">
        <v>1172567.5681</v>
      </c>
      <c r="F106" s="25">
        <v>1172607.5681</v>
      </c>
      <c r="G106" s="25">
        <v>1172633.3966000001</v>
      </c>
      <c r="H106" s="25">
        <v>1172673.3966000001</v>
      </c>
      <c r="I106" s="37">
        <f t="shared" si="15"/>
        <v>554.29169999994338</v>
      </c>
      <c r="J106" s="26">
        <f t="shared" si="16"/>
        <v>40</v>
      </c>
      <c r="K106" s="25">
        <f t="shared" si="17"/>
        <v>25.828500000061467</v>
      </c>
      <c r="L106" s="26">
        <v>20</v>
      </c>
      <c r="M106" s="25">
        <v>27.303999999999998</v>
      </c>
      <c r="N106" s="28">
        <f t="shared" si="18"/>
        <v>7.3039999999999985</v>
      </c>
      <c r="O106" s="28">
        <f t="shared" si="19"/>
        <v>10</v>
      </c>
      <c r="P106" s="26">
        <v>100</v>
      </c>
      <c r="Q106" s="24" t="s">
        <v>5</v>
      </c>
      <c r="R106" s="24"/>
    </row>
    <row r="107" spans="1:18" x14ac:dyDescent="0.25">
      <c r="A107" s="24">
        <v>105</v>
      </c>
      <c r="B107" s="25" t="s">
        <v>138</v>
      </c>
      <c r="C107" s="26">
        <v>10000</v>
      </c>
      <c r="D107" s="27">
        <v>0.17499999999999999</v>
      </c>
      <c r="E107" s="25">
        <v>1173227.6883</v>
      </c>
      <c r="F107" s="25">
        <v>1173247.6883</v>
      </c>
      <c r="G107" s="25">
        <v>1173321.7722</v>
      </c>
      <c r="H107" s="25">
        <v>1173341.7722</v>
      </c>
      <c r="I107" s="37">
        <f t="shared" si="15"/>
        <v>1484.7109000000637</v>
      </c>
      <c r="J107" s="26">
        <f t="shared" si="16"/>
        <v>20</v>
      </c>
      <c r="K107" s="25">
        <f t="shared" si="17"/>
        <v>74.083899999968708</v>
      </c>
      <c r="L107" s="26">
        <v>10</v>
      </c>
      <c r="M107" s="25">
        <v>13.525</v>
      </c>
      <c r="N107" s="28">
        <f t="shared" si="18"/>
        <v>3.5250000000000004</v>
      </c>
      <c r="O107" s="28">
        <f t="shared" si="19"/>
        <v>5</v>
      </c>
      <c r="P107" s="26">
        <v>100</v>
      </c>
      <c r="Q107" s="24" t="s">
        <v>4</v>
      </c>
      <c r="R107" s="24"/>
    </row>
    <row r="108" spans="1:18" x14ac:dyDescent="0.25">
      <c r="A108" s="24">
        <v>106</v>
      </c>
      <c r="B108" s="25" t="s">
        <v>139</v>
      </c>
      <c r="C108" s="26">
        <v>800</v>
      </c>
      <c r="D108" s="27">
        <v>2.1875</v>
      </c>
      <c r="E108" s="25">
        <v>1174826.4831000001</v>
      </c>
      <c r="F108" s="25">
        <v>1174966.4831000001</v>
      </c>
      <c r="G108" s="25">
        <v>1175027.0509000001</v>
      </c>
      <c r="H108" s="25">
        <v>1175167.0509000001</v>
      </c>
      <c r="I108" s="37">
        <f t="shared" si="15"/>
        <v>53.640999999828637</v>
      </c>
      <c r="J108" s="26">
        <f t="shared" si="16"/>
        <v>140</v>
      </c>
      <c r="K108" s="25">
        <f t="shared" si="17"/>
        <v>60.567800000077114</v>
      </c>
      <c r="L108" s="26">
        <v>165</v>
      </c>
      <c r="M108" s="25">
        <v>171.78700000000001</v>
      </c>
      <c r="N108" s="28">
        <f t="shared" si="18"/>
        <v>6.7870000000000061</v>
      </c>
      <c r="O108" s="28">
        <f t="shared" si="19"/>
        <v>62.5</v>
      </c>
      <c r="P108" s="26">
        <v>100</v>
      </c>
      <c r="Q108" s="24" t="s">
        <v>4</v>
      </c>
      <c r="R108" s="38" t="s">
        <v>76</v>
      </c>
    </row>
    <row r="109" spans="1:18" x14ac:dyDescent="0.25">
      <c r="A109" s="24">
        <v>107</v>
      </c>
      <c r="B109" s="25" t="s">
        <v>140</v>
      </c>
      <c r="C109" s="26">
        <v>700.00689999999997</v>
      </c>
      <c r="D109" s="27">
        <v>2.4999753573857628</v>
      </c>
      <c r="E109" s="25">
        <v>1175220.6919</v>
      </c>
      <c r="F109" s="25">
        <v>1175300.6919</v>
      </c>
      <c r="G109" s="25">
        <v>1175734.5586999999</v>
      </c>
      <c r="H109" s="25">
        <v>1175814.5586999999</v>
      </c>
      <c r="I109" s="37">
        <f t="shared" si="15"/>
        <v>179.48670000000857</v>
      </c>
      <c r="J109" s="26">
        <f t="shared" si="16"/>
        <v>80</v>
      </c>
      <c r="K109" s="25">
        <f t="shared" si="17"/>
        <v>433.86679999995977</v>
      </c>
      <c r="L109" s="26">
        <v>150</v>
      </c>
      <c r="M109" s="25">
        <v>195.91499999999999</v>
      </c>
      <c r="N109" s="28">
        <f t="shared" si="18"/>
        <v>45.914999999999992</v>
      </c>
      <c r="O109" s="28">
        <f t="shared" si="19"/>
        <v>71.427867353878938</v>
      </c>
      <c r="P109" s="26">
        <v>100</v>
      </c>
      <c r="Q109" s="24" t="s">
        <v>5</v>
      </c>
      <c r="R109" s="38"/>
    </row>
    <row r="110" spans="1:18" x14ac:dyDescent="0.25">
      <c r="A110" s="24">
        <v>108</v>
      </c>
      <c r="B110" s="25" t="s">
        <v>141</v>
      </c>
      <c r="C110" s="26">
        <v>700.00689999999997</v>
      </c>
      <c r="D110" s="27">
        <v>2.4999753573857602</v>
      </c>
      <c r="E110" s="25">
        <v>1175994.0453999999</v>
      </c>
      <c r="F110" s="25">
        <v>1176074.0453999999</v>
      </c>
      <c r="G110" s="25">
        <v>1176390.1364</v>
      </c>
      <c r="H110" s="25">
        <v>1176470.1364</v>
      </c>
      <c r="I110" s="37">
        <f t="shared" si="15"/>
        <v>784.17910000006668</v>
      </c>
      <c r="J110" s="26">
        <f t="shared" si="16"/>
        <v>80</v>
      </c>
      <c r="K110" s="25">
        <f t="shared" si="17"/>
        <v>316.0910000000149</v>
      </c>
      <c r="L110" s="26">
        <v>150</v>
      </c>
      <c r="M110" s="25">
        <v>195.904</v>
      </c>
      <c r="N110" s="28">
        <f t="shared" si="18"/>
        <v>45.903999999999996</v>
      </c>
      <c r="O110" s="28">
        <f t="shared" si="19"/>
        <v>71.427867353878938</v>
      </c>
      <c r="P110" s="26">
        <v>100</v>
      </c>
      <c r="Q110" s="24" t="s">
        <v>4</v>
      </c>
      <c r="R110" s="38"/>
    </row>
    <row r="111" spans="1:18" x14ac:dyDescent="0.25">
      <c r="A111" s="24">
        <v>109</v>
      </c>
      <c r="B111" s="25" t="s">
        <v>142</v>
      </c>
      <c r="C111" s="26">
        <v>4000</v>
      </c>
      <c r="D111" s="27">
        <v>0.4375</v>
      </c>
      <c r="E111" s="25">
        <v>1177254.3155</v>
      </c>
      <c r="F111" s="25">
        <v>1177284.3155</v>
      </c>
      <c r="G111" s="25">
        <v>1177871.2391000001</v>
      </c>
      <c r="H111" s="25">
        <v>1177901.2391000001</v>
      </c>
      <c r="I111" s="37">
        <f t="shared" si="15"/>
        <v>153.71970000001602</v>
      </c>
      <c r="J111" s="26">
        <f t="shared" si="16"/>
        <v>30</v>
      </c>
      <c r="K111" s="25">
        <f t="shared" si="17"/>
        <v>586.92360000009649</v>
      </c>
      <c r="L111" s="26">
        <v>30</v>
      </c>
      <c r="M111" s="25">
        <v>34.003999999999998</v>
      </c>
      <c r="N111" s="28">
        <f t="shared" si="18"/>
        <v>4.0039999999999978</v>
      </c>
      <c r="O111" s="28">
        <f t="shared" si="19"/>
        <v>12.5</v>
      </c>
      <c r="P111" s="26">
        <v>100</v>
      </c>
      <c r="Q111" s="24" t="s">
        <v>5</v>
      </c>
      <c r="R111" s="24"/>
    </row>
    <row r="112" spans="1:18" x14ac:dyDescent="0.25">
      <c r="A112" s="24">
        <v>110</v>
      </c>
      <c r="B112" s="25" t="s">
        <v>143</v>
      </c>
      <c r="C112" s="26">
        <v>3500</v>
      </c>
      <c r="D112" s="27">
        <v>0.5</v>
      </c>
      <c r="E112" s="25">
        <v>1178054.9588000001</v>
      </c>
      <c r="F112" s="25">
        <v>1178094.9588000001</v>
      </c>
      <c r="G112" s="25">
        <v>1178149.2571</v>
      </c>
      <c r="H112" s="25">
        <v>1178189.2571</v>
      </c>
      <c r="I112" s="37">
        <f t="shared" si="15"/>
        <v>524.82519999984652</v>
      </c>
      <c r="J112" s="26">
        <f t="shared" si="16"/>
        <v>40</v>
      </c>
      <c r="K112" s="25">
        <f t="shared" si="17"/>
        <v>54.298299999907613</v>
      </c>
      <c r="L112" s="26">
        <v>30</v>
      </c>
      <c r="M112" s="25">
        <v>38.99</v>
      </c>
      <c r="N112" s="28">
        <f t="shared" si="18"/>
        <v>8.990000000000002</v>
      </c>
      <c r="O112" s="28">
        <f t="shared" si="19"/>
        <v>14.285714285714286</v>
      </c>
      <c r="P112" s="26">
        <v>100</v>
      </c>
      <c r="Q112" s="24" t="s">
        <v>4</v>
      </c>
      <c r="R112" s="24"/>
    </row>
    <row r="113" spans="1:18" x14ac:dyDescent="0.25">
      <c r="A113" s="24">
        <v>111</v>
      </c>
      <c r="B113" s="25" t="s">
        <v>144</v>
      </c>
      <c r="C113" s="26">
        <v>1700.0002999999999</v>
      </c>
      <c r="D113" s="27">
        <v>1.0294115830450148</v>
      </c>
      <c r="E113" s="25">
        <v>1178714.0822999999</v>
      </c>
      <c r="F113" s="25">
        <v>1178784.0822999999</v>
      </c>
      <c r="G113" s="25">
        <v>1178823.4110999999</v>
      </c>
      <c r="H113" s="25">
        <v>1178893.4110999999</v>
      </c>
      <c r="I113" s="37">
        <f t="shared" si="15"/>
        <v>54.159400000236928</v>
      </c>
      <c r="J113" s="26">
        <f t="shared" si="16"/>
        <v>70</v>
      </c>
      <c r="K113" s="25">
        <f t="shared" si="17"/>
        <v>39.328800000017509</v>
      </c>
      <c r="L113" s="26">
        <v>80</v>
      </c>
      <c r="M113" s="25">
        <v>80.606999999999999</v>
      </c>
      <c r="N113" s="28">
        <f t="shared" si="18"/>
        <v>0.60699999999999932</v>
      </c>
      <c r="O113" s="28">
        <f t="shared" si="19"/>
        <v>29.411759515571852</v>
      </c>
      <c r="P113" s="26">
        <v>100</v>
      </c>
      <c r="Q113" s="24" t="s">
        <v>5</v>
      </c>
      <c r="R113" s="24"/>
    </row>
    <row r="114" spans="1:18" x14ac:dyDescent="0.25">
      <c r="A114" s="24">
        <v>112</v>
      </c>
      <c r="B114" s="25" t="s">
        <v>145</v>
      </c>
      <c r="C114" s="26">
        <v>1750.0002999999999</v>
      </c>
      <c r="D114" s="27">
        <v>0.99999982857145797</v>
      </c>
      <c r="E114" s="25">
        <v>1178947.5705000001</v>
      </c>
      <c r="F114" s="25">
        <v>1179017.5705000001</v>
      </c>
      <c r="G114" s="25">
        <v>1179087.4579</v>
      </c>
      <c r="H114" s="25">
        <v>1179157.4579</v>
      </c>
      <c r="I114" s="37">
        <f t="shared" si="15"/>
        <v>627.55319999996573</v>
      </c>
      <c r="J114" s="26">
        <f t="shared" si="16"/>
        <v>70</v>
      </c>
      <c r="K114" s="25">
        <f t="shared" si="17"/>
        <v>69.887399999890476</v>
      </c>
      <c r="L114" s="26">
        <v>70</v>
      </c>
      <c r="M114" s="25">
        <v>78.304000000000002</v>
      </c>
      <c r="N114" s="28">
        <f t="shared" si="18"/>
        <v>8.304000000000002</v>
      </c>
      <c r="O114" s="28">
        <f t="shared" si="19"/>
        <v>28.571423673470228</v>
      </c>
      <c r="P114" s="26">
        <v>100</v>
      </c>
      <c r="Q114" s="24" t="s">
        <v>4</v>
      </c>
      <c r="R114" s="24"/>
    </row>
    <row r="115" spans="1:18" x14ac:dyDescent="0.25">
      <c r="A115" s="24">
        <v>113</v>
      </c>
      <c r="B115" s="25" t="s">
        <v>146</v>
      </c>
      <c r="C115" s="26">
        <v>2500</v>
      </c>
      <c r="D115" s="27">
        <v>0.7</v>
      </c>
      <c r="E115" s="25">
        <v>1179785.0111</v>
      </c>
      <c r="F115" s="25">
        <v>1179835.0111</v>
      </c>
      <c r="G115" s="25">
        <v>1179874.3385000001</v>
      </c>
      <c r="H115" s="25">
        <v>1179924.3385000001</v>
      </c>
      <c r="I115" s="37">
        <f t="shared" si="15"/>
        <v>137.14550000010058</v>
      </c>
      <c r="J115" s="26">
        <f t="shared" si="16"/>
        <v>50</v>
      </c>
      <c r="K115" s="25">
        <f t="shared" si="17"/>
        <v>39.327400000067428</v>
      </c>
      <c r="L115" s="26">
        <v>50</v>
      </c>
      <c r="M115" s="25">
        <v>54.692999999999998</v>
      </c>
      <c r="N115" s="28">
        <f t="shared" si="18"/>
        <v>4.6929999999999978</v>
      </c>
      <c r="O115" s="28">
        <f t="shared" si="19"/>
        <v>20</v>
      </c>
      <c r="P115" s="26">
        <v>100</v>
      </c>
      <c r="Q115" s="24" t="s">
        <v>4</v>
      </c>
      <c r="R115" s="24"/>
    </row>
    <row r="116" spans="1:18" x14ac:dyDescent="0.25">
      <c r="A116" s="24">
        <v>114</v>
      </c>
      <c r="B116" s="25" t="s">
        <v>147</v>
      </c>
      <c r="C116" s="26">
        <v>7000</v>
      </c>
      <c r="D116" s="27">
        <v>0.25</v>
      </c>
      <c r="E116" s="25">
        <v>1180061.4840000002</v>
      </c>
      <c r="F116" s="25">
        <v>1180081.4840000002</v>
      </c>
      <c r="G116" s="25">
        <v>1180264.4103000001</v>
      </c>
      <c r="H116" s="25">
        <v>1180284.4103000001</v>
      </c>
      <c r="I116" s="37">
        <f t="shared" si="15"/>
        <v>393.74970000004396</v>
      </c>
      <c r="J116" s="26">
        <f t="shared" si="16"/>
        <v>20</v>
      </c>
      <c r="K116" s="25">
        <f t="shared" si="17"/>
        <v>182.92629999993369</v>
      </c>
      <c r="L116" s="26">
        <v>20</v>
      </c>
      <c r="M116" s="25">
        <v>19.305</v>
      </c>
      <c r="N116" s="28">
        <f t="shared" si="18"/>
        <v>-0.69500000000000028</v>
      </c>
      <c r="O116" s="28">
        <f t="shared" si="19"/>
        <v>7.1428571428571432</v>
      </c>
      <c r="P116" s="26">
        <v>100</v>
      </c>
      <c r="Q116" s="24" t="s">
        <v>5</v>
      </c>
      <c r="R116" s="24"/>
    </row>
    <row r="117" spans="1:18" x14ac:dyDescent="0.25">
      <c r="A117" s="24">
        <v>115</v>
      </c>
      <c r="B117" s="25" t="s">
        <v>148</v>
      </c>
      <c r="C117" s="26">
        <v>4499.9998999999998</v>
      </c>
      <c r="D117" s="27">
        <v>0.38888889753086398</v>
      </c>
      <c r="E117" s="25">
        <v>1180678.1600000001</v>
      </c>
      <c r="F117" s="25">
        <v>1180708.1600000001</v>
      </c>
      <c r="G117" s="25">
        <v>1180740.6560000002</v>
      </c>
      <c r="H117" s="25">
        <v>1180770.6560000002</v>
      </c>
      <c r="I117" s="37">
        <f t="shared" si="15"/>
        <v>83.492799999658018</v>
      </c>
      <c r="J117" s="26">
        <f t="shared" si="16"/>
        <v>30</v>
      </c>
      <c r="K117" s="25">
        <f t="shared" si="17"/>
        <v>32.496000000042841</v>
      </c>
      <c r="L117" s="26">
        <v>30</v>
      </c>
      <c r="M117" s="25">
        <v>30.577999999999999</v>
      </c>
      <c r="N117" s="28">
        <f t="shared" si="18"/>
        <v>0.5779999999999994</v>
      </c>
      <c r="O117" s="28">
        <f t="shared" si="19"/>
        <v>11.111111358024697</v>
      </c>
      <c r="P117" s="26">
        <v>100</v>
      </c>
      <c r="Q117" s="24" t="s">
        <v>4</v>
      </c>
      <c r="R117" s="24"/>
    </row>
    <row r="118" spans="1:18" x14ac:dyDescent="0.25">
      <c r="A118" s="24">
        <v>116</v>
      </c>
      <c r="B118" s="25" t="s">
        <v>148</v>
      </c>
      <c r="C118" s="26">
        <v>5800</v>
      </c>
      <c r="D118" s="27">
        <v>0.30172413793103448</v>
      </c>
      <c r="E118" s="25">
        <v>1180854.1487999998</v>
      </c>
      <c r="F118" s="25">
        <v>1180874.1487999998</v>
      </c>
      <c r="G118" s="25">
        <v>1180934.6991999999</v>
      </c>
      <c r="H118" s="25">
        <v>1180954.6991999999</v>
      </c>
      <c r="I118" s="37">
        <f t="shared" si="15"/>
        <v>229.28650000016205</v>
      </c>
      <c r="J118" s="26">
        <f t="shared" si="16"/>
        <v>20</v>
      </c>
      <c r="K118" s="25">
        <f t="shared" si="17"/>
        <v>60.550400000065565</v>
      </c>
      <c r="L118" s="26">
        <v>20</v>
      </c>
      <c r="M118" s="25">
        <v>23.724</v>
      </c>
      <c r="N118" s="28">
        <f t="shared" si="18"/>
        <v>3.7240000000000002</v>
      </c>
      <c r="O118" s="28">
        <f t="shared" si="19"/>
        <v>8.6206896551724146</v>
      </c>
      <c r="P118" s="26">
        <v>100</v>
      </c>
      <c r="Q118" s="24" t="s">
        <v>5</v>
      </c>
      <c r="R118" s="24"/>
    </row>
    <row r="119" spans="1:18" x14ac:dyDescent="0.25">
      <c r="A119" s="24">
        <v>117</v>
      </c>
      <c r="B119" s="25" t="s">
        <v>149</v>
      </c>
      <c r="C119" s="26">
        <v>7000.0001000000002</v>
      </c>
      <c r="D119" s="27">
        <v>0.24999999642857149</v>
      </c>
      <c r="E119" s="25">
        <v>1181183.9857000001</v>
      </c>
      <c r="F119" s="25">
        <v>1181213.9857000001</v>
      </c>
      <c r="G119" s="25">
        <v>1181254.4953000001</v>
      </c>
      <c r="H119" s="25">
        <v>1181284.4953000001</v>
      </c>
      <c r="I119" s="37">
        <f t="shared" si="15"/>
        <v>5898.4303999999538</v>
      </c>
      <c r="J119" s="26">
        <f t="shared" si="16"/>
        <v>30</v>
      </c>
      <c r="K119" s="25">
        <f t="shared" si="17"/>
        <v>40.509599999990314</v>
      </c>
      <c r="L119" s="26">
        <v>10</v>
      </c>
      <c r="M119" s="25">
        <v>19.657</v>
      </c>
      <c r="N119" s="28">
        <f t="shared" si="18"/>
        <v>9.657</v>
      </c>
      <c r="O119" s="28">
        <f t="shared" si="19"/>
        <v>7.1428570408163274</v>
      </c>
      <c r="P119" s="26">
        <v>100</v>
      </c>
      <c r="Q119" s="24" t="s">
        <v>5</v>
      </c>
      <c r="R119" s="24"/>
    </row>
    <row r="120" spans="1:18" x14ac:dyDescent="0.25">
      <c r="A120" s="24">
        <v>118</v>
      </c>
      <c r="B120" s="25" t="s">
        <v>29</v>
      </c>
      <c r="C120" s="26">
        <v>2800</v>
      </c>
      <c r="D120" s="27">
        <v>0.625</v>
      </c>
      <c r="E120" s="25">
        <v>1187182.9257</v>
      </c>
      <c r="F120" s="25">
        <v>1187222.9257</v>
      </c>
      <c r="G120" s="25">
        <v>1187258.6447000001</v>
      </c>
      <c r="H120" s="25">
        <v>1187298.6447000001</v>
      </c>
      <c r="I120" s="37">
        <f t="shared" si="15"/>
        <v>818.51639999984764</v>
      </c>
      <c r="J120" s="26">
        <f t="shared" si="16"/>
        <v>40</v>
      </c>
      <c r="K120" s="25">
        <f t="shared" si="17"/>
        <v>35.719000000040978</v>
      </c>
      <c r="L120" s="26">
        <v>40</v>
      </c>
      <c r="M120" s="25">
        <v>49.143000000000001</v>
      </c>
      <c r="N120" s="28">
        <f t="shared" si="18"/>
        <v>9.1430000000000007</v>
      </c>
      <c r="O120" s="28">
        <f t="shared" si="19"/>
        <v>17.857142857142858</v>
      </c>
      <c r="P120" s="26">
        <v>100</v>
      </c>
      <c r="Q120" s="24" t="s">
        <v>5</v>
      </c>
      <c r="R120" s="24"/>
    </row>
    <row r="121" spans="1:18" x14ac:dyDescent="0.25">
      <c r="A121" s="24">
        <v>119</v>
      </c>
      <c r="B121" s="25" t="s">
        <v>150</v>
      </c>
      <c r="C121" s="26">
        <v>3000</v>
      </c>
      <c r="D121" s="27">
        <v>0.58333333333333304</v>
      </c>
      <c r="E121" s="25">
        <v>1188117.1610999999</v>
      </c>
      <c r="F121" s="25">
        <v>1188157.1610999999</v>
      </c>
      <c r="G121" s="25">
        <v>1188194.7700999998</v>
      </c>
      <c r="H121" s="25">
        <v>1188234.7700999998</v>
      </c>
      <c r="I121" s="37">
        <f t="shared" si="15"/>
        <v>1484.7756000002846</v>
      </c>
      <c r="J121" s="26">
        <f t="shared" si="16"/>
        <v>40</v>
      </c>
      <c r="K121" s="25">
        <f t="shared" si="17"/>
        <v>37.608999999938533</v>
      </c>
      <c r="L121" s="26">
        <v>40</v>
      </c>
      <c r="M121" s="25">
        <v>45.866999999999997</v>
      </c>
      <c r="N121" s="28">
        <f t="shared" si="18"/>
        <v>5.8669999999999973</v>
      </c>
      <c r="O121" s="28">
        <f t="shared" si="19"/>
        <v>16.666666666666668</v>
      </c>
      <c r="P121" s="26">
        <v>100</v>
      </c>
      <c r="Q121" s="24" t="s">
        <v>4</v>
      </c>
      <c r="R121" s="24"/>
    </row>
    <row r="122" spans="1:18" x14ac:dyDescent="0.25">
      <c r="A122" s="24">
        <v>120</v>
      </c>
      <c r="B122" s="25" t="s">
        <v>151</v>
      </c>
      <c r="C122" s="26">
        <v>5300</v>
      </c>
      <c r="D122" s="27">
        <v>0.330188679245283</v>
      </c>
      <c r="E122" s="25">
        <v>1189719.5457000001</v>
      </c>
      <c r="F122" s="25">
        <v>1189749.5457000001</v>
      </c>
      <c r="G122" s="25">
        <v>1189958.5059000002</v>
      </c>
      <c r="H122" s="25">
        <v>1189988.5059000002</v>
      </c>
      <c r="I122" s="37">
        <f t="shared" si="15"/>
        <v>291.88429999980144</v>
      </c>
      <c r="J122" s="26">
        <f t="shared" si="16"/>
        <v>30</v>
      </c>
      <c r="K122" s="25">
        <f t="shared" si="17"/>
        <v>208.96020000008866</v>
      </c>
      <c r="L122" s="26">
        <v>20</v>
      </c>
      <c r="M122" s="25">
        <v>25.962</v>
      </c>
      <c r="N122" s="28">
        <f t="shared" si="18"/>
        <v>5.9619999999999997</v>
      </c>
      <c r="O122" s="28">
        <f t="shared" si="19"/>
        <v>9.433962264150944</v>
      </c>
      <c r="P122" s="26">
        <v>100</v>
      </c>
      <c r="Q122" s="24" t="s">
        <v>4</v>
      </c>
      <c r="R122" s="24"/>
    </row>
    <row r="123" spans="1:18" x14ac:dyDescent="0.25">
      <c r="A123" s="24">
        <v>121</v>
      </c>
      <c r="B123" s="25" t="s">
        <v>152</v>
      </c>
      <c r="C123" s="26">
        <v>3500</v>
      </c>
      <c r="D123" s="27">
        <v>0.5</v>
      </c>
      <c r="E123" s="25">
        <v>1190280.3902</v>
      </c>
      <c r="F123" s="25">
        <v>1190320.3902</v>
      </c>
      <c r="G123" s="25">
        <v>1190436.6336000001</v>
      </c>
      <c r="H123" s="25">
        <v>1190476.6336000001</v>
      </c>
      <c r="I123" s="37">
        <f t="shared" si="15"/>
        <v>1896.6567999997642</v>
      </c>
      <c r="J123" s="26">
        <f t="shared" si="16"/>
        <v>40</v>
      </c>
      <c r="K123" s="25">
        <f t="shared" si="17"/>
        <v>116.24340000003576</v>
      </c>
      <c r="L123" s="26">
        <v>30</v>
      </c>
      <c r="M123" s="25">
        <v>39.314</v>
      </c>
      <c r="N123" s="28">
        <f t="shared" si="18"/>
        <v>9.3140000000000001</v>
      </c>
      <c r="O123" s="28">
        <f t="shared" si="19"/>
        <v>14.285714285714286</v>
      </c>
      <c r="P123" s="26">
        <v>100</v>
      </c>
      <c r="Q123" s="24" t="s">
        <v>5</v>
      </c>
      <c r="R123" s="24"/>
    </row>
    <row r="124" spans="1:18" x14ac:dyDescent="0.25">
      <c r="A124" s="24">
        <v>122</v>
      </c>
      <c r="B124" s="25" t="s">
        <v>153</v>
      </c>
      <c r="C124" s="26">
        <v>7000</v>
      </c>
      <c r="D124" s="27">
        <v>0.25</v>
      </c>
      <c r="E124" s="25">
        <v>1192373.2903999998</v>
      </c>
      <c r="F124" s="25">
        <v>1192393.2903999998</v>
      </c>
      <c r="G124" s="25">
        <v>1192463.8404999999</v>
      </c>
      <c r="H124" s="25">
        <v>1192483.8404999999</v>
      </c>
      <c r="I124" s="37">
        <f t="shared" si="15"/>
        <v>141.41510000010021</v>
      </c>
      <c r="J124" s="26">
        <f t="shared" si="16"/>
        <v>20</v>
      </c>
      <c r="K124" s="25">
        <f t="shared" si="17"/>
        <v>70.550100000109524</v>
      </c>
      <c r="L124" s="26">
        <v>10</v>
      </c>
      <c r="M124" s="25">
        <v>19.657</v>
      </c>
      <c r="N124" s="28">
        <f t="shared" si="18"/>
        <v>9.657</v>
      </c>
      <c r="O124" s="28">
        <f t="shared" si="19"/>
        <v>7.1428571428571432</v>
      </c>
      <c r="P124" s="26">
        <v>100</v>
      </c>
      <c r="Q124" s="24" t="s">
        <v>5</v>
      </c>
      <c r="R124" s="24"/>
    </row>
    <row r="125" spans="1:18" x14ac:dyDescent="0.25">
      <c r="A125" s="24">
        <v>123</v>
      </c>
      <c r="B125" s="25" t="s">
        <v>154</v>
      </c>
      <c r="C125" s="26">
        <v>7000</v>
      </c>
      <c r="D125" s="27">
        <v>0.25</v>
      </c>
      <c r="E125" s="25">
        <v>1192625.2556</v>
      </c>
      <c r="F125" s="25">
        <v>1192645.2556</v>
      </c>
      <c r="G125" s="25">
        <v>1192708.9865000001</v>
      </c>
      <c r="H125" s="25">
        <v>1192728.9865000001</v>
      </c>
      <c r="I125" s="37">
        <f t="shared" si="15"/>
        <v>3511.7117999999318</v>
      </c>
      <c r="J125" s="26">
        <f t="shared" si="16"/>
        <v>20</v>
      </c>
      <c r="K125" s="25">
        <f t="shared" si="17"/>
        <v>63.730900000082329</v>
      </c>
      <c r="L125" s="26">
        <v>10</v>
      </c>
      <c r="M125" s="25">
        <v>19.657</v>
      </c>
      <c r="N125" s="28">
        <f t="shared" si="18"/>
        <v>9.657</v>
      </c>
      <c r="O125" s="28">
        <f t="shared" si="19"/>
        <v>7.1428571428571432</v>
      </c>
      <c r="P125" s="26">
        <v>100</v>
      </c>
      <c r="Q125" s="24" t="s">
        <v>4</v>
      </c>
      <c r="R125" s="24"/>
    </row>
    <row r="126" spans="1:18" x14ac:dyDescent="0.25">
      <c r="A126" s="24">
        <v>124</v>
      </c>
      <c r="B126" s="25" t="s">
        <v>155</v>
      </c>
      <c r="C126" s="26">
        <v>2900</v>
      </c>
      <c r="D126" s="27">
        <v>0.60344827586206895</v>
      </c>
      <c r="E126" s="25">
        <v>1196240.6983</v>
      </c>
      <c r="F126" s="25">
        <v>1196280.6983</v>
      </c>
      <c r="G126" s="25">
        <v>1196322.2302000001</v>
      </c>
      <c r="H126" s="25">
        <v>1196362.2302000001</v>
      </c>
      <c r="I126" s="37">
        <f t="shared" si="15"/>
        <v>90.822199999820441</v>
      </c>
      <c r="J126" s="26">
        <f t="shared" si="16"/>
        <v>40</v>
      </c>
      <c r="K126" s="25">
        <f t="shared" si="17"/>
        <v>41.531900000059977</v>
      </c>
      <c r="L126" s="26">
        <v>40</v>
      </c>
      <c r="M126" s="25">
        <v>47.448</v>
      </c>
      <c r="N126" s="28">
        <f t="shared" si="18"/>
        <v>7.4480000000000004</v>
      </c>
      <c r="O126" s="28">
        <f t="shared" si="19"/>
        <v>17.241379310344829</v>
      </c>
      <c r="P126" s="26">
        <v>100</v>
      </c>
      <c r="Q126" s="24" t="s">
        <v>5</v>
      </c>
      <c r="R126" s="24"/>
    </row>
    <row r="127" spans="1:18" x14ac:dyDescent="0.25">
      <c r="A127" s="24">
        <v>125</v>
      </c>
      <c r="B127" s="25" t="s">
        <v>156</v>
      </c>
      <c r="C127" s="26">
        <v>3000</v>
      </c>
      <c r="D127" s="27">
        <v>0.58333333333333304</v>
      </c>
      <c r="E127" s="25">
        <v>1196453.0523999999</v>
      </c>
      <c r="F127" s="25">
        <v>1196493.0523999999</v>
      </c>
      <c r="G127" s="25">
        <v>1196524.0293999999</v>
      </c>
      <c r="H127" s="25">
        <v>1196564.0293999999</v>
      </c>
      <c r="I127" s="37">
        <f t="shared" si="15"/>
        <v>256.02480000024661</v>
      </c>
      <c r="J127" s="26">
        <f t="shared" si="16"/>
        <v>40</v>
      </c>
      <c r="K127" s="25">
        <f t="shared" si="17"/>
        <v>30.976999999955297</v>
      </c>
      <c r="L127" s="26">
        <v>40</v>
      </c>
      <c r="M127" s="25">
        <v>45.866999999999997</v>
      </c>
      <c r="N127" s="28">
        <f t="shared" si="18"/>
        <v>5.8669999999999973</v>
      </c>
      <c r="O127" s="28">
        <f t="shared" si="19"/>
        <v>16.666666666666668</v>
      </c>
      <c r="P127" s="26">
        <v>100</v>
      </c>
      <c r="Q127" s="24" t="s">
        <v>4</v>
      </c>
      <c r="R127" s="24"/>
    </row>
    <row r="128" spans="1:18" x14ac:dyDescent="0.25">
      <c r="A128" s="24">
        <v>126</v>
      </c>
      <c r="B128" s="25" t="s">
        <v>157</v>
      </c>
      <c r="C128" s="26">
        <v>7000.0002999999997</v>
      </c>
      <c r="D128" s="27">
        <v>0.24999998928571501</v>
      </c>
      <c r="E128" s="25">
        <v>1196820.0542000001</v>
      </c>
      <c r="F128" s="25">
        <v>1196840.0542000001</v>
      </c>
      <c r="G128" s="25">
        <v>1196874.5292000002</v>
      </c>
      <c r="H128" s="25">
        <v>1196894.5292000002</v>
      </c>
      <c r="I128" s="37">
        <f t="shared" si="15"/>
        <v>348.77779999980703</v>
      </c>
      <c r="J128" s="26">
        <f t="shared" si="16"/>
        <v>20</v>
      </c>
      <c r="K128" s="25">
        <f t="shared" si="17"/>
        <v>34.475000000093132</v>
      </c>
      <c r="L128" s="26">
        <v>15</v>
      </c>
      <c r="M128" s="25">
        <v>19.657</v>
      </c>
      <c r="N128" s="28">
        <f t="shared" si="18"/>
        <v>4.657</v>
      </c>
      <c r="O128" s="28">
        <f t="shared" si="19"/>
        <v>7.1428568367347074</v>
      </c>
      <c r="P128" s="26">
        <v>100</v>
      </c>
      <c r="Q128" s="24" t="s">
        <v>4</v>
      </c>
      <c r="R128" s="24"/>
    </row>
    <row r="129" spans="1:18" x14ac:dyDescent="0.25">
      <c r="A129" s="24">
        <v>127</v>
      </c>
      <c r="B129" s="25" t="s">
        <v>158</v>
      </c>
      <c r="C129" s="26">
        <v>2800</v>
      </c>
      <c r="D129" s="27">
        <v>0.625</v>
      </c>
      <c r="E129" s="25">
        <v>1197243.307</v>
      </c>
      <c r="F129" s="25">
        <v>1197283.307</v>
      </c>
      <c r="G129" s="25">
        <v>1197320.1083</v>
      </c>
      <c r="H129" s="25">
        <v>1197360.1083</v>
      </c>
      <c r="I129" s="37">
        <f t="shared" si="15"/>
        <v>131.66379999998026</v>
      </c>
      <c r="J129" s="26">
        <f t="shared" si="16"/>
        <v>40</v>
      </c>
      <c r="K129" s="25">
        <f t="shared" si="17"/>
        <v>36.80129999993369</v>
      </c>
      <c r="L129" s="26">
        <v>40</v>
      </c>
      <c r="M129" s="25">
        <v>49.143000000000001</v>
      </c>
      <c r="N129" s="28">
        <f t="shared" si="18"/>
        <v>9.1430000000000007</v>
      </c>
      <c r="O129" s="28">
        <f t="shared" si="19"/>
        <v>17.857142857142858</v>
      </c>
      <c r="P129" s="26">
        <v>100</v>
      </c>
      <c r="Q129" s="24" t="s">
        <v>4</v>
      </c>
      <c r="R129" s="24"/>
    </row>
    <row r="130" spans="1:18" x14ac:dyDescent="0.25">
      <c r="A130" s="24">
        <v>128</v>
      </c>
      <c r="B130" s="25" t="s">
        <v>159</v>
      </c>
      <c r="C130" s="26">
        <v>3500</v>
      </c>
      <c r="D130" s="27">
        <v>0.5</v>
      </c>
      <c r="E130" s="25">
        <v>1197491.7720999999</v>
      </c>
      <c r="F130" s="25">
        <v>1197531.7720999999</v>
      </c>
      <c r="G130" s="25">
        <v>1197603.5697999999</v>
      </c>
      <c r="H130" s="25">
        <v>1197643.5697999999</v>
      </c>
      <c r="I130" s="37">
        <f t="shared" si="15"/>
        <v>2263.9538000000175</v>
      </c>
      <c r="J130" s="26">
        <f t="shared" si="16"/>
        <v>40</v>
      </c>
      <c r="K130" s="25">
        <f t="shared" si="17"/>
        <v>71.79769999999553</v>
      </c>
      <c r="L130" s="26">
        <v>30</v>
      </c>
      <c r="M130" s="25">
        <v>39.314</v>
      </c>
      <c r="N130" s="28">
        <f t="shared" si="18"/>
        <v>9.3140000000000001</v>
      </c>
      <c r="O130" s="28">
        <f t="shared" si="19"/>
        <v>14.285714285714286</v>
      </c>
      <c r="P130" s="26">
        <v>100</v>
      </c>
      <c r="Q130" s="24" t="s">
        <v>5</v>
      </c>
      <c r="R130" s="24"/>
    </row>
    <row r="131" spans="1:18" x14ac:dyDescent="0.25">
      <c r="A131" s="24">
        <v>129</v>
      </c>
      <c r="B131" s="25" t="s">
        <v>160</v>
      </c>
      <c r="C131" s="26">
        <v>85000.048699999999</v>
      </c>
      <c r="D131" s="27">
        <v>2.0588223498276655E-2</v>
      </c>
      <c r="E131" s="25">
        <v>1199907.5236</v>
      </c>
      <c r="F131" s="25">
        <v>1199927.5236</v>
      </c>
      <c r="G131" s="25">
        <v>1199948.0314</v>
      </c>
      <c r="H131" s="25">
        <v>1199968.0314</v>
      </c>
      <c r="I131" s="37">
        <f t="shared" ref="I131:I162" si="20">E132-H131</f>
        <v>154.4476999999024</v>
      </c>
      <c r="J131" s="26">
        <f t="shared" ref="J131:J162" si="21">H131-G131</f>
        <v>20</v>
      </c>
      <c r="K131" s="25">
        <f t="shared" ref="K131:K162" si="22">G131-F131</f>
        <v>20.507800000021234</v>
      </c>
      <c r="L131" s="26">
        <v>10</v>
      </c>
      <c r="M131" s="25">
        <v>1.619</v>
      </c>
      <c r="N131" s="28">
        <f t="shared" ref="N131:N162" si="23">M131-L131</f>
        <v>-8.3810000000000002</v>
      </c>
      <c r="O131" s="28">
        <f t="shared" ref="O131:O162" si="24">ABS((20^2*125)/C131)</f>
        <v>0.58823495709361873</v>
      </c>
      <c r="P131" s="26">
        <v>100</v>
      </c>
      <c r="Q131" s="24" t="s">
        <v>5</v>
      </c>
      <c r="R131" s="24"/>
    </row>
    <row r="132" spans="1:18" x14ac:dyDescent="0.25">
      <c r="A132" s="24">
        <v>130</v>
      </c>
      <c r="B132" s="25" t="s">
        <v>161</v>
      </c>
      <c r="C132" s="26">
        <v>60000.044900000001</v>
      </c>
      <c r="D132" s="27">
        <v>2.9166644840294111E-2</v>
      </c>
      <c r="E132" s="25">
        <v>1200122.4790999999</v>
      </c>
      <c r="F132" s="25">
        <v>1200142.4790999999</v>
      </c>
      <c r="G132" s="25">
        <v>1200163.7589999998</v>
      </c>
      <c r="H132" s="25">
        <v>1200183.7589999998</v>
      </c>
      <c r="I132" s="37">
        <f t="shared" si="20"/>
        <v>357.52860000031069</v>
      </c>
      <c r="J132" s="26">
        <f t="shared" si="21"/>
        <v>20</v>
      </c>
      <c r="K132" s="25">
        <f t="shared" si="22"/>
        <v>21.279899999964982</v>
      </c>
      <c r="L132" s="26">
        <v>10</v>
      </c>
      <c r="M132" s="25">
        <v>2.2930000000000001</v>
      </c>
      <c r="N132" s="28">
        <f t="shared" si="23"/>
        <v>-7.7069999999999999</v>
      </c>
      <c r="O132" s="28">
        <f t="shared" si="24"/>
        <v>0.83333270972268891</v>
      </c>
      <c r="P132" s="26">
        <v>100</v>
      </c>
      <c r="Q132" s="24" t="s">
        <v>5</v>
      </c>
      <c r="R132" s="24"/>
    </row>
    <row r="133" spans="1:18" x14ac:dyDescent="0.25">
      <c r="A133" s="24">
        <v>131</v>
      </c>
      <c r="B133" s="25" t="s">
        <v>162</v>
      </c>
      <c r="C133" s="26">
        <v>12000.000400000001</v>
      </c>
      <c r="D133" s="27">
        <v>0.145833328472222</v>
      </c>
      <c r="E133" s="25">
        <v>1200541.2876000002</v>
      </c>
      <c r="F133" s="25">
        <v>1200561.2876000002</v>
      </c>
      <c r="G133" s="25">
        <v>1200598.7311000002</v>
      </c>
      <c r="H133" s="25">
        <v>1200618.7311000002</v>
      </c>
      <c r="I133" s="37">
        <f t="shared" si="20"/>
        <v>54.475999999791384</v>
      </c>
      <c r="J133" s="26">
        <f t="shared" si="21"/>
        <v>20</v>
      </c>
      <c r="K133" s="25">
        <f t="shared" si="22"/>
        <v>37.443500000052154</v>
      </c>
      <c r="L133" s="26">
        <v>10</v>
      </c>
      <c r="M133" s="25">
        <v>11.467000000000001</v>
      </c>
      <c r="N133" s="28">
        <f t="shared" si="23"/>
        <v>1.4670000000000005</v>
      </c>
      <c r="O133" s="28">
        <f t="shared" si="24"/>
        <v>4.1666665277777826</v>
      </c>
      <c r="P133" s="26">
        <v>100</v>
      </c>
      <c r="Q133" s="24" t="s">
        <v>4</v>
      </c>
      <c r="R133" s="24"/>
    </row>
    <row r="134" spans="1:18" x14ac:dyDescent="0.25">
      <c r="A134" s="24">
        <v>132</v>
      </c>
      <c r="B134" s="25" t="s">
        <v>163</v>
      </c>
      <c r="C134" s="26">
        <v>39999.999000000003</v>
      </c>
      <c r="D134" s="27">
        <v>4.3750001093750025E-2</v>
      </c>
      <c r="E134" s="25">
        <v>1200673.2071</v>
      </c>
      <c r="F134" s="25">
        <v>1200693.2071</v>
      </c>
      <c r="G134" s="25">
        <v>1200733.0316999999</v>
      </c>
      <c r="H134" s="25">
        <v>1200753.0316999999</v>
      </c>
      <c r="I134" s="37">
        <f t="shared" si="20"/>
        <v>867.00989999994636</v>
      </c>
      <c r="J134" s="26">
        <f t="shared" si="21"/>
        <v>20</v>
      </c>
      <c r="K134" s="25">
        <f t="shared" si="22"/>
        <v>39.824599999934435</v>
      </c>
      <c r="L134" s="26">
        <v>10</v>
      </c>
      <c r="M134" s="25">
        <v>3.44</v>
      </c>
      <c r="N134" s="28">
        <f t="shared" si="23"/>
        <v>-6.5600000000000005</v>
      </c>
      <c r="O134" s="28">
        <f t="shared" si="24"/>
        <v>1.2500000312500006</v>
      </c>
      <c r="P134" s="26">
        <v>100</v>
      </c>
      <c r="Q134" s="24" t="s">
        <v>5</v>
      </c>
      <c r="R134" s="24"/>
    </row>
    <row r="135" spans="1:18" x14ac:dyDescent="0.25">
      <c r="A135" s="24">
        <v>133</v>
      </c>
      <c r="B135" s="25" t="s">
        <v>164</v>
      </c>
      <c r="C135" s="26">
        <v>8000</v>
      </c>
      <c r="D135" s="27">
        <v>0.21875</v>
      </c>
      <c r="E135" s="25">
        <v>1201620.0415999999</v>
      </c>
      <c r="F135" s="25">
        <v>1201640.0415999999</v>
      </c>
      <c r="G135" s="25">
        <v>1202074.4202999999</v>
      </c>
      <c r="H135" s="25">
        <v>1202094.4202999999</v>
      </c>
      <c r="I135" s="37">
        <f t="shared" si="20"/>
        <v>1181.7171000002418</v>
      </c>
      <c r="J135" s="26">
        <f t="shared" si="21"/>
        <v>20</v>
      </c>
      <c r="K135" s="25">
        <f t="shared" si="22"/>
        <v>434.37870000000112</v>
      </c>
      <c r="L135" s="26">
        <v>20</v>
      </c>
      <c r="M135" s="25">
        <v>17.2</v>
      </c>
      <c r="N135" s="28">
        <f t="shared" si="23"/>
        <v>-2.8000000000000007</v>
      </c>
      <c r="O135" s="28">
        <f t="shared" si="24"/>
        <v>6.25</v>
      </c>
      <c r="P135" s="26">
        <v>100</v>
      </c>
      <c r="Q135" s="24" t="s">
        <v>4</v>
      </c>
      <c r="R135" s="24"/>
    </row>
    <row r="136" spans="1:18" x14ac:dyDescent="0.25">
      <c r="A136" s="24">
        <v>134</v>
      </c>
      <c r="B136" s="25" t="s">
        <v>165</v>
      </c>
      <c r="C136" s="26">
        <v>45000.003799999999</v>
      </c>
      <c r="D136" s="27">
        <v>3.88888856049385E-2</v>
      </c>
      <c r="E136" s="25">
        <v>1203276.1374000001</v>
      </c>
      <c r="F136" s="25">
        <v>1203316.1374000001</v>
      </c>
      <c r="G136" s="25">
        <v>1203338.0388000002</v>
      </c>
      <c r="H136" s="25">
        <v>1203378.0388000002</v>
      </c>
      <c r="I136" s="37">
        <f t="shared" si="20"/>
        <v>432.59419999970123</v>
      </c>
      <c r="J136" s="26">
        <f t="shared" si="21"/>
        <v>40</v>
      </c>
      <c r="K136" s="25">
        <f t="shared" si="22"/>
        <v>21.901400000089779</v>
      </c>
      <c r="L136" s="26">
        <v>10</v>
      </c>
      <c r="M136" s="25">
        <v>3.0579999999999998</v>
      </c>
      <c r="N136" s="28">
        <f t="shared" si="23"/>
        <v>-6.9420000000000002</v>
      </c>
      <c r="O136" s="28">
        <f t="shared" si="24"/>
        <v>1.1111110172839587</v>
      </c>
      <c r="P136" s="26">
        <v>100</v>
      </c>
      <c r="Q136" s="24" t="s">
        <v>4</v>
      </c>
      <c r="R136" s="24"/>
    </row>
    <row r="137" spans="1:18" x14ac:dyDescent="0.25">
      <c r="A137" s="24">
        <v>135</v>
      </c>
      <c r="B137" s="25" t="s">
        <v>166</v>
      </c>
      <c r="C137" s="26">
        <v>3550</v>
      </c>
      <c r="D137" s="27">
        <v>0.49295774647887325</v>
      </c>
      <c r="E137" s="25">
        <v>1203810.6329999999</v>
      </c>
      <c r="F137" s="25">
        <v>1203840.6329999999</v>
      </c>
      <c r="G137" s="25">
        <v>1204029.2511</v>
      </c>
      <c r="H137" s="25">
        <v>1204059.2511</v>
      </c>
      <c r="I137" s="37">
        <f t="shared" si="20"/>
        <v>654.99049999983981</v>
      </c>
      <c r="J137" s="26">
        <f t="shared" si="21"/>
        <v>30</v>
      </c>
      <c r="K137" s="25">
        <f t="shared" si="22"/>
        <v>188.61810000007972</v>
      </c>
      <c r="L137" s="26">
        <v>30</v>
      </c>
      <c r="M137" s="25">
        <v>38.761000000000003</v>
      </c>
      <c r="N137" s="28">
        <f t="shared" si="23"/>
        <v>8.7610000000000028</v>
      </c>
      <c r="O137" s="28">
        <f t="shared" si="24"/>
        <v>14.084507042253522</v>
      </c>
      <c r="P137" s="26">
        <v>100</v>
      </c>
      <c r="Q137" s="24" t="s">
        <v>5</v>
      </c>
      <c r="R137" s="24"/>
    </row>
    <row r="138" spans="1:18" x14ac:dyDescent="0.25">
      <c r="A138" s="24">
        <v>136</v>
      </c>
      <c r="B138" s="25" t="s">
        <v>167</v>
      </c>
      <c r="C138" s="26">
        <v>700</v>
      </c>
      <c r="D138" s="27">
        <v>2.5</v>
      </c>
      <c r="E138" s="25">
        <v>1204714.2415999998</v>
      </c>
      <c r="F138" s="25">
        <v>1204874.2415999998</v>
      </c>
      <c r="G138" s="25">
        <v>1205302.7067999998</v>
      </c>
      <c r="H138" s="25">
        <v>1205462.7067999998</v>
      </c>
      <c r="I138" s="37">
        <f t="shared" si="20"/>
        <v>246.73960000020452</v>
      </c>
      <c r="J138" s="26">
        <f t="shared" si="21"/>
        <v>160</v>
      </c>
      <c r="K138" s="25">
        <f t="shared" si="22"/>
        <v>428.4651999999769</v>
      </c>
      <c r="L138" s="26">
        <v>165</v>
      </c>
      <c r="M138" s="25">
        <v>196.54</v>
      </c>
      <c r="N138" s="28">
        <f t="shared" si="23"/>
        <v>31.539999999999992</v>
      </c>
      <c r="O138" s="28">
        <f t="shared" si="24"/>
        <v>71.428571428571431</v>
      </c>
      <c r="P138" s="26">
        <v>100</v>
      </c>
      <c r="Q138" s="24" t="s">
        <v>5</v>
      </c>
      <c r="R138" s="38" t="s">
        <v>77</v>
      </c>
    </row>
    <row r="139" spans="1:18" x14ac:dyDescent="0.25">
      <c r="A139" s="24">
        <v>137</v>
      </c>
      <c r="B139" s="25" t="s">
        <v>168</v>
      </c>
      <c r="C139" s="26">
        <v>700</v>
      </c>
      <c r="D139" s="27">
        <v>2.5</v>
      </c>
      <c r="E139" s="25">
        <v>1205709.4464</v>
      </c>
      <c r="F139" s="25">
        <v>1205869.4464</v>
      </c>
      <c r="G139" s="25">
        <v>1207281.1529000001</v>
      </c>
      <c r="H139" s="25">
        <v>1207441.1529000001</v>
      </c>
      <c r="I139" s="37">
        <f t="shared" si="20"/>
        <v>423.28109999978915</v>
      </c>
      <c r="J139" s="26">
        <f t="shared" si="21"/>
        <v>160</v>
      </c>
      <c r="K139" s="25">
        <f t="shared" si="22"/>
        <v>1411.7065000000875</v>
      </c>
      <c r="L139" s="26">
        <v>165</v>
      </c>
      <c r="M139" s="25">
        <v>196.54</v>
      </c>
      <c r="N139" s="28">
        <f t="shared" si="23"/>
        <v>31.539999999999992</v>
      </c>
      <c r="O139" s="28">
        <f t="shared" si="24"/>
        <v>71.428571428571431</v>
      </c>
      <c r="P139" s="26">
        <v>100</v>
      </c>
      <c r="Q139" s="24" t="s">
        <v>4</v>
      </c>
      <c r="R139" s="38"/>
    </row>
    <row r="140" spans="1:18" x14ac:dyDescent="0.25">
      <c r="A140" s="24">
        <v>138</v>
      </c>
      <c r="B140" s="25" t="s">
        <v>169</v>
      </c>
      <c r="C140" s="26">
        <v>700.00689999999997</v>
      </c>
      <c r="D140" s="27">
        <v>2.4999753573857628</v>
      </c>
      <c r="E140" s="25">
        <v>1207864.4339999999</v>
      </c>
      <c r="F140" s="25">
        <v>1207944.4339999999</v>
      </c>
      <c r="G140" s="25">
        <v>1209176.4574999998</v>
      </c>
      <c r="H140" s="25">
        <v>1209256.4574999998</v>
      </c>
      <c r="I140" s="37">
        <f t="shared" si="20"/>
        <v>557.86670000036247</v>
      </c>
      <c r="J140" s="26">
        <f t="shared" si="21"/>
        <v>80</v>
      </c>
      <c r="K140" s="25">
        <f t="shared" si="22"/>
        <v>1232.0234999998938</v>
      </c>
      <c r="L140" s="26">
        <v>150</v>
      </c>
      <c r="M140" s="25">
        <v>196.56899999999999</v>
      </c>
      <c r="N140" s="28">
        <f t="shared" si="23"/>
        <v>46.568999999999988</v>
      </c>
      <c r="O140" s="28">
        <f t="shared" si="24"/>
        <v>71.427867353878938</v>
      </c>
      <c r="P140" s="26">
        <v>100</v>
      </c>
      <c r="Q140" s="24" t="s">
        <v>5</v>
      </c>
      <c r="R140" s="38"/>
    </row>
    <row r="141" spans="1:18" x14ac:dyDescent="0.25">
      <c r="A141" s="24">
        <v>139</v>
      </c>
      <c r="B141" s="25" t="s">
        <v>170</v>
      </c>
      <c r="C141" s="26">
        <v>703</v>
      </c>
      <c r="D141" s="27">
        <v>2.4893314366998598</v>
      </c>
      <c r="E141" s="25">
        <v>1209814.3242000001</v>
      </c>
      <c r="F141" s="25">
        <v>1209974.3242000001</v>
      </c>
      <c r="G141" s="25">
        <v>1210215.1225000001</v>
      </c>
      <c r="H141" s="25">
        <v>1210375.1225000001</v>
      </c>
      <c r="I141" s="37">
        <f t="shared" si="20"/>
        <v>524.64610000001267</v>
      </c>
      <c r="J141" s="26">
        <f t="shared" si="21"/>
        <v>160</v>
      </c>
      <c r="K141" s="25">
        <f t="shared" si="22"/>
        <v>240.79829999990761</v>
      </c>
      <c r="L141" s="26">
        <v>165</v>
      </c>
      <c r="M141" s="25">
        <v>196.54</v>
      </c>
      <c r="N141" s="28">
        <f t="shared" si="23"/>
        <v>31.539999999999992</v>
      </c>
      <c r="O141" s="28">
        <f t="shared" si="24"/>
        <v>71.123755334281654</v>
      </c>
      <c r="P141" s="26">
        <v>100</v>
      </c>
      <c r="Q141" s="24" t="s">
        <v>4</v>
      </c>
      <c r="R141" s="38"/>
    </row>
    <row r="142" spans="1:18" x14ac:dyDescent="0.25">
      <c r="A142" s="24">
        <v>140</v>
      </c>
      <c r="B142" s="25" t="s">
        <v>171</v>
      </c>
      <c r="C142" s="26">
        <v>2800</v>
      </c>
      <c r="D142" s="27">
        <v>0.625</v>
      </c>
      <c r="E142" s="25">
        <v>1210899.7686000001</v>
      </c>
      <c r="F142" s="25">
        <v>1210939.7686000001</v>
      </c>
      <c r="G142" s="25">
        <v>1211019.4171</v>
      </c>
      <c r="H142" s="25">
        <v>1211059.4171</v>
      </c>
      <c r="I142" s="37">
        <f t="shared" si="20"/>
        <v>94.650499999988824</v>
      </c>
      <c r="J142" s="26">
        <f t="shared" si="21"/>
        <v>40</v>
      </c>
      <c r="K142" s="25">
        <f t="shared" si="22"/>
        <v>79.648499999893829</v>
      </c>
      <c r="L142" s="26">
        <v>40</v>
      </c>
      <c r="M142" s="25">
        <v>49.143000000000001</v>
      </c>
      <c r="N142" s="28">
        <f t="shared" si="23"/>
        <v>9.1430000000000007</v>
      </c>
      <c r="O142" s="28">
        <f t="shared" si="24"/>
        <v>17.857142857142858</v>
      </c>
      <c r="P142" s="26">
        <v>100</v>
      </c>
      <c r="Q142" s="24" t="s">
        <v>5</v>
      </c>
      <c r="R142" s="24"/>
    </row>
    <row r="143" spans="1:18" x14ac:dyDescent="0.25">
      <c r="A143" s="24">
        <v>141</v>
      </c>
      <c r="B143" s="25" t="s">
        <v>172</v>
      </c>
      <c r="C143" s="26">
        <v>2100</v>
      </c>
      <c r="D143" s="27">
        <v>0.83333333333333304</v>
      </c>
      <c r="E143" s="25">
        <v>1211154.0676</v>
      </c>
      <c r="F143" s="25">
        <v>1211214.0676</v>
      </c>
      <c r="G143" s="25">
        <v>1211237.9117000001</v>
      </c>
      <c r="H143" s="25">
        <v>1211297.9117000001</v>
      </c>
      <c r="I143" s="37">
        <f t="shared" si="20"/>
        <v>170.34669999987818</v>
      </c>
      <c r="J143" s="26">
        <f t="shared" si="21"/>
        <v>60</v>
      </c>
      <c r="K143" s="25">
        <f t="shared" si="22"/>
        <v>23.844100000103936</v>
      </c>
      <c r="L143" s="26">
        <v>60</v>
      </c>
      <c r="M143" s="25">
        <v>65.524000000000001</v>
      </c>
      <c r="N143" s="28">
        <f t="shared" si="23"/>
        <v>5.5240000000000009</v>
      </c>
      <c r="O143" s="28">
        <f t="shared" si="24"/>
        <v>23.80952380952381</v>
      </c>
      <c r="P143" s="26">
        <v>100</v>
      </c>
      <c r="Q143" s="24" t="s">
        <v>4</v>
      </c>
      <c r="R143" s="24"/>
    </row>
    <row r="144" spans="1:18" x14ac:dyDescent="0.25">
      <c r="A144" s="24">
        <v>142</v>
      </c>
      <c r="B144" s="25" t="s">
        <v>173</v>
      </c>
      <c r="C144" s="26">
        <v>700.00689999999997</v>
      </c>
      <c r="D144" s="27">
        <v>2.4999753573857628</v>
      </c>
      <c r="E144" s="25">
        <v>1211468.2583999999</v>
      </c>
      <c r="F144" s="25">
        <v>1211548.2583999999</v>
      </c>
      <c r="G144" s="25">
        <v>1211599.2309999999</v>
      </c>
      <c r="H144" s="25">
        <v>1211679.2309999999</v>
      </c>
      <c r="I144" s="37">
        <f t="shared" si="20"/>
        <v>161.23610000009649</v>
      </c>
      <c r="J144" s="26">
        <f t="shared" si="21"/>
        <v>80</v>
      </c>
      <c r="K144" s="25">
        <f t="shared" si="22"/>
        <v>50.972599999979138</v>
      </c>
      <c r="L144" s="26">
        <v>150</v>
      </c>
      <c r="M144" s="25">
        <v>196.56899999999999</v>
      </c>
      <c r="N144" s="28">
        <f t="shared" si="23"/>
        <v>46.568999999999988</v>
      </c>
      <c r="O144" s="28">
        <f t="shared" si="24"/>
        <v>71.427867353878938</v>
      </c>
      <c r="P144" s="26">
        <v>100</v>
      </c>
      <c r="Q144" s="24" t="s">
        <v>5</v>
      </c>
      <c r="R144" s="38" t="s">
        <v>78</v>
      </c>
    </row>
    <row r="145" spans="1:18" x14ac:dyDescent="0.25">
      <c r="A145" s="24">
        <v>143</v>
      </c>
      <c r="B145" s="25" t="s">
        <v>174</v>
      </c>
      <c r="C145" s="26">
        <v>700.00689999999997</v>
      </c>
      <c r="D145" s="27">
        <v>2.4999753573857602</v>
      </c>
      <c r="E145" s="25">
        <v>1211840.4671</v>
      </c>
      <c r="F145" s="25">
        <v>1211920.4671</v>
      </c>
      <c r="G145" s="25">
        <v>1211973.0129</v>
      </c>
      <c r="H145" s="25">
        <v>1212053.0129</v>
      </c>
      <c r="I145" s="37">
        <f t="shared" si="20"/>
        <v>2464.2084000001196</v>
      </c>
      <c r="J145" s="26">
        <f t="shared" si="21"/>
        <v>80</v>
      </c>
      <c r="K145" s="25">
        <f t="shared" si="22"/>
        <v>52.545799999963492</v>
      </c>
      <c r="L145" s="26">
        <v>150</v>
      </c>
      <c r="M145" s="25">
        <v>196.56899999999999</v>
      </c>
      <c r="N145" s="28">
        <f t="shared" si="23"/>
        <v>46.568999999999988</v>
      </c>
      <c r="O145" s="28">
        <f t="shared" si="24"/>
        <v>71.427867353878938</v>
      </c>
      <c r="P145" s="26">
        <v>100</v>
      </c>
      <c r="Q145" s="24" t="s">
        <v>4</v>
      </c>
      <c r="R145" s="38"/>
    </row>
    <row r="146" spans="1:18" x14ac:dyDescent="0.25">
      <c r="A146" s="24">
        <v>144</v>
      </c>
      <c r="B146" s="25" t="s">
        <v>175</v>
      </c>
      <c r="C146" s="26">
        <v>700</v>
      </c>
      <c r="D146" s="27">
        <v>2.5</v>
      </c>
      <c r="E146" s="25">
        <v>1214517.2213000001</v>
      </c>
      <c r="F146" s="25">
        <v>1214597.2213000001</v>
      </c>
      <c r="G146" s="25">
        <v>1214652.5964000002</v>
      </c>
      <c r="H146" s="25">
        <v>1214732.5964000002</v>
      </c>
      <c r="I146" s="37">
        <f t="shared" si="20"/>
        <v>125.88129999977536</v>
      </c>
      <c r="J146" s="26">
        <f t="shared" si="21"/>
        <v>80</v>
      </c>
      <c r="K146" s="25">
        <f t="shared" si="22"/>
        <v>55.375100000062957</v>
      </c>
      <c r="L146" s="26">
        <v>150</v>
      </c>
      <c r="M146" s="25">
        <v>196.56899999999999</v>
      </c>
      <c r="N146" s="28">
        <f t="shared" si="23"/>
        <v>46.568999999999988</v>
      </c>
      <c r="O146" s="28">
        <f t="shared" si="24"/>
        <v>71.428571428571431</v>
      </c>
      <c r="P146" s="26">
        <v>100</v>
      </c>
      <c r="Q146" s="24" t="s">
        <v>4</v>
      </c>
      <c r="R146" s="38"/>
    </row>
    <row r="147" spans="1:18" x14ac:dyDescent="0.25">
      <c r="A147" s="24">
        <v>145</v>
      </c>
      <c r="B147" s="25" t="s">
        <v>176</v>
      </c>
      <c r="C147" s="26">
        <v>700</v>
      </c>
      <c r="D147" s="27">
        <v>2.5</v>
      </c>
      <c r="E147" s="25">
        <v>1214858.4776999999</v>
      </c>
      <c r="F147" s="25">
        <v>1214938.4776999999</v>
      </c>
      <c r="G147" s="25">
        <v>1214971.9819999998</v>
      </c>
      <c r="H147" s="25">
        <v>1215051.9819999998</v>
      </c>
      <c r="I147" s="37">
        <f t="shared" si="20"/>
        <v>573.0063000000082</v>
      </c>
      <c r="J147" s="26">
        <f t="shared" si="21"/>
        <v>80</v>
      </c>
      <c r="K147" s="25">
        <f t="shared" si="22"/>
        <v>33.504299999913201</v>
      </c>
      <c r="L147" s="26">
        <v>150</v>
      </c>
      <c r="M147" s="25">
        <v>196.56899999999999</v>
      </c>
      <c r="N147" s="28">
        <f t="shared" si="23"/>
        <v>46.568999999999988</v>
      </c>
      <c r="O147" s="28">
        <f t="shared" si="24"/>
        <v>71.428571428571431</v>
      </c>
      <c r="P147" s="26">
        <v>100</v>
      </c>
      <c r="Q147" s="24" t="s">
        <v>5</v>
      </c>
      <c r="R147" s="38"/>
    </row>
    <row r="148" spans="1:18" x14ac:dyDescent="0.25">
      <c r="A148" s="24">
        <v>146</v>
      </c>
      <c r="B148" s="25" t="s">
        <v>177</v>
      </c>
      <c r="C148" s="26">
        <v>2000</v>
      </c>
      <c r="D148" s="27">
        <v>0.875</v>
      </c>
      <c r="E148" s="25">
        <v>1215624.9882999999</v>
      </c>
      <c r="F148" s="25">
        <v>1215684.9882999999</v>
      </c>
      <c r="G148" s="25">
        <v>1215787.0301999999</v>
      </c>
      <c r="H148" s="25">
        <v>1215847.0301999999</v>
      </c>
      <c r="I148" s="37">
        <f t="shared" si="20"/>
        <v>147.62990000005811</v>
      </c>
      <c r="J148" s="26">
        <f t="shared" si="21"/>
        <v>60</v>
      </c>
      <c r="K148" s="25">
        <f t="shared" si="22"/>
        <v>102.04190000006929</v>
      </c>
      <c r="L148" s="26">
        <v>60</v>
      </c>
      <c r="M148" s="25">
        <v>68.8</v>
      </c>
      <c r="N148" s="28">
        <f t="shared" si="23"/>
        <v>8.7999999999999972</v>
      </c>
      <c r="O148" s="28">
        <f t="shared" si="24"/>
        <v>25</v>
      </c>
      <c r="P148" s="26">
        <v>100</v>
      </c>
      <c r="Q148" s="24" t="s">
        <v>5</v>
      </c>
      <c r="R148" s="24"/>
    </row>
    <row r="149" spans="1:18" x14ac:dyDescent="0.25">
      <c r="A149" s="24">
        <v>147</v>
      </c>
      <c r="B149" s="25" t="s">
        <v>178</v>
      </c>
      <c r="C149" s="26">
        <v>2000</v>
      </c>
      <c r="D149" s="27">
        <v>0.875</v>
      </c>
      <c r="E149" s="25">
        <v>1215994.6601</v>
      </c>
      <c r="F149" s="25">
        <v>1216054.6601</v>
      </c>
      <c r="G149" s="25">
        <v>1216086.6528</v>
      </c>
      <c r="H149" s="25">
        <v>1216146.6528</v>
      </c>
      <c r="I149" s="37">
        <f t="shared" si="20"/>
        <v>467.86540000000969</v>
      </c>
      <c r="J149" s="26">
        <f t="shared" si="21"/>
        <v>60</v>
      </c>
      <c r="K149" s="25">
        <f t="shared" si="22"/>
        <v>31.992700000060722</v>
      </c>
      <c r="L149" s="26">
        <v>60</v>
      </c>
      <c r="M149" s="25">
        <v>68.8</v>
      </c>
      <c r="N149" s="28">
        <f t="shared" si="23"/>
        <v>8.7999999999999972</v>
      </c>
      <c r="O149" s="28">
        <f t="shared" si="24"/>
        <v>25</v>
      </c>
      <c r="P149" s="26">
        <v>100</v>
      </c>
      <c r="Q149" s="24" t="s">
        <v>4</v>
      </c>
      <c r="R149" s="24"/>
    </row>
    <row r="150" spans="1:18" x14ac:dyDescent="0.25">
      <c r="A150" s="24">
        <v>148</v>
      </c>
      <c r="B150" s="25" t="s">
        <v>179</v>
      </c>
      <c r="C150" s="26">
        <v>20000.000100000001</v>
      </c>
      <c r="D150" s="27">
        <v>8.74999995625E-2</v>
      </c>
      <c r="E150" s="25">
        <v>1216614.5182</v>
      </c>
      <c r="F150" s="25">
        <v>1216644.5182</v>
      </c>
      <c r="G150" s="25">
        <v>1216704.452</v>
      </c>
      <c r="H150" s="25">
        <v>1216734.452</v>
      </c>
      <c r="I150" s="37">
        <f t="shared" si="20"/>
        <v>5592.2584999999963</v>
      </c>
      <c r="J150" s="26">
        <f t="shared" si="21"/>
        <v>30</v>
      </c>
      <c r="K150" s="25">
        <f t="shared" si="22"/>
        <v>59.933799999998882</v>
      </c>
      <c r="L150" s="26">
        <v>10</v>
      </c>
      <c r="M150" s="25">
        <v>6.88</v>
      </c>
      <c r="N150" s="28">
        <f t="shared" si="23"/>
        <v>-3.12</v>
      </c>
      <c r="O150" s="28">
        <f t="shared" si="24"/>
        <v>2.4999999874999999</v>
      </c>
      <c r="P150" s="26">
        <v>100</v>
      </c>
      <c r="Q150" s="24" t="s">
        <v>4</v>
      </c>
      <c r="R150" s="24"/>
    </row>
    <row r="151" spans="1:18" x14ac:dyDescent="0.25">
      <c r="A151" s="24">
        <v>149</v>
      </c>
      <c r="B151" s="25" t="s">
        <v>180</v>
      </c>
      <c r="C151" s="26">
        <v>2300</v>
      </c>
      <c r="D151" s="27">
        <v>0.76086956521739102</v>
      </c>
      <c r="E151" s="25">
        <v>1222326.7105</v>
      </c>
      <c r="F151" s="25">
        <v>1222376.7105</v>
      </c>
      <c r="G151" s="25">
        <v>1222399.0138000001</v>
      </c>
      <c r="H151" s="25">
        <v>1222449.0138000001</v>
      </c>
      <c r="I151" s="37">
        <f t="shared" si="20"/>
        <v>51.262799999909475</v>
      </c>
      <c r="J151" s="26">
        <f t="shared" si="21"/>
        <v>50</v>
      </c>
      <c r="K151" s="25">
        <f t="shared" si="22"/>
        <v>22.303300000028685</v>
      </c>
      <c r="L151" s="26">
        <v>50</v>
      </c>
      <c r="M151" s="25">
        <v>59.826000000000001</v>
      </c>
      <c r="N151" s="28">
        <f t="shared" si="23"/>
        <v>9.8260000000000005</v>
      </c>
      <c r="O151" s="28">
        <f t="shared" si="24"/>
        <v>21.739130434782609</v>
      </c>
      <c r="P151" s="26">
        <v>100</v>
      </c>
      <c r="Q151" s="24" t="s">
        <v>4</v>
      </c>
      <c r="R151" s="24"/>
    </row>
    <row r="152" spans="1:18" x14ac:dyDescent="0.25">
      <c r="A152" s="24">
        <v>150</v>
      </c>
      <c r="B152" s="25" t="s">
        <v>117</v>
      </c>
      <c r="C152" s="26">
        <v>2300</v>
      </c>
      <c r="D152" s="27">
        <v>0.76086956521739135</v>
      </c>
      <c r="E152" s="25">
        <v>1222500.2766</v>
      </c>
      <c r="F152" s="25">
        <v>1222550.2766</v>
      </c>
      <c r="G152" s="25">
        <v>1222574.4883999999</v>
      </c>
      <c r="H152" s="25">
        <v>1222624.4883999999</v>
      </c>
      <c r="I152" s="37">
        <f t="shared" si="20"/>
        <v>395.44210000010207</v>
      </c>
      <c r="J152" s="26">
        <f t="shared" si="21"/>
        <v>50</v>
      </c>
      <c r="K152" s="25">
        <f t="shared" si="22"/>
        <v>24.211799999931827</v>
      </c>
      <c r="L152" s="26">
        <v>50</v>
      </c>
      <c r="M152" s="25">
        <v>59.826000000000001</v>
      </c>
      <c r="N152" s="28">
        <f t="shared" si="23"/>
        <v>9.8260000000000005</v>
      </c>
      <c r="O152" s="28">
        <f t="shared" si="24"/>
        <v>21.739130434782609</v>
      </c>
      <c r="P152" s="26">
        <v>100</v>
      </c>
      <c r="Q152" s="24" t="s">
        <v>5</v>
      </c>
      <c r="R152" s="24"/>
    </row>
    <row r="153" spans="1:18" x14ac:dyDescent="0.25">
      <c r="A153" s="24">
        <v>151</v>
      </c>
      <c r="B153" s="25" t="s">
        <v>181</v>
      </c>
      <c r="C153" s="26">
        <v>2800</v>
      </c>
      <c r="D153" s="27">
        <v>0.625</v>
      </c>
      <c r="E153" s="25">
        <v>1223019.9305</v>
      </c>
      <c r="F153" s="25">
        <v>1223059.9305</v>
      </c>
      <c r="G153" s="25">
        <v>1223093.8998</v>
      </c>
      <c r="H153" s="25">
        <v>1223133.8998</v>
      </c>
      <c r="I153" s="37">
        <f t="shared" si="20"/>
        <v>106.7890999999363</v>
      </c>
      <c r="J153" s="26">
        <f t="shared" si="21"/>
        <v>40</v>
      </c>
      <c r="K153" s="25">
        <f t="shared" si="22"/>
        <v>33.96929999999702</v>
      </c>
      <c r="L153" s="26">
        <v>40</v>
      </c>
      <c r="M153" s="25">
        <v>49.143000000000001</v>
      </c>
      <c r="N153" s="28">
        <f t="shared" si="23"/>
        <v>9.1430000000000007</v>
      </c>
      <c r="O153" s="28">
        <f t="shared" si="24"/>
        <v>17.857142857142858</v>
      </c>
      <c r="P153" s="26">
        <v>100</v>
      </c>
      <c r="Q153" s="24" t="s">
        <v>4</v>
      </c>
      <c r="R153" s="24"/>
    </row>
    <row r="154" spans="1:18" x14ac:dyDescent="0.25">
      <c r="A154" s="24">
        <v>152</v>
      </c>
      <c r="B154" s="25" t="s">
        <v>182</v>
      </c>
      <c r="C154" s="26">
        <v>3000</v>
      </c>
      <c r="D154" s="27">
        <v>0.58333333333333337</v>
      </c>
      <c r="E154" s="25">
        <v>1223240.6889</v>
      </c>
      <c r="F154" s="25">
        <v>1223280.6889</v>
      </c>
      <c r="G154" s="25">
        <v>1223349.0574</v>
      </c>
      <c r="H154" s="25">
        <v>1223389.0574</v>
      </c>
      <c r="I154" s="37">
        <f t="shared" si="20"/>
        <v>62.818599999882281</v>
      </c>
      <c r="J154" s="26">
        <f t="shared" si="21"/>
        <v>40</v>
      </c>
      <c r="K154" s="25">
        <f t="shared" si="22"/>
        <v>68.36850000009872</v>
      </c>
      <c r="L154" s="26">
        <v>40</v>
      </c>
      <c r="M154" s="25">
        <v>45.866999999999997</v>
      </c>
      <c r="N154" s="28">
        <f t="shared" si="23"/>
        <v>5.8669999999999973</v>
      </c>
      <c r="O154" s="28">
        <f t="shared" si="24"/>
        <v>16.666666666666668</v>
      </c>
      <c r="P154" s="26">
        <v>100</v>
      </c>
      <c r="Q154" s="24" t="s">
        <v>5</v>
      </c>
      <c r="R154" s="24"/>
    </row>
    <row r="155" spans="1:18" x14ac:dyDescent="0.25">
      <c r="A155" s="24">
        <v>153</v>
      </c>
      <c r="B155" s="25" t="s">
        <v>183</v>
      </c>
      <c r="C155" s="26">
        <v>5000</v>
      </c>
      <c r="D155" s="27">
        <v>0.35</v>
      </c>
      <c r="E155" s="25">
        <v>1223451.8759999999</v>
      </c>
      <c r="F155" s="25">
        <v>1223471.8759999999</v>
      </c>
      <c r="G155" s="25">
        <v>1223597.6494</v>
      </c>
      <c r="H155" s="25">
        <v>1223617.6494</v>
      </c>
      <c r="I155" s="37">
        <f t="shared" si="20"/>
        <v>56.595699999947101</v>
      </c>
      <c r="J155" s="26">
        <f t="shared" si="21"/>
        <v>20</v>
      </c>
      <c r="K155" s="25">
        <f t="shared" si="22"/>
        <v>125.7734000000637</v>
      </c>
      <c r="L155" s="26">
        <v>20</v>
      </c>
      <c r="M155" s="25">
        <v>27.52</v>
      </c>
      <c r="N155" s="28">
        <f t="shared" si="23"/>
        <v>7.52</v>
      </c>
      <c r="O155" s="28">
        <f t="shared" si="24"/>
        <v>10</v>
      </c>
      <c r="P155" s="26">
        <v>100</v>
      </c>
      <c r="Q155" s="24" t="s">
        <v>4</v>
      </c>
      <c r="R155" s="24"/>
    </row>
    <row r="156" spans="1:18" x14ac:dyDescent="0.25">
      <c r="A156" s="24">
        <v>154</v>
      </c>
      <c r="B156" s="25" t="s">
        <v>184</v>
      </c>
      <c r="C156" s="26">
        <v>10000</v>
      </c>
      <c r="D156" s="27">
        <v>0.17499999999999999</v>
      </c>
      <c r="E156" s="25">
        <v>1223674.2450999999</v>
      </c>
      <c r="F156" s="25">
        <v>1223694.2450999999</v>
      </c>
      <c r="G156" s="25">
        <v>1223731.1218999999</v>
      </c>
      <c r="H156" s="25">
        <v>1223751.1218999999</v>
      </c>
      <c r="I156" s="37">
        <f t="shared" si="20"/>
        <v>75.834600000176579</v>
      </c>
      <c r="J156" s="26">
        <f t="shared" si="21"/>
        <v>20</v>
      </c>
      <c r="K156" s="25">
        <f t="shared" si="22"/>
        <v>36.87679999996908</v>
      </c>
      <c r="L156" s="26">
        <v>20</v>
      </c>
      <c r="M156" s="25">
        <v>13.76</v>
      </c>
      <c r="N156" s="28">
        <f t="shared" si="23"/>
        <v>-6.24</v>
      </c>
      <c r="O156" s="28">
        <f t="shared" si="24"/>
        <v>5</v>
      </c>
      <c r="P156" s="26">
        <v>100</v>
      </c>
      <c r="Q156" s="24" t="s">
        <v>4</v>
      </c>
      <c r="R156" s="24"/>
    </row>
    <row r="157" spans="1:18" x14ac:dyDescent="0.25">
      <c r="A157" s="24">
        <v>155</v>
      </c>
      <c r="B157" s="25" t="s">
        <v>185</v>
      </c>
      <c r="C157" s="26">
        <v>2500</v>
      </c>
      <c r="D157" s="27">
        <v>0.7</v>
      </c>
      <c r="E157" s="25">
        <v>1223826.9565000001</v>
      </c>
      <c r="F157" s="25">
        <v>1223876.9565000001</v>
      </c>
      <c r="G157" s="25">
        <v>1223988.3587</v>
      </c>
      <c r="H157" s="25">
        <v>1224038.3587</v>
      </c>
      <c r="I157" s="37">
        <f t="shared" si="20"/>
        <v>53.75289999996312</v>
      </c>
      <c r="J157" s="26">
        <f t="shared" si="21"/>
        <v>50</v>
      </c>
      <c r="K157" s="25">
        <f t="shared" si="22"/>
        <v>111.40219999989495</v>
      </c>
      <c r="L157" s="26">
        <v>50</v>
      </c>
      <c r="M157" s="25">
        <v>55.04</v>
      </c>
      <c r="N157" s="28">
        <f t="shared" si="23"/>
        <v>5.0399999999999991</v>
      </c>
      <c r="O157" s="28">
        <f t="shared" si="24"/>
        <v>20</v>
      </c>
      <c r="P157" s="26">
        <v>100</v>
      </c>
      <c r="Q157" s="24" t="s">
        <v>5</v>
      </c>
      <c r="R157" s="24"/>
    </row>
    <row r="158" spans="1:18" x14ac:dyDescent="0.25">
      <c r="A158" s="24">
        <v>156</v>
      </c>
      <c r="B158" s="25" t="s">
        <v>186</v>
      </c>
      <c r="C158" s="26">
        <v>3000</v>
      </c>
      <c r="D158" s="27">
        <v>0.58333333333333304</v>
      </c>
      <c r="E158" s="25">
        <v>1224092.1115999999</v>
      </c>
      <c r="F158" s="25">
        <v>1224132.1115999999</v>
      </c>
      <c r="G158" s="25">
        <v>1224199.9690999999</v>
      </c>
      <c r="H158" s="25">
        <v>1224239.9690999999</v>
      </c>
      <c r="I158" s="37">
        <f t="shared" si="20"/>
        <v>252.12780000013299</v>
      </c>
      <c r="J158" s="26">
        <f t="shared" si="21"/>
        <v>40</v>
      </c>
      <c r="K158" s="25">
        <f t="shared" si="22"/>
        <v>67.857499999925494</v>
      </c>
      <c r="L158" s="26">
        <v>40</v>
      </c>
      <c r="M158" s="25">
        <v>45.866999999999997</v>
      </c>
      <c r="N158" s="28">
        <f t="shared" si="23"/>
        <v>5.8669999999999973</v>
      </c>
      <c r="O158" s="28">
        <f t="shared" si="24"/>
        <v>16.666666666666668</v>
      </c>
      <c r="P158" s="26">
        <v>100</v>
      </c>
      <c r="Q158" s="24" t="s">
        <v>4</v>
      </c>
      <c r="R158" s="24"/>
    </row>
    <row r="159" spans="1:18" x14ac:dyDescent="0.25">
      <c r="A159" s="24">
        <v>157</v>
      </c>
      <c r="B159" s="25" t="s">
        <v>187</v>
      </c>
      <c r="C159" s="26">
        <v>3000</v>
      </c>
      <c r="D159" s="27">
        <v>0.58333333333333337</v>
      </c>
      <c r="E159" s="25">
        <v>1224492.0969</v>
      </c>
      <c r="F159" s="25">
        <v>1224532.0969</v>
      </c>
      <c r="G159" s="25">
        <v>1224575.7187000001</v>
      </c>
      <c r="H159" s="25">
        <v>1224615.7187000001</v>
      </c>
      <c r="I159" s="37">
        <f t="shared" si="20"/>
        <v>211.812099999981</v>
      </c>
      <c r="J159" s="26">
        <f t="shared" si="21"/>
        <v>40</v>
      </c>
      <c r="K159" s="25">
        <f t="shared" si="22"/>
        <v>43.621800000080839</v>
      </c>
      <c r="L159" s="26">
        <v>40</v>
      </c>
      <c r="M159" s="25">
        <v>45.866999999999997</v>
      </c>
      <c r="N159" s="28">
        <f t="shared" si="23"/>
        <v>5.8669999999999973</v>
      </c>
      <c r="O159" s="28">
        <f t="shared" si="24"/>
        <v>16.666666666666668</v>
      </c>
      <c r="P159" s="26">
        <v>100</v>
      </c>
      <c r="Q159" s="24" t="s">
        <v>5</v>
      </c>
      <c r="R159" s="24"/>
    </row>
    <row r="160" spans="1:18" x14ac:dyDescent="0.25">
      <c r="A160" s="24">
        <v>158</v>
      </c>
      <c r="B160" s="25" t="s">
        <v>188</v>
      </c>
      <c r="C160" s="26">
        <v>2500</v>
      </c>
      <c r="D160" s="27">
        <v>0.7</v>
      </c>
      <c r="E160" s="25">
        <v>1224827.5308000001</v>
      </c>
      <c r="F160" s="25">
        <v>1224877.5308000001</v>
      </c>
      <c r="G160" s="25">
        <v>1224910.2501000001</v>
      </c>
      <c r="H160" s="25">
        <v>1224960.2501000001</v>
      </c>
      <c r="I160" s="37">
        <f t="shared" si="20"/>
        <v>72.109399999957532</v>
      </c>
      <c r="J160" s="26">
        <f t="shared" si="21"/>
        <v>50</v>
      </c>
      <c r="K160" s="25">
        <f t="shared" si="22"/>
        <v>32.71929999999702</v>
      </c>
      <c r="L160" s="26">
        <v>50</v>
      </c>
      <c r="M160" s="25">
        <v>55.04</v>
      </c>
      <c r="N160" s="28">
        <f t="shared" si="23"/>
        <v>5.0399999999999991</v>
      </c>
      <c r="O160" s="28">
        <f t="shared" si="24"/>
        <v>20</v>
      </c>
      <c r="P160" s="26">
        <v>100</v>
      </c>
      <c r="Q160" s="24" t="s">
        <v>4</v>
      </c>
      <c r="R160" s="24"/>
    </row>
    <row r="161" spans="1:18" x14ac:dyDescent="0.25">
      <c r="A161" s="24">
        <v>159</v>
      </c>
      <c r="B161" s="25" t="s">
        <v>189</v>
      </c>
      <c r="C161" s="26">
        <v>3000</v>
      </c>
      <c r="D161" s="27">
        <v>0.58333333333333304</v>
      </c>
      <c r="E161" s="25">
        <v>1225032.3595</v>
      </c>
      <c r="F161" s="25">
        <v>1225072.3595</v>
      </c>
      <c r="G161" s="25">
        <v>1225097.8188</v>
      </c>
      <c r="H161" s="25">
        <v>1225137.8188</v>
      </c>
      <c r="I161" s="37">
        <f t="shared" si="20"/>
        <v>215.40360000007786</v>
      </c>
      <c r="J161" s="26">
        <f t="shared" si="21"/>
        <v>40</v>
      </c>
      <c r="K161" s="25">
        <f t="shared" si="22"/>
        <v>25.459299999987707</v>
      </c>
      <c r="L161" s="26">
        <v>40</v>
      </c>
      <c r="M161" s="25">
        <v>45.866999999999997</v>
      </c>
      <c r="N161" s="28">
        <f t="shared" si="23"/>
        <v>5.8669999999999973</v>
      </c>
      <c r="O161" s="28">
        <f t="shared" si="24"/>
        <v>16.666666666666668</v>
      </c>
      <c r="P161" s="26">
        <v>100</v>
      </c>
      <c r="Q161" s="24" t="s">
        <v>4</v>
      </c>
      <c r="R161" s="24"/>
    </row>
    <row r="162" spans="1:18" x14ac:dyDescent="0.25">
      <c r="A162" s="24">
        <v>160</v>
      </c>
      <c r="B162" s="25" t="s">
        <v>190</v>
      </c>
      <c r="C162" s="26">
        <v>4000</v>
      </c>
      <c r="D162" s="27">
        <v>0.4375</v>
      </c>
      <c r="E162" s="25">
        <v>1225353.2224000001</v>
      </c>
      <c r="F162" s="25">
        <v>1225383.2224000001</v>
      </c>
      <c r="G162" s="25">
        <v>1225439.2510000002</v>
      </c>
      <c r="H162" s="25">
        <v>1225469.2510000002</v>
      </c>
      <c r="I162" s="37">
        <f t="shared" si="20"/>
        <v>1774.6679999998305</v>
      </c>
      <c r="J162" s="26">
        <f t="shared" si="21"/>
        <v>30</v>
      </c>
      <c r="K162" s="25">
        <f t="shared" si="22"/>
        <v>56.028600000077859</v>
      </c>
      <c r="L162" s="26">
        <v>30</v>
      </c>
      <c r="M162" s="25">
        <v>34.4</v>
      </c>
      <c r="N162" s="28">
        <f t="shared" si="23"/>
        <v>4.3999999999999986</v>
      </c>
      <c r="O162" s="28">
        <f t="shared" si="24"/>
        <v>12.5</v>
      </c>
      <c r="P162" s="26">
        <v>100</v>
      </c>
      <c r="Q162" s="24" t="s">
        <v>5</v>
      </c>
      <c r="R162" s="24"/>
    </row>
    <row r="163" spans="1:18" x14ac:dyDescent="0.25">
      <c r="A163" s="24">
        <v>161</v>
      </c>
      <c r="B163" s="25" t="s">
        <v>191</v>
      </c>
      <c r="C163" s="26">
        <v>4000</v>
      </c>
      <c r="D163" s="27">
        <v>0.4375</v>
      </c>
      <c r="E163" s="25">
        <v>1227243.919</v>
      </c>
      <c r="F163" s="25">
        <v>1227283.919</v>
      </c>
      <c r="G163" s="25">
        <v>1227309.1032</v>
      </c>
      <c r="H163" s="25">
        <v>1227349.1032</v>
      </c>
      <c r="I163" s="37">
        <f t="shared" ref="I163:I182" si="25">E164-H163</f>
        <v>273.50490000005811</v>
      </c>
      <c r="J163" s="26">
        <f t="shared" ref="J163:J183" si="26">H163-G163</f>
        <v>40</v>
      </c>
      <c r="K163" s="25">
        <f t="shared" ref="K163:K185" si="27">G163-F163</f>
        <v>25.184200000017881</v>
      </c>
      <c r="L163" s="26">
        <v>30</v>
      </c>
      <c r="M163" s="25">
        <v>34.4</v>
      </c>
      <c r="N163" s="28">
        <f t="shared" ref="N163:N185" si="28">M163-L163</f>
        <v>4.3999999999999986</v>
      </c>
      <c r="O163" s="28">
        <f t="shared" ref="O163:O185" si="29">ABS((20^2*125)/C163)</f>
        <v>12.5</v>
      </c>
      <c r="P163" s="26">
        <v>100</v>
      </c>
      <c r="Q163" s="24" t="s">
        <v>4</v>
      </c>
      <c r="R163" s="24"/>
    </row>
    <row r="164" spans="1:18" x14ac:dyDescent="0.25">
      <c r="A164" s="24">
        <v>162</v>
      </c>
      <c r="B164" s="25" t="s">
        <v>192</v>
      </c>
      <c r="C164" s="26">
        <v>3600</v>
      </c>
      <c r="D164" s="27">
        <v>0.4861111111111111</v>
      </c>
      <c r="E164" s="25">
        <v>1227622.6081000001</v>
      </c>
      <c r="F164" s="25">
        <v>1227662.6081000001</v>
      </c>
      <c r="G164" s="25">
        <v>1227684.1372</v>
      </c>
      <c r="H164" s="25">
        <v>1227724.1372</v>
      </c>
      <c r="I164" s="37">
        <f t="shared" si="25"/>
        <v>2876.8038000001106</v>
      </c>
      <c r="J164" s="26">
        <f t="shared" si="26"/>
        <v>40</v>
      </c>
      <c r="K164" s="25">
        <f t="shared" si="27"/>
        <v>21.529099999926984</v>
      </c>
      <c r="L164" s="26">
        <v>30</v>
      </c>
      <c r="M164" s="25">
        <v>38.222000000000001</v>
      </c>
      <c r="N164" s="28">
        <f t="shared" si="28"/>
        <v>8.2220000000000013</v>
      </c>
      <c r="O164" s="28">
        <f t="shared" si="29"/>
        <v>13.888888888888889</v>
      </c>
      <c r="P164" s="26">
        <v>100</v>
      </c>
      <c r="Q164" s="24" t="s">
        <v>5</v>
      </c>
      <c r="R164" s="24"/>
    </row>
    <row r="165" spans="1:18" x14ac:dyDescent="0.25">
      <c r="A165" s="24">
        <v>163</v>
      </c>
      <c r="B165" s="25" t="s">
        <v>193</v>
      </c>
      <c r="C165" s="26">
        <v>3000</v>
      </c>
      <c r="D165" s="27">
        <v>0.58333333333333337</v>
      </c>
      <c r="E165" s="25">
        <v>1230600.9410000001</v>
      </c>
      <c r="F165" s="25">
        <v>1230640.9410000001</v>
      </c>
      <c r="G165" s="25">
        <v>1230700.4882</v>
      </c>
      <c r="H165" s="25">
        <v>1230740.4882</v>
      </c>
      <c r="I165" s="37">
        <f t="shared" si="25"/>
        <v>55.4511999997776</v>
      </c>
      <c r="J165" s="26">
        <f t="shared" si="26"/>
        <v>40</v>
      </c>
      <c r="K165" s="25">
        <f t="shared" si="27"/>
        <v>59.547199999913573</v>
      </c>
      <c r="L165" s="26">
        <v>40</v>
      </c>
      <c r="M165" s="25">
        <v>45.866999999999997</v>
      </c>
      <c r="N165" s="28">
        <f t="shared" si="28"/>
        <v>5.8669999999999973</v>
      </c>
      <c r="O165" s="28">
        <f t="shared" si="29"/>
        <v>16.666666666666668</v>
      </c>
      <c r="P165" s="26">
        <v>100</v>
      </c>
      <c r="Q165" s="24" t="s">
        <v>5</v>
      </c>
      <c r="R165" s="24"/>
    </row>
    <row r="166" spans="1:18" x14ac:dyDescent="0.25">
      <c r="A166" s="24">
        <v>164</v>
      </c>
      <c r="B166" s="25" t="s">
        <v>194</v>
      </c>
      <c r="C166" s="26">
        <v>3000</v>
      </c>
      <c r="D166" s="27">
        <v>0.58333333333333304</v>
      </c>
      <c r="E166" s="25">
        <v>1230795.9393999998</v>
      </c>
      <c r="F166" s="25">
        <v>1230835.9393999998</v>
      </c>
      <c r="G166" s="25">
        <v>1230897.0699999998</v>
      </c>
      <c r="H166" s="25">
        <v>1230937.0699999998</v>
      </c>
      <c r="I166" s="37">
        <f t="shared" si="25"/>
        <v>2129.1058000002522</v>
      </c>
      <c r="J166" s="26">
        <f t="shared" si="26"/>
        <v>40</v>
      </c>
      <c r="K166" s="25">
        <f t="shared" si="27"/>
        <v>61.130600000033155</v>
      </c>
      <c r="L166" s="26">
        <v>40</v>
      </c>
      <c r="M166" s="25">
        <v>45.866999999999997</v>
      </c>
      <c r="N166" s="28">
        <f t="shared" si="28"/>
        <v>5.8669999999999973</v>
      </c>
      <c r="O166" s="28">
        <f t="shared" si="29"/>
        <v>16.666666666666668</v>
      </c>
      <c r="P166" s="26">
        <v>100</v>
      </c>
      <c r="Q166" s="24" t="s">
        <v>4</v>
      </c>
      <c r="R166" s="24"/>
    </row>
    <row r="167" spans="1:18" x14ac:dyDescent="0.25">
      <c r="A167" s="24">
        <v>165</v>
      </c>
      <c r="B167" s="25" t="s">
        <v>195</v>
      </c>
      <c r="C167" s="26">
        <v>49999.990599999997</v>
      </c>
      <c r="D167" s="27">
        <v>3.5000006580001242E-2</v>
      </c>
      <c r="E167" s="25">
        <v>1233066.1758000001</v>
      </c>
      <c r="F167" s="25">
        <v>1233106.1758000001</v>
      </c>
      <c r="G167" s="25">
        <v>1233132.2743000002</v>
      </c>
      <c r="H167" s="25">
        <v>1233172.2743000002</v>
      </c>
      <c r="I167" s="37">
        <f t="shared" si="25"/>
        <v>55.097799999872223</v>
      </c>
      <c r="J167" s="26">
        <f t="shared" si="26"/>
        <v>40</v>
      </c>
      <c r="K167" s="25">
        <f t="shared" si="27"/>
        <v>26.098500000080094</v>
      </c>
      <c r="L167" s="26">
        <v>10</v>
      </c>
      <c r="M167" s="25">
        <v>2.7519999999999998</v>
      </c>
      <c r="N167" s="28">
        <f t="shared" si="28"/>
        <v>-7.2480000000000002</v>
      </c>
      <c r="O167" s="28">
        <f t="shared" si="29"/>
        <v>1.0000001880000353</v>
      </c>
      <c r="P167" s="26">
        <v>100</v>
      </c>
      <c r="Q167" s="24" t="s">
        <v>5</v>
      </c>
      <c r="R167" s="24"/>
    </row>
    <row r="168" spans="1:18" x14ac:dyDescent="0.25">
      <c r="A168" s="24">
        <v>166</v>
      </c>
      <c r="B168" s="25" t="s">
        <v>196</v>
      </c>
      <c r="C168" s="26">
        <v>40000.000099999997</v>
      </c>
      <c r="D168" s="27">
        <v>4.3749999890625002E-2</v>
      </c>
      <c r="E168" s="25">
        <v>1233227.3721</v>
      </c>
      <c r="F168" s="25">
        <v>1233267.3721</v>
      </c>
      <c r="G168" s="25">
        <v>1233289.3238000001</v>
      </c>
      <c r="H168" s="25">
        <v>1233329.3238000001</v>
      </c>
      <c r="I168" s="37">
        <f t="shared" si="25"/>
        <v>97.801199999870732</v>
      </c>
      <c r="J168" s="26">
        <f t="shared" si="26"/>
        <v>40</v>
      </c>
      <c r="K168" s="25">
        <f t="shared" si="27"/>
        <v>21.951700000092387</v>
      </c>
      <c r="L168" s="26">
        <v>10</v>
      </c>
      <c r="M168" s="25">
        <v>3.44</v>
      </c>
      <c r="N168" s="28">
        <f t="shared" si="28"/>
        <v>-6.5600000000000005</v>
      </c>
      <c r="O168" s="28">
        <f t="shared" si="29"/>
        <v>1.2499999968750002</v>
      </c>
      <c r="P168" s="26">
        <v>100</v>
      </c>
      <c r="Q168" s="24" t="s">
        <v>4</v>
      </c>
      <c r="R168" s="24"/>
    </row>
    <row r="169" spans="1:18" x14ac:dyDescent="0.25">
      <c r="A169" s="24">
        <v>167</v>
      </c>
      <c r="B169" s="25" t="s">
        <v>197</v>
      </c>
      <c r="C169" s="26">
        <v>41000.009700000002</v>
      </c>
      <c r="D169" s="27">
        <v>4.2682916731114802E-2</v>
      </c>
      <c r="E169" s="25">
        <v>1233427.125</v>
      </c>
      <c r="F169" s="25">
        <v>1233467.125</v>
      </c>
      <c r="G169" s="25">
        <v>1233487.6118999999</v>
      </c>
      <c r="H169" s="25">
        <v>1233527.6118999999</v>
      </c>
      <c r="I169" s="37">
        <f t="shared" si="25"/>
        <v>75.754200000083074</v>
      </c>
      <c r="J169" s="26">
        <f t="shared" si="26"/>
        <v>40</v>
      </c>
      <c r="K169" s="25">
        <f t="shared" si="27"/>
        <v>20.486899999901652</v>
      </c>
      <c r="L169" s="26">
        <v>10</v>
      </c>
      <c r="M169" s="25">
        <v>3.3559999999999999</v>
      </c>
      <c r="N169" s="28">
        <f t="shared" si="28"/>
        <v>-6.6440000000000001</v>
      </c>
      <c r="O169" s="28">
        <f t="shared" si="29"/>
        <v>1.2195119066032805</v>
      </c>
      <c r="P169" s="26">
        <v>100</v>
      </c>
      <c r="Q169" s="24" t="s">
        <v>4</v>
      </c>
      <c r="R169" s="24"/>
    </row>
    <row r="170" spans="1:18" x14ac:dyDescent="0.25">
      <c r="A170" s="24">
        <v>168</v>
      </c>
      <c r="B170" s="25" t="s">
        <v>197</v>
      </c>
      <c r="C170" s="26">
        <v>41000.003199999999</v>
      </c>
      <c r="D170" s="27">
        <v>4.268292349791817E-2</v>
      </c>
      <c r="E170" s="25">
        <v>1233603.3661</v>
      </c>
      <c r="F170" s="25">
        <v>1233643.3661</v>
      </c>
      <c r="G170" s="25">
        <v>1233663.8522999999</v>
      </c>
      <c r="H170" s="25">
        <v>1233703.8522999999</v>
      </c>
      <c r="I170" s="37">
        <f t="shared" si="25"/>
        <v>533.04310000012629</v>
      </c>
      <c r="J170" s="26">
        <f t="shared" si="26"/>
        <v>40</v>
      </c>
      <c r="K170" s="25">
        <f t="shared" si="27"/>
        <v>20.486199999926612</v>
      </c>
      <c r="L170" s="26">
        <v>10</v>
      </c>
      <c r="M170" s="25">
        <v>3.3559999999999999</v>
      </c>
      <c r="N170" s="28">
        <f t="shared" si="28"/>
        <v>-6.6440000000000001</v>
      </c>
      <c r="O170" s="28">
        <f t="shared" si="29"/>
        <v>1.2195120999405191</v>
      </c>
      <c r="P170" s="26">
        <v>100</v>
      </c>
      <c r="Q170" s="24" t="s">
        <v>5</v>
      </c>
      <c r="R170" s="24"/>
    </row>
    <row r="171" spans="1:18" x14ac:dyDescent="0.25">
      <c r="A171" s="24">
        <v>169</v>
      </c>
      <c r="B171" s="25" t="s">
        <v>198</v>
      </c>
      <c r="C171" s="26">
        <v>1750.0001999999999</v>
      </c>
      <c r="D171" s="27">
        <v>0.99999988571429899</v>
      </c>
      <c r="E171" s="25">
        <v>1234236.8954</v>
      </c>
      <c r="F171" s="25">
        <v>1234306.8954</v>
      </c>
      <c r="G171" s="25">
        <v>1234331.8838</v>
      </c>
      <c r="H171" s="25">
        <v>1234401.8838</v>
      </c>
      <c r="I171" s="37">
        <f t="shared" si="25"/>
        <v>313.57980000018142</v>
      </c>
      <c r="J171" s="26">
        <f t="shared" si="26"/>
        <v>70</v>
      </c>
      <c r="K171" s="25">
        <f t="shared" si="27"/>
        <v>24.988399999914691</v>
      </c>
      <c r="L171" s="26">
        <v>75</v>
      </c>
      <c r="M171" s="25">
        <v>78.629000000000005</v>
      </c>
      <c r="N171" s="28">
        <f t="shared" si="28"/>
        <v>3.6290000000000049</v>
      </c>
      <c r="O171" s="28">
        <f t="shared" si="29"/>
        <v>28.571425306122823</v>
      </c>
      <c r="P171" s="26">
        <v>100</v>
      </c>
      <c r="Q171" s="24" t="s">
        <v>4</v>
      </c>
      <c r="R171" s="24"/>
    </row>
    <row r="172" spans="1:18" x14ac:dyDescent="0.25">
      <c r="A172" s="24">
        <v>170</v>
      </c>
      <c r="B172" s="25" t="s">
        <v>199</v>
      </c>
      <c r="C172" s="26">
        <v>2000</v>
      </c>
      <c r="D172" s="27">
        <v>0.875</v>
      </c>
      <c r="E172" s="25">
        <v>1234715.4636000001</v>
      </c>
      <c r="F172" s="25">
        <v>1234775.4636000001</v>
      </c>
      <c r="G172" s="25">
        <v>1234810.4180000001</v>
      </c>
      <c r="H172" s="25">
        <v>1234870.4180000001</v>
      </c>
      <c r="I172" s="37">
        <f t="shared" si="25"/>
        <v>367.58810000005178</v>
      </c>
      <c r="J172" s="26">
        <f t="shared" si="26"/>
        <v>60</v>
      </c>
      <c r="K172" s="25">
        <f t="shared" si="27"/>
        <v>34.954399999929592</v>
      </c>
      <c r="L172" s="26">
        <v>60</v>
      </c>
      <c r="M172" s="25">
        <v>68.8</v>
      </c>
      <c r="N172" s="28">
        <f t="shared" si="28"/>
        <v>8.7999999999999972</v>
      </c>
      <c r="O172" s="28">
        <f t="shared" si="29"/>
        <v>25</v>
      </c>
      <c r="P172" s="26">
        <v>100</v>
      </c>
      <c r="Q172" s="24" t="s">
        <v>5</v>
      </c>
      <c r="R172" s="24"/>
    </row>
    <row r="173" spans="1:18" x14ac:dyDescent="0.25">
      <c r="A173" s="24">
        <v>171</v>
      </c>
      <c r="B173" s="25" t="s">
        <v>200</v>
      </c>
      <c r="C173" s="26">
        <v>2500</v>
      </c>
      <c r="D173" s="27">
        <v>0.7</v>
      </c>
      <c r="E173" s="25">
        <v>1235238.0061000001</v>
      </c>
      <c r="F173" s="25">
        <v>1235288.0061000001</v>
      </c>
      <c r="G173" s="25">
        <v>1235372.5903</v>
      </c>
      <c r="H173" s="25">
        <v>1235422.5903</v>
      </c>
      <c r="I173" s="37">
        <f t="shared" si="25"/>
        <v>282.18290000013076</v>
      </c>
      <c r="J173" s="26">
        <f t="shared" si="26"/>
        <v>50</v>
      </c>
      <c r="K173" s="25">
        <f t="shared" si="27"/>
        <v>84.584199999924749</v>
      </c>
      <c r="L173" s="26">
        <v>50</v>
      </c>
      <c r="M173" s="25">
        <v>55.04</v>
      </c>
      <c r="N173" s="28">
        <f t="shared" si="28"/>
        <v>5.0399999999999991</v>
      </c>
      <c r="O173" s="28">
        <f t="shared" si="29"/>
        <v>20</v>
      </c>
      <c r="P173" s="26">
        <v>100</v>
      </c>
      <c r="Q173" s="24" t="s">
        <v>5</v>
      </c>
      <c r="R173" s="24"/>
    </row>
    <row r="174" spans="1:18" x14ac:dyDescent="0.25">
      <c r="A174" s="24">
        <v>172</v>
      </c>
      <c r="B174" s="25" t="s">
        <v>60</v>
      </c>
      <c r="C174" s="26">
        <v>2500</v>
      </c>
      <c r="D174" s="27">
        <v>0.7</v>
      </c>
      <c r="E174" s="25">
        <v>1235704.7732000002</v>
      </c>
      <c r="F174" s="25">
        <v>1235754.7732000002</v>
      </c>
      <c r="G174" s="25">
        <v>1235825.5432000002</v>
      </c>
      <c r="H174" s="25">
        <v>1235875.5432000002</v>
      </c>
      <c r="I174" s="37">
        <f t="shared" si="25"/>
        <v>3014.6546999998391</v>
      </c>
      <c r="J174" s="26">
        <f t="shared" si="26"/>
        <v>50</v>
      </c>
      <c r="K174" s="25">
        <f t="shared" si="27"/>
        <v>70.770000000018626</v>
      </c>
      <c r="L174" s="26">
        <v>50</v>
      </c>
      <c r="M174" s="25">
        <v>55.04</v>
      </c>
      <c r="N174" s="28">
        <f t="shared" si="28"/>
        <v>5.0399999999999991</v>
      </c>
      <c r="O174" s="28">
        <f t="shared" si="29"/>
        <v>20</v>
      </c>
      <c r="P174" s="26">
        <v>100</v>
      </c>
      <c r="Q174" s="24" t="s">
        <v>4</v>
      </c>
      <c r="R174" s="24"/>
    </row>
    <row r="175" spans="1:18" x14ac:dyDescent="0.25">
      <c r="A175" s="24">
        <v>173</v>
      </c>
      <c r="B175" s="25" t="s">
        <v>201</v>
      </c>
      <c r="C175" s="26">
        <v>3500</v>
      </c>
      <c r="D175" s="27">
        <v>0.5</v>
      </c>
      <c r="E175" s="25">
        <v>1238890.1979</v>
      </c>
      <c r="F175" s="25">
        <v>1238930.1979</v>
      </c>
      <c r="G175" s="25">
        <v>1238997.9205</v>
      </c>
      <c r="H175" s="25">
        <v>1239037.9205</v>
      </c>
      <c r="I175" s="37">
        <f t="shared" si="25"/>
        <v>63.925499999895692</v>
      </c>
      <c r="J175" s="26">
        <f t="shared" si="26"/>
        <v>40</v>
      </c>
      <c r="K175" s="25">
        <f t="shared" si="27"/>
        <v>67.722599999979138</v>
      </c>
      <c r="L175" s="26">
        <v>30</v>
      </c>
      <c r="M175" s="25">
        <v>39.314</v>
      </c>
      <c r="N175" s="28">
        <f t="shared" si="28"/>
        <v>9.3140000000000001</v>
      </c>
      <c r="O175" s="28">
        <f t="shared" si="29"/>
        <v>14.285714285714286</v>
      </c>
      <c r="P175" s="26">
        <v>100</v>
      </c>
      <c r="Q175" s="24" t="s">
        <v>5</v>
      </c>
      <c r="R175" s="24"/>
    </row>
    <row r="176" spans="1:18" x14ac:dyDescent="0.25">
      <c r="A176" s="24">
        <v>174</v>
      </c>
      <c r="B176" s="25" t="s">
        <v>202</v>
      </c>
      <c r="C176" s="26">
        <v>3500</v>
      </c>
      <c r="D176" s="27">
        <v>0.5</v>
      </c>
      <c r="E176" s="25">
        <v>1239101.8459999999</v>
      </c>
      <c r="F176" s="25">
        <v>1239141.8459999999</v>
      </c>
      <c r="G176" s="25">
        <v>1239207.8724</v>
      </c>
      <c r="H176" s="25">
        <v>1239247.8724</v>
      </c>
      <c r="I176" s="37">
        <f t="shared" si="25"/>
        <v>4280.3366999998689</v>
      </c>
      <c r="J176" s="26">
        <f t="shared" si="26"/>
        <v>40</v>
      </c>
      <c r="K176" s="25">
        <f t="shared" si="27"/>
        <v>66.026400000089779</v>
      </c>
      <c r="L176" s="26">
        <v>30</v>
      </c>
      <c r="M176" s="25">
        <v>39.314</v>
      </c>
      <c r="N176" s="28">
        <f t="shared" si="28"/>
        <v>9.3140000000000001</v>
      </c>
      <c r="O176" s="28">
        <f t="shared" si="29"/>
        <v>14.285714285714286</v>
      </c>
      <c r="P176" s="26">
        <v>100</v>
      </c>
      <c r="Q176" s="24" t="s">
        <v>4</v>
      </c>
      <c r="R176" s="24"/>
    </row>
    <row r="177" spans="1:18" x14ac:dyDescent="0.25">
      <c r="A177" s="24">
        <v>175</v>
      </c>
      <c r="B177" s="25" t="s">
        <v>203</v>
      </c>
      <c r="C177" s="26">
        <v>2500</v>
      </c>
      <c r="D177" s="27">
        <v>0.7</v>
      </c>
      <c r="E177" s="25">
        <v>1243528.2090999999</v>
      </c>
      <c r="F177" s="25">
        <v>1243578.2090999999</v>
      </c>
      <c r="G177" s="25">
        <v>1243600.9526999998</v>
      </c>
      <c r="H177" s="25">
        <v>1243650.9526999998</v>
      </c>
      <c r="I177" s="37">
        <f t="shared" si="25"/>
        <v>69.198200000217184</v>
      </c>
      <c r="J177" s="26">
        <f t="shared" si="26"/>
        <v>50</v>
      </c>
      <c r="K177" s="25">
        <f t="shared" si="27"/>
        <v>22.743599999928847</v>
      </c>
      <c r="L177" s="26">
        <v>50</v>
      </c>
      <c r="M177" s="25">
        <v>55.04</v>
      </c>
      <c r="N177" s="28">
        <f t="shared" si="28"/>
        <v>5.0399999999999991</v>
      </c>
      <c r="O177" s="28">
        <f t="shared" si="29"/>
        <v>20</v>
      </c>
      <c r="P177" s="26">
        <v>100</v>
      </c>
      <c r="Q177" s="24" t="s">
        <v>4</v>
      </c>
      <c r="R177" s="24"/>
    </row>
    <row r="178" spans="1:18" x14ac:dyDescent="0.25">
      <c r="A178" s="24">
        <v>176</v>
      </c>
      <c r="B178" s="25" t="s">
        <v>204</v>
      </c>
      <c r="C178" s="26">
        <v>3000</v>
      </c>
      <c r="D178" s="27">
        <v>0.58333333333333304</v>
      </c>
      <c r="E178" s="25">
        <v>1243720.1509</v>
      </c>
      <c r="F178" s="25">
        <v>1243760.1509</v>
      </c>
      <c r="G178" s="25">
        <v>1243801.2291000001</v>
      </c>
      <c r="H178" s="25">
        <v>1243841.2291000001</v>
      </c>
      <c r="I178" s="37">
        <f t="shared" si="25"/>
        <v>137.7320999999065</v>
      </c>
      <c r="J178" s="26">
        <f t="shared" si="26"/>
        <v>40</v>
      </c>
      <c r="K178" s="25">
        <f t="shared" si="27"/>
        <v>41.078200000105426</v>
      </c>
      <c r="L178" s="26">
        <v>40</v>
      </c>
      <c r="M178" s="25">
        <v>45.866999999999997</v>
      </c>
      <c r="N178" s="28">
        <f t="shared" si="28"/>
        <v>5.8669999999999973</v>
      </c>
      <c r="O178" s="28">
        <f t="shared" si="29"/>
        <v>16.666666666666668</v>
      </c>
      <c r="P178" s="26">
        <v>100</v>
      </c>
      <c r="Q178" s="24" t="s">
        <v>4</v>
      </c>
      <c r="R178" s="24"/>
    </row>
    <row r="179" spans="1:18" x14ac:dyDescent="0.25">
      <c r="A179" s="24">
        <v>177</v>
      </c>
      <c r="B179" s="25" t="s">
        <v>205</v>
      </c>
      <c r="C179" s="26">
        <v>1750</v>
      </c>
      <c r="D179" s="27">
        <v>1</v>
      </c>
      <c r="E179" s="25">
        <v>1243978.9612</v>
      </c>
      <c r="F179" s="25">
        <v>1244038.9612</v>
      </c>
      <c r="G179" s="25">
        <v>1244065.0371000001</v>
      </c>
      <c r="H179" s="25">
        <v>1244125.0371000001</v>
      </c>
      <c r="I179" s="37">
        <f t="shared" si="25"/>
        <v>59.121199999935925</v>
      </c>
      <c r="J179" s="26">
        <f t="shared" si="26"/>
        <v>60</v>
      </c>
      <c r="K179" s="25">
        <f t="shared" si="27"/>
        <v>26.075900000054389</v>
      </c>
      <c r="L179" s="26">
        <v>60</v>
      </c>
      <c r="M179" s="25">
        <v>78.629000000000005</v>
      </c>
      <c r="N179" s="28">
        <f t="shared" si="28"/>
        <v>18.629000000000005</v>
      </c>
      <c r="O179" s="28">
        <f t="shared" si="29"/>
        <v>28.571428571428573</v>
      </c>
      <c r="P179" s="26">
        <v>100</v>
      </c>
      <c r="Q179" s="24" t="s">
        <v>5</v>
      </c>
      <c r="R179" s="24"/>
    </row>
    <row r="180" spans="1:18" x14ac:dyDescent="0.25">
      <c r="A180" s="24">
        <v>178</v>
      </c>
      <c r="B180" s="25" t="s">
        <v>206</v>
      </c>
      <c r="C180" s="26">
        <v>4200</v>
      </c>
      <c r="D180" s="27">
        <v>0.41666666666666669</v>
      </c>
      <c r="E180" s="25">
        <v>1244184.1583</v>
      </c>
      <c r="F180" s="25">
        <v>1244214.1583</v>
      </c>
      <c r="G180" s="25">
        <v>1244244.5686999999</v>
      </c>
      <c r="H180" s="25">
        <v>1244274.5686999999</v>
      </c>
      <c r="I180" s="37">
        <f t="shared" si="25"/>
        <v>55.763199999928474</v>
      </c>
      <c r="J180" s="26">
        <f t="shared" si="26"/>
        <v>30</v>
      </c>
      <c r="K180" s="25">
        <f t="shared" si="27"/>
        <v>30.41039999993518</v>
      </c>
      <c r="L180" s="26">
        <v>30</v>
      </c>
      <c r="M180" s="25">
        <v>32.762</v>
      </c>
      <c r="N180" s="28">
        <f t="shared" si="28"/>
        <v>2.7620000000000005</v>
      </c>
      <c r="O180" s="28">
        <f t="shared" si="29"/>
        <v>11.904761904761905</v>
      </c>
      <c r="P180" s="26">
        <v>100</v>
      </c>
      <c r="Q180" s="24" t="s">
        <v>5</v>
      </c>
      <c r="R180" s="24"/>
    </row>
    <row r="181" spans="1:18" x14ac:dyDescent="0.25">
      <c r="A181" s="24">
        <v>179</v>
      </c>
      <c r="B181" s="25" t="s">
        <v>207</v>
      </c>
      <c r="C181" s="26">
        <v>7500.0002000000004</v>
      </c>
      <c r="D181" s="27">
        <v>0.23333332711111099</v>
      </c>
      <c r="E181" s="25">
        <v>1244330.3318999999</v>
      </c>
      <c r="F181" s="25">
        <v>1244360.3318999999</v>
      </c>
      <c r="G181" s="25">
        <v>1244381.7268999999</v>
      </c>
      <c r="H181" s="25">
        <v>1244411.7268999999</v>
      </c>
      <c r="I181" s="37">
        <f t="shared" si="25"/>
        <v>727.69740000017919</v>
      </c>
      <c r="J181" s="26">
        <f t="shared" si="26"/>
        <v>30</v>
      </c>
      <c r="K181" s="25">
        <f t="shared" si="27"/>
        <v>21.395000000018626</v>
      </c>
      <c r="L181" s="26">
        <v>10</v>
      </c>
      <c r="M181" s="25">
        <v>18.347000000000001</v>
      </c>
      <c r="N181" s="28">
        <f t="shared" si="28"/>
        <v>8.3470000000000013</v>
      </c>
      <c r="O181" s="28">
        <f t="shared" si="29"/>
        <v>6.6666664888888931</v>
      </c>
      <c r="P181" s="26">
        <v>100</v>
      </c>
      <c r="Q181" s="24" t="s">
        <v>4</v>
      </c>
      <c r="R181" s="24"/>
    </row>
    <row r="182" spans="1:18" x14ac:dyDescent="0.25">
      <c r="A182" s="24">
        <v>180</v>
      </c>
      <c r="B182" s="25" t="s">
        <v>208</v>
      </c>
      <c r="C182" s="26">
        <v>2000</v>
      </c>
      <c r="D182" s="27">
        <v>0.875</v>
      </c>
      <c r="E182" s="25">
        <v>1245139.4243000001</v>
      </c>
      <c r="F182" s="25">
        <v>1245199.4243000001</v>
      </c>
      <c r="G182" s="25">
        <v>1245229.4307000001</v>
      </c>
      <c r="H182" s="25">
        <v>1245289.4307000001</v>
      </c>
      <c r="I182" s="37">
        <f t="shared" si="25"/>
        <v>289.48989999992773</v>
      </c>
      <c r="J182" s="26">
        <f t="shared" si="26"/>
        <v>60</v>
      </c>
      <c r="K182" s="25">
        <f t="shared" si="27"/>
        <v>30.006400000071153</v>
      </c>
      <c r="L182" s="26">
        <v>60</v>
      </c>
      <c r="M182" s="25">
        <v>68.8</v>
      </c>
      <c r="N182" s="28">
        <f t="shared" si="28"/>
        <v>8.7999999999999972</v>
      </c>
      <c r="O182" s="28">
        <f t="shared" si="29"/>
        <v>25</v>
      </c>
      <c r="P182" s="26">
        <v>100</v>
      </c>
      <c r="Q182" s="24" t="s">
        <v>5</v>
      </c>
      <c r="R182" s="24"/>
    </row>
    <row r="183" spans="1:18" x14ac:dyDescent="0.25">
      <c r="A183" s="24">
        <v>181</v>
      </c>
      <c r="B183" s="25" t="s">
        <v>209</v>
      </c>
      <c r="C183" s="26">
        <v>2000</v>
      </c>
      <c r="D183" s="27">
        <v>0.875</v>
      </c>
      <c r="E183" s="25">
        <v>1245578.9206000001</v>
      </c>
      <c r="F183" s="25">
        <v>1245638.9206000001</v>
      </c>
      <c r="G183" s="25">
        <v>1245670.6949</v>
      </c>
      <c r="H183" s="25">
        <v>1245730.6949</v>
      </c>
      <c r="I183" s="37">
        <f>F184-H183</f>
        <v>5018.7849999999162</v>
      </c>
      <c r="J183" s="26">
        <f t="shared" si="26"/>
        <v>60</v>
      </c>
      <c r="K183" s="25">
        <f t="shared" si="27"/>
        <v>31.774299999931827</v>
      </c>
      <c r="L183" s="26">
        <v>60</v>
      </c>
      <c r="M183" s="25">
        <v>68.8</v>
      </c>
      <c r="N183" s="28">
        <f t="shared" si="28"/>
        <v>8.7999999999999972</v>
      </c>
      <c r="O183" s="28">
        <f t="shared" si="29"/>
        <v>25</v>
      </c>
      <c r="P183" s="26">
        <v>100</v>
      </c>
      <c r="Q183" s="24" t="s">
        <v>4</v>
      </c>
      <c r="R183" s="24"/>
    </row>
    <row r="184" spans="1:18" x14ac:dyDescent="0.25">
      <c r="A184" s="24">
        <v>182</v>
      </c>
      <c r="B184" s="25" t="s">
        <v>0</v>
      </c>
      <c r="C184" s="26">
        <v>1750</v>
      </c>
      <c r="D184" s="27">
        <v>1</v>
      </c>
      <c r="E184" s="25"/>
      <c r="F184" s="25">
        <v>1250749.4798999999</v>
      </c>
      <c r="G184" s="25">
        <v>1250784.3561</v>
      </c>
      <c r="H184" s="25"/>
      <c r="I184" s="37">
        <f>F185-G184</f>
        <v>122.15419999998994</v>
      </c>
      <c r="J184" s="26">
        <v>0</v>
      </c>
      <c r="K184" s="25">
        <f t="shared" si="27"/>
        <v>34.876200000056997</v>
      </c>
      <c r="L184" s="26">
        <v>0</v>
      </c>
      <c r="M184" s="25">
        <v>7</v>
      </c>
      <c r="N184" s="28">
        <f t="shared" si="28"/>
        <v>7</v>
      </c>
      <c r="O184" s="28">
        <f t="shared" si="29"/>
        <v>28.571428571428573</v>
      </c>
      <c r="P184" s="26">
        <v>30</v>
      </c>
      <c r="Q184" s="24" t="s">
        <v>5</v>
      </c>
      <c r="R184" s="24"/>
    </row>
    <row r="185" spans="1:18" x14ac:dyDescent="0.25">
      <c r="A185" s="24">
        <v>183</v>
      </c>
      <c r="B185" s="25" t="s">
        <v>1</v>
      </c>
      <c r="C185" s="26">
        <v>1750</v>
      </c>
      <c r="D185" s="27">
        <v>1</v>
      </c>
      <c r="E185" s="25"/>
      <c r="F185" s="25">
        <v>1250906.5103</v>
      </c>
      <c r="G185" s="25">
        <v>1250937.7186999999</v>
      </c>
      <c r="H185" s="25"/>
      <c r="I185" s="37">
        <f>F186-G185</f>
        <v>27.494400000199676</v>
      </c>
      <c r="J185" s="26">
        <v>0</v>
      </c>
      <c r="K185" s="25">
        <f t="shared" si="27"/>
        <v>31.208399999886751</v>
      </c>
      <c r="L185" s="26">
        <v>0</v>
      </c>
      <c r="M185" s="25">
        <v>7</v>
      </c>
      <c r="N185" s="28">
        <f t="shared" si="28"/>
        <v>7</v>
      </c>
      <c r="O185" s="28">
        <f t="shared" si="29"/>
        <v>28.571428571428573</v>
      </c>
      <c r="P185" s="26">
        <v>30</v>
      </c>
      <c r="Q185" s="24" t="s">
        <v>5</v>
      </c>
      <c r="R185" s="24"/>
    </row>
    <row r="186" spans="1:18" x14ac:dyDescent="0.25">
      <c r="A186" s="29"/>
      <c r="B186" s="30"/>
      <c r="C186" s="31"/>
      <c r="D186" s="29"/>
      <c r="E186" s="30"/>
      <c r="F186" s="30">
        <v>1250965.2131000001</v>
      </c>
      <c r="G186" s="30"/>
      <c r="H186" s="30"/>
      <c r="I186" s="37"/>
      <c r="J186" s="31"/>
      <c r="K186" s="30"/>
      <c r="L186" s="30"/>
      <c r="M186" s="30"/>
      <c r="N186" s="32"/>
      <c r="O186" s="30"/>
      <c r="P186" s="30"/>
      <c r="Q186" s="30"/>
      <c r="R186" s="33"/>
    </row>
    <row r="187" spans="1:18" ht="27" x14ac:dyDescent="0.25">
      <c r="B187" s="17"/>
      <c r="E187" s="17"/>
      <c r="F187" s="17"/>
      <c r="G187" s="17"/>
      <c r="H187" s="16" t="s">
        <v>297</v>
      </c>
      <c r="L187" s="17"/>
      <c r="O187" s="17"/>
      <c r="P187" s="17"/>
      <c r="Q187" s="17"/>
      <c r="R187" s="34"/>
    </row>
    <row r="188" spans="1:18" ht="67.5" x14ac:dyDescent="0.25">
      <c r="A188" s="19" t="s">
        <v>290</v>
      </c>
      <c r="B188" s="19" t="s">
        <v>69</v>
      </c>
      <c r="C188" s="20" t="s">
        <v>68</v>
      </c>
      <c r="D188" s="19" t="s">
        <v>70</v>
      </c>
      <c r="E188" s="19" t="s">
        <v>62</v>
      </c>
      <c r="F188" s="19" t="s">
        <v>79</v>
      </c>
      <c r="G188" s="19" t="s">
        <v>80</v>
      </c>
      <c r="H188" s="19" t="s">
        <v>63</v>
      </c>
      <c r="I188" s="36" t="s">
        <v>71</v>
      </c>
      <c r="J188" s="20" t="s">
        <v>72</v>
      </c>
      <c r="K188" s="21" t="s">
        <v>73</v>
      </c>
      <c r="L188" s="19" t="s">
        <v>65</v>
      </c>
      <c r="M188" s="21" t="s">
        <v>66</v>
      </c>
      <c r="N188" s="22" t="s">
        <v>67</v>
      </c>
      <c r="O188" s="19" t="s">
        <v>74</v>
      </c>
      <c r="P188" s="19" t="s">
        <v>2</v>
      </c>
      <c r="Q188" s="19" t="s">
        <v>3</v>
      </c>
      <c r="R188" s="19" t="s">
        <v>64</v>
      </c>
    </row>
    <row r="189" spans="1:18" x14ac:dyDescent="0.25">
      <c r="A189" s="24" t="s">
        <v>284</v>
      </c>
      <c r="B189" s="25" t="s">
        <v>261</v>
      </c>
      <c r="C189" s="26">
        <v>4999.9998999999998</v>
      </c>
      <c r="D189" s="27">
        <v>0.35000000700000017</v>
      </c>
      <c r="E189" s="25">
        <v>1172295.2350000001</v>
      </c>
      <c r="F189" s="25">
        <v>1172335.2350000001</v>
      </c>
      <c r="G189" s="25">
        <v>1172361.064</v>
      </c>
      <c r="H189" s="25">
        <v>1172401.064</v>
      </c>
      <c r="I189" s="37">
        <v>0</v>
      </c>
      <c r="J189" s="26">
        <v>40</v>
      </c>
      <c r="K189" s="25">
        <v>25.828999999910593</v>
      </c>
      <c r="L189" s="24">
        <v>20</v>
      </c>
      <c r="M189" s="25">
        <v>27.52</v>
      </c>
      <c r="N189" s="28">
        <v>7.52</v>
      </c>
      <c r="O189" s="28">
        <f t="shared" ref="O189:O208" si="30">ABS((20^2*125)/C189)</f>
        <v>10.000000200000004</v>
      </c>
      <c r="P189" s="26">
        <v>100</v>
      </c>
      <c r="Q189" s="24" t="s">
        <v>4</v>
      </c>
      <c r="R189" s="24"/>
    </row>
    <row r="190" spans="1:18" x14ac:dyDescent="0.25">
      <c r="A190" s="24" t="s">
        <v>285</v>
      </c>
      <c r="B190" s="25" t="s">
        <v>262</v>
      </c>
      <c r="C190" s="26">
        <v>10000</v>
      </c>
      <c r="D190" s="27">
        <v>0.17499999999999999</v>
      </c>
      <c r="E190" s="25">
        <v>1172544.6950000001</v>
      </c>
      <c r="F190" s="25">
        <v>1172564.6950000001</v>
      </c>
      <c r="G190" s="25">
        <v>1172676.352</v>
      </c>
      <c r="H190" s="25">
        <v>1172696.352</v>
      </c>
      <c r="I190" s="37">
        <f t="shared" ref="I190:I204" si="31">E190-H189</f>
        <v>143.63100000005215</v>
      </c>
      <c r="J190" s="26">
        <v>20</v>
      </c>
      <c r="K190" s="25">
        <v>111.6569999998901</v>
      </c>
      <c r="L190" s="24">
        <v>10</v>
      </c>
      <c r="M190" s="25">
        <v>13.76</v>
      </c>
      <c r="N190" s="28">
        <v>3.76</v>
      </c>
      <c r="O190" s="28">
        <f t="shared" si="30"/>
        <v>5</v>
      </c>
      <c r="P190" s="26">
        <v>100</v>
      </c>
      <c r="Q190" s="24" t="s">
        <v>5</v>
      </c>
      <c r="R190" s="24"/>
    </row>
    <row r="191" spans="1:18" x14ac:dyDescent="0.25">
      <c r="A191" s="24" t="s">
        <v>286</v>
      </c>
      <c r="B191" s="25" t="s">
        <v>263</v>
      </c>
      <c r="C191" s="26">
        <v>5999.9997000000003</v>
      </c>
      <c r="D191" s="27">
        <v>0.29166668125000073</v>
      </c>
      <c r="E191" s="25">
        <v>1172931.0179999999</v>
      </c>
      <c r="F191" s="25">
        <v>1172971.0179999999</v>
      </c>
      <c r="G191" s="25">
        <v>1172991.635</v>
      </c>
      <c r="H191" s="25">
        <v>1173031.635</v>
      </c>
      <c r="I191" s="37">
        <f t="shared" si="31"/>
        <v>234.66599999996834</v>
      </c>
      <c r="J191" s="26">
        <v>40</v>
      </c>
      <c r="K191" s="25">
        <v>20.617000000085682</v>
      </c>
      <c r="L191" s="24">
        <v>20</v>
      </c>
      <c r="M191" s="25">
        <v>22.933</v>
      </c>
      <c r="N191" s="28">
        <v>2.9329999999999998</v>
      </c>
      <c r="O191" s="28">
        <f t="shared" si="30"/>
        <v>8.3333337500000209</v>
      </c>
      <c r="P191" s="26">
        <v>100</v>
      </c>
      <c r="Q191" s="24" t="s">
        <v>5</v>
      </c>
      <c r="R191" s="24"/>
    </row>
    <row r="192" spans="1:18" x14ac:dyDescent="0.25">
      <c r="A192" s="24" t="s">
        <v>287</v>
      </c>
      <c r="B192" s="25" t="s">
        <v>264</v>
      </c>
      <c r="C192" s="26">
        <v>10000</v>
      </c>
      <c r="D192" s="27">
        <v>0.17499999999999999</v>
      </c>
      <c r="E192" s="25">
        <v>1173174.2339999999</v>
      </c>
      <c r="F192" s="25">
        <v>1173194.2339999999</v>
      </c>
      <c r="G192" s="25">
        <v>1173284.942</v>
      </c>
      <c r="H192" s="25">
        <v>1173304.942</v>
      </c>
      <c r="I192" s="37">
        <f t="shared" si="31"/>
        <v>142.59899999992922</v>
      </c>
      <c r="J192" s="26">
        <v>20</v>
      </c>
      <c r="K192" s="25">
        <v>90.708000000100583</v>
      </c>
      <c r="L192" s="24">
        <v>10</v>
      </c>
      <c r="M192" s="25">
        <v>13.76</v>
      </c>
      <c r="N192" s="28">
        <v>3.76</v>
      </c>
      <c r="O192" s="28">
        <f t="shared" si="30"/>
        <v>5</v>
      </c>
      <c r="P192" s="26">
        <v>100</v>
      </c>
      <c r="Q192" s="24" t="s">
        <v>4</v>
      </c>
      <c r="R192" s="24"/>
    </row>
    <row r="193" spans="1:18" x14ac:dyDescent="0.25">
      <c r="A193" s="24" t="s">
        <v>298</v>
      </c>
      <c r="B193" s="25" t="s">
        <v>265</v>
      </c>
      <c r="C193" s="26">
        <v>6000</v>
      </c>
      <c r="D193" s="27">
        <v>0.29166666666666669</v>
      </c>
      <c r="E193" s="25">
        <v>1174844.9809999999</v>
      </c>
      <c r="F193" s="25">
        <v>1174864.9809999999</v>
      </c>
      <c r="G193" s="25">
        <v>1174964.3500000001</v>
      </c>
      <c r="H193" s="25">
        <v>1174984.3500000001</v>
      </c>
      <c r="I193" s="37">
        <f t="shared" si="31"/>
        <v>1540.0389999998733</v>
      </c>
      <c r="J193" s="26">
        <v>20</v>
      </c>
      <c r="K193" s="25">
        <v>99.369000000180677</v>
      </c>
      <c r="L193" s="24">
        <v>20</v>
      </c>
      <c r="M193" s="25">
        <v>22.933</v>
      </c>
      <c r="N193" s="28">
        <v>2.9329999999999998</v>
      </c>
      <c r="O193" s="28">
        <f t="shared" si="30"/>
        <v>8.3333333333333339</v>
      </c>
      <c r="P193" s="26">
        <v>100</v>
      </c>
      <c r="Q193" s="24" t="s">
        <v>5</v>
      </c>
      <c r="R193" s="24"/>
    </row>
    <row r="194" spans="1:18" x14ac:dyDescent="0.25">
      <c r="A194" s="24" t="s">
        <v>299</v>
      </c>
      <c r="B194" s="25" t="s">
        <v>266</v>
      </c>
      <c r="C194" s="26">
        <v>2000</v>
      </c>
      <c r="D194" s="27">
        <v>0.875</v>
      </c>
      <c r="E194" s="25">
        <v>1175704.017</v>
      </c>
      <c r="F194" s="25">
        <v>1175764.017</v>
      </c>
      <c r="G194" s="25">
        <v>1175829.433</v>
      </c>
      <c r="H194" s="25">
        <v>1175889.433</v>
      </c>
      <c r="I194" s="37">
        <f t="shared" si="31"/>
        <v>719.66699999989942</v>
      </c>
      <c r="J194" s="26">
        <v>60</v>
      </c>
      <c r="K194" s="25">
        <v>65.415999999968335</v>
      </c>
      <c r="L194" s="24">
        <v>60</v>
      </c>
      <c r="M194" s="25">
        <v>68.8</v>
      </c>
      <c r="N194" s="28">
        <v>8.8000000000000007</v>
      </c>
      <c r="O194" s="28">
        <f t="shared" si="30"/>
        <v>25</v>
      </c>
      <c r="P194" s="26">
        <v>100</v>
      </c>
      <c r="Q194" s="24" t="s">
        <v>4</v>
      </c>
      <c r="R194" s="24"/>
    </row>
    <row r="195" spans="1:18" x14ac:dyDescent="0.25">
      <c r="A195" s="24" t="s">
        <v>300</v>
      </c>
      <c r="B195" s="25" t="s">
        <v>267</v>
      </c>
      <c r="C195" s="26">
        <v>3000</v>
      </c>
      <c r="D195" s="27">
        <v>0.58333333333333337</v>
      </c>
      <c r="E195" s="25">
        <v>1176045.9750000001</v>
      </c>
      <c r="F195" s="25">
        <v>1176085.9750000001</v>
      </c>
      <c r="G195" s="25">
        <v>1176228.2169999999</v>
      </c>
      <c r="H195" s="25">
        <v>1176268.2169999999</v>
      </c>
      <c r="I195" s="37">
        <f t="shared" si="31"/>
        <v>156.54200000013225</v>
      </c>
      <c r="J195" s="26">
        <v>40</v>
      </c>
      <c r="K195" s="25">
        <v>142.24199999985285</v>
      </c>
      <c r="L195" s="24">
        <v>40</v>
      </c>
      <c r="M195" s="25">
        <v>45.866999999999997</v>
      </c>
      <c r="N195" s="28">
        <v>5.867</v>
      </c>
      <c r="O195" s="28">
        <f t="shared" si="30"/>
        <v>16.666666666666668</v>
      </c>
      <c r="P195" s="26">
        <v>100</v>
      </c>
      <c r="Q195" s="24" t="s">
        <v>5</v>
      </c>
      <c r="R195" s="24"/>
    </row>
    <row r="196" spans="1:18" x14ac:dyDescent="0.25">
      <c r="A196" s="24" t="s">
        <v>301</v>
      </c>
      <c r="B196" s="25" t="s">
        <v>268</v>
      </c>
      <c r="C196" s="26">
        <v>4000</v>
      </c>
      <c r="D196" s="27">
        <v>0.4375</v>
      </c>
      <c r="E196" s="25">
        <v>1176470.0689999999</v>
      </c>
      <c r="F196" s="25">
        <v>1176500.0689999999</v>
      </c>
      <c r="G196" s="25">
        <v>1176554.7760000001</v>
      </c>
      <c r="H196" s="25">
        <v>1176584.7760000001</v>
      </c>
      <c r="I196" s="37">
        <f t="shared" si="31"/>
        <v>201.8519999999553</v>
      </c>
      <c r="J196" s="26">
        <v>30</v>
      </c>
      <c r="K196" s="25">
        <v>54.707000000169501</v>
      </c>
      <c r="L196" s="24">
        <v>30</v>
      </c>
      <c r="M196" s="25">
        <v>34.4</v>
      </c>
      <c r="N196" s="28">
        <v>4.4000000000000004</v>
      </c>
      <c r="O196" s="28">
        <f t="shared" si="30"/>
        <v>12.5</v>
      </c>
      <c r="P196" s="26">
        <v>100</v>
      </c>
      <c r="Q196" s="24" t="s">
        <v>4</v>
      </c>
      <c r="R196" s="24"/>
    </row>
    <row r="197" spans="1:18" x14ac:dyDescent="0.25">
      <c r="A197" s="24" t="s">
        <v>302</v>
      </c>
      <c r="B197" s="25" t="s">
        <v>269</v>
      </c>
      <c r="C197" s="26">
        <v>5250</v>
      </c>
      <c r="D197" s="27">
        <v>0.35</v>
      </c>
      <c r="E197" s="25">
        <v>1176694.32</v>
      </c>
      <c r="F197" s="25">
        <v>1176724.32</v>
      </c>
      <c r="G197" s="25">
        <v>1176823.93</v>
      </c>
      <c r="H197" s="25">
        <v>1176853.93</v>
      </c>
      <c r="I197" s="37">
        <f t="shared" si="31"/>
        <v>109.54399999999441</v>
      </c>
      <c r="J197" s="26">
        <v>30</v>
      </c>
      <c r="K197" s="25">
        <v>99.604900000000001</v>
      </c>
      <c r="L197" s="24">
        <v>20</v>
      </c>
      <c r="M197" s="25">
        <v>0</v>
      </c>
      <c r="N197" s="28">
        <v>7.52</v>
      </c>
      <c r="O197" s="28">
        <f t="shared" si="30"/>
        <v>9.5238095238095237</v>
      </c>
      <c r="P197" s="26">
        <v>100</v>
      </c>
      <c r="Q197" s="24" t="s">
        <v>5</v>
      </c>
      <c r="R197" s="24"/>
    </row>
    <row r="198" spans="1:18" x14ac:dyDescent="0.25">
      <c r="A198" s="24" t="s">
        <v>303</v>
      </c>
      <c r="B198" s="25" t="s">
        <v>291</v>
      </c>
      <c r="C198" s="26">
        <v>2250</v>
      </c>
      <c r="D198" s="27">
        <v>0.77777777777777779</v>
      </c>
      <c r="E198" s="25">
        <v>1177181.51</v>
      </c>
      <c r="F198" s="25">
        <v>1177221.51</v>
      </c>
      <c r="G198" s="25">
        <v>1177243.25</v>
      </c>
      <c r="H198" s="25">
        <v>1177283.25</v>
      </c>
      <c r="I198" s="37">
        <f t="shared" si="31"/>
        <v>327.58000000007451</v>
      </c>
      <c r="J198" s="26">
        <f>F198-E198</f>
        <v>40</v>
      </c>
      <c r="K198" s="25">
        <f>G198-F198</f>
        <v>21.739999999990687</v>
      </c>
      <c r="L198" s="24">
        <v>20</v>
      </c>
      <c r="M198" s="25">
        <v>0</v>
      </c>
      <c r="N198" s="28">
        <v>7.52</v>
      </c>
      <c r="O198" s="28">
        <f t="shared" si="30"/>
        <v>22.222222222222221</v>
      </c>
      <c r="P198" s="26">
        <v>100</v>
      </c>
      <c r="Q198" s="24" t="s">
        <v>5</v>
      </c>
      <c r="R198" s="24"/>
    </row>
    <row r="199" spans="1:18" x14ac:dyDescent="0.25">
      <c r="A199" s="24" t="s">
        <v>304</v>
      </c>
      <c r="B199" s="25" t="s">
        <v>271</v>
      </c>
      <c r="C199" s="26">
        <v>3000</v>
      </c>
      <c r="D199" s="27">
        <v>0.58333333333333337</v>
      </c>
      <c r="E199" s="25">
        <v>1177349.193</v>
      </c>
      <c r="F199" s="25">
        <v>1177399.193</v>
      </c>
      <c r="G199" s="25">
        <v>1177428.2239999999</v>
      </c>
      <c r="H199" s="25">
        <v>1177478.2239999999</v>
      </c>
      <c r="I199" s="37">
        <f t="shared" si="31"/>
        <v>65.942999999970198</v>
      </c>
      <c r="J199" s="26">
        <v>50</v>
      </c>
      <c r="K199" s="25">
        <v>29.030999999959022</v>
      </c>
      <c r="L199" s="24">
        <v>40</v>
      </c>
      <c r="M199" s="25">
        <v>61.155999999999999</v>
      </c>
      <c r="N199" s="28">
        <v>21.155999999999999</v>
      </c>
      <c r="O199" s="28">
        <f t="shared" si="30"/>
        <v>16.666666666666668</v>
      </c>
      <c r="P199" s="26">
        <v>100</v>
      </c>
      <c r="Q199" s="24" t="s">
        <v>4</v>
      </c>
      <c r="R199" s="24"/>
    </row>
    <row r="200" spans="1:18" x14ac:dyDescent="0.25">
      <c r="A200" s="24" t="s">
        <v>305</v>
      </c>
      <c r="B200" s="25" t="s">
        <v>272</v>
      </c>
      <c r="C200" s="26">
        <v>2250</v>
      </c>
      <c r="D200" s="27">
        <v>0.77777777777777779</v>
      </c>
      <c r="E200" s="25">
        <v>1177619.003</v>
      </c>
      <c r="F200" s="25">
        <v>1177679.003</v>
      </c>
      <c r="G200" s="25">
        <v>1177786.331</v>
      </c>
      <c r="H200" s="25">
        <v>1177846.331</v>
      </c>
      <c r="I200" s="37">
        <f t="shared" si="31"/>
        <v>140.77900000009686</v>
      </c>
      <c r="J200" s="26">
        <v>60</v>
      </c>
      <c r="K200" s="25">
        <v>107.32799999997951</v>
      </c>
      <c r="L200" s="24">
        <v>60</v>
      </c>
      <c r="M200" s="25">
        <v>68.8</v>
      </c>
      <c r="N200" s="28">
        <v>8.8000000000000007</v>
      </c>
      <c r="O200" s="28">
        <f t="shared" si="30"/>
        <v>22.222222222222221</v>
      </c>
      <c r="P200" s="26">
        <v>100</v>
      </c>
      <c r="Q200" s="24" t="s">
        <v>5</v>
      </c>
      <c r="R200" s="24"/>
    </row>
    <row r="201" spans="1:18" x14ac:dyDescent="0.25">
      <c r="A201" s="24" t="s">
        <v>306</v>
      </c>
      <c r="B201" s="25" t="s">
        <v>273</v>
      </c>
      <c r="C201" s="26">
        <v>2500</v>
      </c>
      <c r="D201" s="27">
        <v>0.7</v>
      </c>
      <c r="E201" s="25">
        <v>1177895.852</v>
      </c>
      <c r="F201" s="25">
        <v>1177945.852</v>
      </c>
      <c r="G201" s="25">
        <v>1178116.1629999999</v>
      </c>
      <c r="H201" s="25">
        <v>1178166.1599999999</v>
      </c>
      <c r="I201" s="37">
        <f t="shared" si="31"/>
        <v>49.520999999949709</v>
      </c>
      <c r="J201" s="26">
        <v>49.996999999973923</v>
      </c>
      <c r="K201" s="25">
        <v>170.31099999998696</v>
      </c>
      <c r="L201" s="24">
        <v>50</v>
      </c>
      <c r="M201" s="25">
        <v>55.04</v>
      </c>
      <c r="N201" s="28">
        <v>5.04</v>
      </c>
      <c r="O201" s="28">
        <f t="shared" si="30"/>
        <v>20</v>
      </c>
      <c r="P201" s="26">
        <v>100</v>
      </c>
      <c r="Q201" s="24" t="s">
        <v>4</v>
      </c>
      <c r="R201" s="24"/>
    </row>
    <row r="202" spans="1:18" x14ac:dyDescent="0.25">
      <c r="A202" s="24" t="s">
        <v>307</v>
      </c>
      <c r="B202" s="25" t="s">
        <v>274</v>
      </c>
      <c r="C202" s="26">
        <v>3000</v>
      </c>
      <c r="D202" s="27">
        <v>0.58333333333333337</v>
      </c>
      <c r="E202" s="25">
        <v>1178288.997</v>
      </c>
      <c r="F202" s="25">
        <v>1178328.997</v>
      </c>
      <c r="G202" s="25">
        <v>1178395.6610000001</v>
      </c>
      <c r="H202" s="25">
        <v>1178435.6610000001</v>
      </c>
      <c r="I202" s="37">
        <f t="shared" si="31"/>
        <v>122.83700000005774</v>
      </c>
      <c r="J202" s="26">
        <v>40</v>
      </c>
      <c r="K202" s="25">
        <v>66.664000000106171</v>
      </c>
      <c r="L202" s="24">
        <v>40</v>
      </c>
      <c r="M202" s="25">
        <v>45.866999999999997</v>
      </c>
      <c r="N202" s="28">
        <f>M202-L202</f>
        <v>5.8669999999999973</v>
      </c>
      <c r="O202" s="28">
        <f t="shared" si="30"/>
        <v>16.666666666666668</v>
      </c>
      <c r="P202" s="26">
        <v>100</v>
      </c>
      <c r="Q202" s="24" t="s">
        <v>5</v>
      </c>
      <c r="R202" s="24"/>
    </row>
    <row r="203" spans="1:18" s="51" customFormat="1" x14ac:dyDescent="0.25">
      <c r="A203" s="43" t="s">
        <v>299</v>
      </c>
      <c r="B203" s="44" t="s">
        <v>275</v>
      </c>
      <c r="C203" s="45">
        <v>2000</v>
      </c>
      <c r="D203" s="46">
        <v>0.875</v>
      </c>
      <c r="E203" s="44">
        <v>1178621.76</v>
      </c>
      <c r="F203" s="44">
        <v>1178661.76</v>
      </c>
      <c r="G203" s="44">
        <v>1178725.808</v>
      </c>
      <c r="H203" s="44">
        <v>1178765.808</v>
      </c>
      <c r="I203" s="47">
        <f t="shared" si="31"/>
        <v>186.09899999992922</v>
      </c>
      <c r="J203" s="45">
        <v>40</v>
      </c>
      <c r="K203" s="48">
        <v>64</v>
      </c>
      <c r="L203" s="49">
        <v>0</v>
      </c>
      <c r="M203" s="44">
        <v>6</v>
      </c>
      <c r="N203" s="50">
        <v>6</v>
      </c>
      <c r="O203" s="50">
        <f t="shared" si="30"/>
        <v>25</v>
      </c>
      <c r="P203" s="52">
        <v>30</v>
      </c>
      <c r="Q203" s="43" t="s">
        <v>4</v>
      </c>
      <c r="R203" s="43"/>
    </row>
    <row r="204" spans="1:18" s="51" customFormat="1" x14ac:dyDescent="0.25">
      <c r="A204" s="43" t="s">
        <v>309</v>
      </c>
      <c r="B204" s="44" t="s">
        <v>276</v>
      </c>
      <c r="C204" s="45">
        <v>19999.999800000001</v>
      </c>
      <c r="D204" s="46">
        <v>8.7500000874999997E-2</v>
      </c>
      <c r="E204" s="44">
        <v>1178888.5109999999</v>
      </c>
      <c r="F204" s="44">
        <v>1178918.5109999999</v>
      </c>
      <c r="G204" s="44">
        <v>1178961.013</v>
      </c>
      <c r="H204" s="44">
        <v>1178991.013</v>
      </c>
      <c r="I204" s="47">
        <f t="shared" si="31"/>
        <v>122.70299999997951</v>
      </c>
      <c r="J204" s="45">
        <v>30</v>
      </c>
      <c r="K204" s="48">
        <v>45.459000000000003</v>
      </c>
      <c r="L204" s="49">
        <v>0</v>
      </c>
      <c r="M204" s="44">
        <v>1</v>
      </c>
      <c r="N204" s="50">
        <v>1</v>
      </c>
      <c r="O204" s="50">
        <f t="shared" si="30"/>
        <v>2.5000000250000003</v>
      </c>
      <c r="P204" s="45">
        <v>30</v>
      </c>
      <c r="Q204" s="43" t="s">
        <v>5</v>
      </c>
      <c r="R204" s="43"/>
    </row>
    <row r="205" spans="1:18" s="51" customFormat="1" x14ac:dyDescent="0.25">
      <c r="A205" s="43" t="s">
        <v>308</v>
      </c>
      <c r="B205" s="44" t="s">
        <v>292</v>
      </c>
      <c r="C205" s="45">
        <v>5000</v>
      </c>
      <c r="D205" s="46">
        <v>0.35</v>
      </c>
      <c r="E205" s="44"/>
      <c r="F205" s="44">
        <v>1179050.3700000001</v>
      </c>
      <c r="G205" s="44">
        <f>F205+K205</f>
        <v>1179080.9740000002</v>
      </c>
      <c r="H205" s="44"/>
      <c r="I205" s="47">
        <f>F205-H204</f>
        <v>59.357000000076368</v>
      </c>
      <c r="J205" s="45">
        <v>0</v>
      </c>
      <c r="K205" s="48">
        <v>30.603999999999999</v>
      </c>
      <c r="L205" s="43">
        <v>0</v>
      </c>
      <c r="M205" s="44">
        <v>2</v>
      </c>
      <c r="N205" s="50">
        <v>2</v>
      </c>
      <c r="O205" s="50">
        <f t="shared" si="30"/>
        <v>10</v>
      </c>
      <c r="P205" s="45">
        <v>30</v>
      </c>
      <c r="Q205" s="43" t="s">
        <v>4</v>
      </c>
      <c r="R205" s="43"/>
    </row>
    <row r="206" spans="1:18" s="51" customFormat="1" x14ac:dyDescent="0.25">
      <c r="A206" s="43" t="s">
        <v>310</v>
      </c>
      <c r="B206" s="44" t="s">
        <v>293</v>
      </c>
      <c r="C206" s="45">
        <v>1750</v>
      </c>
      <c r="D206" s="46">
        <v>1</v>
      </c>
      <c r="E206" s="44"/>
      <c r="F206" s="44">
        <v>1179190.1499999999</v>
      </c>
      <c r="G206" s="44">
        <f>F206+K206</f>
        <v>1179240.9539999999</v>
      </c>
      <c r="H206" s="44"/>
      <c r="I206" s="47">
        <f>F206-G205</f>
        <v>109.17599999974482</v>
      </c>
      <c r="J206" s="45">
        <v>0</v>
      </c>
      <c r="K206" s="48">
        <v>50.804000000000002</v>
      </c>
      <c r="L206" s="43">
        <v>0</v>
      </c>
      <c r="M206" s="44">
        <v>7.1</v>
      </c>
      <c r="N206" s="50">
        <v>7.1</v>
      </c>
      <c r="O206" s="50">
        <f t="shared" si="30"/>
        <v>28.571428571428573</v>
      </c>
      <c r="P206" s="45">
        <v>30</v>
      </c>
      <c r="Q206" s="43" t="s">
        <v>5</v>
      </c>
      <c r="R206" s="43"/>
    </row>
    <row r="207" spans="1:18" s="51" customFormat="1" x14ac:dyDescent="0.25">
      <c r="A207" s="43" t="s">
        <v>300</v>
      </c>
      <c r="B207" s="44" t="s">
        <v>294</v>
      </c>
      <c r="C207" s="45">
        <v>760</v>
      </c>
      <c r="D207" s="46">
        <v>2.3026315789473686</v>
      </c>
      <c r="E207" s="44"/>
      <c r="F207" s="44">
        <v>1179267.02</v>
      </c>
      <c r="G207" s="44">
        <f>F207+K207</f>
        <v>1179350.895</v>
      </c>
      <c r="H207" s="44"/>
      <c r="I207" s="47">
        <f>F207-G206</f>
        <v>26.066000000108033</v>
      </c>
      <c r="J207" s="45">
        <v>0</v>
      </c>
      <c r="K207" s="48">
        <v>83.875</v>
      </c>
      <c r="L207" s="43">
        <v>0</v>
      </c>
      <c r="M207" s="44">
        <v>16.3</v>
      </c>
      <c r="N207" s="50">
        <f t="shared" ref="N207:N208" si="32">M207-L207</f>
        <v>16.3</v>
      </c>
      <c r="O207" s="50">
        <f t="shared" si="30"/>
        <v>65.78947368421052</v>
      </c>
      <c r="P207" s="45">
        <v>30</v>
      </c>
      <c r="Q207" s="43" t="s">
        <v>5</v>
      </c>
      <c r="R207" s="43"/>
    </row>
    <row r="208" spans="1:18" s="51" customFormat="1" x14ac:dyDescent="0.25">
      <c r="A208" s="43" t="s">
        <v>301</v>
      </c>
      <c r="B208" s="44" t="s">
        <v>295</v>
      </c>
      <c r="C208" s="45">
        <v>555</v>
      </c>
      <c r="D208" s="46">
        <v>3.1531531531531534</v>
      </c>
      <c r="E208" s="44"/>
      <c r="F208" s="44">
        <v>1179351.24</v>
      </c>
      <c r="G208" s="44">
        <f>F208+K208</f>
        <v>1179411.1569999999</v>
      </c>
      <c r="H208" s="44"/>
      <c r="I208" s="47">
        <f>F208-G207</f>
        <v>0.34499999997206032</v>
      </c>
      <c r="J208" s="45">
        <v>0</v>
      </c>
      <c r="K208" s="48">
        <v>59.917000000000002</v>
      </c>
      <c r="L208" s="43">
        <v>0</v>
      </c>
      <c r="M208" s="44">
        <v>22.3</v>
      </c>
      <c r="N208" s="50">
        <f t="shared" si="32"/>
        <v>22.3</v>
      </c>
      <c r="O208" s="50">
        <f t="shared" si="30"/>
        <v>90.090090090090087</v>
      </c>
      <c r="P208" s="45">
        <v>30</v>
      </c>
      <c r="Q208" s="43" t="s">
        <v>4</v>
      </c>
      <c r="R208" s="43"/>
    </row>
  </sheetData>
  <autoFilter ref="A2:Q186" xr:uid="{00000000-0009-0000-0000-000001000000}"/>
  <mergeCells count="4">
    <mergeCell ref="R75:R77"/>
    <mergeCell ref="R108:R110"/>
    <mergeCell ref="R144:R147"/>
    <mergeCell ref="R138:R141"/>
  </mergeCells>
  <conditionalFormatting sqref="O3:O187 O189:O208">
    <cfRule type="cellIs" dxfId="4" priority="1" operator="equal">
      <formula>"B"</formula>
    </cfRule>
    <cfRule type="cellIs" dxfId="3" priority="2" operator="equal">
      <formula>"SUB"</formula>
    </cfRule>
    <cfRule type="cellIs" dxfId="2" priority="3" operator="equal">
      <formula>"PMC"</formula>
    </cfRule>
    <cfRule type="cellIs" dxfId="1" priority="4" operator="equal">
      <formula>"RV"</formula>
    </cfRule>
    <cfRule type="cellIs" dxfId="0" priority="5" operator="equal">
      <formula>"A"</formula>
    </cfRule>
  </conditionalFormatting>
  <printOptions horizontalCentered="1"/>
  <pageMargins left="0.69499999999999995" right="0.1" top="0.3" bottom="0.6" header="0.3" footer="0.5"/>
  <pageSetup paperSize="9" scale="11" orientation="landscape" r:id="rId1"/>
  <headerFooter>
    <oddFooter>Page &amp;P of &amp;N</oddFooter>
  </headerFooter>
  <rowBreaks count="1" manualBreakCount="1">
    <brk id="186" max="17" man="1"/>
  </rowBreaks>
  <ignoredErrors>
    <ignoredError sqref="J3 J4:J183 J18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3E2B-DF97-4E6A-9CBF-EEFD7EE05C7C}">
  <dimension ref="A1:M205"/>
  <sheetViews>
    <sheetView view="pageBreakPreview" topLeftCell="A144" zoomScaleNormal="85" zoomScaleSheetLayoutView="100" workbookViewId="0">
      <selection activeCell="G137" sqref="G137"/>
    </sheetView>
  </sheetViews>
  <sheetFormatPr defaultColWidth="15.5703125" defaultRowHeight="15" x14ac:dyDescent="0.25"/>
  <cols>
    <col min="1" max="1" width="15.5703125" style="13" bestFit="1" customWidth="1"/>
    <col min="2" max="2" width="15.7109375" style="3" bestFit="1" customWidth="1"/>
    <col min="3" max="3" width="12.85546875" style="2" bestFit="1" customWidth="1"/>
    <col min="4" max="4" width="15.5703125" style="3" bestFit="1" customWidth="1"/>
    <col min="5" max="5" width="12.42578125" style="3" bestFit="1" customWidth="1"/>
    <col min="6" max="6" width="14.7109375" style="3" bestFit="1" customWidth="1"/>
    <col min="7" max="7" width="11.7109375" style="3" bestFit="1" customWidth="1"/>
    <col min="8" max="8" width="11.85546875" style="3" bestFit="1" customWidth="1"/>
    <col min="9" max="10" width="10.42578125" style="3" bestFit="1" customWidth="1"/>
    <col min="11" max="11" width="14.42578125" style="3" customWidth="1"/>
    <col min="12" max="12" width="15.5703125" style="2"/>
    <col min="13" max="16384" width="15.5703125" style="3"/>
  </cols>
  <sheetData>
    <row r="1" spans="1:12" x14ac:dyDescent="0.25">
      <c r="A1" s="39" t="s">
        <v>81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s="8" customFormat="1" ht="30" x14ac:dyDescent="0.25">
      <c r="A2" s="4" t="s">
        <v>82</v>
      </c>
      <c r="B2" s="5" t="s">
        <v>83</v>
      </c>
      <c r="C2" s="6" t="s">
        <v>84</v>
      </c>
      <c r="D2" s="5" t="s">
        <v>85</v>
      </c>
      <c r="E2" s="5" t="s">
        <v>86</v>
      </c>
      <c r="F2" s="5" t="s">
        <v>88</v>
      </c>
      <c r="G2" s="5" t="s">
        <v>87</v>
      </c>
      <c r="H2" s="5" t="s">
        <v>89</v>
      </c>
      <c r="I2" s="5" t="s">
        <v>91</v>
      </c>
      <c r="J2" s="5" t="s">
        <v>90</v>
      </c>
      <c r="K2" s="5" t="s">
        <v>3</v>
      </c>
      <c r="L2" s="7"/>
    </row>
    <row r="3" spans="1:12" x14ac:dyDescent="0.25">
      <c r="A3" s="9">
        <v>1</v>
      </c>
      <c r="B3" s="1" t="str">
        <f>'Horizontal Curve List (ML)'!B3</f>
        <v>02°18'00"</v>
      </c>
      <c r="C3" s="10" t="s">
        <v>210</v>
      </c>
      <c r="D3" s="1">
        <v>2000</v>
      </c>
      <c r="E3" s="1">
        <v>20.282799999928102</v>
      </c>
      <c r="F3" s="1"/>
      <c r="G3" s="1">
        <v>60</v>
      </c>
      <c r="H3" s="1">
        <v>100</v>
      </c>
      <c r="I3" s="1">
        <v>60</v>
      </c>
      <c r="J3" s="1">
        <v>1</v>
      </c>
      <c r="K3" s="1" t="s">
        <v>92</v>
      </c>
      <c r="L3" s="11"/>
    </row>
    <row r="4" spans="1:12" x14ac:dyDescent="0.25">
      <c r="A4" s="9">
        <v>2</v>
      </c>
      <c r="B4" s="1" t="str">
        <f>'Horizontal Curve List (ML)'!B4</f>
        <v>02°28'07"</v>
      </c>
      <c r="C4" s="10" t="s">
        <v>210</v>
      </c>
      <c r="D4" s="1">
        <v>2000</v>
      </c>
      <c r="E4" s="1">
        <v>26.174399999901652</v>
      </c>
      <c r="F4" s="1"/>
      <c r="G4" s="1">
        <v>60</v>
      </c>
      <c r="H4" s="1">
        <v>100</v>
      </c>
      <c r="I4" s="1">
        <v>60</v>
      </c>
      <c r="J4" s="1">
        <v>1</v>
      </c>
      <c r="K4" s="1" t="s">
        <v>93</v>
      </c>
      <c r="L4" s="11"/>
    </row>
    <row r="5" spans="1:12" x14ac:dyDescent="0.25">
      <c r="A5" s="9">
        <v>3</v>
      </c>
      <c r="B5" s="1" t="str">
        <f>'Horizontal Curve List (ML)'!B5</f>
        <v>01°05'49"</v>
      </c>
      <c r="C5" s="10" t="s">
        <v>211</v>
      </c>
      <c r="D5" s="1">
        <v>3500</v>
      </c>
      <c r="E5" s="1">
        <v>27.016300000017509</v>
      </c>
      <c r="F5" s="1"/>
      <c r="G5" s="1">
        <v>40</v>
      </c>
      <c r="H5" s="1">
        <v>100</v>
      </c>
      <c r="I5" s="1">
        <v>30</v>
      </c>
      <c r="J5" s="1">
        <v>3.713000000000001</v>
      </c>
      <c r="K5" s="1" t="s">
        <v>93</v>
      </c>
      <c r="L5" s="11"/>
    </row>
    <row r="6" spans="1:12" x14ac:dyDescent="0.25">
      <c r="A6" s="9">
        <v>4</v>
      </c>
      <c r="B6" s="1" t="str">
        <f>'Horizontal Curve List (ML)'!B6</f>
        <v>01°05'05"</v>
      </c>
      <c r="C6" s="10" t="s">
        <v>212</v>
      </c>
      <c r="D6" s="1">
        <v>7000</v>
      </c>
      <c r="E6" s="1">
        <v>112.51670000003651</v>
      </c>
      <c r="F6" s="1"/>
      <c r="G6" s="1">
        <v>20</v>
      </c>
      <c r="H6" s="1">
        <v>100</v>
      </c>
      <c r="I6" s="1">
        <v>10</v>
      </c>
      <c r="J6" s="12">
        <v>6.8569999999999993</v>
      </c>
      <c r="K6" s="1" t="s">
        <v>92</v>
      </c>
      <c r="L6" s="11"/>
    </row>
    <row r="7" spans="1:12" x14ac:dyDescent="0.25">
      <c r="A7" s="9">
        <v>5</v>
      </c>
      <c r="B7" s="1" t="str">
        <f>'Horizontal Curve List (ML)'!B7</f>
        <v>01°18'49"</v>
      </c>
      <c r="C7" s="10" t="s">
        <v>213</v>
      </c>
      <c r="D7" s="1">
        <v>3000</v>
      </c>
      <c r="E7" s="1">
        <v>28.773700000019744</v>
      </c>
      <c r="F7" s="1"/>
      <c r="G7" s="1">
        <v>40</v>
      </c>
      <c r="H7" s="1">
        <v>100</v>
      </c>
      <c r="I7" s="1">
        <v>40</v>
      </c>
      <c r="J7" s="1">
        <v>5.9320000000000022</v>
      </c>
      <c r="K7" s="1" t="s">
        <v>93</v>
      </c>
      <c r="L7" s="11"/>
    </row>
    <row r="8" spans="1:12" x14ac:dyDescent="0.25">
      <c r="A8" s="9">
        <v>6</v>
      </c>
      <c r="B8" s="1" t="str">
        <f>'Horizontal Curve List (ML)'!B8</f>
        <v>03°18'05"</v>
      </c>
      <c r="C8" s="10" t="s">
        <v>214</v>
      </c>
      <c r="D8" s="1">
        <v>1750.0002999999999</v>
      </c>
      <c r="E8" s="1">
        <v>30.831400000024587</v>
      </c>
      <c r="F8" s="1"/>
      <c r="G8" s="1">
        <v>70</v>
      </c>
      <c r="H8" s="1">
        <v>100</v>
      </c>
      <c r="I8" s="1">
        <v>70</v>
      </c>
      <c r="J8" s="1">
        <v>8.7399999999999949</v>
      </c>
      <c r="K8" s="1" t="s">
        <v>92</v>
      </c>
      <c r="L8" s="11"/>
    </row>
    <row r="9" spans="1:12" x14ac:dyDescent="0.25">
      <c r="A9" s="9">
        <v>7</v>
      </c>
      <c r="B9" s="1" t="str">
        <f>'Horizontal Curve List (ML)'!B9</f>
        <v>01°55'35"</v>
      </c>
      <c r="C9" s="10" t="s">
        <v>215</v>
      </c>
      <c r="D9" s="1">
        <v>2500</v>
      </c>
      <c r="E9" s="1">
        <v>34.055600000079721</v>
      </c>
      <c r="F9" s="1"/>
      <c r="G9" s="1">
        <v>50</v>
      </c>
      <c r="H9" s="1">
        <v>100</v>
      </c>
      <c r="I9" s="1">
        <v>60</v>
      </c>
      <c r="J9" s="1">
        <v>4.8819999999999997</v>
      </c>
      <c r="K9" s="1" t="s">
        <v>93</v>
      </c>
      <c r="L9" s="11"/>
    </row>
    <row r="10" spans="1:12" x14ac:dyDescent="0.25">
      <c r="A10" s="9">
        <v>8</v>
      </c>
      <c r="B10" s="1" t="str">
        <f>'Horizontal Curve List (ML)'!B10</f>
        <v>01°47'58"</v>
      </c>
      <c r="C10" s="10" t="s">
        <v>215</v>
      </c>
      <c r="D10" s="1">
        <v>2500</v>
      </c>
      <c r="E10" s="1">
        <v>28.511399999959394</v>
      </c>
      <c r="F10" s="1"/>
      <c r="G10" s="1">
        <v>50</v>
      </c>
      <c r="H10" s="1">
        <v>100</v>
      </c>
      <c r="I10" s="1">
        <v>50</v>
      </c>
      <c r="J10" s="1">
        <v>5.1180000000000021</v>
      </c>
      <c r="K10" s="1" t="s">
        <v>93</v>
      </c>
      <c r="L10" s="11"/>
    </row>
    <row r="11" spans="1:12" x14ac:dyDescent="0.25">
      <c r="A11" s="9">
        <v>9</v>
      </c>
      <c r="B11" s="1" t="str">
        <f>'Horizontal Curve List (ML)'!B11</f>
        <v>01°45'12"</v>
      </c>
      <c r="C11" s="10" t="s">
        <v>215</v>
      </c>
      <c r="D11" s="1">
        <v>2500</v>
      </c>
      <c r="E11" s="1">
        <v>26.499400000087917</v>
      </c>
      <c r="F11" s="1"/>
      <c r="G11" s="1">
        <v>50</v>
      </c>
      <c r="H11" s="1">
        <v>100</v>
      </c>
      <c r="I11" s="1">
        <v>50</v>
      </c>
      <c r="J11" s="1">
        <v>5.1180000000000021</v>
      </c>
      <c r="K11" s="1" t="s">
        <v>92</v>
      </c>
      <c r="L11" s="11"/>
    </row>
    <row r="12" spans="1:12" x14ac:dyDescent="0.25">
      <c r="A12" s="9">
        <v>10</v>
      </c>
      <c r="B12" s="1" t="str">
        <f>'Horizontal Curve List (ML)'!B12</f>
        <v>00°51'41"</v>
      </c>
      <c r="C12" s="10" t="s">
        <v>216</v>
      </c>
      <c r="D12" s="1">
        <v>5000</v>
      </c>
      <c r="E12" s="1">
        <v>35.173500000033528</v>
      </c>
      <c r="F12" s="1"/>
      <c r="G12" s="1">
        <v>40</v>
      </c>
      <c r="H12" s="1">
        <v>100</v>
      </c>
      <c r="I12" s="1">
        <v>20</v>
      </c>
      <c r="J12" s="1">
        <v>7.5590000000000011</v>
      </c>
      <c r="K12" s="1" t="s">
        <v>92</v>
      </c>
      <c r="L12" s="11"/>
    </row>
    <row r="13" spans="1:12" x14ac:dyDescent="0.25">
      <c r="A13" s="9">
        <v>11</v>
      </c>
      <c r="B13" s="1" t="str">
        <f>'Horizontal Curve List (ML)'!B13</f>
        <v>00°51'37"</v>
      </c>
      <c r="C13" s="10" t="s">
        <v>216</v>
      </c>
      <c r="D13" s="1">
        <v>5000</v>
      </c>
      <c r="E13" s="1">
        <v>35.084599999943748</v>
      </c>
      <c r="F13" s="1"/>
      <c r="G13" s="1">
        <v>40</v>
      </c>
      <c r="H13" s="1">
        <v>100</v>
      </c>
      <c r="I13" s="1">
        <v>20</v>
      </c>
      <c r="J13" s="1">
        <v>7.5590000000000011</v>
      </c>
      <c r="K13" s="1" t="s">
        <v>93</v>
      </c>
      <c r="L13" s="11"/>
    </row>
    <row r="14" spans="1:12" x14ac:dyDescent="0.25">
      <c r="A14" s="9">
        <v>12</v>
      </c>
      <c r="B14" s="1" t="str">
        <f>'Horizontal Curve List (ML)'!B14</f>
        <v>01°14'58"</v>
      </c>
      <c r="C14" s="10" t="s">
        <v>213</v>
      </c>
      <c r="D14" s="1">
        <v>3000</v>
      </c>
      <c r="E14" s="1">
        <v>25.419699999969453</v>
      </c>
      <c r="F14" s="1"/>
      <c r="G14" s="1">
        <v>40</v>
      </c>
      <c r="H14" s="1">
        <v>100</v>
      </c>
      <c r="I14" s="1">
        <v>40</v>
      </c>
      <c r="J14" s="1">
        <v>5.9320000000000022</v>
      </c>
      <c r="K14" s="1" t="s">
        <v>93</v>
      </c>
      <c r="L14" s="11"/>
    </row>
    <row r="15" spans="1:12" x14ac:dyDescent="0.25">
      <c r="A15" s="9">
        <v>13</v>
      </c>
      <c r="B15" s="1" t="str">
        <f>'Horizontal Curve List (ML)'!B15</f>
        <v>01°14'54"</v>
      </c>
      <c r="C15" s="10" t="s">
        <v>217</v>
      </c>
      <c r="D15" s="1">
        <v>2800</v>
      </c>
      <c r="E15" s="1">
        <v>21.008600000059232</v>
      </c>
      <c r="F15" s="1"/>
      <c r="G15" s="1">
        <v>40</v>
      </c>
      <c r="H15" s="1">
        <v>100</v>
      </c>
      <c r="I15" s="1">
        <v>40</v>
      </c>
      <c r="J15" s="1">
        <v>9.213000000000001</v>
      </c>
      <c r="K15" s="1" t="s">
        <v>92</v>
      </c>
      <c r="L15" s="11"/>
    </row>
    <row r="16" spans="1:12" x14ac:dyDescent="0.25">
      <c r="A16" s="9">
        <v>14</v>
      </c>
      <c r="B16" s="1" t="str">
        <f>'Horizontal Curve List (ML)'!B16</f>
        <v>00°52'51"</v>
      </c>
      <c r="C16" s="10" t="s">
        <v>216</v>
      </c>
      <c r="D16" s="1">
        <v>5000</v>
      </c>
      <c r="E16" s="1">
        <v>36.872999999905005</v>
      </c>
      <c r="F16" s="1"/>
      <c r="G16" s="1">
        <v>40</v>
      </c>
      <c r="H16" s="1">
        <v>100</v>
      </c>
      <c r="I16" s="1">
        <v>20</v>
      </c>
      <c r="J16" s="1">
        <v>7.5590000000000011</v>
      </c>
      <c r="K16" s="1" t="s">
        <v>92</v>
      </c>
      <c r="L16" s="11"/>
    </row>
    <row r="17" spans="1:12" x14ac:dyDescent="0.25">
      <c r="A17" s="9">
        <v>15</v>
      </c>
      <c r="B17" s="1" t="str">
        <f>'Horizontal Curve List (ML)'!B17</f>
        <v>00°52'51"</v>
      </c>
      <c r="C17" s="10" t="s">
        <v>216</v>
      </c>
      <c r="D17" s="1">
        <v>5000</v>
      </c>
      <c r="E17" s="1">
        <v>36.872999999905005</v>
      </c>
      <c r="F17" s="1"/>
      <c r="G17" s="1">
        <v>40</v>
      </c>
      <c r="H17" s="1">
        <v>100</v>
      </c>
      <c r="I17" s="1">
        <v>20</v>
      </c>
      <c r="J17" s="1">
        <v>7.5590000000000011</v>
      </c>
      <c r="K17" s="1" t="s">
        <v>93</v>
      </c>
      <c r="L17" s="11"/>
    </row>
    <row r="18" spans="1:12" x14ac:dyDescent="0.25">
      <c r="A18" s="9">
        <v>16</v>
      </c>
      <c r="B18" s="1" t="str">
        <f>'Horizontal Curve List (ML)'!B18</f>
        <v>00°44'55"</v>
      </c>
      <c r="C18" s="10" t="s">
        <v>216</v>
      </c>
      <c r="D18" s="1">
        <v>5000.0001000000002</v>
      </c>
      <c r="E18" s="1">
        <v>25.332399999955669</v>
      </c>
      <c r="F18" s="1"/>
      <c r="G18" s="1">
        <v>40</v>
      </c>
      <c r="H18" s="1">
        <v>100</v>
      </c>
      <c r="I18" s="1">
        <v>20</v>
      </c>
      <c r="J18" s="1">
        <v>7.5590000000000011</v>
      </c>
      <c r="K18" s="1" t="s">
        <v>93</v>
      </c>
      <c r="L18" s="11"/>
    </row>
    <row r="19" spans="1:12" x14ac:dyDescent="0.25">
      <c r="A19" s="9">
        <v>17</v>
      </c>
      <c r="B19" s="1" t="str">
        <f>'Horizontal Curve List (ML)'!B19</f>
        <v>00°44'55"</v>
      </c>
      <c r="C19" s="10" t="s">
        <v>216</v>
      </c>
      <c r="D19" s="1">
        <v>5000</v>
      </c>
      <c r="E19" s="1">
        <v>25.332399999955669</v>
      </c>
      <c r="F19" s="1"/>
      <c r="G19" s="1">
        <v>40</v>
      </c>
      <c r="H19" s="1">
        <v>100</v>
      </c>
      <c r="I19" s="1">
        <v>20</v>
      </c>
      <c r="J19" s="1">
        <v>7.5590000000000011</v>
      </c>
      <c r="K19" s="1" t="s">
        <v>92</v>
      </c>
      <c r="L19" s="11"/>
    </row>
    <row r="20" spans="1:12" x14ac:dyDescent="0.25">
      <c r="A20" s="9">
        <v>18</v>
      </c>
      <c r="B20" s="1" t="str">
        <f>'Horizontal Curve List (ML)'!B20</f>
        <v>27°23'35"</v>
      </c>
      <c r="C20" s="10" t="s">
        <v>218</v>
      </c>
      <c r="D20" s="1">
        <v>3100</v>
      </c>
      <c r="E20" s="1">
        <v>1442.1018999998923</v>
      </c>
      <c r="F20" s="1"/>
      <c r="G20" s="1">
        <v>40</v>
      </c>
      <c r="H20" s="1">
        <v>100</v>
      </c>
      <c r="I20" s="1">
        <v>40</v>
      </c>
      <c r="J20" s="1">
        <v>4.4500000000000028</v>
      </c>
      <c r="K20" s="1" t="s">
        <v>93</v>
      </c>
      <c r="L20" s="11"/>
    </row>
    <row r="21" spans="1:12" x14ac:dyDescent="0.25">
      <c r="A21" s="9">
        <v>19</v>
      </c>
      <c r="B21" s="1" t="str">
        <f>'Horizontal Curve List (ML)'!B21</f>
        <v>08°12'22"</v>
      </c>
      <c r="C21" s="10" t="s">
        <v>214</v>
      </c>
      <c r="D21" s="1">
        <v>1750.0002999999999</v>
      </c>
      <c r="E21" s="1">
        <v>180.64320000004955</v>
      </c>
      <c r="F21" s="1"/>
      <c r="G21" s="1">
        <v>70</v>
      </c>
      <c r="H21" s="1">
        <v>100</v>
      </c>
      <c r="I21" s="1">
        <v>70</v>
      </c>
      <c r="J21" s="1">
        <v>8.7399999999999949</v>
      </c>
      <c r="K21" s="1" t="s">
        <v>92</v>
      </c>
      <c r="L21" s="11"/>
    </row>
    <row r="22" spans="1:12" x14ac:dyDescent="0.25">
      <c r="A22" s="9">
        <v>20</v>
      </c>
      <c r="B22" s="1" t="str">
        <f>'Horizontal Curve List (ML)'!B22</f>
        <v>06°17'04"</v>
      </c>
      <c r="C22" s="10" t="s">
        <v>219</v>
      </c>
      <c r="D22" s="1">
        <v>1700.0002999999999</v>
      </c>
      <c r="E22" s="1">
        <v>116.46729999990202</v>
      </c>
      <c r="F22" s="1"/>
      <c r="G22" s="1">
        <v>70</v>
      </c>
      <c r="H22" s="1">
        <v>100</v>
      </c>
      <c r="I22" s="1">
        <v>80</v>
      </c>
      <c r="J22" s="1">
        <v>1.0559999999999974</v>
      </c>
      <c r="K22" s="1" t="s">
        <v>92</v>
      </c>
      <c r="L22" s="11"/>
    </row>
    <row r="23" spans="1:12" x14ac:dyDescent="0.25">
      <c r="A23" s="9">
        <v>21</v>
      </c>
      <c r="B23" s="1" t="str">
        <f>'Horizontal Curve List (ML)'!B23</f>
        <v>06°13'26"</v>
      </c>
      <c r="C23" s="10" t="s">
        <v>214</v>
      </c>
      <c r="D23" s="1">
        <v>1750.0002999999999</v>
      </c>
      <c r="E23" s="1">
        <v>120.10000000009313</v>
      </c>
      <c r="F23" s="1"/>
      <c r="G23" s="1">
        <v>70</v>
      </c>
      <c r="H23" s="1">
        <v>100</v>
      </c>
      <c r="I23" s="1">
        <v>70</v>
      </c>
      <c r="J23" s="1">
        <v>8.7399999999999949</v>
      </c>
      <c r="K23" s="1" t="s">
        <v>93</v>
      </c>
      <c r="L23" s="11"/>
    </row>
    <row r="24" spans="1:12" x14ac:dyDescent="0.25">
      <c r="A24" s="9">
        <v>22</v>
      </c>
      <c r="B24" s="1" t="str">
        <f>'Horizontal Curve List (ML)'!B24</f>
        <v>19°16'18"</v>
      </c>
      <c r="C24" s="10" t="s">
        <v>213</v>
      </c>
      <c r="D24" s="1">
        <v>3000</v>
      </c>
      <c r="E24" s="1">
        <v>969.06009999988601</v>
      </c>
      <c r="F24" s="1"/>
      <c r="G24" s="1">
        <v>40</v>
      </c>
      <c r="H24" s="1">
        <v>100</v>
      </c>
      <c r="I24" s="1">
        <v>40</v>
      </c>
      <c r="J24" s="1">
        <v>5.9320000000000022</v>
      </c>
      <c r="K24" s="1" t="s">
        <v>92</v>
      </c>
      <c r="L24" s="11"/>
    </row>
    <row r="25" spans="1:12" x14ac:dyDescent="0.25">
      <c r="A25" s="9">
        <v>23</v>
      </c>
      <c r="B25" s="1" t="str">
        <f>'Horizontal Curve List (ML)'!B25</f>
        <v>08°14'34"</v>
      </c>
      <c r="C25" s="10" t="s">
        <v>214</v>
      </c>
      <c r="D25" s="1">
        <v>1750.0002999999999</v>
      </c>
      <c r="E25" s="1">
        <v>181.76429999992251</v>
      </c>
      <c r="F25" s="1"/>
      <c r="G25" s="1">
        <v>70</v>
      </c>
      <c r="H25" s="1">
        <v>100</v>
      </c>
      <c r="I25" s="1">
        <v>70</v>
      </c>
      <c r="J25" s="1">
        <v>8.7399999999999949</v>
      </c>
      <c r="K25" s="1" t="s">
        <v>92</v>
      </c>
      <c r="L25" s="11"/>
    </row>
    <row r="26" spans="1:12" x14ac:dyDescent="0.25">
      <c r="A26" s="9">
        <v>24</v>
      </c>
      <c r="B26" s="1" t="str">
        <f>'Horizontal Curve List (ML)'!B26</f>
        <v>08°15'56"</v>
      </c>
      <c r="C26" s="10" t="s">
        <v>214</v>
      </c>
      <c r="D26" s="1">
        <v>1750.0002999999999</v>
      </c>
      <c r="E26" s="1">
        <v>182.4601000000257</v>
      </c>
      <c r="F26" s="1"/>
      <c r="G26" s="1">
        <v>70</v>
      </c>
      <c r="H26" s="1">
        <v>100</v>
      </c>
      <c r="I26" s="1">
        <v>70</v>
      </c>
      <c r="J26" s="1">
        <v>8.7399999999999949</v>
      </c>
      <c r="K26" s="1" t="s">
        <v>93</v>
      </c>
      <c r="L26" s="11"/>
    </row>
    <row r="27" spans="1:12" x14ac:dyDescent="0.25">
      <c r="A27" s="9">
        <v>25</v>
      </c>
      <c r="B27" s="1" t="str">
        <f>'Horizontal Curve List (ML)'!B27</f>
        <v>01°16'27"</v>
      </c>
      <c r="C27" s="10" t="s">
        <v>211</v>
      </c>
      <c r="D27" s="1">
        <v>3500</v>
      </c>
      <c r="E27" s="1">
        <v>37.842799999983981</v>
      </c>
      <c r="F27" s="1"/>
      <c r="G27" s="1">
        <v>40</v>
      </c>
      <c r="H27" s="1">
        <v>100</v>
      </c>
      <c r="I27" s="1">
        <v>30</v>
      </c>
      <c r="J27" s="1">
        <v>9.3699999999999974</v>
      </c>
      <c r="K27" s="1" t="s">
        <v>92</v>
      </c>
      <c r="L27" s="11"/>
    </row>
    <row r="28" spans="1:12" x14ac:dyDescent="0.25">
      <c r="A28" s="9">
        <v>26</v>
      </c>
      <c r="B28" s="1" t="str">
        <f>'Horizontal Curve List (ML)'!B28</f>
        <v>01°18'53"</v>
      </c>
      <c r="C28" s="10" t="s">
        <v>211</v>
      </c>
      <c r="D28" s="1">
        <v>3500</v>
      </c>
      <c r="E28" s="1">
        <v>40.306700000073761</v>
      </c>
      <c r="F28" s="1"/>
      <c r="G28" s="1">
        <v>40</v>
      </c>
      <c r="H28" s="1">
        <v>100</v>
      </c>
      <c r="I28" s="1">
        <v>30</v>
      </c>
      <c r="J28" s="1">
        <v>9.3699999999999974</v>
      </c>
      <c r="K28" s="1" t="s">
        <v>93</v>
      </c>
      <c r="L28" s="11"/>
    </row>
    <row r="29" spans="1:12" x14ac:dyDescent="0.25">
      <c r="A29" s="9">
        <v>27</v>
      </c>
      <c r="B29" s="1" t="str">
        <f>'Horizontal Curve List (ML)'!B29</f>
        <v>10°14'34"</v>
      </c>
      <c r="C29" s="10" t="s">
        <v>220</v>
      </c>
      <c r="D29" s="1">
        <v>920.0154</v>
      </c>
      <c r="E29" s="1">
        <v>44.467200000071898</v>
      </c>
      <c r="F29" s="1"/>
      <c r="G29" s="1">
        <v>120</v>
      </c>
      <c r="H29" s="1">
        <v>100</v>
      </c>
      <c r="I29" s="1">
        <v>110</v>
      </c>
      <c r="J29" s="1">
        <v>39.776999999999987</v>
      </c>
      <c r="K29" s="1" t="s">
        <v>93</v>
      </c>
      <c r="L29" s="11"/>
    </row>
    <row r="30" spans="1:12" x14ac:dyDescent="0.25">
      <c r="A30" s="9">
        <v>28</v>
      </c>
      <c r="B30" s="1" t="str">
        <f>'Horizontal Curve List (ML)'!B30</f>
        <v>18°31'20"</v>
      </c>
      <c r="C30" s="10" t="s">
        <v>221</v>
      </c>
      <c r="D30" s="1">
        <v>1400.0009</v>
      </c>
      <c r="E30" s="1">
        <v>372.58150000008754</v>
      </c>
      <c r="F30" s="1"/>
      <c r="G30" s="1">
        <v>80</v>
      </c>
      <c r="H30" s="1">
        <v>100</v>
      </c>
      <c r="I30" s="1">
        <v>80</v>
      </c>
      <c r="J30" s="1">
        <v>18.421999999999997</v>
      </c>
      <c r="K30" s="1" t="s">
        <v>92</v>
      </c>
      <c r="L30" s="11"/>
    </row>
    <row r="31" spans="1:12" x14ac:dyDescent="0.25">
      <c r="A31" s="9">
        <v>29</v>
      </c>
      <c r="B31" s="1" t="str">
        <f>'Horizontal Curve List (ML)'!B31</f>
        <v>01°10'27"</v>
      </c>
      <c r="C31" s="10" t="s">
        <v>213</v>
      </c>
      <c r="D31" s="1">
        <v>3000</v>
      </c>
      <c r="E31" s="1">
        <v>21.472599999979138</v>
      </c>
      <c r="F31" s="1"/>
      <c r="G31" s="1">
        <v>40</v>
      </c>
      <c r="H31" s="1">
        <v>100</v>
      </c>
      <c r="I31" s="1">
        <v>40</v>
      </c>
      <c r="J31" s="1">
        <v>5.929000000000002</v>
      </c>
      <c r="K31" s="1" t="s">
        <v>93</v>
      </c>
      <c r="L31" s="11"/>
    </row>
    <row r="32" spans="1:12" x14ac:dyDescent="0.25">
      <c r="A32" s="9">
        <v>30</v>
      </c>
      <c r="B32" s="1" t="str">
        <f>'Horizontal Curve List (ML)'!B32</f>
        <v>01°20'59"</v>
      </c>
      <c r="C32" s="10" t="s">
        <v>211</v>
      </c>
      <c r="D32" s="1">
        <v>3500</v>
      </c>
      <c r="E32" s="1">
        <v>42.445300000021234</v>
      </c>
      <c r="F32" s="1"/>
      <c r="G32" s="1">
        <v>40</v>
      </c>
      <c r="H32" s="1">
        <v>100</v>
      </c>
      <c r="I32" s="1">
        <v>30</v>
      </c>
      <c r="J32" s="1">
        <v>9.3689999999999998</v>
      </c>
      <c r="K32" s="1" t="s">
        <v>92</v>
      </c>
      <c r="L32" s="11"/>
    </row>
    <row r="33" spans="1:12" x14ac:dyDescent="0.25">
      <c r="A33" s="9">
        <v>31</v>
      </c>
      <c r="B33" s="1" t="str">
        <f>'Horizontal Curve List (ML)'!B33</f>
        <v>00°48'06"</v>
      </c>
      <c r="C33" s="10" t="s">
        <v>216</v>
      </c>
      <c r="D33" s="1">
        <v>5000</v>
      </c>
      <c r="E33" s="1">
        <v>39.951700000092387</v>
      </c>
      <c r="F33" s="1"/>
      <c r="G33" s="1">
        <v>30</v>
      </c>
      <c r="H33" s="1">
        <v>100</v>
      </c>
      <c r="I33" s="1">
        <v>20</v>
      </c>
      <c r="J33" s="1">
        <v>7.5569999999999986</v>
      </c>
      <c r="K33" s="1" t="s">
        <v>93</v>
      </c>
      <c r="L33" s="11"/>
    </row>
    <row r="34" spans="1:12" x14ac:dyDescent="0.25">
      <c r="A34" s="9">
        <v>32</v>
      </c>
      <c r="B34" s="1" t="str">
        <f>'Horizontal Curve List (ML)'!B34</f>
        <v>00°25'18"</v>
      </c>
      <c r="C34" s="10" t="s">
        <v>212</v>
      </c>
      <c r="D34" s="1">
        <v>6999.9998999999998</v>
      </c>
      <c r="E34" s="1">
        <v>31.507100000046194</v>
      </c>
      <c r="F34" s="1"/>
      <c r="G34" s="1">
        <v>20</v>
      </c>
      <c r="H34" s="1">
        <v>100</v>
      </c>
      <c r="I34" s="1">
        <v>15</v>
      </c>
      <c r="J34" s="1">
        <v>4.6819999999999986</v>
      </c>
      <c r="K34" s="1" t="s">
        <v>92</v>
      </c>
      <c r="L34" s="11"/>
    </row>
    <row r="35" spans="1:12" x14ac:dyDescent="0.25">
      <c r="A35" s="9">
        <v>33</v>
      </c>
      <c r="B35" s="1" t="str">
        <f>'Horizontal Curve List (ML)'!B35</f>
        <v>01°13'28"</v>
      </c>
      <c r="C35" s="10" t="s">
        <v>222</v>
      </c>
      <c r="D35" s="1">
        <v>4000</v>
      </c>
      <c r="E35" s="1">
        <v>55.488300000084564</v>
      </c>
      <c r="F35" s="1"/>
      <c r="G35" s="1">
        <v>30</v>
      </c>
      <c r="H35" s="1">
        <v>100</v>
      </c>
      <c r="I35" s="1">
        <v>30</v>
      </c>
      <c r="J35" s="1">
        <v>4.4470000000000027</v>
      </c>
      <c r="K35" s="1" t="s">
        <v>92</v>
      </c>
      <c r="L35" s="11"/>
    </row>
    <row r="36" spans="1:12" x14ac:dyDescent="0.25">
      <c r="A36" s="9">
        <v>34</v>
      </c>
      <c r="B36" s="1" t="str">
        <f>'Horizontal Curve List (ML)'!B36</f>
        <v>01°49'19"</v>
      </c>
      <c r="C36" s="10" t="s">
        <v>223</v>
      </c>
      <c r="D36" s="1">
        <v>2400</v>
      </c>
      <c r="E36" s="1">
        <v>26.323199999984354</v>
      </c>
      <c r="F36" s="1"/>
      <c r="G36" s="1">
        <v>50</v>
      </c>
      <c r="H36" s="1">
        <v>100</v>
      </c>
      <c r="I36" s="1">
        <v>50</v>
      </c>
      <c r="J36" s="1">
        <v>7.411999999999999</v>
      </c>
      <c r="K36" s="1" t="s">
        <v>93</v>
      </c>
      <c r="L36" s="11"/>
    </row>
    <row r="37" spans="1:12" x14ac:dyDescent="0.25">
      <c r="A37" s="9">
        <v>35</v>
      </c>
      <c r="B37" s="1" t="str">
        <f>'Horizontal Curve List (ML)'!B37</f>
        <v>00°58'23"</v>
      </c>
      <c r="C37" s="10" t="s">
        <v>216</v>
      </c>
      <c r="D37" s="1">
        <v>5000</v>
      </c>
      <c r="E37" s="1">
        <v>54.908099999884143</v>
      </c>
      <c r="F37" s="1"/>
      <c r="G37" s="1">
        <v>30</v>
      </c>
      <c r="H37" s="1">
        <v>100</v>
      </c>
      <c r="I37" s="1">
        <v>25</v>
      </c>
      <c r="J37" s="1">
        <v>2.5569999999999986</v>
      </c>
      <c r="K37" s="1" t="s">
        <v>92</v>
      </c>
      <c r="L37" s="11"/>
    </row>
    <row r="38" spans="1:12" x14ac:dyDescent="0.25">
      <c r="A38" s="9">
        <v>36</v>
      </c>
      <c r="B38" s="1" t="str">
        <f>'Horizontal Curve List (ML)'!B38</f>
        <v>00°21'40"</v>
      </c>
      <c r="C38" s="10" t="s">
        <v>224</v>
      </c>
      <c r="D38" s="1">
        <v>12000</v>
      </c>
      <c r="E38" s="1">
        <v>45.653600000077859</v>
      </c>
      <c r="F38" s="1"/>
      <c r="G38" s="1">
        <v>30</v>
      </c>
      <c r="H38" s="1">
        <v>100</v>
      </c>
      <c r="I38" s="1">
        <v>10</v>
      </c>
      <c r="J38" s="1">
        <v>1.4819999999999993</v>
      </c>
      <c r="K38" s="1" t="s">
        <v>93</v>
      </c>
      <c r="L38" s="11"/>
    </row>
    <row r="39" spans="1:12" x14ac:dyDescent="0.25">
      <c r="A39" s="9">
        <v>37</v>
      </c>
      <c r="B39" s="1" t="str">
        <f>'Horizontal Curve List (ML)'!B39</f>
        <v>00°07'31"</v>
      </c>
      <c r="C39" s="10" t="s">
        <v>225</v>
      </c>
      <c r="D39" s="1">
        <v>49999.999799999998</v>
      </c>
      <c r="E39" s="1">
        <v>89.29010000010021</v>
      </c>
      <c r="F39" s="1"/>
      <c r="G39" s="1">
        <v>20</v>
      </c>
      <c r="H39" s="1">
        <v>100</v>
      </c>
      <c r="I39" s="1">
        <v>10</v>
      </c>
      <c r="J39" s="1">
        <v>7.2439999999999998</v>
      </c>
      <c r="K39" s="1" t="s">
        <v>92</v>
      </c>
      <c r="L39" s="11"/>
    </row>
    <row r="40" spans="1:12" x14ac:dyDescent="0.25">
      <c r="A40" s="9">
        <v>38</v>
      </c>
      <c r="B40" s="1" t="str">
        <f>'Horizontal Curve List (ML)'!B40</f>
        <v>00°24'50"</v>
      </c>
      <c r="C40" s="10" t="s">
        <v>226</v>
      </c>
      <c r="D40" s="1">
        <v>15000</v>
      </c>
      <c r="E40" s="1">
        <v>88.338200000114739</v>
      </c>
      <c r="F40" s="1"/>
      <c r="G40" s="1">
        <v>20</v>
      </c>
      <c r="H40" s="1">
        <v>100</v>
      </c>
      <c r="I40" s="1">
        <v>10</v>
      </c>
      <c r="J40" s="1">
        <v>0.81499999999999995</v>
      </c>
      <c r="K40" s="1" t="s">
        <v>93</v>
      </c>
      <c r="L40" s="11"/>
    </row>
    <row r="41" spans="1:12" x14ac:dyDescent="0.25">
      <c r="A41" s="9">
        <v>39</v>
      </c>
      <c r="B41" s="1" t="str">
        <f>'Horizontal Curve List (ML)'!B41</f>
        <v>00°17'32"</v>
      </c>
      <c r="C41" s="10" t="s">
        <v>227</v>
      </c>
      <c r="D41" s="1">
        <v>20000.000100000001</v>
      </c>
      <c r="E41" s="1">
        <v>82.03070000000298</v>
      </c>
      <c r="F41" s="1"/>
      <c r="G41" s="1">
        <v>20</v>
      </c>
      <c r="H41" s="1">
        <v>100</v>
      </c>
      <c r="I41" s="1">
        <v>10</v>
      </c>
      <c r="J41" s="1">
        <v>3.1110000000000002</v>
      </c>
      <c r="K41" s="1" t="s">
        <v>92</v>
      </c>
      <c r="L41" s="11"/>
    </row>
    <row r="42" spans="1:12" x14ac:dyDescent="0.25">
      <c r="A42" s="9">
        <v>40</v>
      </c>
      <c r="B42" s="1" t="str">
        <f>'Horizontal Curve List (ML)'!B42</f>
        <v>00°31'55"</v>
      </c>
      <c r="C42" s="10" t="s">
        <v>212</v>
      </c>
      <c r="D42" s="1">
        <v>7000</v>
      </c>
      <c r="E42" s="1">
        <v>24.992499999934807</v>
      </c>
      <c r="F42" s="1"/>
      <c r="G42" s="1">
        <v>40</v>
      </c>
      <c r="H42" s="1">
        <v>100</v>
      </c>
      <c r="I42" s="1">
        <v>10</v>
      </c>
      <c r="J42" s="1">
        <v>9.6840000000000011</v>
      </c>
      <c r="K42" s="1" t="s">
        <v>93</v>
      </c>
      <c r="L42" s="11"/>
    </row>
    <row r="43" spans="1:12" x14ac:dyDescent="0.25">
      <c r="A43" s="9">
        <v>41</v>
      </c>
      <c r="B43" s="1" t="str">
        <f>'Horizontal Curve List (ML)'!B43</f>
        <v>00°30'11"</v>
      </c>
      <c r="C43" s="10" t="s">
        <v>212</v>
      </c>
      <c r="D43" s="1">
        <v>7000</v>
      </c>
      <c r="E43" s="1">
        <v>21.463800000026822</v>
      </c>
      <c r="F43" s="1"/>
      <c r="G43" s="1">
        <v>40</v>
      </c>
      <c r="H43" s="1">
        <v>100</v>
      </c>
      <c r="I43" s="1">
        <v>10</v>
      </c>
      <c r="J43" s="1">
        <v>9.6840000000000011</v>
      </c>
      <c r="K43" s="1" t="s">
        <v>92</v>
      </c>
      <c r="L43" s="11"/>
    </row>
    <row r="44" spans="1:12" x14ac:dyDescent="0.25">
      <c r="A44" s="9">
        <v>42</v>
      </c>
      <c r="B44" s="1" t="str">
        <f>'Horizontal Curve List (ML)'!B44</f>
        <v>00°13'19"</v>
      </c>
      <c r="C44" s="10" t="s">
        <v>228</v>
      </c>
      <c r="D44" s="1">
        <v>20000</v>
      </c>
      <c r="E44" s="1">
        <v>47.487600000109524</v>
      </c>
      <c r="F44" s="1"/>
      <c r="G44" s="1">
        <v>30</v>
      </c>
      <c r="H44" s="1">
        <v>100</v>
      </c>
      <c r="I44" s="1">
        <v>10</v>
      </c>
      <c r="J44" s="1">
        <v>3.1110000000000002</v>
      </c>
      <c r="K44" s="1" t="s">
        <v>92</v>
      </c>
      <c r="L44" s="11"/>
    </row>
    <row r="45" spans="1:12" x14ac:dyDescent="0.25">
      <c r="A45" s="9">
        <v>43</v>
      </c>
      <c r="B45" s="1" t="str">
        <f>'Horizontal Curve List (ML)'!B45</f>
        <v>00°11'35"</v>
      </c>
      <c r="C45" s="10" t="s">
        <v>229</v>
      </c>
      <c r="D45" s="1">
        <v>25000.0003</v>
      </c>
      <c r="E45" s="1">
        <v>54.257100000046194</v>
      </c>
      <c r="F45" s="1"/>
      <c r="G45" s="1">
        <v>30</v>
      </c>
      <c r="H45" s="1">
        <v>100</v>
      </c>
      <c r="I45" s="1">
        <v>10</v>
      </c>
      <c r="J45" s="1">
        <v>4.4889999999999999</v>
      </c>
      <c r="K45" s="1" t="s">
        <v>93</v>
      </c>
      <c r="L45" s="11"/>
    </row>
    <row r="46" spans="1:12" x14ac:dyDescent="0.25">
      <c r="A46" s="9">
        <v>44</v>
      </c>
      <c r="B46" s="1" t="str">
        <f>'Horizontal Curve List (ML)'!B46</f>
        <v>00°26'14"</v>
      </c>
      <c r="C46" s="10" t="s">
        <v>230</v>
      </c>
      <c r="D46" s="1">
        <v>10000</v>
      </c>
      <c r="E46" s="1">
        <v>46.304100000066683</v>
      </c>
      <c r="F46" s="1"/>
      <c r="G46" s="1">
        <v>30</v>
      </c>
      <c r="H46" s="1">
        <v>100</v>
      </c>
      <c r="I46" s="1">
        <v>10</v>
      </c>
      <c r="J46" s="1">
        <v>3.7789999999999999</v>
      </c>
      <c r="K46" s="1" t="s">
        <v>93</v>
      </c>
      <c r="L46" s="11"/>
    </row>
    <row r="47" spans="1:12" x14ac:dyDescent="0.25">
      <c r="A47" s="9">
        <v>45</v>
      </c>
      <c r="B47" s="1" t="str">
        <f>'Horizontal Curve List (ML)'!B47</f>
        <v>00°24'30"</v>
      </c>
      <c r="C47" s="10" t="s">
        <v>230</v>
      </c>
      <c r="D47" s="1">
        <v>9999.9999000000007</v>
      </c>
      <c r="E47" s="1">
        <v>41.247500000055879</v>
      </c>
      <c r="F47" s="1"/>
      <c r="G47" s="1">
        <v>30</v>
      </c>
      <c r="H47" s="1">
        <v>100</v>
      </c>
      <c r="I47" s="1">
        <v>10</v>
      </c>
      <c r="J47" s="1">
        <v>3.7789999999999999</v>
      </c>
      <c r="K47" s="1" t="s">
        <v>92</v>
      </c>
      <c r="L47" s="11"/>
    </row>
    <row r="48" spans="1:12" x14ac:dyDescent="0.25">
      <c r="A48" s="9">
        <v>46</v>
      </c>
      <c r="B48" s="1" t="str">
        <f>'Horizontal Curve List (ML)'!B48</f>
        <v>01°33'07"</v>
      </c>
      <c r="C48" s="10" t="s">
        <v>213</v>
      </c>
      <c r="D48" s="1">
        <v>3000</v>
      </c>
      <c r="E48" s="1">
        <v>41.261799999978393</v>
      </c>
      <c r="F48" s="1"/>
      <c r="G48" s="1">
        <v>40</v>
      </c>
      <c r="H48" s="1">
        <v>100</v>
      </c>
      <c r="I48" s="1">
        <v>40</v>
      </c>
      <c r="J48" s="1">
        <v>5.9309999999999974</v>
      </c>
      <c r="K48" s="1" t="s">
        <v>92</v>
      </c>
      <c r="L48" s="11"/>
    </row>
    <row r="49" spans="1:12" x14ac:dyDescent="0.25">
      <c r="A49" s="9">
        <v>47</v>
      </c>
      <c r="B49" s="1" t="str">
        <f>'Horizontal Curve List (ML)'!B49</f>
        <v>01°33'16"</v>
      </c>
      <c r="C49" s="10" t="s">
        <v>213</v>
      </c>
      <c r="D49" s="1">
        <v>3000</v>
      </c>
      <c r="E49" s="1">
        <v>41.397200000006706</v>
      </c>
      <c r="F49" s="1"/>
      <c r="G49" s="1">
        <v>40</v>
      </c>
      <c r="H49" s="1">
        <v>100</v>
      </c>
      <c r="I49" s="1">
        <v>40</v>
      </c>
      <c r="J49" s="1">
        <v>5.9309999999999974</v>
      </c>
      <c r="K49" s="1" t="s">
        <v>93</v>
      </c>
      <c r="L49" s="11"/>
    </row>
    <row r="50" spans="1:12" x14ac:dyDescent="0.25">
      <c r="A50" s="9">
        <v>48</v>
      </c>
      <c r="B50" s="1" t="str">
        <f>'Horizontal Curve List (ML)'!B50</f>
        <v>02°00'17"</v>
      </c>
      <c r="C50" s="10" t="s">
        <v>215</v>
      </c>
      <c r="D50" s="1">
        <v>2500</v>
      </c>
      <c r="E50" s="1">
        <v>37.470299999928102</v>
      </c>
      <c r="F50" s="1"/>
      <c r="G50" s="1">
        <v>50</v>
      </c>
      <c r="H50" s="1">
        <v>100</v>
      </c>
      <c r="I50" s="1">
        <v>50</v>
      </c>
      <c r="J50" s="1">
        <v>5.1180000000000021</v>
      </c>
      <c r="K50" s="1" t="s">
        <v>93</v>
      </c>
      <c r="L50" s="11"/>
    </row>
    <row r="51" spans="1:12" x14ac:dyDescent="0.25">
      <c r="A51" s="9">
        <v>49</v>
      </c>
      <c r="B51" s="1" t="str">
        <f>'Horizontal Curve List (ML)'!B51</f>
        <v>01°57'28"</v>
      </c>
      <c r="C51" s="10" t="s">
        <v>213</v>
      </c>
      <c r="D51" s="1">
        <v>3000</v>
      </c>
      <c r="E51" s="1">
        <v>62.502199999988079</v>
      </c>
      <c r="F51" s="1"/>
      <c r="G51" s="1">
        <v>40</v>
      </c>
      <c r="H51" s="1">
        <v>100</v>
      </c>
      <c r="I51" s="1">
        <v>40</v>
      </c>
      <c r="J51" s="1">
        <v>5.9309999999999974</v>
      </c>
      <c r="K51" s="1" t="s">
        <v>92</v>
      </c>
      <c r="L51" s="11"/>
    </row>
    <row r="52" spans="1:12" x14ac:dyDescent="0.25">
      <c r="A52" s="9">
        <v>50</v>
      </c>
      <c r="B52" s="1" t="str">
        <f>'Horizontal Curve List (ML)'!B52</f>
        <v>00°29'53"</v>
      </c>
      <c r="C52" s="10" t="s">
        <v>212</v>
      </c>
      <c r="D52" s="1">
        <v>6999.9997000000003</v>
      </c>
      <c r="E52" s="1">
        <v>20.861500000115484</v>
      </c>
      <c r="F52" s="1"/>
      <c r="G52" s="1">
        <v>40</v>
      </c>
      <c r="H52" s="1">
        <v>100</v>
      </c>
      <c r="I52" s="1">
        <v>10</v>
      </c>
      <c r="J52" s="1">
        <v>9.6840000000000011</v>
      </c>
      <c r="K52" s="1" t="s">
        <v>92</v>
      </c>
      <c r="L52" s="11"/>
    </row>
    <row r="53" spans="1:12" x14ac:dyDescent="0.25">
      <c r="A53" s="9">
        <v>51</v>
      </c>
      <c r="B53" s="1" t="str">
        <f>'Horizontal Curve List (ML)'!B53</f>
        <v>00°29'53"</v>
      </c>
      <c r="C53" s="10" t="s">
        <v>212</v>
      </c>
      <c r="D53" s="1">
        <v>6999.9998999999998</v>
      </c>
      <c r="E53" s="1">
        <v>20.861500000115484</v>
      </c>
      <c r="F53" s="1"/>
      <c r="G53" s="1">
        <v>40</v>
      </c>
      <c r="H53" s="1">
        <v>100</v>
      </c>
      <c r="I53" s="1">
        <v>10</v>
      </c>
      <c r="J53" s="1">
        <v>9.6840000000000011</v>
      </c>
      <c r="K53" s="1" t="s">
        <v>93</v>
      </c>
      <c r="L53" s="11"/>
    </row>
    <row r="54" spans="1:12" x14ac:dyDescent="0.25">
      <c r="A54" s="9">
        <v>52</v>
      </c>
      <c r="B54" s="1" t="str">
        <f>'Horizontal Curve List (ML)'!B54</f>
        <v>02°10'09"</v>
      </c>
      <c r="C54" s="10" t="s">
        <v>213</v>
      </c>
      <c r="D54" s="1">
        <v>3000</v>
      </c>
      <c r="E54" s="1">
        <v>73.578800000017509</v>
      </c>
      <c r="F54" s="1"/>
      <c r="G54" s="1">
        <v>40</v>
      </c>
      <c r="H54" s="1">
        <v>100</v>
      </c>
      <c r="I54" s="1">
        <v>40</v>
      </c>
      <c r="J54" s="1">
        <v>5.9309999999999974</v>
      </c>
      <c r="K54" s="1" t="s">
        <v>92</v>
      </c>
      <c r="L54" s="11"/>
    </row>
    <row r="55" spans="1:12" x14ac:dyDescent="0.25">
      <c r="A55" s="9">
        <v>53</v>
      </c>
      <c r="B55" s="1" t="str">
        <f>'Horizontal Curve List (ML)'!B55</f>
        <v>02°09'20"</v>
      </c>
      <c r="C55" s="10" t="s">
        <v>213</v>
      </c>
      <c r="D55" s="1">
        <v>3000</v>
      </c>
      <c r="E55" s="1">
        <v>72.861800000071526</v>
      </c>
      <c r="F55" s="1"/>
      <c r="G55" s="1">
        <v>40</v>
      </c>
      <c r="H55" s="1">
        <v>100</v>
      </c>
      <c r="I55" s="1">
        <v>40</v>
      </c>
      <c r="J55" s="1">
        <v>5.9309999999999974</v>
      </c>
      <c r="K55" s="1" t="s">
        <v>93</v>
      </c>
      <c r="L55" s="11"/>
    </row>
    <row r="56" spans="1:12" x14ac:dyDescent="0.25">
      <c r="A56" s="9">
        <v>54</v>
      </c>
      <c r="B56" s="1" t="str">
        <f>'Horizontal Curve List (ML)'!B56</f>
        <v>02°23'22"</v>
      </c>
      <c r="C56" s="10" t="s">
        <v>213</v>
      </c>
      <c r="D56" s="1">
        <v>3000</v>
      </c>
      <c r="E56" s="1">
        <v>85.113399999914691</v>
      </c>
      <c r="F56" s="1"/>
      <c r="G56" s="1">
        <v>40</v>
      </c>
      <c r="H56" s="1">
        <v>100</v>
      </c>
      <c r="I56" s="1">
        <v>40</v>
      </c>
      <c r="J56" s="1">
        <v>5.9309999999999974</v>
      </c>
      <c r="K56" s="1" t="s">
        <v>93</v>
      </c>
      <c r="L56" s="11"/>
    </row>
    <row r="57" spans="1:12" x14ac:dyDescent="0.25">
      <c r="A57" s="9">
        <v>55</v>
      </c>
      <c r="B57" s="1" t="str">
        <f>'Horizontal Curve List (ML)'!B57</f>
        <v>02°23'05"</v>
      </c>
      <c r="C57" s="10" t="s">
        <v>213</v>
      </c>
      <c r="D57" s="1">
        <v>3000</v>
      </c>
      <c r="E57" s="1">
        <v>84.861299999989569</v>
      </c>
      <c r="F57" s="1"/>
      <c r="G57" s="1">
        <v>40</v>
      </c>
      <c r="H57" s="1">
        <v>100</v>
      </c>
      <c r="I57" s="1">
        <v>40</v>
      </c>
      <c r="J57" s="1">
        <v>5.9309999999999974</v>
      </c>
      <c r="K57" s="1" t="s">
        <v>92</v>
      </c>
      <c r="L57" s="11"/>
    </row>
    <row r="58" spans="1:12" x14ac:dyDescent="0.25">
      <c r="A58" s="9">
        <v>56</v>
      </c>
      <c r="B58" s="1" t="str">
        <f>'Horizontal Curve List (ML)'!B58</f>
        <v>08°30'48"</v>
      </c>
      <c r="C58" s="10" t="s">
        <v>222</v>
      </c>
      <c r="D58" s="1">
        <v>4000</v>
      </c>
      <c r="E58" s="1">
        <v>564.35140000004321</v>
      </c>
      <c r="F58" s="1"/>
      <c r="G58" s="1">
        <v>30</v>
      </c>
      <c r="H58" s="1">
        <v>100</v>
      </c>
      <c r="I58" s="1">
        <v>30</v>
      </c>
      <c r="J58" s="1">
        <v>4.4470000000000027</v>
      </c>
      <c r="K58" s="1" t="s">
        <v>93</v>
      </c>
      <c r="L58" s="11"/>
    </row>
    <row r="59" spans="1:12" x14ac:dyDescent="0.25">
      <c r="A59" s="9">
        <v>57</v>
      </c>
      <c r="B59" s="1" t="str">
        <f>'Horizontal Curve List (ML)'!B59</f>
        <v>02°09'37"</v>
      </c>
      <c r="C59" s="10" t="s">
        <v>215</v>
      </c>
      <c r="D59" s="1">
        <v>2500</v>
      </c>
      <c r="E59" s="1">
        <v>44.259300000034273</v>
      </c>
      <c r="F59" s="1"/>
      <c r="G59" s="1">
        <v>50</v>
      </c>
      <c r="H59" s="1">
        <v>100</v>
      </c>
      <c r="I59" s="1">
        <v>50</v>
      </c>
      <c r="J59" s="1">
        <v>5.1180000000000021</v>
      </c>
      <c r="K59" s="1" t="s">
        <v>92</v>
      </c>
      <c r="L59" s="11"/>
    </row>
    <row r="60" spans="1:12" x14ac:dyDescent="0.25">
      <c r="A60" s="9">
        <v>58</v>
      </c>
      <c r="B60" s="1" t="str">
        <f>'Horizontal Curve List (ML)'!B60</f>
        <v>09°39'27"</v>
      </c>
      <c r="C60" s="10" t="s">
        <v>231</v>
      </c>
      <c r="D60" s="1">
        <v>1000.0119999999999</v>
      </c>
      <c r="E60" s="1">
        <v>48.554699999978766</v>
      </c>
      <c r="F60" s="1"/>
      <c r="G60" s="1">
        <v>120</v>
      </c>
      <c r="H60" s="1">
        <v>100</v>
      </c>
      <c r="I60" s="1">
        <v>130</v>
      </c>
      <c r="J60" s="1">
        <v>7.7949999999999875</v>
      </c>
      <c r="K60" s="1" t="s">
        <v>93</v>
      </c>
      <c r="L60" s="11"/>
    </row>
    <row r="61" spans="1:12" x14ac:dyDescent="0.25">
      <c r="A61" s="9">
        <v>59</v>
      </c>
      <c r="B61" s="1" t="str">
        <f>'Horizontal Curve List (ML)'!B61</f>
        <v>12°34'43"</v>
      </c>
      <c r="C61" s="10" t="s">
        <v>231</v>
      </c>
      <c r="D61" s="1">
        <v>1000.0119999999999</v>
      </c>
      <c r="E61" s="1">
        <v>99.540999999968335</v>
      </c>
      <c r="F61" s="1"/>
      <c r="G61" s="1">
        <v>120</v>
      </c>
      <c r="H61" s="1">
        <v>100</v>
      </c>
      <c r="I61" s="1">
        <v>130</v>
      </c>
      <c r="J61" s="1">
        <v>7.7930000000000064</v>
      </c>
      <c r="K61" s="1" t="s">
        <v>92</v>
      </c>
      <c r="L61" s="11"/>
    </row>
    <row r="62" spans="1:12" x14ac:dyDescent="0.25">
      <c r="A62" s="9">
        <v>60</v>
      </c>
      <c r="B62" s="1" t="str">
        <f>'Horizontal Curve List (ML)'!B62</f>
        <v>08°24'11"</v>
      </c>
      <c r="C62" s="10" t="s">
        <v>214</v>
      </c>
      <c r="D62" s="1">
        <v>1750.0002999999999</v>
      </c>
      <c r="E62" s="1">
        <v>186.65570000000298</v>
      </c>
      <c r="F62" s="1"/>
      <c r="G62" s="1">
        <v>70</v>
      </c>
      <c r="H62" s="1">
        <v>100</v>
      </c>
      <c r="I62" s="1">
        <v>70</v>
      </c>
      <c r="J62" s="1">
        <v>8.7360000000000042</v>
      </c>
      <c r="K62" s="1" t="s">
        <v>93</v>
      </c>
      <c r="L62" s="11"/>
    </row>
    <row r="63" spans="1:12" x14ac:dyDescent="0.25">
      <c r="A63" s="9">
        <v>61</v>
      </c>
      <c r="B63" s="1" t="str">
        <f>'Horizontal Curve List (ML)'!B63</f>
        <v>00°20'31"</v>
      </c>
      <c r="C63" s="10" t="s">
        <v>226</v>
      </c>
      <c r="D63" s="1">
        <v>14999.999900000001</v>
      </c>
      <c r="E63" s="1">
        <v>69.490100000053644</v>
      </c>
      <c r="F63" s="1"/>
      <c r="G63" s="1">
        <v>20</v>
      </c>
      <c r="H63" s="1">
        <v>100</v>
      </c>
      <c r="I63" s="1">
        <v>10</v>
      </c>
      <c r="J63" s="1">
        <v>0.81900000000000095</v>
      </c>
      <c r="K63" s="1" t="s">
        <v>93</v>
      </c>
      <c r="L63" s="11"/>
    </row>
    <row r="64" spans="1:12" x14ac:dyDescent="0.25">
      <c r="A64" s="9">
        <v>62</v>
      </c>
      <c r="B64" s="1" t="str">
        <f>'Horizontal Curve List (ML)'!B64</f>
        <v>02°00'41"</v>
      </c>
      <c r="C64" s="10" t="s">
        <v>215</v>
      </c>
      <c r="D64" s="1">
        <v>2500</v>
      </c>
      <c r="E64" s="1">
        <v>37.763599999947473</v>
      </c>
      <c r="F64" s="1"/>
      <c r="G64" s="1">
        <v>50</v>
      </c>
      <c r="H64" s="1">
        <v>100</v>
      </c>
      <c r="I64" s="1">
        <v>50</v>
      </c>
      <c r="J64" s="1">
        <v>5.1180000000000021</v>
      </c>
      <c r="K64" s="1" t="s">
        <v>92</v>
      </c>
      <c r="L64" s="11"/>
    </row>
    <row r="65" spans="1:12" x14ac:dyDescent="0.25">
      <c r="A65" s="9">
        <v>63</v>
      </c>
      <c r="B65" s="1" t="str">
        <f>'Horizontal Curve List (ML)'!B65</f>
        <v>02°05'21"</v>
      </c>
      <c r="C65" s="10" t="s">
        <v>215</v>
      </c>
      <c r="D65" s="1">
        <v>2500</v>
      </c>
      <c r="E65" s="1">
        <v>41.156100000021979</v>
      </c>
      <c r="F65" s="1"/>
      <c r="G65" s="1">
        <v>50</v>
      </c>
      <c r="H65" s="1">
        <v>100</v>
      </c>
      <c r="I65" s="1">
        <v>50</v>
      </c>
      <c r="J65" s="1">
        <v>5.1180000000000021</v>
      </c>
      <c r="K65" s="1" t="s">
        <v>93</v>
      </c>
      <c r="L65" s="11"/>
    </row>
    <row r="66" spans="1:12" x14ac:dyDescent="0.25">
      <c r="A66" s="9">
        <v>64</v>
      </c>
      <c r="B66" s="1" t="str">
        <f>'Horizontal Curve List (ML)'!B66</f>
        <v>00°29'56"</v>
      </c>
      <c r="C66" s="10" t="s">
        <v>232</v>
      </c>
      <c r="D66" s="1">
        <v>7999.9998999999998</v>
      </c>
      <c r="E66" s="1">
        <v>49.67699999990873</v>
      </c>
      <c r="F66" s="1"/>
      <c r="G66" s="1">
        <v>20</v>
      </c>
      <c r="H66" s="1">
        <v>100</v>
      </c>
      <c r="I66" s="1">
        <v>10</v>
      </c>
      <c r="J66" s="1">
        <v>7.2210000000000001</v>
      </c>
      <c r="K66" s="1" t="s">
        <v>92</v>
      </c>
      <c r="L66" s="11"/>
    </row>
    <row r="67" spans="1:12" x14ac:dyDescent="0.25">
      <c r="A67" s="9">
        <v>65</v>
      </c>
      <c r="B67" s="1" t="str">
        <f>'Horizontal Curve List (ML)'!B67</f>
        <v>03°16'22"</v>
      </c>
      <c r="C67" s="10" t="s">
        <v>233</v>
      </c>
      <c r="D67" s="1">
        <v>1800.0001999999999</v>
      </c>
      <c r="E67" s="1">
        <v>32.813899999950081</v>
      </c>
      <c r="F67" s="1"/>
      <c r="G67" s="1">
        <v>70</v>
      </c>
      <c r="H67" s="1">
        <v>100</v>
      </c>
      <c r="I67" s="1">
        <v>70</v>
      </c>
      <c r="J67" s="1">
        <v>6.5490000000000066</v>
      </c>
      <c r="K67" s="1" t="s">
        <v>92</v>
      </c>
      <c r="L67" s="40" t="s">
        <v>259</v>
      </c>
    </row>
    <row r="68" spans="1:12" x14ac:dyDescent="0.25">
      <c r="A68" s="9">
        <v>66</v>
      </c>
      <c r="B68" s="1" t="str">
        <f>'Horizontal Curve List (ML)'!B68</f>
        <v>04°03'25"</v>
      </c>
      <c r="C68" s="10" t="s">
        <v>234</v>
      </c>
      <c r="D68" s="1">
        <v>1500.0007000000001</v>
      </c>
      <c r="E68" s="1">
        <v>26.207900000037625</v>
      </c>
      <c r="F68" s="1"/>
      <c r="G68" s="1">
        <v>80</v>
      </c>
      <c r="H68" s="1">
        <v>100</v>
      </c>
      <c r="I68" s="1">
        <v>90</v>
      </c>
      <c r="J68" s="1">
        <v>1.8599999999999994</v>
      </c>
      <c r="K68" s="1" t="s">
        <v>93</v>
      </c>
      <c r="L68" s="40"/>
    </row>
    <row r="69" spans="1:12" x14ac:dyDescent="0.25">
      <c r="A69" s="9">
        <v>67</v>
      </c>
      <c r="B69" s="1" t="str">
        <f>'Horizontal Curve List (ML)'!B69</f>
        <v>02°25'47"</v>
      </c>
      <c r="C69" s="10" t="s">
        <v>215</v>
      </c>
      <c r="D69" s="1">
        <v>2500</v>
      </c>
      <c r="E69" s="1">
        <v>56.015499999979511</v>
      </c>
      <c r="F69" s="1"/>
      <c r="G69" s="1">
        <v>50</v>
      </c>
      <c r="H69" s="1">
        <v>100</v>
      </c>
      <c r="I69" s="1">
        <v>50</v>
      </c>
      <c r="J69" s="1">
        <v>5.1180000000000021</v>
      </c>
      <c r="K69" s="1" t="s">
        <v>92</v>
      </c>
      <c r="L69" s="40"/>
    </row>
    <row r="70" spans="1:12" x14ac:dyDescent="0.25">
      <c r="A70" s="9">
        <v>68</v>
      </c>
      <c r="B70" s="1" t="str">
        <f>'Horizontal Curve List (ML)'!B70</f>
        <v>02°02'07"</v>
      </c>
      <c r="C70" s="10" t="s">
        <v>235</v>
      </c>
      <c r="D70" s="1">
        <v>2770</v>
      </c>
      <c r="E70" s="1">
        <v>58.395299999974668</v>
      </c>
      <c r="F70" s="1"/>
      <c r="G70" s="1">
        <v>40</v>
      </c>
      <c r="H70" s="1">
        <v>100</v>
      </c>
      <c r="I70" s="1">
        <v>40</v>
      </c>
      <c r="J70" s="1">
        <v>9.7439999999999998</v>
      </c>
      <c r="K70" s="1" t="s">
        <v>92</v>
      </c>
      <c r="L70" s="40"/>
    </row>
    <row r="71" spans="1:12" x14ac:dyDescent="0.25">
      <c r="A71" s="9">
        <v>69</v>
      </c>
      <c r="B71" s="1" t="str">
        <f>'Horizontal Curve List (ML)'!B71</f>
        <v>04°01'16"</v>
      </c>
      <c r="C71" s="10" t="s">
        <v>236</v>
      </c>
      <c r="D71" s="1">
        <v>1600.0002999999999</v>
      </c>
      <c r="E71" s="1">
        <v>42.293899999931455</v>
      </c>
      <c r="F71" s="1"/>
      <c r="G71" s="1">
        <v>70</v>
      </c>
      <c r="H71" s="1">
        <v>100</v>
      </c>
      <c r="I71" s="1">
        <v>80</v>
      </c>
      <c r="J71" s="1">
        <v>6.1170000000000044</v>
      </c>
      <c r="K71" s="1" t="s">
        <v>93</v>
      </c>
      <c r="L71" s="40"/>
    </row>
    <row r="72" spans="1:12" x14ac:dyDescent="0.25">
      <c r="A72" s="9">
        <v>70</v>
      </c>
      <c r="B72" s="1" t="str">
        <f>'Horizontal Curve List (ML)'!B72</f>
        <v>04°39'40"</v>
      </c>
      <c r="C72" s="10" t="s">
        <v>214</v>
      </c>
      <c r="D72" s="1">
        <v>1750.0002999999999</v>
      </c>
      <c r="E72" s="1">
        <v>72.367499999934807</v>
      </c>
      <c r="F72" s="1"/>
      <c r="G72" s="1">
        <v>70</v>
      </c>
      <c r="H72" s="1">
        <v>100</v>
      </c>
      <c r="I72" s="1">
        <v>70</v>
      </c>
      <c r="J72" s="1">
        <v>8.7360000000000042</v>
      </c>
      <c r="K72" s="1" t="s">
        <v>93</v>
      </c>
      <c r="L72" s="40"/>
    </row>
    <row r="73" spans="1:12" x14ac:dyDescent="0.25">
      <c r="A73" s="9">
        <v>71</v>
      </c>
      <c r="B73" s="1" t="str">
        <f>'Horizontal Curve List (ML)'!B73</f>
        <v>03°15'59"</v>
      </c>
      <c r="C73" s="10" t="s">
        <v>210</v>
      </c>
      <c r="D73" s="1">
        <v>2000</v>
      </c>
      <c r="E73" s="1">
        <v>54.022499999962747</v>
      </c>
      <c r="F73" s="1"/>
      <c r="G73" s="1">
        <v>60</v>
      </c>
      <c r="H73" s="1">
        <v>100</v>
      </c>
      <c r="I73" s="1">
        <v>60</v>
      </c>
      <c r="J73" s="1">
        <v>8.8940000000000055</v>
      </c>
      <c r="K73" s="1" t="s">
        <v>93</v>
      </c>
      <c r="L73" s="40"/>
    </row>
    <row r="74" spans="1:12" x14ac:dyDescent="0.25">
      <c r="A74" s="9">
        <v>72</v>
      </c>
      <c r="B74" s="1" t="str">
        <f>'Horizontal Curve List (ML)'!B74</f>
        <v>11°40'25"</v>
      </c>
      <c r="C74" s="10" t="s">
        <v>214</v>
      </c>
      <c r="D74" s="1">
        <v>1750.0002999999999</v>
      </c>
      <c r="E74" s="1">
        <v>286.55019999993965</v>
      </c>
      <c r="F74" s="1"/>
      <c r="G74" s="1">
        <v>70</v>
      </c>
      <c r="H74" s="1">
        <v>100</v>
      </c>
      <c r="I74" s="1">
        <v>70</v>
      </c>
      <c r="J74" s="1">
        <v>8.7360000000000042</v>
      </c>
      <c r="K74" s="1" t="s">
        <v>93</v>
      </c>
      <c r="L74" s="40"/>
    </row>
    <row r="75" spans="1:12" x14ac:dyDescent="0.25">
      <c r="A75" s="9">
        <v>73</v>
      </c>
      <c r="B75" s="1" t="str">
        <f>'Horizontal Curve List (ML)'!B75</f>
        <v>65°35'05"</v>
      </c>
      <c r="C75" s="10" t="s">
        <v>237</v>
      </c>
      <c r="D75" s="1">
        <v>701</v>
      </c>
      <c r="E75" s="1">
        <v>642.25380000006407</v>
      </c>
      <c r="F75" s="1"/>
      <c r="G75" s="1">
        <v>160</v>
      </c>
      <c r="H75" s="1">
        <v>100</v>
      </c>
      <c r="I75" s="1">
        <v>165</v>
      </c>
      <c r="J75" s="1">
        <v>31.844999999999999</v>
      </c>
      <c r="K75" s="1" t="s">
        <v>92</v>
      </c>
      <c r="L75" s="11"/>
    </row>
    <row r="76" spans="1:12" x14ac:dyDescent="0.25">
      <c r="A76" s="9">
        <v>74</v>
      </c>
      <c r="B76" s="1" t="str">
        <f>'Horizontal Curve List (ML)'!B76</f>
        <v>108°49'30"</v>
      </c>
      <c r="C76" s="10" t="s">
        <v>238</v>
      </c>
      <c r="D76" s="1">
        <v>700.08</v>
      </c>
      <c r="E76" s="1">
        <v>1169.5413999999873</v>
      </c>
      <c r="F76" s="1"/>
      <c r="G76" s="1">
        <v>160</v>
      </c>
      <c r="H76" s="1">
        <v>100</v>
      </c>
      <c r="I76" s="1">
        <v>165</v>
      </c>
      <c r="J76" s="1">
        <v>31.706999999999994</v>
      </c>
      <c r="K76" s="1" t="s">
        <v>93</v>
      </c>
      <c r="L76" s="11"/>
    </row>
    <row r="77" spans="1:12" x14ac:dyDescent="0.25">
      <c r="A77" s="9">
        <v>75</v>
      </c>
      <c r="B77" s="1" t="str">
        <f>'Horizontal Curve List (ML)'!B77</f>
        <v>63°32'08"</v>
      </c>
      <c r="C77" s="10" t="s">
        <v>238</v>
      </c>
      <c r="D77" s="1">
        <v>700</v>
      </c>
      <c r="E77" s="1">
        <v>616.23270000005141</v>
      </c>
      <c r="F77" s="1"/>
      <c r="G77" s="1">
        <v>160</v>
      </c>
      <c r="H77" s="1">
        <v>100</v>
      </c>
      <c r="I77" s="1">
        <v>165</v>
      </c>
      <c r="J77" s="1">
        <v>31.527999999999992</v>
      </c>
      <c r="K77" s="1" t="s">
        <v>92</v>
      </c>
      <c r="L77" s="11"/>
    </row>
    <row r="78" spans="1:12" x14ac:dyDescent="0.25">
      <c r="A78" s="9">
        <v>76</v>
      </c>
      <c r="B78" s="1" t="str">
        <f>'Horizontal Curve List (ML)'!B78</f>
        <v>00°27'53"</v>
      </c>
      <c r="C78" s="10" t="s">
        <v>230</v>
      </c>
      <c r="D78" s="1">
        <v>9999.9999000000007</v>
      </c>
      <c r="E78" s="1">
        <v>51.100099999923259</v>
      </c>
      <c r="F78" s="1"/>
      <c r="G78" s="1">
        <v>30</v>
      </c>
      <c r="H78" s="1">
        <v>100</v>
      </c>
      <c r="I78" s="1">
        <v>10</v>
      </c>
      <c r="J78" s="1">
        <v>3.6099999999999994</v>
      </c>
      <c r="K78" s="1" t="s">
        <v>93</v>
      </c>
      <c r="L78" s="11"/>
    </row>
    <row r="79" spans="1:12" x14ac:dyDescent="0.25">
      <c r="A79" s="9">
        <v>77</v>
      </c>
      <c r="B79" s="1" t="str">
        <f>'Horizontal Curve List (ML)'!B79</f>
        <v>00°27'53"</v>
      </c>
      <c r="C79" s="10" t="s">
        <v>230</v>
      </c>
      <c r="D79" s="1">
        <v>10000</v>
      </c>
      <c r="E79" s="1">
        <v>51.100099999923259</v>
      </c>
      <c r="F79" s="1"/>
      <c r="G79" s="1">
        <v>30</v>
      </c>
      <c r="H79" s="1">
        <v>100</v>
      </c>
      <c r="I79" s="1">
        <v>10</v>
      </c>
      <c r="J79" s="1">
        <v>3.6099999999999994</v>
      </c>
      <c r="K79" s="1" t="s">
        <v>92</v>
      </c>
      <c r="L79" s="11"/>
    </row>
    <row r="80" spans="1:12" x14ac:dyDescent="0.25">
      <c r="A80" s="9">
        <v>78</v>
      </c>
      <c r="B80" s="1" t="str">
        <f>'Horizontal Curve List (ML)'!B80</f>
        <v>01°12'13"</v>
      </c>
      <c r="C80" s="10" t="s">
        <v>211</v>
      </c>
      <c r="D80" s="1">
        <v>3500</v>
      </c>
      <c r="E80" s="1">
        <v>33.525399999925867</v>
      </c>
      <c r="F80" s="1"/>
      <c r="G80" s="1">
        <v>40</v>
      </c>
      <c r="H80" s="1">
        <v>100</v>
      </c>
      <c r="I80" s="1">
        <v>30</v>
      </c>
      <c r="J80" s="1">
        <v>9.0060000000000002</v>
      </c>
      <c r="K80" s="1" t="s">
        <v>93</v>
      </c>
      <c r="L80" s="11"/>
    </row>
    <row r="81" spans="1:12" x14ac:dyDescent="0.25">
      <c r="A81" s="9">
        <v>79</v>
      </c>
      <c r="B81" s="1" t="str">
        <f>'Horizontal Curve List (ML)'!B81</f>
        <v>00°33'32"</v>
      </c>
      <c r="C81" s="10" t="s">
        <v>224</v>
      </c>
      <c r="D81" s="1">
        <v>12000</v>
      </c>
      <c r="E81" s="1">
        <v>97.027000000001863</v>
      </c>
      <c r="F81" s="1"/>
      <c r="G81" s="1">
        <v>20</v>
      </c>
      <c r="H81" s="1">
        <v>100</v>
      </c>
      <c r="I81" s="1">
        <v>10</v>
      </c>
      <c r="J81" s="1">
        <v>1.2699999999999996</v>
      </c>
      <c r="K81" s="1" t="s">
        <v>93</v>
      </c>
      <c r="L81" s="11"/>
    </row>
    <row r="82" spans="1:12" x14ac:dyDescent="0.25">
      <c r="A82" s="9">
        <v>80</v>
      </c>
      <c r="B82" s="1" t="str">
        <f>'Horizontal Curve List (ML)'!B82</f>
        <v>00°38'01"</v>
      </c>
      <c r="C82" s="10" t="s">
        <v>230</v>
      </c>
      <c r="D82" s="1">
        <v>10000</v>
      </c>
      <c r="E82" s="1">
        <v>90.582399999955669</v>
      </c>
      <c r="F82" s="1"/>
      <c r="G82" s="1">
        <v>20</v>
      </c>
      <c r="H82" s="1">
        <v>100</v>
      </c>
      <c r="I82" s="1">
        <v>10</v>
      </c>
      <c r="J82" s="1">
        <v>3.5250000000000004</v>
      </c>
      <c r="K82" s="1" t="s">
        <v>92</v>
      </c>
      <c r="L82" s="11"/>
    </row>
    <row r="83" spans="1:12" x14ac:dyDescent="0.25">
      <c r="A83" s="9">
        <v>81</v>
      </c>
      <c r="B83" s="1" t="str">
        <f>'Horizontal Curve List (ML)'!B83</f>
        <v>01°50'55"</v>
      </c>
      <c r="C83" s="10" t="s">
        <v>215</v>
      </c>
      <c r="D83" s="1">
        <v>2500</v>
      </c>
      <c r="E83" s="1">
        <v>30.658400000073016</v>
      </c>
      <c r="F83" s="1"/>
      <c r="G83" s="1">
        <v>50</v>
      </c>
      <c r="H83" s="1">
        <v>100</v>
      </c>
      <c r="I83" s="1">
        <v>50</v>
      </c>
      <c r="J83" s="1">
        <v>4.7150000000000034</v>
      </c>
      <c r="K83" s="1" t="s">
        <v>92</v>
      </c>
      <c r="L83" s="11"/>
    </row>
    <row r="84" spans="1:12" x14ac:dyDescent="0.25">
      <c r="A84" s="9">
        <v>82</v>
      </c>
      <c r="B84" s="1" t="str">
        <f>'Horizontal Curve List (ML)'!B84</f>
        <v>01°51'28"</v>
      </c>
      <c r="C84" s="10" t="s">
        <v>239</v>
      </c>
      <c r="D84" s="1">
        <v>2250</v>
      </c>
      <c r="E84" s="1">
        <v>22.956000000005588</v>
      </c>
      <c r="F84" s="1"/>
      <c r="G84" s="1">
        <v>50</v>
      </c>
      <c r="H84" s="1">
        <v>100</v>
      </c>
      <c r="I84" s="1">
        <v>50</v>
      </c>
      <c r="J84" s="1">
        <v>10.786999999999999</v>
      </c>
      <c r="K84" s="1" t="s">
        <v>93</v>
      </c>
      <c r="L84" s="11"/>
    </row>
    <row r="85" spans="1:12" x14ac:dyDescent="0.25">
      <c r="A85" s="9">
        <v>83</v>
      </c>
      <c r="B85" s="1" t="str">
        <f>'Horizontal Curve List (ML)'!B85</f>
        <v>00°33'46"</v>
      </c>
      <c r="C85" s="10" t="s">
        <v>240</v>
      </c>
      <c r="D85" s="1">
        <v>8099.9998999999998</v>
      </c>
      <c r="E85" s="1">
        <v>49.550400000065565</v>
      </c>
      <c r="F85" s="1"/>
      <c r="G85" s="1">
        <v>30</v>
      </c>
      <c r="H85" s="1">
        <v>100</v>
      </c>
      <c r="I85" s="1">
        <v>10</v>
      </c>
      <c r="J85" s="1">
        <v>6.8019999999999996</v>
      </c>
      <c r="K85" s="1" t="s">
        <v>92</v>
      </c>
      <c r="L85" s="11"/>
    </row>
    <row r="86" spans="1:12" x14ac:dyDescent="0.25">
      <c r="A86" s="9">
        <v>84</v>
      </c>
      <c r="B86" s="1" t="str">
        <f>'Horizontal Curve List (ML)'!B86</f>
        <v>00°32'26"</v>
      </c>
      <c r="C86" s="10" t="s">
        <v>212</v>
      </c>
      <c r="D86" s="1">
        <v>7000.0001000000002</v>
      </c>
      <c r="E86" s="1">
        <v>26.027000000001863</v>
      </c>
      <c r="F86" s="1"/>
      <c r="G86" s="1">
        <v>40</v>
      </c>
      <c r="H86" s="1">
        <v>100</v>
      </c>
      <c r="I86" s="1">
        <v>10</v>
      </c>
      <c r="J86" s="1">
        <v>9.5019999999999989</v>
      </c>
      <c r="K86" s="1" t="s">
        <v>93</v>
      </c>
      <c r="L86" s="11"/>
    </row>
    <row r="87" spans="1:12" x14ac:dyDescent="0.25">
      <c r="A87" s="9">
        <v>85</v>
      </c>
      <c r="B87" s="1" t="str">
        <f>'Horizontal Curve List (ML)'!B87</f>
        <v>01°08'10"</v>
      </c>
      <c r="C87" s="10" t="s">
        <v>222</v>
      </c>
      <c r="D87" s="1">
        <v>4000</v>
      </c>
      <c r="E87" s="1">
        <v>49.316200000001118</v>
      </c>
      <c r="F87" s="1"/>
      <c r="G87" s="1">
        <v>30</v>
      </c>
      <c r="H87" s="1">
        <v>100</v>
      </c>
      <c r="I87" s="1">
        <v>30</v>
      </c>
      <c r="J87" s="1">
        <v>4.0240000000000009</v>
      </c>
      <c r="K87" s="1" t="s">
        <v>93</v>
      </c>
      <c r="L87" s="11"/>
    </row>
    <row r="88" spans="1:12" x14ac:dyDescent="0.25">
      <c r="A88" s="9">
        <v>86</v>
      </c>
      <c r="B88" s="1" t="str">
        <f>'Horizontal Curve List (ML)'!B88</f>
        <v>04°20'55"</v>
      </c>
      <c r="C88" s="10" t="s">
        <v>234</v>
      </c>
      <c r="D88" s="1">
        <v>1500.0007000000001</v>
      </c>
      <c r="E88" s="1">
        <v>33.849799999967217</v>
      </c>
      <c r="F88" s="1"/>
      <c r="G88" s="1">
        <v>80</v>
      </c>
      <c r="H88" s="1">
        <v>100</v>
      </c>
      <c r="I88" s="1">
        <v>90</v>
      </c>
      <c r="J88" s="1">
        <v>1.4380000000000024</v>
      </c>
      <c r="K88" s="1" t="s">
        <v>92</v>
      </c>
      <c r="L88" s="11"/>
    </row>
    <row r="89" spans="1:12" x14ac:dyDescent="0.25">
      <c r="A89" s="9">
        <v>87</v>
      </c>
      <c r="B89" s="1" t="str">
        <f>'Horizontal Curve List (ML)'!B89</f>
        <v>05°42'17"</v>
      </c>
      <c r="C89" s="10" t="s">
        <v>222</v>
      </c>
      <c r="D89" s="1">
        <v>4000</v>
      </c>
      <c r="E89" s="1">
        <v>368.26490000006743</v>
      </c>
      <c r="F89" s="1"/>
      <c r="G89" s="1">
        <v>30</v>
      </c>
      <c r="H89" s="1">
        <v>100</v>
      </c>
      <c r="I89" s="1">
        <v>30</v>
      </c>
      <c r="J89" s="1">
        <v>4.0230000000000032</v>
      </c>
      <c r="K89" s="1" t="s">
        <v>93</v>
      </c>
      <c r="L89" s="11"/>
    </row>
    <row r="90" spans="1:12" x14ac:dyDescent="0.25">
      <c r="A90" s="9">
        <v>88</v>
      </c>
      <c r="B90" s="1" t="str">
        <f>'Horizontal Curve List (ML)'!B90</f>
        <v>02°28'05"</v>
      </c>
      <c r="C90" s="10" t="s">
        <v>211</v>
      </c>
      <c r="D90" s="1">
        <v>3500</v>
      </c>
      <c r="E90" s="1">
        <v>110.76399999996647</v>
      </c>
      <c r="F90" s="1"/>
      <c r="G90" s="1">
        <v>40</v>
      </c>
      <c r="H90" s="1">
        <v>100</v>
      </c>
      <c r="I90" s="1">
        <v>30</v>
      </c>
      <c r="J90" s="1">
        <v>9.0060000000000002</v>
      </c>
      <c r="K90" s="1" t="s">
        <v>92</v>
      </c>
      <c r="L90" s="11"/>
    </row>
    <row r="91" spans="1:12" x14ac:dyDescent="0.25">
      <c r="A91" s="9">
        <v>89</v>
      </c>
      <c r="B91" s="1" t="str">
        <f>'Horizontal Curve List (ML)'!B91</f>
        <v>01°19'24"</v>
      </c>
      <c r="C91" s="10" t="s">
        <v>211</v>
      </c>
      <c r="D91" s="1">
        <v>3500</v>
      </c>
      <c r="E91" s="1">
        <v>40.83129999996163</v>
      </c>
      <c r="F91" s="1"/>
      <c r="G91" s="1">
        <v>40</v>
      </c>
      <c r="H91" s="1">
        <v>100</v>
      </c>
      <c r="I91" s="1">
        <v>30</v>
      </c>
      <c r="J91" s="1">
        <v>9.0060000000000002</v>
      </c>
      <c r="K91" s="1" t="s">
        <v>92</v>
      </c>
      <c r="L91" s="11"/>
    </row>
    <row r="92" spans="1:12" x14ac:dyDescent="0.25">
      <c r="A92" s="9">
        <v>90</v>
      </c>
      <c r="B92" s="1" t="str">
        <f>'Horizontal Curve List (ML)'!B92</f>
        <v>01°19'24"</v>
      </c>
      <c r="C92" s="10" t="s">
        <v>211</v>
      </c>
      <c r="D92" s="1">
        <v>3500</v>
      </c>
      <c r="E92" s="1">
        <v>40.83129999996163</v>
      </c>
      <c r="F92" s="1"/>
      <c r="G92" s="1">
        <v>40</v>
      </c>
      <c r="H92" s="1">
        <v>100</v>
      </c>
      <c r="I92" s="1">
        <v>30</v>
      </c>
      <c r="J92" s="1">
        <v>9.0060000000000002</v>
      </c>
      <c r="K92" s="1" t="s">
        <v>93</v>
      </c>
      <c r="L92" s="11"/>
    </row>
    <row r="93" spans="1:12" x14ac:dyDescent="0.25">
      <c r="A93" s="9">
        <v>91</v>
      </c>
      <c r="B93" s="1" t="str">
        <f>'Horizontal Curve List (ML)'!B93</f>
        <v>00°45'23"</v>
      </c>
      <c r="C93" s="10" t="s">
        <v>216</v>
      </c>
      <c r="D93" s="1">
        <v>5000.0001000000002</v>
      </c>
      <c r="E93" s="1">
        <v>25.996800000080839</v>
      </c>
      <c r="F93" s="1"/>
      <c r="G93" s="1">
        <v>40</v>
      </c>
      <c r="H93" s="1">
        <v>100</v>
      </c>
      <c r="I93" s="1">
        <v>20</v>
      </c>
      <c r="J93" s="1">
        <v>7.3039999999999985</v>
      </c>
      <c r="K93" s="1" t="s">
        <v>93</v>
      </c>
      <c r="L93" s="11"/>
    </row>
    <row r="94" spans="1:12" x14ac:dyDescent="0.25">
      <c r="A94" s="9">
        <v>92</v>
      </c>
      <c r="B94" s="1" t="str">
        <f>'Horizontal Curve List (ML)'!B94</f>
        <v>00°58'25"</v>
      </c>
      <c r="C94" s="10" t="s">
        <v>216</v>
      </c>
      <c r="D94" s="1">
        <v>5000</v>
      </c>
      <c r="E94" s="1">
        <v>54.967200000071898</v>
      </c>
      <c r="F94" s="1"/>
      <c r="G94" s="1">
        <v>30</v>
      </c>
      <c r="H94" s="1">
        <v>100</v>
      </c>
      <c r="I94" s="1">
        <v>20</v>
      </c>
      <c r="J94" s="1">
        <v>7.2190000000000012</v>
      </c>
      <c r="K94" s="1" t="s">
        <v>92</v>
      </c>
      <c r="L94" s="11"/>
    </row>
    <row r="95" spans="1:12" x14ac:dyDescent="0.25">
      <c r="A95" s="9">
        <v>93</v>
      </c>
      <c r="B95" s="1" t="str">
        <f>'Horizontal Curve List (ML)'!B95</f>
        <v>05°24'31"</v>
      </c>
      <c r="C95" s="10" t="s">
        <v>214</v>
      </c>
      <c r="D95" s="1">
        <v>1750.0002999999999</v>
      </c>
      <c r="E95" s="1">
        <v>95.200200000079349</v>
      </c>
      <c r="F95" s="1"/>
      <c r="G95" s="1">
        <v>70</v>
      </c>
      <c r="H95" s="1">
        <v>100</v>
      </c>
      <c r="I95" s="1">
        <v>70</v>
      </c>
      <c r="J95" s="1">
        <v>8.3220000000000027</v>
      </c>
      <c r="K95" s="1" t="s">
        <v>92</v>
      </c>
      <c r="L95" s="11"/>
    </row>
    <row r="96" spans="1:12" x14ac:dyDescent="0.25">
      <c r="A96" s="9">
        <v>94</v>
      </c>
      <c r="B96" s="1" t="str">
        <f>'Horizontal Curve List (ML)'!B96</f>
        <v>05°47'09"</v>
      </c>
      <c r="C96" s="10" t="s">
        <v>214</v>
      </c>
      <c r="D96" s="1">
        <v>1750.0002999999999</v>
      </c>
      <c r="E96" s="1">
        <v>106.71739999996498</v>
      </c>
      <c r="F96" s="1"/>
      <c r="G96" s="1">
        <v>70</v>
      </c>
      <c r="H96" s="1">
        <v>100</v>
      </c>
      <c r="I96" s="1">
        <v>70</v>
      </c>
      <c r="J96" s="1">
        <v>8.3220000000000027</v>
      </c>
      <c r="K96" s="1" t="s">
        <v>93</v>
      </c>
      <c r="L96" s="11"/>
    </row>
    <row r="97" spans="1:12" x14ac:dyDescent="0.25">
      <c r="A97" s="9">
        <v>95</v>
      </c>
      <c r="B97" s="1" t="str">
        <f>'Horizontal Curve List (ML)'!B97</f>
        <v>03°35'14"</v>
      </c>
      <c r="C97" s="10" t="s">
        <v>214</v>
      </c>
      <c r="D97" s="1">
        <v>1750.0002999999999</v>
      </c>
      <c r="E97" s="1">
        <v>39.569600000046194</v>
      </c>
      <c r="F97" s="1"/>
      <c r="G97" s="1">
        <v>70</v>
      </c>
      <c r="H97" s="1">
        <v>100</v>
      </c>
      <c r="I97" s="1">
        <v>70</v>
      </c>
      <c r="J97" s="1">
        <v>8.3220000000000027</v>
      </c>
      <c r="K97" s="1" t="s">
        <v>93</v>
      </c>
      <c r="L97" s="11"/>
    </row>
    <row r="98" spans="1:12" x14ac:dyDescent="0.25">
      <c r="A98" s="9">
        <v>96</v>
      </c>
      <c r="B98" s="1" t="str">
        <f>'Horizontal Curve List (ML)'!B98</f>
        <v>03°41'39"</v>
      </c>
      <c r="C98" s="10" t="s">
        <v>214</v>
      </c>
      <c r="D98" s="1">
        <v>1750.0002999999999</v>
      </c>
      <c r="E98" s="1">
        <v>42.835399999981746</v>
      </c>
      <c r="F98" s="1"/>
      <c r="G98" s="1">
        <v>70</v>
      </c>
      <c r="H98" s="1">
        <v>100</v>
      </c>
      <c r="I98" s="1">
        <v>70</v>
      </c>
      <c r="J98" s="1">
        <v>8.3220000000000027</v>
      </c>
      <c r="K98" s="1" t="s">
        <v>92</v>
      </c>
      <c r="L98" s="11"/>
    </row>
    <row r="99" spans="1:12" x14ac:dyDescent="0.25">
      <c r="A99" s="9">
        <v>97</v>
      </c>
      <c r="B99" s="1" t="str">
        <f>'Horizontal Curve List (ML)'!B99</f>
        <v>00°39'09"</v>
      </c>
      <c r="C99" s="10" t="s">
        <v>230</v>
      </c>
      <c r="D99" s="1">
        <v>10000</v>
      </c>
      <c r="E99" s="1">
        <v>93.86960000009276</v>
      </c>
      <c r="F99" s="1"/>
      <c r="G99" s="1">
        <v>20</v>
      </c>
      <c r="H99" s="1">
        <v>100</v>
      </c>
      <c r="I99" s="1">
        <v>10</v>
      </c>
      <c r="J99" s="1">
        <v>3.5299999999999994</v>
      </c>
      <c r="K99" s="1" t="s">
        <v>93</v>
      </c>
      <c r="L99" s="42" t="s">
        <v>289</v>
      </c>
    </row>
    <row r="100" spans="1:12" x14ac:dyDescent="0.25">
      <c r="A100" s="9">
        <v>98</v>
      </c>
      <c r="B100" s="1" t="str">
        <f>'Horizontal Curve List (ML)'!B100</f>
        <v>01°14'50"</v>
      </c>
      <c r="C100" s="10" t="s">
        <v>222</v>
      </c>
      <c r="D100" s="1">
        <v>4000</v>
      </c>
      <c r="E100" s="1">
        <v>57.063400000100955</v>
      </c>
      <c r="F100" s="1"/>
      <c r="G100" s="1">
        <v>30</v>
      </c>
      <c r="H100" s="1">
        <v>100</v>
      </c>
      <c r="I100" s="1">
        <v>30</v>
      </c>
      <c r="J100" s="1">
        <v>4.0240000000000009</v>
      </c>
      <c r="K100" s="1" t="s">
        <v>92</v>
      </c>
      <c r="L100" s="42"/>
    </row>
    <row r="101" spans="1:12" x14ac:dyDescent="0.25">
      <c r="A101" s="9">
        <v>99</v>
      </c>
      <c r="B101" s="1" t="str">
        <f>'Horizontal Curve List (ML)'!B101</f>
        <v>00°38'07"</v>
      </c>
      <c r="C101" s="10" t="s">
        <v>212</v>
      </c>
      <c r="D101" s="1">
        <v>7000</v>
      </c>
      <c r="E101" s="1">
        <v>47.617000000085682</v>
      </c>
      <c r="F101" s="1"/>
      <c r="G101" s="1">
        <v>30</v>
      </c>
      <c r="H101" s="1">
        <v>100</v>
      </c>
      <c r="I101" s="1">
        <v>10</v>
      </c>
      <c r="J101" s="1">
        <v>9.4420000000000002</v>
      </c>
      <c r="K101" s="1" t="s">
        <v>93</v>
      </c>
      <c r="L101" s="42"/>
    </row>
    <row r="102" spans="1:12" x14ac:dyDescent="0.25">
      <c r="A102" s="9">
        <v>100</v>
      </c>
      <c r="B102" s="1" t="str">
        <f>'Horizontal Curve List (ML)'!B102</f>
        <v>03°00'49"</v>
      </c>
      <c r="C102" s="10" t="s">
        <v>214</v>
      </c>
      <c r="D102" s="1">
        <v>1750.0002999999999</v>
      </c>
      <c r="E102" s="1">
        <v>22.045500000007451</v>
      </c>
      <c r="F102" s="1"/>
      <c r="G102" s="1">
        <v>70</v>
      </c>
      <c r="H102" s="1">
        <v>100</v>
      </c>
      <c r="I102" s="1">
        <v>70</v>
      </c>
      <c r="J102" s="1">
        <v>8.3220000000000027</v>
      </c>
      <c r="K102" s="1" t="s">
        <v>92</v>
      </c>
      <c r="L102" s="42"/>
    </row>
    <row r="103" spans="1:12" x14ac:dyDescent="0.25">
      <c r="A103" s="9">
        <v>101</v>
      </c>
      <c r="B103" s="1" t="str">
        <f>'Horizontal Curve List (ML)'!B103</f>
        <v>03°36'44"</v>
      </c>
      <c r="C103" s="10" t="s">
        <v>211</v>
      </c>
      <c r="D103" s="1">
        <v>3500</v>
      </c>
      <c r="E103" s="1">
        <v>180.6644999999553</v>
      </c>
      <c r="F103" s="1"/>
      <c r="G103" s="1">
        <v>40</v>
      </c>
      <c r="H103" s="1">
        <v>100</v>
      </c>
      <c r="I103" s="1">
        <v>30</v>
      </c>
      <c r="J103" s="1">
        <v>9.0050000000000026</v>
      </c>
      <c r="K103" s="1" t="s">
        <v>93</v>
      </c>
      <c r="L103" s="42"/>
    </row>
    <row r="104" spans="1:12" x14ac:dyDescent="0.25">
      <c r="A104" s="9">
        <v>102</v>
      </c>
      <c r="B104" s="1" t="str">
        <f>'Horizontal Curve List (ML)'!B104</f>
        <v>00°35'42"</v>
      </c>
      <c r="C104" s="10" t="s">
        <v>241</v>
      </c>
      <c r="D104" s="1">
        <v>5999.9998999999998</v>
      </c>
      <c r="E104" s="1">
        <v>22.299000000115484</v>
      </c>
      <c r="F104" s="1"/>
      <c r="G104" s="1">
        <v>40</v>
      </c>
      <c r="H104" s="1">
        <v>100</v>
      </c>
      <c r="I104" s="1">
        <v>20</v>
      </c>
      <c r="J104" s="1">
        <v>2.7530000000000001</v>
      </c>
      <c r="K104" s="1" t="s">
        <v>92</v>
      </c>
      <c r="L104" s="42"/>
    </row>
    <row r="105" spans="1:12" x14ac:dyDescent="0.25">
      <c r="A105" s="9">
        <v>103</v>
      </c>
      <c r="B105" s="1" t="str">
        <f>'Horizontal Curve List (ML)'!B105</f>
        <v>00°45'16"</v>
      </c>
      <c r="C105" s="10" t="s">
        <v>216</v>
      </c>
      <c r="D105" s="1">
        <v>5000.0001000000002</v>
      </c>
      <c r="E105" s="1">
        <v>25.828500000061467</v>
      </c>
      <c r="F105" s="1"/>
      <c r="G105" s="1">
        <v>40</v>
      </c>
      <c r="H105" s="1">
        <v>100</v>
      </c>
      <c r="I105" s="1">
        <v>20</v>
      </c>
      <c r="J105" s="1">
        <v>7.3039999999999985</v>
      </c>
      <c r="K105" s="1" t="s">
        <v>92</v>
      </c>
      <c r="L105" s="42"/>
    </row>
    <row r="106" spans="1:12" x14ac:dyDescent="0.25">
      <c r="A106" s="9">
        <v>104</v>
      </c>
      <c r="B106" s="1" t="str">
        <f>'Horizontal Curve List (ML)'!B106</f>
        <v>00°45'16"</v>
      </c>
      <c r="C106" s="10" t="s">
        <v>216</v>
      </c>
      <c r="D106" s="1">
        <v>5000</v>
      </c>
      <c r="E106" s="1">
        <v>25.828500000061467</v>
      </c>
      <c r="F106" s="1"/>
      <c r="G106" s="1">
        <v>40</v>
      </c>
      <c r="H106" s="1">
        <v>100</v>
      </c>
      <c r="I106" s="1">
        <v>20</v>
      </c>
      <c r="J106" s="1">
        <v>7.3039999999999985</v>
      </c>
      <c r="K106" s="1" t="s">
        <v>93</v>
      </c>
      <c r="L106" s="42"/>
    </row>
    <row r="107" spans="1:12" x14ac:dyDescent="0.25">
      <c r="A107" s="9">
        <v>105</v>
      </c>
      <c r="B107" s="1" t="str">
        <f>'Horizontal Curve List (ML)'!B107</f>
        <v>00°32'21"</v>
      </c>
      <c r="C107" s="10" t="s">
        <v>230</v>
      </c>
      <c r="D107" s="1">
        <v>10000</v>
      </c>
      <c r="E107" s="1">
        <v>74.083899999968708</v>
      </c>
      <c r="F107" s="1"/>
      <c r="G107" s="1">
        <v>20</v>
      </c>
      <c r="H107" s="1">
        <v>100</v>
      </c>
      <c r="I107" s="1">
        <v>10</v>
      </c>
      <c r="J107" s="1">
        <v>3.5250000000000004</v>
      </c>
      <c r="K107" s="1" t="s">
        <v>92</v>
      </c>
      <c r="L107" s="42"/>
    </row>
    <row r="108" spans="1:12" x14ac:dyDescent="0.25">
      <c r="A108" s="9">
        <v>106</v>
      </c>
      <c r="B108" s="1" t="str">
        <f>'Horizontal Curve List (ML)'!B108</f>
        <v>14°21'53"</v>
      </c>
      <c r="C108" s="10" t="s">
        <v>242</v>
      </c>
      <c r="D108" s="1">
        <v>800</v>
      </c>
      <c r="E108" s="1">
        <v>60.567800000077114</v>
      </c>
      <c r="F108" s="1"/>
      <c r="G108" s="1">
        <v>140</v>
      </c>
      <c r="H108" s="1">
        <v>100</v>
      </c>
      <c r="I108" s="1">
        <v>165</v>
      </c>
      <c r="J108" s="1">
        <v>6.7870000000000061</v>
      </c>
      <c r="K108" s="1" t="s">
        <v>92</v>
      </c>
      <c r="L108" s="11"/>
    </row>
    <row r="109" spans="1:12" x14ac:dyDescent="0.25">
      <c r="A109" s="9">
        <v>107</v>
      </c>
      <c r="B109" s="1" t="str">
        <f>'Horizontal Curve List (ML)'!B109</f>
        <v>42°03'37"</v>
      </c>
      <c r="C109" s="10" t="s">
        <v>238</v>
      </c>
      <c r="D109" s="1">
        <v>700.00689999999997</v>
      </c>
      <c r="E109" s="1">
        <v>433.86679999995977</v>
      </c>
      <c r="F109" s="1"/>
      <c r="G109" s="1">
        <v>80</v>
      </c>
      <c r="H109" s="1">
        <v>100</v>
      </c>
      <c r="I109" s="1">
        <v>150</v>
      </c>
      <c r="J109" s="1">
        <v>45.914999999999992</v>
      </c>
      <c r="K109" s="1" t="s">
        <v>93</v>
      </c>
      <c r="L109" s="11"/>
    </row>
    <row r="110" spans="1:12" x14ac:dyDescent="0.25">
      <c r="A110" s="9">
        <v>108</v>
      </c>
      <c r="B110" s="1" t="str">
        <f>'Horizontal Curve List (ML)'!B110</f>
        <v>32°25'13"</v>
      </c>
      <c r="C110" s="10" t="s">
        <v>238</v>
      </c>
      <c r="D110" s="1">
        <v>700.00689999999997</v>
      </c>
      <c r="E110" s="1">
        <v>316.0910000000149</v>
      </c>
      <c r="F110" s="1"/>
      <c r="G110" s="1">
        <v>80</v>
      </c>
      <c r="H110" s="1">
        <v>100</v>
      </c>
      <c r="I110" s="1">
        <v>150</v>
      </c>
      <c r="J110" s="1">
        <v>45.903999999999996</v>
      </c>
      <c r="K110" s="1" t="s">
        <v>92</v>
      </c>
      <c r="L110" s="11"/>
    </row>
    <row r="111" spans="1:12" x14ac:dyDescent="0.25">
      <c r="A111" s="9">
        <v>109</v>
      </c>
      <c r="B111" s="1" t="str">
        <f>'Horizontal Curve List (ML)'!B111</f>
        <v>08°50'12"</v>
      </c>
      <c r="C111" s="10" t="s">
        <v>222</v>
      </c>
      <c r="D111" s="1">
        <v>4000</v>
      </c>
      <c r="E111" s="1">
        <v>586.92360000009649</v>
      </c>
      <c r="F111" s="1"/>
      <c r="G111" s="1">
        <v>30</v>
      </c>
      <c r="H111" s="1">
        <v>100</v>
      </c>
      <c r="I111" s="1">
        <v>30</v>
      </c>
      <c r="J111" s="1">
        <v>4.0039999999999978</v>
      </c>
      <c r="K111" s="1" t="s">
        <v>93</v>
      </c>
      <c r="L111" s="11"/>
    </row>
    <row r="112" spans="1:12" x14ac:dyDescent="0.25">
      <c r="A112" s="9">
        <v>110</v>
      </c>
      <c r="B112" s="1" t="str">
        <f>'Horizontal Curve List (ML)'!B112</f>
        <v>01°32'37"</v>
      </c>
      <c r="C112" s="10" t="s">
        <v>211</v>
      </c>
      <c r="D112" s="1">
        <v>3500</v>
      </c>
      <c r="E112" s="1">
        <v>54.298299999907613</v>
      </c>
      <c r="F112" s="1"/>
      <c r="G112" s="1">
        <v>40</v>
      </c>
      <c r="H112" s="1">
        <v>100</v>
      </c>
      <c r="I112" s="1">
        <v>30</v>
      </c>
      <c r="J112" s="1">
        <v>8.990000000000002</v>
      </c>
      <c r="K112" s="1" t="s">
        <v>92</v>
      </c>
      <c r="L112" s="11"/>
    </row>
    <row r="113" spans="1:12" x14ac:dyDescent="0.25">
      <c r="A113" s="9">
        <v>111</v>
      </c>
      <c r="B113" s="1" t="str">
        <f>'Horizontal Curve List (ML)'!B113</f>
        <v>03°41'05"</v>
      </c>
      <c r="C113" s="10" t="s">
        <v>219</v>
      </c>
      <c r="D113" s="1">
        <v>1700.0002999999999</v>
      </c>
      <c r="E113" s="1">
        <v>39.328800000017509</v>
      </c>
      <c r="F113" s="1"/>
      <c r="G113" s="1">
        <v>70</v>
      </c>
      <c r="H113" s="1">
        <v>100</v>
      </c>
      <c r="I113" s="1">
        <v>80</v>
      </c>
      <c r="J113" s="1">
        <v>0.60699999999999932</v>
      </c>
      <c r="K113" s="1" t="s">
        <v>93</v>
      </c>
      <c r="L113" s="11"/>
    </row>
    <row r="114" spans="1:12" x14ac:dyDescent="0.25">
      <c r="A114" s="9">
        <v>112</v>
      </c>
      <c r="B114" s="1" t="str">
        <f>'Horizontal Curve List (ML)'!B114</f>
        <v>04°34'48"</v>
      </c>
      <c r="C114" s="10" t="s">
        <v>214</v>
      </c>
      <c r="D114" s="1">
        <v>1750.0002999999999</v>
      </c>
      <c r="E114" s="1">
        <v>69.887399999890476</v>
      </c>
      <c r="F114" s="1"/>
      <c r="G114" s="1">
        <v>70</v>
      </c>
      <c r="H114" s="1">
        <v>100</v>
      </c>
      <c r="I114" s="1">
        <v>70</v>
      </c>
      <c r="J114" s="1">
        <v>8.304000000000002</v>
      </c>
      <c r="K114" s="1" t="s">
        <v>92</v>
      </c>
      <c r="L114" s="11"/>
    </row>
    <row r="115" spans="1:12" x14ac:dyDescent="0.25">
      <c r="A115" s="9">
        <v>113</v>
      </c>
      <c r="B115" s="1" t="str">
        <f>'Horizontal Curve List (ML)'!B115</f>
        <v>02°02'50"</v>
      </c>
      <c r="C115" s="10" t="s">
        <v>215</v>
      </c>
      <c r="D115" s="1">
        <v>2500</v>
      </c>
      <c r="E115" s="1">
        <v>39.327400000067428</v>
      </c>
      <c r="F115" s="1"/>
      <c r="G115" s="1">
        <v>50</v>
      </c>
      <c r="H115" s="1">
        <v>100</v>
      </c>
      <c r="I115" s="1">
        <v>50</v>
      </c>
      <c r="J115" s="1">
        <v>4.6929999999999978</v>
      </c>
      <c r="K115" s="1" t="s">
        <v>92</v>
      </c>
      <c r="L115" s="11"/>
    </row>
    <row r="116" spans="1:12" x14ac:dyDescent="0.25">
      <c r="A116" s="9">
        <v>114</v>
      </c>
      <c r="B116" s="1" t="str">
        <f>'Horizontal Curve List (ML)'!B116</f>
        <v>01°39'40"</v>
      </c>
      <c r="C116" s="10" t="s">
        <v>212</v>
      </c>
      <c r="D116" s="1">
        <v>7000</v>
      </c>
      <c r="E116" s="1">
        <v>182.92629999993369</v>
      </c>
      <c r="F116" s="1"/>
      <c r="G116" s="1">
        <v>20</v>
      </c>
      <c r="H116" s="1">
        <v>100</v>
      </c>
      <c r="I116" s="1">
        <v>20</v>
      </c>
      <c r="J116" s="1">
        <v>0.69499999999999995</v>
      </c>
      <c r="K116" s="1" t="s">
        <v>93</v>
      </c>
      <c r="L116" s="11"/>
    </row>
    <row r="117" spans="1:12" x14ac:dyDescent="0.25">
      <c r="A117" s="9">
        <v>115</v>
      </c>
      <c r="B117" s="1" t="str">
        <f>'Horizontal Curve List (ML)'!B117</f>
        <v>00°47'45"</v>
      </c>
      <c r="C117" s="10" t="s">
        <v>243</v>
      </c>
      <c r="D117" s="1">
        <v>4499.9998999999998</v>
      </c>
      <c r="E117" s="1">
        <v>32.496000000042841</v>
      </c>
      <c r="F117" s="1"/>
      <c r="G117" s="1">
        <v>30</v>
      </c>
      <c r="H117" s="1">
        <v>100</v>
      </c>
      <c r="I117" s="1">
        <v>30</v>
      </c>
      <c r="J117" s="1">
        <v>0.5779999999999994</v>
      </c>
      <c r="K117" s="1" t="s">
        <v>92</v>
      </c>
      <c r="L117" s="11"/>
    </row>
    <row r="118" spans="1:12" x14ac:dyDescent="0.25">
      <c r="A118" s="9">
        <v>116</v>
      </c>
      <c r="B118" s="1" t="str">
        <f>'Horizontal Curve List (ML)'!B118</f>
        <v>00°47'45"</v>
      </c>
      <c r="C118" s="10" t="s">
        <v>244</v>
      </c>
      <c r="D118" s="1">
        <v>5800</v>
      </c>
      <c r="E118" s="1">
        <v>60.550400000065565</v>
      </c>
      <c r="F118" s="1"/>
      <c r="G118" s="1">
        <v>20</v>
      </c>
      <c r="H118" s="1">
        <v>100</v>
      </c>
      <c r="I118" s="1">
        <v>20</v>
      </c>
      <c r="J118" s="1">
        <v>3.7240000000000002</v>
      </c>
      <c r="K118" s="1" t="s">
        <v>93</v>
      </c>
      <c r="L118" s="11"/>
    </row>
    <row r="119" spans="1:12" x14ac:dyDescent="0.25">
      <c r="A119" s="9">
        <v>117</v>
      </c>
      <c r="B119" s="1" t="str">
        <f>'Horizontal Curve List (ML)'!B119</f>
        <v>00°34'38"</v>
      </c>
      <c r="C119" s="10" t="s">
        <v>212</v>
      </c>
      <c r="D119" s="1">
        <v>7000.0001000000002</v>
      </c>
      <c r="E119" s="1">
        <v>40.509599999990314</v>
      </c>
      <c r="F119" s="1"/>
      <c r="G119" s="1">
        <v>30</v>
      </c>
      <c r="H119" s="1">
        <v>100</v>
      </c>
      <c r="I119" s="1">
        <v>10</v>
      </c>
      <c r="J119" s="1">
        <v>9.657</v>
      </c>
      <c r="K119" s="1" t="s">
        <v>93</v>
      </c>
      <c r="L119" s="11"/>
    </row>
    <row r="120" spans="1:12" x14ac:dyDescent="0.25">
      <c r="A120" s="9">
        <v>118</v>
      </c>
      <c r="B120" s="1" t="str">
        <f>'Horizontal Curve List (ML)'!B120</f>
        <v>01°32'58"</v>
      </c>
      <c r="C120" s="10" t="s">
        <v>217</v>
      </c>
      <c r="D120" s="1">
        <v>2800</v>
      </c>
      <c r="E120" s="1">
        <v>35.719000000040978</v>
      </c>
      <c r="F120" s="1"/>
      <c r="G120" s="1">
        <v>40</v>
      </c>
      <c r="H120" s="1">
        <v>100</v>
      </c>
      <c r="I120" s="1">
        <v>40</v>
      </c>
      <c r="J120" s="1">
        <v>9.1430000000000007</v>
      </c>
      <c r="K120" s="1" t="s">
        <v>93</v>
      </c>
      <c r="L120" s="11"/>
    </row>
    <row r="121" spans="1:12" x14ac:dyDescent="0.25">
      <c r="A121" s="9">
        <v>119</v>
      </c>
      <c r="B121" s="1" t="str">
        <f>'Horizontal Curve List (ML)'!B121</f>
        <v>01°28'56"</v>
      </c>
      <c r="C121" s="10" t="s">
        <v>213</v>
      </c>
      <c r="D121" s="1">
        <v>3000</v>
      </c>
      <c r="E121" s="1">
        <v>37.608999999938533</v>
      </c>
      <c r="F121" s="1"/>
      <c r="G121" s="1">
        <v>40</v>
      </c>
      <c r="H121" s="1">
        <v>100</v>
      </c>
      <c r="I121" s="1">
        <v>40</v>
      </c>
      <c r="J121" s="1">
        <v>5.8669999999999973</v>
      </c>
      <c r="K121" s="1" t="s">
        <v>92</v>
      </c>
      <c r="L121" s="11"/>
    </row>
    <row r="122" spans="1:12" x14ac:dyDescent="0.25">
      <c r="A122" s="9">
        <v>120</v>
      </c>
      <c r="B122" s="1" t="str">
        <f>'Horizontal Curve List (ML)'!B122</f>
        <v>02°35'00"</v>
      </c>
      <c r="C122" s="10" t="s">
        <v>245</v>
      </c>
      <c r="D122" s="1">
        <v>5300</v>
      </c>
      <c r="E122" s="1">
        <v>208.96020000008866</v>
      </c>
      <c r="F122" s="1"/>
      <c r="G122" s="1">
        <v>30</v>
      </c>
      <c r="H122" s="1">
        <v>100</v>
      </c>
      <c r="I122" s="1">
        <v>20</v>
      </c>
      <c r="J122" s="1">
        <v>5.9619999999999997</v>
      </c>
      <c r="K122" s="1" t="s">
        <v>92</v>
      </c>
      <c r="L122" s="11"/>
    </row>
    <row r="123" spans="1:12" x14ac:dyDescent="0.25">
      <c r="A123" s="9">
        <v>121</v>
      </c>
      <c r="B123" s="1" t="str">
        <f>'Horizontal Curve List (ML)'!B123</f>
        <v>02°33'28"</v>
      </c>
      <c r="C123" s="10" t="s">
        <v>211</v>
      </c>
      <c r="D123" s="1">
        <v>3500</v>
      </c>
      <c r="E123" s="1">
        <v>116.24340000003576</v>
      </c>
      <c r="F123" s="1"/>
      <c r="G123" s="1">
        <v>40</v>
      </c>
      <c r="H123" s="1">
        <v>100</v>
      </c>
      <c r="I123" s="1">
        <v>30</v>
      </c>
      <c r="J123" s="1">
        <v>9.3140000000000001</v>
      </c>
      <c r="K123" s="1" t="s">
        <v>93</v>
      </c>
      <c r="L123" s="11"/>
    </row>
    <row r="124" spans="1:12" x14ac:dyDescent="0.25">
      <c r="A124" s="9">
        <v>122</v>
      </c>
      <c r="B124" s="1" t="str">
        <f>'Horizontal Curve List (ML)'!B124</f>
        <v>00°44'28"</v>
      </c>
      <c r="C124" s="10" t="s">
        <v>212</v>
      </c>
      <c r="D124" s="1">
        <v>7000</v>
      </c>
      <c r="E124" s="1">
        <v>70.550100000109524</v>
      </c>
      <c r="F124" s="1"/>
      <c r="G124" s="1">
        <v>20</v>
      </c>
      <c r="H124" s="1">
        <v>100</v>
      </c>
      <c r="I124" s="1">
        <v>10</v>
      </c>
      <c r="J124" s="1">
        <v>9.657</v>
      </c>
      <c r="K124" s="1" t="s">
        <v>93</v>
      </c>
      <c r="L124" s="11"/>
    </row>
    <row r="125" spans="1:12" x14ac:dyDescent="0.25">
      <c r="A125" s="9">
        <v>123</v>
      </c>
      <c r="B125" s="1" t="str">
        <f>'Horizontal Curve List (ML)'!B125</f>
        <v>00°41'07"</v>
      </c>
      <c r="C125" s="10" t="s">
        <v>212</v>
      </c>
      <c r="D125" s="1">
        <v>7000</v>
      </c>
      <c r="E125" s="1">
        <v>63.730900000082329</v>
      </c>
      <c r="F125" s="1"/>
      <c r="G125" s="1">
        <v>20</v>
      </c>
      <c r="H125" s="1">
        <v>100</v>
      </c>
      <c r="I125" s="1">
        <v>10</v>
      </c>
      <c r="J125" s="1">
        <v>9.657</v>
      </c>
      <c r="K125" s="1" t="s">
        <v>92</v>
      </c>
      <c r="L125" s="11"/>
    </row>
    <row r="126" spans="1:12" x14ac:dyDescent="0.25">
      <c r="A126" s="9">
        <v>124</v>
      </c>
      <c r="B126" s="1" t="str">
        <f>'Horizontal Curve List (ML)'!B126</f>
        <v>01°36'39"</v>
      </c>
      <c r="C126" s="10" t="s">
        <v>246</v>
      </c>
      <c r="D126" s="1">
        <v>2900</v>
      </c>
      <c r="E126" s="1">
        <v>41.531900000059977</v>
      </c>
      <c r="F126" s="1"/>
      <c r="G126" s="1">
        <v>40</v>
      </c>
      <c r="H126" s="1">
        <v>100</v>
      </c>
      <c r="I126" s="1">
        <v>40</v>
      </c>
      <c r="J126" s="1">
        <v>7.4480000000000004</v>
      </c>
      <c r="K126" s="1" t="s">
        <v>93</v>
      </c>
      <c r="L126" s="11"/>
    </row>
    <row r="127" spans="1:12" x14ac:dyDescent="0.25">
      <c r="A127" s="9">
        <v>125</v>
      </c>
      <c r="B127" s="1" t="str">
        <f>'Horizontal Curve List (ML)'!B127</f>
        <v>01°21'20"</v>
      </c>
      <c r="C127" s="10" t="s">
        <v>213</v>
      </c>
      <c r="D127" s="1">
        <v>3000</v>
      </c>
      <c r="E127" s="1">
        <v>30.976999999955297</v>
      </c>
      <c r="F127" s="1"/>
      <c r="G127" s="1">
        <v>40</v>
      </c>
      <c r="H127" s="1">
        <v>100</v>
      </c>
      <c r="I127" s="1">
        <v>40</v>
      </c>
      <c r="J127" s="1">
        <v>5.8669999999999973</v>
      </c>
      <c r="K127" s="1" t="s">
        <v>92</v>
      </c>
      <c r="L127" s="11"/>
    </row>
    <row r="128" spans="1:12" x14ac:dyDescent="0.25">
      <c r="A128" s="9">
        <v>126</v>
      </c>
      <c r="B128" s="1" t="str">
        <f>'Horizontal Curve List (ML)'!B128</f>
        <v>00°26'45"</v>
      </c>
      <c r="C128" s="10" t="s">
        <v>212</v>
      </c>
      <c r="D128" s="1">
        <v>7000.0002999999997</v>
      </c>
      <c r="E128" s="1">
        <v>34.475000000093132</v>
      </c>
      <c r="F128" s="1"/>
      <c r="G128" s="1">
        <v>20</v>
      </c>
      <c r="H128" s="1">
        <v>100</v>
      </c>
      <c r="I128" s="1">
        <v>15</v>
      </c>
      <c r="J128" s="1">
        <v>4.657</v>
      </c>
      <c r="K128" s="1" t="s">
        <v>92</v>
      </c>
      <c r="L128" s="11"/>
    </row>
    <row r="129" spans="1:12" x14ac:dyDescent="0.25">
      <c r="A129" s="9">
        <v>127</v>
      </c>
      <c r="B129" s="1" t="str">
        <f>'Horizontal Curve List (ML)'!B129</f>
        <v>01°34'18"</v>
      </c>
      <c r="C129" s="10" t="s">
        <v>217</v>
      </c>
      <c r="D129" s="1">
        <v>2800</v>
      </c>
      <c r="E129" s="1">
        <v>36.80129999993369</v>
      </c>
      <c r="F129" s="1"/>
      <c r="G129" s="1">
        <v>40</v>
      </c>
      <c r="H129" s="1">
        <v>100</v>
      </c>
      <c r="I129" s="1">
        <v>40</v>
      </c>
      <c r="J129" s="1">
        <v>9.1430000000000007</v>
      </c>
      <c r="K129" s="1" t="s">
        <v>92</v>
      </c>
      <c r="L129" s="11"/>
    </row>
    <row r="130" spans="1:12" x14ac:dyDescent="0.25">
      <c r="A130" s="9">
        <v>128</v>
      </c>
      <c r="B130" s="1" t="str">
        <f>'Horizontal Curve List (ML)'!B130</f>
        <v>01°49'49"</v>
      </c>
      <c r="C130" s="10" t="s">
        <v>211</v>
      </c>
      <c r="D130" s="1">
        <v>3500</v>
      </c>
      <c r="E130" s="1">
        <v>71.79769999999553</v>
      </c>
      <c r="F130" s="1">
        <v>75.903999999999996</v>
      </c>
      <c r="G130" s="1">
        <v>40</v>
      </c>
      <c r="H130" s="1">
        <v>100</v>
      </c>
      <c r="I130" s="1">
        <v>30</v>
      </c>
      <c r="J130" s="1">
        <v>9.3140000000000001</v>
      </c>
      <c r="K130" s="1" t="s">
        <v>93</v>
      </c>
      <c r="L130" s="11"/>
    </row>
    <row r="131" spans="1:12" x14ac:dyDescent="0.25">
      <c r="A131" s="9">
        <v>129</v>
      </c>
      <c r="B131" s="1" t="str">
        <f>'Horizontal Curve List (ML)'!B131</f>
        <v>00°01'38"</v>
      </c>
      <c r="C131" s="10" t="s">
        <v>247</v>
      </c>
      <c r="D131" s="1">
        <v>85000.048699999999</v>
      </c>
      <c r="E131" s="1">
        <v>20.507800000021234</v>
      </c>
      <c r="F131" s="1"/>
      <c r="G131" s="1">
        <v>20</v>
      </c>
      <c r="H131" s="1">
        <v>100</v>
      </c>
      <c r="I131" s="1">
        <v>10</v>
      </c>
      <c r="J131" s="1">
        <v>8.3810000000000002</v>
      </c>
      <c r="K131" s="1" t="s">
        <v>93</v>
      </c>
      <c r="L131" s="11"/>
    </row>
    <row r="132" spans="1:12" x14ac:dyDescent="0.25">
      <c r="A132" s="9">
        <v>130</v>
      </c>
      <c r="B132" s="1" t="str">
        <f>'Horizontal Curve List (ML)'!B132</f>
        <v>00°02'22"</v>
      </c>
      <c r="C132" s="10" t="s">
        <v>248</v>
      </c>
      <c r="D132" s="1">
        <v>60000.044900000001</v>
      </c>
      <c r="E132" s="1">
        <v>21.279899999964982</v>
      </c>
      <c r="F132" s="1"/>
      <c r="G132" s="1">
        <v>20</v>
      </c>
      <c r="H132" s="1">
        <v>100</v>
      </c>
      <c r="I132" s="1">
        <v>10</v>
      </c>
      <c r="J132" s="1">
        <v>7.7069999999999999</v>
      </c>
      <c r="K132" s="1" t="s">
        <v>93</v>
      </c>
      <c r="L132" s="11"/>
    </row>
    <row r="133" spans="1:12" x14ac:dyDescent="0.25">
      <c r="A133" s="9">
        <v>131</v>
      </c>
      <c r="B133" s="1" t="str">
        <f>'Horizontal Curve List (ML)'!B133</f>
        <v>00°16'27"</v>
      </c>
      <c r="C133" s="10" t="s">
        <v>224</v>
      </c>
      <c r="D133" s="1">
        <v>12000.000400000001</v>
      </c>
      <c r="E133" s="1">
        <v>37.443500000052154</v>
      </c>
      <c r="F133" s="1"/>
      <c r="G133" s="1">
        <v>20</v>
      </c>
      <c r="H133" s="1">
        <v>100</v>
      </c>
      <c r="I133" s="1">
        <v>10</v>
      </c>
      <c r="J133" s="1">
        <v>1.4670000000000005</v>
      </c>
      <c r="K133" s="1" t="s">
        <v>92</v>
      </c>
      <c r="L133" s="11"/>
    </row>
    <row r="134" spans="1:12" x14ac:dyDescent="0.25">
      <c r="A134" s="9">
        <v>132</v>
      </c>
      <c r="B134" s="1" t="str">
        <f>'Horizontal Curve List (ML)'!B134</f>
        <v>00°05'08"</v>
      </c>
      <c r="C134" s="10" t="s">
        <v>249</v>
      </c>
      <c r="D134" s="1">
        <v>39999.999000000003</v>
      </c>
      <c r="E134" s="1">
        <v>39.824599999934435</v>
      </c>
      <c r="F134" s="1"/>
      <c r="G134" s="1">
        <v>20</v>
      </c>
      <c r="H134" s="1">
        <v>100</v>
      </c>
      <c r="I134" s="1">
        <v>10</v>
      </c>
      <c r="J134" s="1">
        <v>6.56</v>
      </c>
      <c r="K134" s="1" t="s">
        <v>93</v>
      </c>
      <c r="L134" s="11"/>
    </row>
    <row r="135" spans="1:12" x14ac:dyDescent="0.25">
      <c r="A135" s="9">
        <v>133</v>
      </c>
      <c r="B135" s="1" t="str">
        <f>'Horizontal Curve List (ML)'!B135</f>
        <v>03°15'15"</v>
      </c>
      <c r="C135" s="10" t="s">
        <v>232</v>
      </c>
      <c r="D135" s="1">
        <v>8000</v>
      </c>
      <c r="E135" s="1">
        <v>434.37870000000112</v>
      </c>
      <c r="F135" s="1"/>
      <c r="G135" s="1">
        <v>20</v>
      </c>
      <c r="H135" s="1">
        <v>100</v>
      </c>
      <c r="I135" s="1">
        <v>20</v>
      </c>
      <c r="J135" s="1">
        <v>2.8</v>
      </c>
      <c r="K135" s="1" t="s">
        <v>92</v>
      </c>
      <c r="L135" s="11"/>
    </row>
    <row r="136" spans="1:12" x14ac:dyDescent="0.25">
      <c r="A136" s="9">
        <v>134</v>
      </c>
      <c r="B136" s="1" t="str">
        <f>'Horizontal Curve List (ML)'!B136</f>
        <v>00°04'44"</v>
      </c>
      <c r="C136" s="10" t="s">
        <v>250</v>
      </c>
      <c r="D136" s="1">
        <v>45000.003799999999</v>
      </c>
      <c r="E136" s="1">
        <v>21.901400000089779</v>
      </c>
      <c r="F136" s="1"/>
      <c r="G136" s="1">
        <v>40</v>
      </c>
      <c r="H136" s="1">
        <v>100</v>
      </c>
      <c r="I136" s="1">
        <v>10</v>
      </c>
      <c r="J136" s="1">
        <v>6.9420000000000002</v>
      </c>
      <c r="K136" s="1" t="s">
        <v>92</v>
      </c>
      <c r="L136" s="11"/>
    </row>
    <row r="137" spans="1:12" x14ac:dyDescent="0.25">
      <c r="A137" s="9">
        <v>135</v>
      </c>
      <c r="B137" s="1" t="str">
        <f>'Horizontal Curve List (ML)'!B137</f>
        <v>03°31'42"</v>
      </c>
      <c r="C137" s="10" t="s">
        <v>251</v>
      </c>
      <c r="D137" s="1">
        <v>3550</v>
      </c>
      <c r="E137" s="1">
        <v>188.61810000007972</v>
      </c>
      <c r="F137" s="1"/>
      <c r="G137" s="1">
        <v>30</v>
      </c>
      <c r="H137" s="1">
        <v>100</v>
      </c>
      <c r="I137" s="1">
        <v>30</v>
      </c>
      <c r="J137" s="1">
        <v>8.7610000000000028</v>
      </c>
      <c r="K137" s="1" t="s">
        <v>93</v>
      </c>
      <c r="L137" s="11"/>
    </row>
    <row r="138" spans="1:12" x14ac:dyDescent="0.25">
      <c r="A138" s="9">
        <v>136</v>
      </c>
      <c r="B138" s="1" t="str">
        <f>'Horizontal Curve List (ML)'!B138</f>
        <v>48°10'00"</v>
      </c>
      <c r="C138" s="10" t="s">
        <v>238</v>
      </c>
      <c r="D138" s="1">
        <v>700</v>
      </c>
      <c r="E138" s="1">
        <v>428.4651999999769</v>
      </c>
      <c r="F138" s="1"/>
      <c r="G138" s="1">
        <v>160</v>
      </c>
      <c r="H138" s="1">
        <v>100</v>
      </c>
      <c r="I138" s="1">
        <v>165</v>
      </c>
      <c r="J138" s="1">
        <v>31.539999999999992</v>
      </c>
      <c r="K138" s="1" t="s">
        <v>93</v>
      </c>
      <c r="L138" s="11"/>
    </row>
    <row r="139" spans="1:12" x14ac:dyDescent="0.25">
      <c r="A139" s="9">
        <v>137</v>
      </c>
      <c r="B139" s="1" t="str">
        <f>'Horizontal Curve List (ML)'!B139</f>
        <v>128°38'45"</v>
      </c>
      <c r="C139" s="10" t="s">
        <v>238</v>
      </c>
      <c r="D139" s="1">
        <v>700</v>
      </c>
      <c r="E139" s="1">
        <v>1411.7065000000875</v>
      </c>
      <c r="F139" s="1"/>
      <c r="G139" s="1">
        <v>160</v>
      </c>
      <c r="H139" s="1">
        <v>100</v>
      </c>
      <c r="I139" s="1">
        <v>165</v>
      </c>
      <c r="J139" s="1">
        <v>31.539999999999992</v>
      </c>
      <c r="K139" s="1" t="s">
        <v>92</v>
      </c>
      <c r="L139" s="11"/>
    </row>
    <row r="140" spans="1:12" x14ac:dyDescent="0.25">
      <c r="A140" s="9">
        <v>138</v>
      </c>
      <c r="B140" s="1" t="str">
        <f>'Horizontal Curve List (ML)'!B140</f>
        <v>107°23'23"</v>
      </c>
      <c r="C140" s="10" t="s">
        <v>238</v>
      </c>
      <c r="D140" s="1">
        <v>700.00689999999997</v>
      </c>
      <c r="E140" s="1">
        <v>1232.0234999998938</v>
      </c>
      <c r="F140" s="1"/>
      <c r="G140" s="1">
        <v>80</v>
      </c>
      <c r="H140" s="1">
        <v>100</v>
      </c>
      <c r="I140" s="1">
        <v>150</v>
      </c>
      <c r="J140" s="1">
        <v>46.568999999999988</v>
      </c>
      <c r="K140" s="1" t="s">
        <v>93</v>
      </c>
      <c r="L140" s="11"/>
    </row>
    <row r="141" spans="1:12" x14ac:dyDescent="0.25">
      <c r="A141" s="9">
        <v>139</v>
      </c>
      <c r="B141" s="1" t="str">
        <f>'Horizontal Curve List (ML)'!B141</f>
        <v>32°39'57"</v>
      </c>
      <c r="C141" s="10" t="s">
        <v>252</v>
      </c>
      <c r="D141" s="1">
        <v>703</v>
      </c>
      <c r="E141" s="1">
        <v>240.79829999990761</v>
      </c>
      <c r="F141" s="1"/>
      <c r="G141" s="1">
        <v>160</v>
      </c>
      <c r="H141" s="1">
        <v>100</v>
      </c>
      <c r="I141" s="1">
        <v>165</v>
      </c>
      <c r="J141" s="1">
        <v>31.539999999999992</v>
      </c>
      <c r="K141" s="1" t="s">
        <v>92</v>
      </c>
      <c r="L141" s="11"/>
    </row>
    <row r="142" spans="1:12" x14ac:dyDescent="0.25">
      <c r="A142" s="9">
        <v>140</v>
      </c>
      <c r="B142" s="1" t="str">
        <f>'Horizontal Curve List (ML)'!B142</f>
        <v>02°26'54"</v>
      </c>
      <c r="C142" s="10" t="s">
        <v>217</v>
      </c>
      <c r="D142" s="1">
        <v>2800</v>
      </c>
      <c r="E142" s="1">
        <v>79.648499999893829</v>
      </c>
      <c r="F142" s="1"/>
      <c r="G142" s="1">
        <v>40</v>
      </c>
      <c r="H142" s="1">
        <v>100</v>
      </c>
      <c r="I142" s="1">
        <v>40</v>
      </c>
      <c r="J142" s="1">
        <v>9.1430000000000007</v>
      </c>
      <c r="K142" s="1" t="s">
        <v>93</v>
      </c>
      <c r="L142" s="11"/>
    </row>
    <row r="143" spans="1:12" x14ac:dyDescent="0.25">
      <c r="A143" s="9">
        <v>141</v>
      </c>
      <c r="B143" s="1" t="str">
        <f>'Horizontal Curve List (ML)'!B143</f>
        <v>02°17'15"</v>
      </c>
      <c r="C143" s="10" t="s">
        <v>253</v>
      </c>
      <c r="D143" s="1">
        <v>2100</v>
      </c>
      <c r="E143" s="1">
        <v>23.844100000103936</v>
      </c>
      <c r="F143" s="1"/>
      <c r="G143" s="1">
        <v>60</v>
      </c>
      <c r="H143" s="1">
        <v>100</v>
      </c>
      <c r="I143" s="1">
        <v>60</v>
      </c>
      <c r="J143" s="1">
        <v>5.5240000000000009</v>
      </c>
      <c r="K143" s="1" t="s">
        <v>92</v>
      </c>
      <c r="L143" s="11"/>
    </row>
    <row r="144" spans="1:12" x14ac:dyDescent="0.25">
      <c r="A144" s="9">
        <v>142</v>
      </c>
      <c r="B144" s="1" t="str">
        <f>'Horizontal Curve List (ML)'!B144</f>
        <v>10°43'13"</v>
      </c>
      <c r="C144" s="10" t="s">
        <v>238</v>
      </c>
      <c r="D144" s="1">
        <v>700.00689999999997</v>
      </c>
      <c r="E144" s="1">
        <v>50.972599999979138</v>
      </c>
      <c r="F144" s="1"/>
      <c r="G144" s="1">
        <v>80</v>
      </c>
      <c r="H144" s="1">
        <v>100</v>
      </c>
      <c r="I144" s="1">
        <v>150</v>
      </c>
      <c r="J144" s="1">
        <v>46.568999999999988</v>
      </c>
      <c r="K144" s="1" t="s">
        <v>93</v>
      </c>
      <c r="L144" s="11"/>
    </row>
    <row r="145" spans="1:12" x14ac:dyDescent="0.25">
      <c r="A145" s="9">
        <v>143</v>
      </c>
      <c r="B145" s="1" t="str">
        <f>'Horizontal Curve List (ML)'!B145</f>
        <v>10°50'56"</v>
      </c>
      <c r="C145" s="10" t="s">
        <v>238</v>
      </c>
      <c r="D145" s="1">
        <v>700.00689999999997</v>
      </c>
      <c r="E145" s="1">
        <v>52.545799999963492</v>
      </c>
      <c r="F145" s="1"/>
      <c r="G145" s="1">
        <v>80</v>
      </c>
      <c r="H145" s="1">
        <v>100</v>
      </c>
      <c r="I145" s="1">
        <v>150</v>
      </c>
      <c r="J145" s="1">
        <v>46.568999999999988</v>
      </c>
      <c r="K145" s="1" t="s">
        <v>92</v>
      </c>
      <c r="L145" s="11"/>
    </row>
    <row r="146" spans="1:12" x14ac:dyDescent="0.25">
      <c r="A146" s="9">
        <v>144</v>
      </c>
      <c r="B146" s="1" t="str">
        <f>'Horizontal Curve List (ML)'!B146</f>
        <v>11°04'50"</v>
      </c>
      <c r="C146" s="10" t="s">
        <v>238</v>
      </c>
      <c r="D146" s="1">
        <v>700</v>
      </c>
      <c r="E146" s="1">
        <v>55.375100000062957</v>
      </c>
      <c r="F146" s="1"/>
      <c r="G146" s="1">
        <v>80</v>
      </c>
      <c r="H146" s="1">
        <v>100</v>
      </c>
      <c r="I146" s="1">
        <v>150</v>
      </c>
      <c r="J146" s="1">
        <v>46.568999999999988</v>
      </c>
      <c r="K146" s="1" t="s">
        <v>92</v>
      </c>
      <c r="L146" s="11"/>
    </row>
    <row r="147" spans="1:12" x14ac:dyDescent="0.25">
      <c r="A147" s="9">
        <v>145</v>
      </c>
      <c r="B147" s="1" t="str">
        <f>'Horizontal Curve List (ML)'!B147</f>
        <v>09°17'26"</v>
      </c>
      <c r="C147" s="10" t="s">
        <v>238</v>
      </c>
      <c r="D147" s="1">
        <v>700</v>
      </c>
      <c r="E147" s="1">
        <v>33.504299999913201</v>
      </c>
      <c r="F147" s="1"/>
      <c r="G147" s="1">
        <v>80</v>
      </c>
      <c r="H147" s="1">
        <v>100</v>
      </c>
      <c r="I147" s="1">
        <v>150</v>
      </c>
      <c r="J147" s="1">
        <v>46.568999999999988</v>
      </c>
      <c r="K147" s="1" t="s">
        <v>93</v>
      </c>
      <c r="L147" s="11"/>
    </row>
    <row r="148" spans="1:12" x14ac:dyDescent="0.25">
      <c r="A148" s="9">
        <v>146</v>
      </c>
      <c r="B148" s="1" t="str">
        <f>'Horizontal Curve List (ML)'!B148</f>
        <v>04°38'32"</v>
      </c>
      <c r="C148" s="10" t="s">
        <v>210</v>
      </c>
      <c r="D148" s="1">
        <v>2000</v>
      </c>
      <c r="E148" s="1">
        <v>102.04190000006929</v>
      </c>
      <c r="F148" s="1"/>
      <c r="G148" s="1">
        <v>60</v>
      </c>
      <c r="H148" s="1">
        <v>100</v>
      </c>
      <c r="I148" s="1">
        <v>60</v>
      </c>
      <c r="J148" s="1">
        <v>8.7999999999999972</v>
      </c>
      <c r="K148" s="1" t="s">
        <v>93</v>
      </c>
      <c r="L148" s="11"/>
    </row>
    <row r="149" spans="1:12" x14ac:dyDescent="0.25">
      <c r="A149" s="9">
        <v>147</v>
      </c>
      <c r="B149" s="1" t="str">
        <f>'Horizontal Curve List (ML)'!B149</f>
        <v>02°38'07"</v>
      </c>
      <c r="C149" s="10" t="s">
        <v>210</v>
      </c>
      <c r="D149" s="1">
        <v>2000</v>
      </c>
      <c r="E149" s="1">
        <v>31.992700000060722</v>
      </c>
      <c r="F149" s="1"/>
      <c r="G149" s="1">
        <v>60</v>
      </c>
      <c r="H149" s="1">
        <v>100</v>
      </c>
      <c r="I149" s="1">
        <v>60</v>
      </c>
      <c r="J149" s="1">
        <v>8.7999999999999972</v>
      </c>
      <c r="K149" s="1" t="s">
        <v>92</v>
      </c>
      <c r="L149" s="11"/>
    </row>
    <row r="150" spans="1:12" x14ac:dyDescent="0.25">
      <c r="A150" s="9">
        <v>148</v>
      </c>
      <c r="B150" s="1" t="str">
        <f>'Horizontal Curve List (ML)'!B150</f>
        <v>00°15'28"</v>
      </c>
      <c r="C150" s="10" t="s">
        <v>227</v>
      </c>
      <c r="D150" s="1">
        <v>20000.000100000001</v>
      </c>
      <c r="E150" s="1">
        <v>59.933799999998882</v>
      </c>
      <c r="F150" s="1"/>
      <c r="G150" s="1">
        <v>30</v>
      </c>
      <c r="H150" s="1">
        <v>100</v>
      </c>
      <c r="I150" s="1">
        <v>10</v>
      </c>
      <c r="J150" s="1">
        <v>3.12</v>
      </c>
      <c r="K150" s="1" t="s">
        <v>92</v>
      </c>
      <c r="L150" s="11"/>
    </row>
    <row r="151" spans="1:12" x14ac:dyDescent="0.25">
      <c r="A151" s="9">
        <v>149</v>
      </c>
      <c r="B151" s="1" t="str">
        <f>'Horizontal Curve List (ML)'!B151</f>
        <v>01°48'04"</v>
      </c>
      <c r="C151" s="10" t="s">
        <v>254</v>
      </c>
      <c r="D151" s="1">
        <v>2300</v>
      </c>
      <c r="E151" s="1">
        <v>22.303300000028685</v>
      </c>
      <c r="F151" s="1"/>
      <c r="G151" s="1">
        <v>50</v>
      </c>
      <c r="H151" s="1">
        <v>100</v>
      </c>
      <c r="I151" s="1">
        <v>50</v>
      </c>
      <c r="J151" s="1">
        <v>9.8260000000000005</v>
      </c>
      <c r="K151" s="1" t="s">
        <v>92</v>
      </c>
      <c r="L151" s="11"/>
    </row>
    <row r="152" spans="1:12" x14ac:dyDescent="0.25">
      <c r="A152" s="9">
        <v>150</v>
      </c>
      <c r="B152" s="1" t="str">
        <f>'Horizontal Curve List (ML)'!B152</f>
        <v>01°50'55"</v>
      </c>
      <c r="C152" s="10" t="s">
        <v>254</v>
      </c>
      <c r="D152" s="1">
        <v>2300</v>
      </c>
      <c r="E152" s="1">
        <v>24.211799999931827</v>
      </c>
      <c r="F152" s="1"/>
      <c r="G152" s="1">
        <v>50</v>
      </c>
      <c r="H152" s="1">
        <v>100</v>
      </c>
      <c r="I152" s="1">
        <v>50</v>
      </c>
      <c r="J152" s="1">
        <v>9.8260000000000005</v>
      </c>
      <c r="K152" s="1" t="s">
        <v>93</v>
      </c>
      <c r="L152" s="11"/>
    </row>
    <row r="153" spans="1:12" x14ac:dyDescent="0.25">
      <c r="A153" s="9">
        <v>151</v>
      </c>
      <c r="B153" s="1" t="str">
        <f>'Horizontal Curve List (ML)'!B153</f>
        <v>01°30'49"</v>
      </c>
      <c r="C153" s="10" t="s">
        <v>217</v>
      </c>
      <c r="D153" s="1">
        <v>2800</v>
      </c>
      <c r="E153" s="1">
        <v>33.96929999999702</v>
      </c>
      <c r="F153" s="1"/>
      <c r="G153" s="1">
        <v>40</v>
      </c>
      <c r="H153" s="1">
        <v>100</v>
      </c>
      <c r="I153" s="1">
        <v>40</v>
      </c>
      <c r="J153" s="1">
        <v>9.1430000000000007</v>
      </c>
      <c r="K153" s="1" t="s">
        <v>92</v>
      </c>
      <c r="L153" s="11"/>
    </row>
    <row r="154" spans="1:12" x14ac:dyDescent="0.25">
      <c r="A154" s="9">
        <v>152</v>
      </c>
      <c r="B154" s="1" t="str">
        <f>'Horizontal Curve List (ML)'!B154</f>
        <v>02°04'11"</v>
      </c>
      <c r="C154" s="10" t="s">
        <v>213</v>
      </c>
      <c r="D154" s="1">
        <v>3000</v>
      </c>
      <c r="E154" s="1">
        <v>68.36850000009872</v>
      </c>
      <c r="F154" s="1"/>
      <c r="G154" s="1">
        <v>40</v>
      </c>
      <c r="H154" s="1">
        <v>100</v>
      </c>
      <c r="I154" s="1">
        <v>40</v>
      </c>
      <c r="J154" s="1">
        <v>5.8669999999999973</v>
      </c>
      <c r="K154" s="1" t="s">
        <v>93</v>
      </c>
      <c r="L154" s="11"/>
    </row>
    <row r="155" spans="1:12" x14ac:dyDescent="0.25">
      <c r="A155" s="9">
        <v>153</v>
      </c>
      <c r="B155" s="1" t="str">
        <f>'Horizontal Curve List (ML)'!B155</f>
        <v>01°40'14"</v>
      </c>
      <c r="C155" s="10" t="s">
        <v>216</v>
      </c>
      <c r="D155" s="1">
        <v>5000</v>
      </c>
      <c r="E155" s="1">
        <v>125.7734000000637</v>
      </c>
      <c r="F155" s="1"/>
      <c r="G155" s="1">
        <v>20</v>
      </c>
      <c r="H155" s="1">
        <v>100</v>
      </c>
      <c r="I155" s="1">
        <v>20</v>
      </c>
      <c r="J155" s="1">
        <v>7.52</v>
      </c>
      <c r="K155" s="1" t="s">
        <v>92</v>
      </c>
      <c r="L155" s="11"/>
    </row>
    <row r="156" spans="1:12" x14ac:dyDescent="0.25">
      <c r="A156" s="9">
        <v>154</v>
      </c>
      <c r="B156" s="1" t="str">
        <f>'Horizontal Curve List (ML)'!B156</f>
        <v>00°19'33"</v>
      </c>
      <c r="C156" s="10" t="s">
        <v>230</v>
      </c>
      <c r="D156" s="1">
        <v>10000</v>
      </c>
      <c r="E156" s="1">
        <v>36.87679999996908</v>
      </c>
      <c r="F156" s="1"/>
      <c r="G156" s="1">
        <v>20</v>
      </c>
      <c r="H156" s="1">
        <v>100</v>
      </c>
      <c r="I156" s="1">
        <v>20</v>
      </c>
      <c r="J156" s="1">
        <v>6.24</v>
      </c>
      <c r="K156" s="1" t="s">
        <v>92</v>
      </c>
      <c r="L156" s="11"/>
    </row>
    <row r="157" spans="1:12" x14ac:dyDescent="0.25">
      <c r="A157" s="9">
        <v>155</v>
      </c>
      <c r="B157" s="1" t="str">
        <f>'Horizontal Curve List (ML)'!B157</f>
        <v>03°41'57"</v>
      </c>
      <c r="C157" s="10" t="s">
        <v>215</v>
      </c>
      <c r="D157" s="1">
        <v>2500</v>
      </c>
      <c r="E157" s="1">
        <v>111.40219999989495</v>
      </c>
      <c r="F157" s="1"/>
      <c r="G157" s="1">
        <v>50</v>
      </c>
      <c r="H157" s="1">
        <v>100</v>
      </c>
      <c r="I157" s="1">
        <v>50</v>
      </c>
      <c r="J157" s="1">
        <v>5.0399999999999991</v>
      </c>
      <c r="K157" s="1" t="s">
        <v>93</v>
      </c>
      <c r="L157" s="11"/>
    </row>
    <row r="158" spans="1:12" x14ac:dyDescent="0.25">
      <c r="A158" s="9">
        <v>156</v>
      </c>
      <c r="B158" s="1" t="str">
        <f>'Horizontal Curve List (ML)'!B158</f>
        <v>02°03'36"</v>
      </c>
      <c r="C158" s="10" t="s">
        <v>213</v>
      </c>
      <c r="D158" s="1">
        <v>3000</v>
      </c>
      <c r="E158" s="1">
        <v>67.857499999925494</v>
      </c>
      <c r="F158" s="1"/>
      <c r="G158" s="1">
        <v>40</v>
      </c>
      <c r="H158" s="1">
        <v>100</v>
      </c>
      <c r="I158" s="1">
        <v>40</v>
      </c>
      <c r="J158" s="1">
        <v>5.8669999999999973</v>
      </c>
      <c r="K158" s="1" t="s">
        <v>92</v>
      </c>
      <c r="L158" s="11"/>
    </row>
    <row r="159" spans="1:12" x14ac:dyDescent="0.25">
      <c r="A159" s="9">
        <v>157</v>
      </c>
      <c r="B159" s="1" t="str">
        <f>'Horizontal Curve List (ML)'!B159</f>
        <v>01°35'49"</v>
      </c>
      <c r="C159" s="10" t="s">
        <v>213</v>
      </c>
      <c r="D159" s="1">
        <v>3000</v>
      </c>
      <c r="E159" s="1">
        <v>43.621800000080839</v>
      </c>
      <c r="F159" s="1"/>
      <c r="G159" s="1">
        <v>40</v>
      </c>
      <c r="H159" s="1">
        <v>100</v>
      </c>
      <c r="I159" s="1">
        <v>40</v>
      </c>
      <c r="J159" s="1">
        <v>5.8669999999999973</v>
      </c>
      <c r="K159" s="1" t="s">
        <v>93</v>
      </c>
      <c r="L159" s="11"/>
    </row>
    <row r="160" spans="1:12" x14ac:dyDescent="0.25">
      <c r="A160" s="9">
        <v>158</v>
      </c>
      <c r="B160" s="1" t="str">
        <f>'Horizontal Curve List (ML)'!B160</f>
        <v>01°53'45"</v>
      </c>
      <c r="C160" s="10" t="s">
        <v>215</v>
      </c>
      <c r="D160" s="1">
        <v>2500</v>
      </c>
      <c r="E160" s="1">
        <v>32.71929999999702</v>
      </c>
      <c r="F160" s="1"/>
      <c r="G160" s="1">
        <v>50</v>
      </c>
      <c r="H160" s="1">
        <v>100</v>
      </c>
      <c r="I160" s="1">
        <v>50</v>
      </c>
      <c r="J160" s="1">
        <v>5.0399999999999991</v>
      </c>
      <c r="K160" s="1" t="s">
        <v>92</v>
      </c>
      <c r="L160" s="11"/>
    </row>
    <row r="161" spans="1:12" x14ac:dyDescent="0.25">
      <c r="A161" s="9">
        <v>159</v>
      </c>
      <c r="B161" s="1" t="str">
        <f>'Horizontal Curve List (ML)'!B161</f>
        <v>01°15'01"</v>
      </c>
      <c r="C161" s="10" t="s">
        <v>213</v>
      </c>
      <c r="D161" s="1">
        <v>3000</v>
      </c>
      <c r="E161" s="1">
        <v>25.459299999987707</v>
      </c>
      <c r="F161" s="1"/>
      <c r="G161" s="1">
        <v>40</v>
      </c>
      <c r="H161" s="1">
        <v>100</v>
      </c>
      <c r="I161" s="1">
        <v>40</v>
      </c>
      <c r="J161" s="1">
        <v>5.8669999999999973</v>
      </c>
      <c r="K161" s="1" t="s">
        <v>92</v>
      </c>
      <c r="L161" s="11"/>
    </row>
    <row r="162" spans="1:12" x14ac:dyDescent="0.25">
      <c r="A162" s="9">
        <v>160</v>
      </c>
      <c r="B162" s="1" t="str">
        <f>'Horizontal Curve List (ML)'!B162</f>
        <v>01°13'56"</v>
      </c>
      <c r="C162" s="10" t="s">
        <v>222</v>
      </c>
      <c r="D162" s="1">
        <v>4000</v>
      </c>
      <c r="E162" s="1">
        <v>56.028600000077859</v>
      </c>
      <c r="F162" s="1"/>
      <c r="G162" s="1">
        <v>30</v>
      </c>
      <c r="H162" s="1">
        <v>100</v>
      </c>
      <c r="I162" s="1">
        <v>30</v>
      </c>
      <c r="J162" s="1">
        <v>4.3999999999999986</v>
      </c>
      <c r="K162" s="1" t="s">
        <v>93</v>
      </c>
      <c r="L162" s="11"/>
    </row>
    <row r="163" spans="1:12" x14ac:dyDescent="0.25">
      <c r="A163" s="9">
        <v>161</v>
      </c>
      <c r="B163" s="1" t="str">
        <f>'Horizontal Curve List (ML)'!B163</f>
        <v>00°56'01"</v>
      </c>
      <c r="C163" s="10" t="s">
        <v>222</v>
      </c>
      <c r="D163" s="1">
        <v>4000</v>
      </c>
      <c r="E163" s="1">
        <v>25.184200000017881</v>
      </c>
      <c r="F163" s="1"/>
      <c r="G163" s="1">
        <v>40</v>
      </c>
      <c r="H163" s="1">
        <v>100</v>
      </c>
      <c r="I163" s="1">
        <v>30</v>
      </c>
      <c r="J163" s="1">
        <v>4.3999999999999986</v>
      </c>
      <c r="K163" s="1" t="s">
        <v>92</v>
      </c>
      <c r="L163" s="11"/>
    </row>
    <row r="164" spans="1:12" x14ac:dyDescent="0.25">
      <c r="A164" s="9">
        <v>162</v>
      </c>
      <c r="B164" s="1" t="str">
        <f>'Horizontal Curve List (ML)'!B164</f>
        <v>00°58'45"</v>
      </c>
      <c r="C164" s="10" t="s">
        <v>255</v>
      </c>
      <c r="D164" s="1">
        <v>3600</v>
      </c>
      <c r="E164" s="1">
        <v>21.529099999926984</v>
      </c>
      <c r="F164" s="1"/>
      <c r="G164" s="1">
        <v>40</v>
      </c>
      <c r="H164" s="1">
        <v>100</v>
      </c>
      <c r="I164" s="1">
        <v>30</v>
      </c>
      <c r="J164" s="1">
        <v>8.2220000000000013</v>
      </c>
      <c r="K164" s="1" t="s">
        <v>93</v>
      </c>
      <c r="L164" s="11"/>
    </row>
    <row r="165" spans="1:12" x14ac:dyDescent="0.25">
      <c r="A165" s="9">
        <v>163</v>
      </c>
      <c r="B165" s="1" t="str">
        <f>'Horizontal Curve List (ML)'!B165</f>
        <v>01°54'04"</v>
      </c>
      <c r="C165" s="10" t="s">
        <v>213</v>
      </c>
      <c r="D165" s="1">
        <v>3000</v>
      </c>
      <c r="E165" s="1">
        <v>59.547199999913573</v>
      </c>
      <c r="F165" s="1"/>
      <c r="G165" s="1">
        <v>40</v>
      </c>
      <c r="H165" s="1">
        <v>100</v>
      </c>
      <c r="I165" s="1">
        <v>40</v>
      </c>
      <c r="J165" s="1">
        <v>5.8669999999999973</v>
      </c>
      <c r="K165" s="1" t="s">
        <v>93</v>
      </c>
      <c r="L165" s="11"/>
    </row>
    <row r="166" spans="1:12" x14ac:dyDescent="0.25">
      <c r="A166" s="9">
        <v>164</v>
      </c>
      <c r="B166" s="1" t="str">
        <f>'Horizontal Curve List (ML)'!B166</f>
        <v>01°55'53"</v>
      </c>
      <c r="C166" s="10" t="s">
        <v>213</v>
      </c>
      <c r="D166" s="1">
        <v>3000</v>
      </c>
      <c r="E166" s="1">
        <v>61.130600000033155</v>
      </c>
      <c r="F166" s="1"/>
      <c r="G166" s="1">
        <v>40</v>
      </c>
      <c r="H166" s="1">
        <v>100</v>
      </c>
      <c r="I166" s="1">
        <v>40</v>
      </c>
      <c r="J166" s="1">
        <v>5.8669999999999973</v>
      </c>
      <c r="K166" s="1" t="s">
        <v>92</v>
      </c>
      <c r="L166" s="11"/>
    </row>
    <row r="167" spans="1:12" x14ac:dyDescent="0.25">
      <c r="A167" s="9">
        <v>165</v>
      </c>
      <c r="B167" s="1" t="str">
        <f>'Horizontal Curve List (ML)'!B167</f>
        <v>00°04'33"</v>
      </c>
      <c r="C167" s="10" t="s">
        <v>225</v>
      </c>
      <c r="D167" s="1">
        <v>49999.990599999997</v>
      </c>
      <c r="E167" s="1">
        <v>26.098500000080094</v>
      </c>
      <c r="F167" s="1"/>
      <c r="G167" s="1">
        <v>40</v>
      </c>
      <c r="H167" s="1">
        <v>100</v>
      </c>
      <c r="I167" s="1">
        <v>10</v>
      </c>
      <c r="J167" s="1">
        <v>7.2480000000000002</v>
      </c>
      <c r="K167" s="1" t="s">
        <v>93</v>
      </c>
      <c r="L167" s="11"/>
    </row>
    <row r="168" spans="1:12" x14ac:dyDescent="0.25">
      <c r="A168" s="9">
        <v>166</v>
      </c>
      <c r="B168" s="1" t="str">
        <f>'Horizontal Curve List (ML)'!B168</f>
        <v>00°05'19"</v>
      </c>
      <c r="C168" s="10" t="s">
        <v>249</v>
      </c>
      <c r="D168" s="1">
        <v>40000.000099999997</v>
      </c>
      <c r="E168" s="1">
        <v>21.951700000092387</v>
      </c>
      <c r="F168" s="1"/>
      <c r="G168" s="1">
        <v>40</v>
      </c>
      <c r="H168" s="1">
        <v>100</v>
      </c>
      <c r="I168" s="1">
        <v>10</v>
      </c>
      <c r="J168" s="1">
        <v>6.56</v>
      </c>
      <c r="K168" s="1" t="s">
        <v>92</v>
      </c>
      <c r="L168" s="11"/>
    </row>
    <row r="169" spans="1:12" x14ac:dyDescent="0.25">
      <c r="A169" s="9">
        <v>167</v>
      </c>
      <c r="B169" s="1" t="str">
        <f>'Horizontal Curve List (ML)'!B169</f>
        <v>00°05'04"</v>
      </c>
      <c r="C169" s="10" t="s">
        <v>256</v>
      </c>
      <c r="D169" s="1">
        <v>41000.009700000002</v>
      </c>
      <c r="E169" s="1">
        <v>20.486899999901652</v>
      </c>
      <c r="F169" s="1"/>
      <c r="G169" s="1">
        <v>40</v>
      </c>
      <c r="H169" s="1">
        <v>100</v>
      </c>
      <c r="I169" s="1">
        <v>10</v>
      </c>
      <c r="J169" s="1">
        <v>6.6440000000000001</v>
      </c>
      <c r="K169" s="1" t="s">
        <v>92</v>
      </c>
      <c r="L169" s="11"/>
    </row>
    <row r="170" spans="1:12" x14ac:dyDescent="0.25">
      <c r="A170" s="9">
        <v>168</v>
      </c>
      <c r="B170" s="1" t="str">
        <f>'Horizontal Curve List (ML)'!B170</f>
        <v>00°05'04"</v>
      </c>
      <c r="C170" s="10" t="s">
        <v>256</v>
      </c>
      <c r="D170" s="1">
        <v>41000.003199999999</v>
      </c>
      <c r="E170" s="1">
        <v>20.486199999926612</v>
      </c>
      <c r="F170" s="1"/>
      <c r="G170" s="1">
        <v>40</v>
      </c>
      <c r="H170" s="1">
        <v>100</v>
      </c>
      <c r="I170" s="1">
        <v>10</v>
      </c>
      <c r="J170" s="1">
        <v>6.6440000000000001</v>
      </c>
      <c r="K170" s="1" t="s">
        <v>93</v>
      </c>
      <c r="L170" s="11"/>
    </row>
    <row r="171" spans="1:12" x14ac:dyDescent="0.25">
      <c r="A171" s="9">
        <v>169</v>
      </c>
      <c r="B171" s="1" t="str">
        <f>'Horizontal Curve List (ML)'!B171</f>
        <v>03°06'36"</v>
      </c>
      <c r="C171" s="10" t="s">
        <v>214</v>
      </c>
      <c r="D171" s="1">
        <v>1750.0001999999999</v>
      </c>
      <c r="E171" s="1">
        <v>24.988399999914691</v>
      </c>
      <c r="F171" s="1"/>
      <c r="G171" s="1">
        <v>70</v>
      </c>
      <c r="H171" s="1">
        <v>100</v>
      </c>
      <c r="I171" s="1">
        <v>75</v>
      </c>
      <c r="J171" s="1">
        <v>3.6290000000000049</v>
      </c>
      <c r="K171" s="1" t="s">
        <v>92</v>
      </c>
      <c r="L171" s="11"/>
    </row>
    <row r="172" spans="1:12" x14ac:dyDescent="0.25">
      <c r="A172" s="9">
        <v>170</v>
      </c>
      <c r="B172" s="1" t="str">
        <f>'Horizontal Curve List (ML)'!B172</f>
        <v>02°43'13"</v>
      </c>
      <c r="C172" s="10" t="s">
        <v>210</v>
      </c>
      <c r="D172" s="1">
        <v>2000</v>
      </c>
      <c r="E172" s="1">
        <v>34.954399999929592</v>
      </c>
      <c r="F172" s="1"/>
      <c r="G172" s="1">
        <v>60</v>
      </c>
      <c r="H172" s="1">
        <v>100</v>
      </c>
      <c r="I172" s="1">
        <v>60</v>
      </c>
      <c r="J172" s="1">
        <v>8.7999999999999972</v>
      </c>
      <c r="K172" s="1" t="s">
        <v>93</v>
      </c>
      <c r="L172" s="11"/>
    </row>
    <row r="173" spans="1:12" x14ac:dyDescent="0.25">
      <c r="A173" s="9">
        <v>171</v>
      </c>
      <c r="B173" s="1" t="str">
        <f>'Horizontal Curve List (ML)'!B173</f>
        <v>03°05'04"</v>
      </c>
      <c r="C173" s="10" t="s">
        <v>215</v>
      </c>
      <c r="D173" s="1">
        <v>2500</v>
      </c>
      <c r="E173" s="1">
        <v>84.584199999924749</v>
      </c>
      <c r="F173" s="1"/>
      <c r="G173" s="1">
        <v>50</v>
      </c>
      <c r="H173" s="1">
        <v>100</v>
      </c>
      <c r="I173" s="1">
        <v>50</v>
      </c>
      <c r="J173" s="1">
        <v>5.0399999999999991</v>
      </c>
      <c r="K173" s="1" t="s">
        <v>93</v>
      </c>
      <c r="L173" s="11"/>
    </row>
    <row r="174" spans="1:12" x14ac:dyDescent="0.25">
      <c r="A174" s="9">
        <v>172</v>
      </c>
      <c r="B174" s="1" t="str">
        <f>'Horizontal Curve List (ML)'!B174</f>
        <v>02°46'04"</v>
      </c>
      <c r="C174" s="10" t="s">
        <v>215</v>
      </c>
      <c r="D174" s="1">
        <v>2500</v>
      </c>
      <c r="E174" s="1">
        <v>70.770000000018626</v>
      </c>
      <c r="F174" s="1"/>
      <c r="G174" s="1">
        <v>50</v>
      </c>
      <c r="H174" s="1">
        <v>100</v>
      </c>
      <c r="I174" s="1">
        <v>50</v>
      </c>
      <c r="J174" s="1">
        <v>5.0399999999999991</v>
      </c>
      <c r="K174" s="1" t="s">
        <v>92</v>
      </c>
      <c r="L174" s="11"/>
    </row>
    <row r="175" spans="1:12" x14ac:dyDescent="0.25">
      <c r="A175" s="9">
        <v>173</v>
      </c>
      <c r="B175" s="1" t="str">
        <f>'Horizontal Curve List (ML)'!B175</f>
        <v>01°45'48"</v>
      </c>
      <c r="C175" s="10" t="s">
        <v>211</v>
      </c>
      <c r="D175" s="1">
        <v>3500</v>
      </c>
      <c r="E175" s="1">
        <v>67.722599999979138</v>
      </c>
      <c r="F175" s="1"/>
      <c r="G175" s="1">
        <v>40</v>
      </c>
      <c r="H175" s="1">
        <v>100</v>
      </c>
      <c r="I175" s="1">
        <v>30</v>
      </c>
      <c r="J175" s="1">
        <v>9.3140000000000001</v>
      </c>
      <c r="K175" s="1" t="s">
        <v>93</v>
      </c>
      <c r="L175" s="11"/>
    </row>
    <row r="176" spans="1:12" x14ac:dyDescent="0.25">
      <c r="A176" s="9">
        <v>174</v>
      </c>
      <c r="B176" s="1" t="str">
        <f>'Horizontal Curve List (ML)'!B176</f>
        <v>01°44'08"</v>
      </c>
      <c r="C176" s="10" t="s">
        <v>211</v>
      </c>
      <c r="D176" s="1">
        <v>3500</v>
      </c>
      <c r="E176" s="1">
        <v>66.026400000089779</v>
      </c>
      <c r="F176" s="1"/>
      <c r="G176" s="1">
        <v>40</v>
      </c>
      <c r="H176" s="1">
        <v>100</v>
      </c>
      <c r="I176" s="1">
        <v>30</v>
      </c>
      <c r="J176" s="1">
        <v>9.3140000000000001</v>
      </c>
      <c r="K176" s="1" t="s">
        <v>92</v>
      </c>
      <c r="L176" s="11"/>
    </row>
    <row r="177" spans="1:13" x14ac:dyDescent="0.25">
      <c r="A177" s="9">
        <v>175</v>
      </c>
      <c r="B177" s="1" t="str">
        <f>'Horizontal Curve List (ML)'!B177</f>
        <v>01°40'02"</v>
      </c>
      <c r="C177" s="10" t="s">
        <v>215</v>
      </c>
      <c r="D177" s="1">
        <v>2500</v>
      </c>
      <c r="E177" s="1">
        <v>22.743599999928847</v>
      </c>
      <c r="F177" s="1"/>
      <c r="G177" s="1">
        <v>50</v>
      </c>
      <c r="H177" s="1">
        <v>100</v>
      </c>
      <c r="I177" s="1">
        <v>50</v>
      </c>
      <c r="J177" s="1">
        <v>5.0399999999999991</v>
      </c>
      <c r="K177" s="1" t="s">
        <v>92</v>
      </c>
      <c r="L177" s="11"/>
    </row>
    <row r="178" spans="1:13" x14ac:dyDescent="0.25">
      <c r="A178" s="9">
        <v>176</v>
      </c>
      <c r="B178" s="1" t="str">
        <f>'Horizontal Curve List (ML)'!B178</f>
        <v>01°32'55"</v>
      </c>
      <c r="C178" s="10" t="s">
        <v>213</v>
      </c>
      <c r="D178" s="1">
        <v>3000</v>
      </c>
      <c r="E178" s="1">
        <v>41.078200000105426</v>
      </c>
      <c r="F178" s="1"/>
      <c r="G178" s="1">
        <v>40</v>
      </c>
      <c r="H178" s="1">
        <v>100</v>
      </c>
      <c r="I178" s="1">
        <v>40</v>
      </c>
      <c r="J178" s="1">
        <v>5.8669999999999973</v>
      </c>
      <c r="K178" s="1" t="s">
        <v>92</v>
      </c>
      <c r="L178" s="11"/>
    </row>
    <row r="179" spans="1:13" x14ac:dyDescent="0.25">
      <c r="A179" s="9">
        <v>177</v>
      </c>
      <c r="B179" s="1" t="str">
        <f>'Horizontal Curve List (ML)'!B179</f>
        <v>02°49'05"</v>
      </c>
      <c r="C179" s="10" t="s">
        <v>214</v>
      </c>
      <c r="D179" s="1">
        <v>1750</v>
      </c>
      <c r="E179" s="1">
        <v>26.075900000054389</v>
      </c>
      <c r="F179" s="1"/>
      <c r="G179" s="1">
        <v>60</v>
      </c>
      <c r="H179" s="1">
        <v>100</v>
      </c>
      <c r="I179" s="1">
        <v>60</v>
      </c>
      <c r="J179" s="1">
        <v>18.629000000000005</v>
      </c>
      <c r="K179" s="1" t="s">
        <v>93</v>
      </c>
      <c r="L179" s="11"/>
    </row>
    <row r="180" spans="1:13" x14ac:dyDescent="0.25">
      <c r="A180" s="9">
        <v>178</v>
      </c>
      <c r="B180" s="1" t="str">
        <f>'Horizontal Curve List (ML)'!B180</f>
        <v>00°49'27"</v>
      </c>
      <c r="C180" s="10" t="s">
        <v>257</v>
      </c>
      <c r="D180" s="1">
        <v>4200</v>
      </c>
      <c r="E180" s="1">
        <v>30.41039999993518</v>
      </c>
      <c r="F180" s="1"/>
      <c r="G180" s="1">
        <v>30</v>
      </c>
      <c r="H180" s="1">
        <v>100</v>
      </c>
      <c r="I180" s="1">
        <v>30</v>
      </c>
      <c r="J180" s="1">
        <v>2.7620000000000005</v>
      </c>
      <c r="K180" s="1" t="s">
        <v>93</v>
      </c>
      <c r="L180" s="11"/>
    </row>
    <row r="181" spans="1:13" x14ac:dyDescent="0.25">
      <c r="A181" s="9">
        <v>179</v>
      </c>
      <c r="B181" s="1" t="str">
        <f>'Horizontal Curve List (ML)'!B181</f>
        <v>00°23'33"</v>
      </c>
      <c r="C181" s="10" t="s">
        <v>258</v>
      </c>
      <c r="D181" s="1">
        <v>7500.0002000000004</v>
      </c>
      <c r="E181" s="1">
        <v>21.395000000018626</v>
      </c>
      <c r="F181" s="1"/>
      <c r="G181" s="1">
        <v>30</v>
      </c>
      <c r="H181" s="1">
        <v>100</v>
      </c>
      <c r="I181" s="1">
        <v>10</v>
      </c>
      <c r="J181" s="1">
        <v>8.3470000000000013</v>
      </c>
      <c r="K181" s="1" t="s">
        <v>92</v>
      </c>
      <c r="L181" s="11"/>
    </row>
    <row r="182" spans="1:13" x14ac:dyDescent="0.25">
      <c r="A182" s="9">
        <v>180</v>
      </c>
      <c r="B182" s="1" t="str">
        <f>'Horizontal Curve List (ML)'!B182</f>
        <v>02°34'43"</v>
      </c>
      <c r="C182" s="10" t="s">
        <v>210</v>
      </c>
      <c r="D182" s="1">
        <v>2000</v>
      </c>
      <c r="E182" s="1">
        <v>30.006400000071153</v>
      </c>
      <c r="F182" s="1"/>
      <c r="G182" s="1">
        <v>60</v>
      </c>
      <c r="H182" s="1">
        <v>100</v>
      </c>
      <c r="I182" s="1">
        <v>60</v>
      </c>
      <c r="J182" s="1">
        <v>8.7999999999999972</v>
      </c>
      <c r="K182" s="1" t="s">
        <v>93</v>
      </c>
      <c r="L182" s="11"/>
    </row>
    <row r="183" spans="1:13" x14ac:dyDescent="0.25">
      <c r="A183" s="9">
        <v>181</v>
      </c>
      <c r="B183" s="1" t="str">
        <f>'Horizontal Curve List (ML)'!B183</f>
        <v>00°54'37"</v>
      </c>
      <c r="C183" s="10" t="s">
        <v>210</v>
      </c>
      <c r="D183" s="1">
        <v>2000</v>
      </c>
      <c r="E183" s="1">
        <v>31.774299999931827</v>
      </c>
      <c r="F183" s="1"/>
      <c r="G183" s="1">
        <v>60</v>
      </c>
      <c r="H183" s="1">
        <v>100</v>
      </c>
      <c r="I183" s="1">
        <v>60</v>
      </c>
      <c r="J183" s="1">
        <v>8.7999999999999972</v>
      </c>
      <c r="K183" s="1" t="s">
        <v>92</v>
      </c>
      <c r="L183" s="11"/>
    </row>
    <row r="184" spans="1:13" x14ac:dyDescent="0.25">
      <c r="A184" s="9">
        <v>182</v>
      </c>
      <c r="B184" s="1" t="str">
        <f>'Horizontal Curve List (ML)'!B184</f>
        <v>1° 8' 30.702"</v>
      </c>
      <c r="C184" s="10" t="s">
        <v>214</v>
      </c>
      <c r="D184" s="1">
        <v>1750</v>
      </c>
      <c r="E184" s="1">
        <v>34.876200000056997</v>
      </c>
      <c r="F184" s="1"/>
      <c r="G184" s="1">
        <v>0</v>
      </c>
      <c r="H184" s="1">
        <v>30</v>
      </c>
      <c r="I184" s="1">
        <v>0</v>
      </c>
      <c r="J184" s="1">
        <v>7</v>
      </c>
      <c r="K184" s="1" t="s">
        <v>93</v>
      </c>
      <c r="L184" s="11"/>
    </row>
    <row r="185" spans="1:13" x14ac:dyDescent="0.25">
      <c r="A185" s="9">
        <v>183</v>
      </c>
      <c r="B185" s="1" t="str">
        <f>'Horizontal Curve List (ML)'!B185</f>
        <v>1° 1' 18.392"</v>
      </c>
      <c r="C185" s="10" t="s">
        <v>214</v>
      </c>
      <c r="D185" s="1">
        <v>1750</v>
      </c>
      <c r="E185" s="1">
        <v>31.208399999886751</v>
      </c>
      <c r="F185" s="1"/>
      <c r="G185" s="1">
        <v>0</v>
      </c>
      <c r="H185" s="1">
        <v>30</v>
      </c>
      <c r="I185" s="1">
        <v>0</v>
      </c>
      <c r="J185" s="1">
        <v>7</v>
      </c>
      <c r="K185" s="1" t="s">
        <v>93</v>
      </c>
      <c r="L185" s="11"/>
    </row>
    <row r="186" spans="1:13" x14ac:dyDescent="0.25">
      <c r="A186" s="39" t="s">
        <v>260</v>
      </c>
      <c r="B186" s="39"/>
      <c r="C186" s="39"/>
      <c r="D186" s="39"/>
      <c r="E186" s="39"/>
      <c r="F186" s="39"/>
      <c r="G186" s="39"/>
      <c r="H186" s="39"/>
      <c r="I186" s="39"/>
      <c r="J186" s="39"/>
      <c r="K186" s="39"/>
    </row>
    <row r="187" spans="1:13" ht="30" x14ac:dyDescent="0.25">
      <c r="A187" s="5" t="s">
        <v>288</v>
      </c>
      <c r="B187" s="5" t="s">
        <v>83</v>
      </c>
      <c r="C187" s="6" t="s">
        <v>84</v>
      </c>
      <c r="D187" s="5" t="s">
        <v>85</v>
      </c>
      <c r="E187" s="5" t="s">
        <v>86</v>
      </c>
      <c r="F187" s="5" t="s">
        <v>88</v>
      </c>
      <c r="G187" s="5" t="s">
        <v>87</v>
      </c>
      <c r="H187" s="5" t="s">
        <v>89</v>
      </c>
      <c r="I187" s="5" t="s">
        <v>91</v>
      </c>
      <c r="J187" s="5" t="s">
        <v>90</v>
      </c>
      <c r="K187" s="5" t="s">
        <v>3</v>
      </c>
      <c r="L187" s="4" t="s">
        <v>279</v>
      </c>
      <c r="M187" s="41" t="s">
        <v>289</v>
      </c>
    </row>
    <row r="188" spans="1:13" x14ac:dyDescent="0.25">
      <c r="A188" s="5" t="s">
        <v>284</v>
      </c>
      <c r="B188" s="5" t="s">
        <v>261</v>
      </c>
      <c r="C188" s="5" t="s">
        <v>216</v>
      </c>
      <c r="D188" s="5">
        <v>5000</v>
      </c>
      <c r="E188" s="5">
        <v>25.829000000000001</v>
      </c>
      <c r="F188" s="5">
        <v>52.9</v>
      </c>
      <c r="G188" s="5">
        <v>40</v>
      </c>
      <c r="H188" s="5">
        <v>100</v>
      </c>
      <c r="I188" s="5">
        <v>20</v>
      </c>
      <c r="J188" s="5">
        <v>7.52</v>
      </c>
      <c r="K188" s="5" t="s">
        <v>4</v>
      </c>
      <c r="L188" s="2" t="s">
        <v>280</v>
      </c>
      <c r="M188" s="41"/>
    </row>
    <row r="189" spans="1:13" x14ac:dyDescent="0.25">
      <c r="A189" s="5" t="s">
        <v>285</v>
      </c>
      <c r="B189" s="5" t="s">
        <v>262</v>
      </c>
      <c r="C189" s="5" t="s">
        <v>230</v>
      </c>
      <c r="D189" s="5">
        <v>10000</v>
      </c>
      <c r="E189" s="5">
        <v>111.657</v>
      </c>
      <c r="F189" s="5">
        <v>75.8</v>
      </c>
      <c r="G189" s="5">
        <v>20</v>
      </c>
      <c r="H189" s="5">
        <v>100</v>
      </c>
      <c r="I189" s="5">
        <v>10</v>
      </c>
      <c r="J189" s="5">
        <v>3.76</v>
      </c>
      <c r="K189" s="5" t="s">
        <v>5</v>
      </c>
      <c r="L189" s="2" t="s">
        <v>281</v>
      </c>
      <c r="M189" s="41"/>
    </row>
    <row r="190" spans="1:13" x14ac:dyDescent="0.25">
      <c r="A190" s="5" t="s">
        <v>286</v>
      </c>
      <c r="B190" s="5" t="s">
        <v>263</v>
      </c>
      <c r="C190" s="5" t="s">
        <v>241</v>
      </c>
      <c r="D190" s="5">
        <v>6000</v>
      </c>
      <c r="E190" s="5">
        <v>20.617000000000001</v>
      </c>
      <c r="F190" s="5">
        <v>50.3</v>
      </c>
      <c r="G190" s="5">
        <v>40</v>
      </c>
      <c r="H190" s="5">
        <v>100</v>
      </c>
      <c r="I190" s="5">
        <v>20</v>
      </c>
      <c r="J190" s="5">
        <v>2.9329999999999998</v>
      </c>
      <c r="K190" s="5" t="s">
        <v>5</v>
      </c>
      <c r="M190" s="41"/>
    </row>
    <row r="191" spans="1:13" x14ac:dyDescent="0.25">
      <c r="A191" s="5" t="s">
        <v>287</v>
      </c>
      <c r="B191" s="5" t="s">
        <v>264</v>
      </c>
      <c r="C191" s="5" t="s">
        <v>230</v>
      </c>
      <c r="D191" s="5">
        <v>10000</v>
      </c>
      <c r="E191" s="5">
        <v>90.707999999999998</v>
      </c>
      <c r="F191" s="5">
        <v>65.400000000000006</v>
      </c>
      <c r="G191" s="5">
        <v>20</v>
      </c>
      <c r="H191" s="5">
        <v>100</v>
      </c>
      <c r="I191" s="5">
        <v>10</v>
      </c>
      <c r="J191" s="5">
        <v>3.76</v>
      </c>
      <c r="K191" s="5" t="s">
        <v>4</v>
      </c>
      <c r="M191" s="41"/>
    </row>
    <row r="192" spans="1:13" x14ac:dyDescent="0.25">
      <c r="A192" s="5"/>
      <c r="B192" s="5" t="s">
        <v>265</v>
      </c>
      <c r="C192" s="5" t="s">
        <v>241</v>
      </c>
      <c r="D192" s="5">
        <v>6000</v>
      </c>
      <c r="E192" s="5">
        <v>99.369</v>
      </c>
      <c r="F192" s="5"/>
      <c r="G192" s="5">
        <v>20</v>
      </c>
      <c r="H192" s="5">
        <v>100</v>
      </c>
      <c r="I192" s="5">
        <v>20</v>
      </c>
      <c r="J192" s="5">
        <v>2.9329999999999998</v>
      </c>
      <c r="K192" s="5" t="s">
        <v>5</v>
      </c>
      <c r="M192" s="2"/>
    </row>
    <row r="193" spans="1:13" x14ac:dyDescent="0.25">
      <c r="A193" s="5"/>
      <c r="B193" s="5" t="s">
        <v>266</v>
      </c>
      <c r="C193" s="5" t="s">
        <v>210</v>
      </c>
      <c r="D193" s="5">
        <v>2000</v>
      </c>
      <c r="E193" s="5">
        <v>65.415999999999997</v>
      </c>
      <c r="F193" s="5"/>
      <c r="G193" s="5">
        <v>60</v>
      </c>
      <c r="H193" s="5">
        <v>100</v>
      </c>
      <c r="I193" s="5">
        <v>60</v>
      </c>
      <c r="J193" s="5">
        <v>8.8000000000000007</v>
      </c>
      <c r="K193" s="5" t="s">
        <v>4</v>
      </c>
      <c r="M193" s="2"/>
    </row>
    <row r="194" spans="1:13" x14ac:dyDescent="0.25">
      <c r="A194" s="5"/>
      <c r="B194" s="5" t="s">
        <v>267</v>
      </c>
      <c r="C194" s="5" t="s">
        <v>213</v>
      </c>
      <c r="D194" s="5">
        <v>3000</v>
      </c>
      <c r="E194" s="5">
        <v>142.24199999999999</v>
      </c>
      <c r="F194" s="5"/>
      <c r="G194" s="5">
        <v>40</v>
      </c>
      <c r="H194" s="5">
        <v>100</v>
      </c>
      <c r="I194" s="5">
        <v>40</v>
      </c>
      <c r="J194" s="5">
        <v>5.867</v>
      </c>
      <c r="K194" s="5" t="s">
        <v>5</v>
      </c>
      <c r="M194" s="2"/>
    </row>
    <row r="195" spans="1:13" x14ac:dyDescent="0.25">
      <c r="A195" s="5"/>
      <c r="B195" s="5" t="s">
        <v>268</v>
      </c>
      <c r="C195" s="5" t="s">
        <v>222</v>
      </c>
      <c r="D195" s="5">
        <v>4000</v>
      </c>
      <c r="E195" s="5">
        <v>54.707000000000001</v>
      </c>
      <c r="F195" s="5"/>
      <c r="G195" s="5">
        <v>30</v>
      </c>
      <c r="H195" s="5">
        <v>100</v>
      </c>
      <c r="I195" s="5">
        <v>30</v>
      </c>
      <c r="J195" s="5">
        <v>4.4000000000000004</v>
      </c>
      <c r="K195" s="5" t="s">
        <v>4</v>
      </c>
      <c r="M195" s="2"/>
    </row>
    <row r="196" spans="1:13" x14ac:dyDescent="0.25">
      <c r="A196" s="5"/>
      <c r="B196" s="5" t="s">
        <v>269</v>
      </c>
      <c r="C196" s="5" t="s">
        <v>216</v>
      </c>
      <c r="D196" s="5">
        <v>5000</v>
      </c>
      <c r="E196" s="5">
        <v>90.936000000000007</v>
      </c>
      <c r="F196" s="5"/>
      <c r="G196" s="5">
        <v>30</v>
      </c>
      <c r="H196" s="5">
        <v>100</v>
      </c>
      <c r="I196" s="5">
        <v>20</v>
      </c>
      <c r="J196" s="5">
        <v>7.52</v>
      </c>
      <c r="K196" s="5" t="s">
        <v>5</v>
      </c>
      <c r="M196" s="2"/>
    </row>
    <row r="197" spans="1:13" x14ac:dyDescent="0.25">
      <c r="A197" s="5"/>
      <c r="B197" s="5" t="s">
        <v>270</v>
      </c>
      <c r="C197" s="5" t="s">
        <v>213</v>
      </c>
      <c r="D197" s="5">
        <v>3000</v>
      </c>
      <c r="E197" s="5">
        <v>43.811</v>
      </c>
      <c r="F197" s="5"/>
      <c r="G197" s="5">
        <v>40</v>
      </c>
      <c r="H197" s="5">
        <v>100</v>
      </c>
      <c r="I197" s="5">
        <v>40</v>
      </c>
      <c r="J197" s="5">
        <v>5.867</v>
      </c>
      <c r="K197" s="5" t="s">
        <v>5</v>
      </c>
      <c r="M197" s="2"/>
    </row>
    <row r="198" spans="1:13" x14ac:dyDescent="0.25">
      <c r="A198" s="5"/>
      <c r="B198" s="5" t="s">
        <v>271</v>
      </c>
      <c r="C198" s="5" t="s">
        <v>213</v>
      </c>
      <c r="D198" s="5">
        <v>3000</v>
      </c>
      <c r="E198" s="5">
        <v>29.030999999999999</v>
      </c>
      <c r="F198" s="5"/>
      <c r="G198" s="5">
        <v>50</v>
      </c>
      <c r="H198" s="5">
        <v>100</v>
      </c>
      <c r="I198" s="5">
        <v>40</v>
      </c>
      <c r="J198" s="5">
        <v>21.155999999999999</v>
      </c>
      <c r="K198" s="5" t="s">
        <v>4</v>
      </c>
      <c r="M198" s="2"/>
    </row>
    <row r="199" spans="1:13" x14ac:dyDescent="0.25">
      <c r="A199" s="5"/>
      <c r="B199" s="5" t="s">
        <v>272</v>
      </c>
      <c r="C199" s="5" t="s">
        <v>239</v>
      </c>
      <c r="D199" s="5">
        <v>2250</v>
      </c>
      <c r="E199" s="5">
        <v>107.328</v>
      </c>
      <c r="F199" s="5"/>
      <c r="G199" s="5">
        <v>60</v>
      </c>
      <c r="H199" s="5">
        <v>100</v>
      </c>
      <c r="I199" s="5">
        <v>60</v>
      </c>
      <c r="J199" s="5">
        <v>8.8000000000000007</v>
      </c>
      <c r="K199" s="5" t="s">
        <v>5</v>
      </c>
      <c r="M199" s="2"/>
    </row>
    <row r="200" spans="1:13" x14ac:dyDescent="0.25">
      <c r="A200" s="5"/>
      <c r="B200" s="5" t="s">
        <v>273</v>
      </c>
      <c r="C200" s="5" t="s">
        <v>215</v>
      </c>
      <c r="D200" s="5">
        <v>2500</v>
      </c>
      <c r="E200" s="5">
        <v>170.31100000000001</v>
      </c>
      <c r="F200" s="5"/>
      <c r="G200" s="5">
        <v>49.996999999973923</v>
      </c>
      <c r="H200" s="5">
        <v>100</v>
      </c>
      <c r="I200" s="5">
        <v>50</v>
      </c>
      <c r="J200" s="5">
        <v>5.04</v>
      </c>
      <c r="K200" s="5" t="s">
        <v>4</v>
      </c>
      <c r="M200" s="2"/>
    </row>
    <row r="201" spans="1:13" x14ac:dyDescent="0.25">
      <c r="A201" s="5"/>
      <c r="B201" s="5" t="s">
        <v>274</v>
      </c>
      <c r="C201" s="5" t="s">
        <v>213</v>
      </c>
      <c r="D201" s="5">
        <v>3000</v>
      </c>
      <c r="E201" s="5">
        <v>66.664000000000001</v>
      </c>
      <c r="F201" s="5"/>
      <c r="G201" s="5">
        <v>40</v>
      </c>
      <c r="H201" s="5">
        <v>100</v>
      </c>
      <c r="I201" s="5">
        <v>40</v>
      </c>
      <c r="J201" s="5">
        <v>5.867</v>
      </c>
      <c r="K201" s="5" t="s">
        <v>5</v>
      </c>
      <c r="M201" s="2"/>
    </row>
    <row r="202" spans="1:13" x14ac:dyDescent="0.25">
      <c r="A202" s="5"/>
      <c r="B202" s="5" t="s">
        <v>275</v>
      </c>
      <c r="C202" s="5" t="s">
        <v>210</v>
      </c>
      <c r="D202" s="5">
        <v>2000</v>
      </c>
      <c r="E202" s="5">
        <v>64.048000000000002</v>
      </c>
      <c r="F202" s="5"/>
      <c r="G202" s="5">
        <v>40</v>
      </c>
      <c r="H202" s="5">
        <v>100</v>
      </c>
      <c r="I202" s="5">
        <v>60</v>
      </c>
      <c r="J202" s="5">
        <v>8.8000000000000007</v>
      </c>
      <c r="K202" s="5" t="s">
        <v>4</v>
      </c>
      <c r="M202" s="2"/>
    </row>
    <row r="203" spans="1:13" x14ac:dyDescent="0.25">
      <c r="A203" s="5"/>
      <c r="B203" s="5" t="s">
        <v>276</v>
      </c>
      <c r="C203" s="5" t="s">
        <v>228</v>
      </c>
      <c r="D203" s="5">
        <v>20000</v>
      </c>
      <c r="E203" s="5">
        <v>42.502000000000002</v>
      </c>
      <c r="F203" s="5"/>
      <c r="G203" s="5">
        <v>30</v>
      </c>
      <c r="H203" s="5">
        <v>100</v>
      </c>
      <c r="I203" s="5">
        <v>10</v>
      </c>
      <c r="J203" s="5">
        <v>-3.12</v>
      </c>
      <c r="K203" s="5" t="s">
        <v>5</v>
      </c>
      <c r="M203" s="2"/>
    </row>
    <row r="204" spans="1:13" x14ac:dyDescent="0.25">
      <c r="A204" s="5"/>
      <c r="B204" s="5" t="s">
        <v>277</v>
      </c>
      <c r="C204" s="5" t="s">
        <v>282</v>
      </c>
      <c r="D204" s="5">
        <v>1250</v>
      </c>
      <c r="E204" s="5">
        <v>76.399000000000001</v>
      </c>
      <c r="F204" s="5"/>
      <c r="G204" s="5">
        <v>20</v>
      </c>
      <c r="H204" s="5">
        <v>100</v>
      </c>
      <c r="I204" s="5">
        <v>40</v>
      </c>
      <c r="J204" s="5">
        <v>7.08</v>
      </c>
      <c r="K204" s="5" t="s">
        <v>5</v>
      </c>
      <c r="M204" s="2"/>
    </row>
    <row r="205" spans="1:13" x14ac:dyDescent="0.25">
      <c r="A205" s="5"/>
      <c r="B205" s="5" t="s">
        <v>278</v>
      </c>
      <c r="C205" s="5" t="s">
        <v>283</v>
      </c>
      <c r="D205" s="5">
        <v>3250</v>
      </c>
      <c r="E205" s="5">
        <v>60.987000000000002</v>
      </c>
      <c r="F205" s="5"/>
      <c r="G205" s="5">
        <v>20</v>
      </c>
      <c r="H205" s="5">
        <v>100</v>
      </c>
      <c r="I205" s="5">
        <v>40</v>
      </c>
      <c r="J205" s="5">
        <v>2.3380000000000001</v>
      </c>
      <c r="K205" s="5" t="s">
        <v>4</v>
      </c>
      <c r="M205" s="2"/>
    </row>
  </sheetData>
  <mergeCells count="5">
    <mergeCell ref="A1:K1"/>
    <mergeCell ref="L67:L74"/>
    <mergeCell ref="A186:K186"/>
    <mergeCell ref="M187:M191"/>
    <mergeCell ref="L99:L107"/>
  </mergeCells>
  <printOptions horizontalCentered="1"/>
  <pageMargins left="0.1" right="0.1" top="0.3" bottom="0.6" header="0.3" footer="0.5"/>
  <pageSetup scale="45" orientation="landscape" r:id="rId1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CDD22AE5-1035-49DF-8971-FF3D4BDA74D5}"/>
</file>

<file path=customXml/itemProps2.xml><?xml version="1.0" encoding="utf-8"?>
<ds:datastoreItem xmlns:ds="http://schemas.openxmlformats.org/officeDocument/2006/customXml" ds:itemID="{52DF721D-61AC-453D-9F7D-75C29F1B60AF}"/>
</file>

<file path=customXml/itemProps3.xml><?xml version="1.0" encoding="utf-8"?>
<ds:datastoreItem xmlns:ds="http://schemas.openxmlformats.org/officeDocument/2006/customXml" ds:itemID="{0F0A9208-81FA-4A62-AB88-8E03F45CF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Horizontal Curve List (ML)</vt:lpstr>
      <vt:lpstr> Curve List for Drg.</vt:lpstr>
      <vt:lpstr>' Curve List for Drg.'!Print_Area</vt:lpstr>
      <vt:lpstr>'Horizontal Curve List (ML)'!Print_Area</vt:lpstr>
      <vt:lpstr>' Curve List for Drg.'!Print_Titles</vt:lpstr>
      <vt:lpstr>'Horizontal Curve List (ML)'!Print_Titles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cp:lastPrinted>2024-09-27T11:30:53Z</cp:lastPrinted>
  <dcterms:created xsi:type="dcterms:W3CDTF">2024-03-04T04:54:21Z</dcterms:created>
  <dcterms:modified xsi:type="dcterms:W3CDTF">2024-11-20T04:30:34Z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