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282.500 TO KM 289.037-TR (LINK LINE)/CAD-287.500 - 289.000/"/>
    </mc:Choice>
  </mc:AlternateContent>
  <xr:revisionPtr revIDLastSave="1153" documentId="13_ncr:1_{D6570D24-7F64-43F4-89CF-D7A58D3FB539}" xr6:coauthVersionLast="47" xr6:coauthVersionMax="47" xr10:uidLastSave="{B3B75726-1915-48D9-911B-1E77FD961275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Sheet1!$A$1:$U$368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34" i="1" l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O3" i="1" l="1"/>
  <c r="P3" i="1" s="1"/>
  <c r="T3" i="1" s="1"/>
  <c r="P2" i="1"/>
  <c r="T2" i="1" s="1"/>
  <c r="O4" i="1" l="1"/>
  <c r="N4" i="1"/>
  <c r="N5" i="1" s="1"/>
  <c r="O5" i="1" l="1"/>
  <c r="P4" i="1"/>
  <c r="T4" i="1" s="1"/>
  <c r="N6" i="1"/>
  <c r="O6" i="1" l="1"/>
  <c r="P5" i="1"/>
  <c r="T5" i="1" s="1"/>
  <c r="N7" i="1"/>
  <c r="O7" i="1" l="1"/>
  <c r="P6" i="1"/>
  <c r="T6" i="1" s="1"/>
  <c r="N8" i="1"/>
  <c r="P7" i="1" l="1"/>
  <c r="T7" i="1" s="1"/>
  <c r="O8" i="1"/>
  <c r="N9" i="1"/>
  <c r="O9" i="1" l="1"/>
  <c r="P8" i="1"/>
  <c r="T8" i="1" s="1"/>
  <c r="N10" i="1"/>
  <c r="O10" i="1" l="1"/>
  <c r="P9" i="1"/>
  <c r="T9" i="1" s="1"/>
  <c r="N11" i="1"/>
  <c r="O11" i="1" l="1"/>
  <c r="P10" i="1"/>
  <c r="T10" i="1" s="1"/>
  <c r="N12" i="1"/>
  <c r="N15" i="1" s="1"/>
  <c r="O12" i="1" l="1"/>
  <c r="P11" i="1"/>
  <c r="T11" i="1" s="1"/>
  <c r="N13" i="1"/>
  <c r="O13" i="1" l="1"/>
  <c r="P12" i="1"/>
  <c r="T12" i="1" s="1"/>
  <c r="N14" i="1"/>
  <c r="O14" i="1" l="1"/>
  <c r="P13" i="1"/>
  <c r="T13" i="1" s="1"/>
  <c r="N18" i="1"/>
  <c r="O15" i="1" l="1"/>
  <c r="P15" i="1" s="1"/>
  <c r="T15" i="1" s="1"/>
  <c r="P14" i="1"/>
  <c r="T14" i="1" s="1"/>
  <c r="N19" i="1"/>
  <c r="O18" i="1" l="1"/>
  <c r="P17" i="1"/>
  <c r="T17" i="1" s="1"/>
  <c r="N20" i="1"/>
  <c r="O19" i="1" l="1"/>
  <c r="P18" i="1"/>
  <c r="N21" i="1"/>
  <c r="O20" i="1" l="1"/>
  <c r="P19" i="1"/>
  <c r="N22" i="1"/>
  <c r="O21" i="1" l="1"/>
  <c r="P20" i="1"/>
  <c r="N23" i="1"/>
  <c r="O22" i="1" l="1"/>
  <c r="P21" i="1"/>
  <c r="N24" i="1"/>
  <c r="O23" i="1" l="1"/>
  <c r="P22" i="1"/>
  <c r="N25" i="1"/>
  <c r="O24" i="1" l="1"/>
  <c r="P23" i="1"/>
  <c r="N26" i="1"/>
  <c r="O25" i="1" l="1"/>
  <c r="P24" i="1"/>
  <c r="N27" i="1"/>
  <c r="O26" i="1" l="1"/>
  <c r="P25" i="1"/>
  <c r="N28" i="1"/>
  <c r="O27" i="1" l="1"/>
  <c r="P26" i="1"/>
  <c r="N29" i="1"/>
  <c r="O28" i="1" l="1"/>
  <c r="P27" i="1"/>
  <c r="N30" i="1"/>
  <c r="O29" i="1" l="1"/>
  <c r="P28" i="1"/>
  <c r="N31" i="1"/>
  <c r="O30" i="1" l="1"/>
  <c r="P29" i="1"/>
  <c r="N32" i="1"/>
  <c r="O31" i="1" l="1"/>
  <c r="P30" i="1"/>
  <c r="N33" i="1"/>
  <c r="O32" i="1" l="1"/>
  <c r="P31" i="1"/>
  <c r="N34" i="1"/>
  <c r="O33" i="1" l="1"/>
  <c r="P32" i="1"/>
  <c r="N35" i="1"/>
  <c r="O34" i="1" l="1"/>
  <c r="P33" i="1"/>
  <c r="N36" i="1"/>
  <c r="O35" i="1" l="1"/>
  <c r="P34" i="1"/>
  <c r="N37" i="1"/>
  <c r="O36" i="1" l="1"/>
  <c r="P35" i="1"/>
  <c r="N38" i="1"/>
  <c r="O37" i="1" l="1"/>
  <c r="P36" i="1"/>
  <c r="N39" i="1"/>
  <c r="O38" i="1" l="1"/>
  <c r="P37" i="1"/>
  <c r="N40" i="1"/>
  <c r="O39" i="1" l="1"/>
  <c r="P38" i="1"/>
  <c r="N41" i="1"/>
  <c r="O40" i="1" l="1"/>
  <c r="P39" i="1"/>
  <c r="N42" i="1"/>
  <c r="O41" i="1" l="1"/>
  <c r="P40" i="1"/>
  <c r="O42" i="1" l="1"/>
  <c r="P41" i="1"/>
  <c r="N45" i="1"/>
  <c r="P42" i="1" l="1"/>
  <c r="N46" i="1"/>
  <c r="O45" i="1" l="1"/>
  <c r="P44" i="1"/>
  <c r="T44" i="1" s="1"/>
  <c r="N47" i="1"/>
  <c r="O46" i="1" l="1"/>
  <c r="P45" i="1"/>
  <c r="N48" i="1"/>
  <c r="O47" i="1" l="1"/>
  <c r="P46" i="1"/>
  <c r="N49" i="1"/>
  <c r="O48" i="1" l="1"/>
  <c r="P47" i="1"/>
  <c r="N50" i="1"/>
  <c r="O49" i="1" l="1"/>
  <c r="P48" i="1"/>
  <c r="N51" i="1"/>
  <c r="O50" i="1" l="1"/>
  <c r="P49" i="1"/>
  <c r="N52" i="1"/>
  <c r="O51" i="1" l="1"/>
  <c r="P50" i="1"/>
  <c r="N53" i="1"/>
  <c r="O52" i="1" l="1"/>
  <c r="P51" i="1"/>
  <c r="N54" i="1"/>
  <c r="O53" i="1" l="1"/>
  <c r="P52" i="1"/>
  <c r="N55" i="1"/>
  <c r="O54" i="1" l="1"/>
  <c r="P53" i="1"/>
  <c r="N56" i="1"/>
  <c r="O55" i="1" l="1"/>
  <c r="P54" i="1"/>
  <c r="N57" i="1"/>
  <c r="O56" i="1" l="1"/>
  <c r="P55" i="1"/>
  <c r="N58" i="1"/>
  <c r="O57" i="1" l="1"/>
  <c r="P56" i="1"/>
  <c r="N59" i="1"/>
  <c r="O58" i="1" l="1"/>
  <c r="P57" i="1"/>
  <c r="N60" i="1"/>
  <c r="O59" i="1" l="1"/>
  <c r="P58" i="1"/>
  <c r="N61" i="1"/>
  <c r="O60" i="1" l="1"/>
  <c r="P59" i="1"/>
  <c r="N62" i="1"/>
  <c r="O61" i="1" l="1"/>
  <c r="P60" i="1"/>
  <c r="N63" i="1"/>
  <c r="O62" i="1" l="1"/>
  <c r="P61" i="1"/>
  <c r="N64" i="1"/>
  <c r="O63" i="1" l="1"/>
  <c r="P62" i="1"/>
  <c r="N65" i="1"/>
  <c r="O64" i="1" l="1"/>
  <c r="P63" i="1"/>
  <c r="N66" i="1"/>
  <c r="O65" i="1" l="1"/>
  <c r="P64" i="1"/>
  <c r="N67" i="1"/>
  <c r="O66" i="1" l="1"/>
  <c r="P65" i="1"/>
  <c r="N68" i="1"/>
  <c r="O67" i="1" l="1"/>
  <c r="P66" i="1"/>
  <c r="N69" i="1"/>
  <c r="O68" i="1" l="1"/>
  <c r="P67" i="1"/>
  <c r="O69" i="1" l="1"/>
  <c r="P68" i="1"/>
  <c r="N72" i="1"/>
  <c r="P69" i="1" l="1"/>
  <c r="N73" i="1"/>
  <c r="O72" i="1" l="1"/>
  <c r="P71" i="1"/>
  <c r="T71" i="1" s="1"/>
  <c r="N74" i="1"/>
  <c r="O73" i="1" l="1"/>
  <c r="P72" i="1"/>
  <c r="N75" i="1"/>
  <c r="O74" i="1" l="1"/>
  <c r="P73" i="1"/>
  <c r="N76" i="1"/>
  <c r="O75" i="1" l="1"/>
  <c r="P74" i="1"/>
  <c r="N77" i="1"/>
  <c r="O76" i="1" l="1"/>
  <c r="P75" i="1"/>
  <c r="N78" i="1"/>
  <c r="O77" i="1" l="1"/>
  <c r="P76" i="1"/>
  <c r="N79" i="1"/>
  <c r="O78" i="1" l="1"/>
  <c r="P77" i="1"/>
  <c r="N80" i="1"/>
  <c r="O79" i="1" l="1"/>
  <c r="P78" i="1"/>
  <c r="N81" i="1"/>
  <c r="O80" i="1" l="1"/>
  <c r="P79" i="1"/>
  <c r="N82" i="1"/>
  <c r="O81" i="1" l="1"/>
  <c r="P80" i="1"/>
  <c r="N83" i="1"/>
  <c r="O82" i="1" l="1"/>
  <c r="P81" i="1"/>
  <c r="N84" i="1"/>
  <c r="O83" i="1" l="1"/>
  <c r="P82" i="1"/>
  <c r="N85" i="1"/>
  <c r="O84" i="1" l="1"/>
  <c r="P83" i="1"/>
  <c r="N86" i="1"/>
  <c r="O85" i="1" l="1"/>
  <c r="P84" i="1"/>
  <c r="N87" i="1"/>
  <c r="O86" i="1" l="1"/>
  <c r="P85" i="1"/>
  <c r="N88" i="1"/>
  <c r="O87" i="1" l="1"/>
  <c r="P86" i="1"/>
  <c r="N89" i="1"/>
  <c r="O88" i="1" l="1"/>
  <c r="P87" i="1"/>
  <c r="N90" i="1"/>
  <c r="O89" i="1" l="1"/>
  <c r="P88" i="1"/>
  <c r="N91" i="1"/>
  <c r="O90" i="1" l="1"/>
  <c r="P89" i="1"/>
  <c r="N92" i="1"/>
  <c r="O91" i="1" l="1"/>
  <c r="P90" i="1"/>
  <c r="N93" i="1"/>
  <c r="O92" i="1" l="1"/>
  <c r="P91" i="1"/>
  <c r="N94" i="1"/>
  <c r="O93" i="1" l="1"/>
  <c r="P92" i="1"/>
  <c r="N95" i="1"/>
  <c r="O94" i="1" l="1"/>
  <c r="P93" i="1"/>
  <c r="N96" i="1"/>
  <c r="O95" i="1" l="1"/>
  <c r="P94" i="1"/>
  <c r="O96" i="1" l="1"/>
  <c r="P95" i="1"/>
  <c r="N99" i="1"/>
  <c r="P96" i="1" l="1"/>
  <c r="N100" i="1"/>
  <c r="O99" i="1" l="1"/>
  <c r="P98" i="1"/>
  <c r="T98" i="1" s="1"/>
  <c r="N101" i="1"/>
  <c r="O100" i="1" l="1"/>
  <c r="P99" i="1"/>
  <c r="N102" i="1"/>
  <c r="O101" i="1" l="1"/>
  <c r="P100" i="1"/>
  <c r="N103" i="1"/>
  <c r="O102" i="1" l="1"/>
  <c r="P101" i="1"/>
  <c r="N104" i="1"/>
  <c r="O103" i="1" l="1"/>
  <c r="P102" i="1"/>
  <c r="N105" i="1"/>
  <c r="O104" i="1" l="1"/>
  <c r="P103" i="1"/>
  <c r="N106" i="1"/>
  <c r="O105" i="1" l="1"/>
  <c r="P104" i="1"/>
  <c r="N107" i="1"/>
  <c r="O106" i="1" l="1"/>
  <c r="P105" i="1"/>
  <c r="N108" i="1"/>
  <c r="O107" i="1" l="1"/>
  <c r="P106" i="1"/>
  <c r="N109" i="1"/>
  <c r="O108" i="1" l="1"/>
  <c r="P107" i="1"/>
  <c r="N110" i="1"/>
  <c r="O109" i="1" l="1"/>
  <c r="P108" i="1"/>
  <c r="N111" i="1"/>
  <c r="O110" i="1" l="1"/>
  <c r="P109" i="1"/>
  <c r="N112" i="1"/>
  <c r="O111" i="1" l="1"/>
  <c r="P110" i="1"/>
  <c r="N113" i="1"/>
  <c r="O112" i="1" l="1"/>
  <c r="P111" i="1"/>
  <c r="N114" i="1"/>
  <c r="O113" i="1" l="1"/>
  <c r="P112" i="1"/>
  <c r="N115" i="1"/>
  <c r="O114" i="1" l="1"/>
  <c r="P113" i="1"/>
  <c r="N116" i="1"/>
  <c r="O115" i="1" l="1"/>
  <c r="P114" i="1"/>
  <c r="N117" i="1"/>
  <c r="O116" i="1" l="1"/>
  <c r="P115" i="1"/>
  <c r="N118" i="1"/>
  <c r="O117" i="1" l="1"/>
  <c r="P116" i="1"/>
  <c r="N119" i="1"/>
  <c r="O118" i="1" l="1"/>
  <c r="P117" i="1"/>
  <c r="N120" i="1"/>
  <c r="O119" i="1" l="1"/>
  <c r="P118" i="1"/>
  <c r="N121" i="1"/>
  <c r="O120" i="1" l="1"/>
  <c r="P119" i="1"/>
  <c r="N122" i="1"/>
  <c r="O121" i="1" l="1"/>
  <c r="P120" i="1"/>
  <c r="N123" i="1"/>
  <c r="O122" i="1" l="1"/>
  <c r="P121" i="1"/>
  <c r="O123" i="1" l="1"/>
  <c r="P122" i="1"/>
  <c r="N126" i="1"/>
  <c r="P123" i="1" l="1"/>
  <c r="N127" i="1"/>
  <c r="O126" i="1" l="1"/>
  <c r="P125" i="1"/>
  <c r="T125" i="1" s="1"/>
  <c r="N128" i="1"/>
  <c r="O127" i="1" l="1"/>
  <c r="P126" i="1"/>
  <c r="N129" i="1"/>
  <c r="O128" i="1" l="1"/>
  <c r="P127" i="1"/>
  <c r="N130" i="1"/>
  <c r="O129" i="1" l="1"/>
  <c r="P128" i="1"/>
  <c r="N131" i="1"/>
  <c r="O130" i="1" l="1"/>
  <c r="P129" i="1"/>
  <c r="N132" i="1"/>
  <c r="O131" i="1" l="1"/>
  <c r="P130" i="1"/>
  <c r="N133" i="1"/>
  <c r="O132" i="1" l="1"/>
  <c r="P131" i="1"/>
  <c r="N134" i="1"/>
  <c r="O133" i="1" l="1"/>
  <c r="P132" i="1"/>
  <c r="N135" i="1"/>
  <c r="O134" i="1" l="1"/>
  <c r="P133" i="1"/>
  <c r="N136" i="1"/>
  <c r="O135" i="1" l="1"/>
  <c r="P134" i="1"/>
  <c r="N137" i="1"/>
  <c r="O136" i="1" l="1"/>
  <c r="P135" i="1"/>
  <c r="N138" i="1"/>
  <c r="O137" i="1" l="1"/>
  <c r="P136" i="1"/>
  <c r="N139" i="1"/>
  <c r="O138" i="1" l="1"/>
  <c r="P137" i="1"/>
  <c r="N140" i="1"/>
  <c r="O139" i="1" l="1"/>
  <c r="P138" i="1"/>
  <c r="N141" i="1"/>
  <c r="O140" i="1" l="1"/>
  <c r="P139" i="1"/>
  <c r="N142" i="1"/>
  <c r="O141" i="1" l="1"/>
  <c r="P140" i="1"/>
  <c r="N143" i="1"/>
  <c r="O142" i="1" l="1"/>
  <c r="P141" i="1"/>
  <c r="N144" i="1"/>
  <c r="O143" i="1" l="1"/>
  <c r="P142" i="1"/>
  <c r="N145" i="1"/>
  <c r="O144" i="1" l="1"/>
  <c r="P143" i="1"/>
  <c r="N146" i="1"/>
  <c r="O145" i="1" l="1"/>
  <c r="P144" i="1"/>
  <c r="N147" i="1"/>
  <c r="O146" i="1" l="1"/>
  <c r="P145" i="1"/>
  <c r="N148" i="1"/>
  <c r="O147" i="1" l="1"/>
  <c r="P146" i="1"/>
  <c r="N149" i="1"/>
  <c r="O148" i="1" l="1"/>
  <c r="P147" i="1"/>
  <c r="N150" i="1"/>
  <c r="O149" i="1" l="1"/>
  <c r="P148" i="1"/>
  <c r="O150" i="1" l="1"/>
  <c r="P149" i="1"/>
  <c r="N153" i="1"/>
  <c r="P150" i="1" l="1"/>
  <c r="N154" i="1"/>
  <c r="O153" i="1" l="1"/>
  <c r="P152" i="1"/>
  <c r="N155" i="1"/>
  <c r="O154" i="1" l="1"/>
  <c r="P153" i="1"/>
  <c r="N156" i="1"/>
  <c r="O155" i="1" l="1"/>
  <c r="P154" i="1"/>
  <c r="N157" i="1"/>
  <c r="O156" i="1" l="1"/>
  <c r="P155" i="1"/>
  <c r="N158" i="1"/>
  <c r="O157" i="1" l="1"/>
  <c r="P156" i="1"/>
  <c r="N159" i="1"/>
  <c r="O158" i="1" l="1"/>
  <c r="P157" i="1"/>
  <c r="N160" i="1"/>
  <c r="O159" i="1" l="1"/>
  <c r="P158" i="1"/>
  <c r="N161" i="1"/>
  <c r="O160" i="1" l="1"/>
  <c r="P159" i="1"/>
  <c r="N162" i="1"/>
  <c r="O161" i="1" l="1"/>
  <c r="P160" i="1"/>
  <c r="N163" i="1"/>
  <c r="O162" i="1" l="1"/>
  <c r="P161" i="1"/>
  <c r="N164" i="1"/>
  <c r="O163" i="1" l="1"/>
  <c r="P162" i="1"/>
  <c r="N165" i="1"/>
  <c r="O164" i="1" l="1"/>
  <c r="P163" i="1"/>
  <c r="N166" i="1"/>
  <c r="O165" i="1" l="1"/>
  <c r="P164" i="1"/>
  <c r="N167" i="1"/>
  <c r="O166" i="1" l="1"/>
  <c r="P165" i="1"/>
  <c r="N168" i="1"/>
  <c r="O167" i="1" l="1"/>
  <c r="P166" i="1"/>
  <c r="N169" i="1"/>
  <c r="O168" i="1" l="1"/>
  <c r="P167" i="1"/>
  <c r="N170" i="1"/>
  <c r="O169" i="1" l="1"/>
  <c r="P168" i="1"/>
  <c r="N171" i="1"/>
  <c r="O170" i="1" l="1"/>
  <c r="P169" i="1"/>
  <c r="N172" i="1"/>
  <c r="O171" i="1" l="1"/>
  <c r="P170" i="1"/>
  <c r="N173" i="1"/>
  <c r="O172" i="1" l="1"/>
  <c r="P171" i="1"/>
  <c r="N174" i="1"/>
  <c r="O173" i="1" l="1"/>
  <c r="P172" i="1"/>
  <c r="N175" i="1"/>
  <c r="O174" i="1" l="1"/>
  <c r="P173" i="1"/>
  <c r="N176" i="1"/>
  <c r="O175" i="1" l="1"/>
  <c r="P174" i="1"/>
  <c r="N177" i="1"/>
  <c r="O176" i="1" l="1"/>
  <c r="P175" i="1"/>
  <c r="O177" i="1" l="1"/>
  <c r="P176" i="1"/>
  <c r="N180" i="1"/>
  <c r="P177" i="1" l="1"/>
  <c r="N181" i="1"/>
  <c r="O180" i="1" l="1"/>
  <c r="P179" i="1"/>
  <c r="T179" i="1" s="1"/>
  <c r="N182" i="1"/>
  <c r="O181" i="1" l="1"/>
  <c r="P180" i="1"/>
  <c r="N183" i="1"/>
  <c r="O182" i="1" l="1"/>
  <c r="P181" i="1"/>
  <c r="N184" i="1"/>
  <c r="O183" i="1" l="1"/>
  <c r="P182" i="1"/>
  <c r="N185" i="1"/>
  <c r="O184" i="1" l="1"/>
  <c r="P183" i="1"/>
  <c r="N186" i="1"/>
  <c r="O185" i="1" l="1"/>
  <c r="P184" i="1"/>
  <c r="N187" i="1"/>
  <c r="O186" i="1" l="1"/>
  <c r="P185" i="1"/>
  <c r="N188" i="1"/>
  <c r="O187" i="1" l="1"/>
  <c r="P186" i="1"/>
  <c r="N189" i="1"/>
  <c r="O188" i="1" l="1"/>
  <c r="P187" i="1"/>
  <c r="N190" i="1"/>
  <c r="O189" i="1" l="1"/>
  <c r="P188" i="1"/>
  <c r="N191" i="1"/>
  <c r="O190" i="1" l="1"/>
  <c r="P189" i="1"/>
  <c r="N192" i="1"/>
  <c r="O191" i="1" l="1"/>
  <c r="P190" i="1"/>
  <c r="N193" i="1"/>
  <c r="O192" i="1" l="1"/>
  <c r="P191" i="1"/>
  <c r="N194" i="1"/>
  <c r="O193" i="1" l="1"/>
  <c r="P192" i="1"/>
  <c r="N195" i="1"/>
  <c r="O194" i="1" l="1"/>
  <c r="P193" i="1"/>
  <c r="N196" i="1"/>
  <c r="O195" i="1" l="1"/>
  <c r="P194" i="1"/>
  <c r="N197" i="1"/>
  <c r="O196" i="1" l="1"/>
  <c r="P195" i="1"/>
  <c r="N198" i="1"/>
  <c r="O197" i="1" l="1"/>
  <c r="P196" i="1"/>
  <c r="N199" i="1"/>
  <c r="O198" i="1" l="1"/>
  <c r="P197" i="1"/>
  <c r="N200" i="1"/>
  <c r="O199" i="1" l="1"/>
  <c r="P198" i="1"/>
  <c r="N201" i="1"/>
  <c r="O200" i="1" l="1"/>
  <c r="P199" i="1"/>
  <c r="N202" i="1"/>
  <c r="O201" i="1" l="1"/>
  <c r="P200" i="1"/>
  <c r="N203" i="1"/>
  <c r="O202" i="1" l="1"/>
  <c r="P201" i="1"/>
  <c r="N204" i="1"/>
  <c r="O203" i="1" l="1"/>
  <c r="P202" i="1"/>
  <c r="O204" i="1" l="1"/>
  <c r="P203" i="1"/>
  <c r="N207" i="1"/>
  <c r="P204" i="1" l="1"/>
  <c r="N208" i="1"/>
  <c r="O207" i="1" l="1"/>
  <c r="P206" i="1"/>
  <c r="T206" i="1" s="1"/>
  <c r="N209" i="1"/>
  <c r="O208" i="1" l="1"/>
  <c r="P207" i="1"/>
  <c r="N210" i="1"/>
  <c r="O209" i="1" l="1"/>
  <c r="P208" i="1"/>
  <c r="N211" i="1"/>
  <c r="O210" i="1" l="1"/>
  <c r="P209" i="1"/>
  <c r="N212" i="1"/>
  <c r="O211" i="1" l="1"/>
  <c r="P210" i="1"/>
  <c r="N213" i="1"/>
  <c r="O212" i="1" l="1"/>
  <c r="P211" i="1"/>
  <c r="N214" i="1"/>
  <c r="O213" i="1" l="1"/>
  <c r="P212" i="1"/>
  <c r="N215" i="1"/>
  <c r="O214" i="1" l="1"/>
  <c r="P213" i="1"/>
  <c r="N216" i="1"/>
  <c r="O215" i="1" l="1"/>
  <c r="P214" i="1"/>
  <c r="N217" i="1"/>
  <c r="O216" i="1" l="1"/>
  <c r="P215" i="1"/>
  <c r="N218" i="1"/>
  <c r="O217" i="1" l="1"/>
  <c r="P216" i="1"/>
  <c r="N219" i="1"/>
  <c r="O218" i="1" l="1"/>
  <c r="P217" i="1"/>
  <c r="N220" i="1"/>
  <c r="O219" i="1" l="1"/>
  <c r="P218" i="1"/>
  <c r="N221" i="1"/>
  <c r="O220" i="1" l="1"/>
  <c r="P219" i="1"/>
  <c r="N222" i="1"/>
  <c r="O221" i="1" l="1"/>
  <c r="P220" i="1"/>
  <c r="N223" i="1"/>
  <c r="O222" i="1" l="1"/>
  <c r="P221" i="1"/>
  <c r="N224" i="1"/>
  <c r="O223" i="1" l="1"/>
  <c r="P222" i="1"/>
  <c r="N225" i="1"/>
  <c r="O224" i="1" l="1"/>
  <c r="P223" i="1"/>
  <c r="N226" i="1"/>
  <c r="O225" i="1" l="1"/>
  <c r="P224" i="1"/>
  <c r="N227" i="1"/>
  <c r="O226" i="1" l="1"/>
  <c r="P225" i="1"/>
  <c r="N228" i="1"/>
  <c r="O227" i="1" l="1"/>
  <c r="P226" i="1"/>
  <c r="N229" i="1"/>
  <c r="O228" i="1" l="1"/>
  <c r="P227" i="1"/>
  <c r="N230" i="1"/>
  <c r="O229" i="1" l="1"/>
  <c r="P228" i="1"/>
  <c r="N231" i="1"/>
  <c r="O230" i="1" l="1"/>
  <c r="P229" i="1"/>
  <c r="O231" i="1" l="1"/>
  <c r="P230" i="1"/>
  <c r="N234" i="1"/>
  <c r="P231" i="1" l="1"/>
  <c r="N235" i="1"/>
  <c r="O234" i="1" l="1"/>
  <c r="P233" i="1"/>
  <c r="T233" i="1" s="1"/>
  <c r="N236" i="1"/>
  <c r="O235" i="1" l="1"/>
  <c r="P234" i="1"/>
  <c r="N237" i="1"/>
  <c r="O236" i="1" l="1"/>
  <c r="P235" i="1"/>
  <c r="N238" i="1"/>
  <c r="O237" i="1" l="1"/>
  <c r="P236" i="1"/>
  <c r="N239" i="1"/>
  <c r="O238" i="1" l="1"/>
  <c r="P237" i="1"/>
  <c r="N240" i="1"/>
  <c r="O239" i="1" l="1"/>
  <c r="P238" i="1"/>
  <c r="N241" i="1"/>
  <c r="O240" i="1" l="1"/>
  <c r="P239" i="1"/>
  <c r="N242" i="1"/>
  <c r="O241" i="1" l="1"/>
  <c r="P240" i="1"/>
  <c r="N243" i="1"/>
  <c r="O242" i="1" l="1"/>
  <c r="P241" i="1"/>
  <c r="N244" i="1"/>
  <c r="O243" i="1" l="1"/>
  <c r="P242" i="1"/>
  <c r="N245" i="1"/>
  <c r="O244" i="1" l="1"/>
  <c r="P243" i="1"/>
  <c r="N246" i="1"/>
  <c r="O245" i="1" l="1"/>
  <c r="P244" i="1"/>
  <c r="N247" i="1"/>
  <c r="O246" i="1" l="1"/>
  <c r="P245" i="1"/>
  <c r="N248" i="1"/>
  <c r="O247" i="1" l="1"/>
  <c r="P246" i="1"/>
  <c r="N249" i="1"/>
  <c r="O248" i="1" l="1"/>
  <c r="P247" i="1"/>
  <c r="N250" i="1"/>
  <c r="O249" i="1" l="1"/>
  <c r="P248" i="1"/>
  <c r="N251" i="1"/>
  <c r="O250" i="1" l="1"/>
  <c r="P249" i="1"/>
  <c r="N252" i="1"/>
  <c r="O251" i="1" l="1"/>
  <c r="P250" i="1"/>
  <c r="N253" i="1"/>
  <c r="O252" i="1" l="1"/>
  <c r="P251" i="1"/>
  <c r="N254" i="1"/>
  <c r="O253" i="1" l="1"/>
  <c r="P252" i="1"/>
  <c r="N255" i="1"/>
  <c r="O254" i="1" l="1"/>
  <c r="P253" i="1"/>
  <c r="N256" i="1"/>
  <c r="O255" i="1" l="1"/>
  <c r="P254" i="1"/>
  <c r="N257" i="1"/>
  <c r="O256" i="1" l="1"/>
  <c r="P255" i="1"/>
  <c r="N258" i="1"/>
  <c r="O257" i="1" l="1"/>
  <c r="P256" i="1"/>
  <c r="O258" i="1" l="1"/>
  <c r="P257" i="1"/>
  <c r="N261" i="1"/>
  <c r="P258" i="1" l="1"/>
  <c r="N262" i="1"/>
  <c r="O261" i="1" l="1"/>
  <c r="P260" i="1"/>
  <c r="T260" i="1" s="1"/>
  <c r="N263" i="1"/>
  <c r="O262" i="1" l="1"/>
  <c r="P261" i="1"/>
  <c r="N264" i="1"/>
  <c r="O263" i="1" l="1"/>
  <c r="P262" i="1"/>
  <c r="N265" i="1"/>
  <c r="O264" i="1" l="1"/>
  <c r="P263" i="1"/>
  <c r="N266" i="1"/>
  <c r="O265" i="1" l="1"/>
  <c r="P264" i="1"/>
  <c r="N267" i="1"/>
  <c r="O266" i="1" l="1"/>
  <c r="P265" i="1"/>
  <c r="N268" i="1"/>
  <c r="O267" i="1" l="1"/>
  <c r="P266" i="1"/>
  <c r="N269" i="1"/>
  <c r="O268" i="1" l="1"/>
  <c r="P267" i="1"/>
  <c r="N270" i="1"/>
  <c r="O269" i="1" l="1"/>
  <c r="P268" i="1"/>
  <c r="N271" i="1"/>
  <c r="O270" i="1" l="1"/>
  <c r="P269" i="1"/>
  <c r="N272" i="1"/>
  <c r="O271" i="1" l="1"/>
  <c r="P270" i="1"/>
  <c r="N273" i="1"/>
  <c r="O272" i="1" l="1"/>
  <c r="P271" i="1"/>
  <c r="N274" i="1"/>
  <c r="O273" i="1" l="1"/>
  <c r="P272" i="1"/>
  <c r="N275" i="1"/>
  <c r="O274" i="1" l="1"/>
  <c r="P273" i="1"/>
  <c r="N276" i="1"/>
  <c r="O275" i="1" l="1"/>
  <c r="P274" i="1"/>
  <c r="N277" i="1"/>
  <c r="O276" i="1" l="1"/>
  <c r="P275" i="1"/>
  <c r="N278" i="1"/>
  <c r="O277" i="1" l="1"/>
  <c r="P276" i="1"/>
  <c r="N279" i="1"/>
  <c r="O278" i="1" l="1"/>
  <c r="P277" i="1"/>
  <c r="N280" i="1"/>
  <c r="O279" i="1" l="1"/>
  <c r="P278" i="1"/>
  <c r="N281" i="1"/>
  <c r="O280" i="1" l="1"/>
  <c r="P279" i="1"/>
  <c r="N282" i="1"/>
  <c r="O281" i="1" l="1"/>
  <c r="P280" i="1"/>
  <c r="N283" i="1"/>
  <c r="O282" i="1" l="1"/>
  <c r="P281" i="1"/>
  <c r="N284" i="1"/>
  <c r="O283" i="1" l="1"/>
  <c r="P282" i="1"/>
  <c r="N285" i="1"/>
  <c r="O284" i="1" l="1"/>
  <c r="P283" i="1"/>
  <c r="O285" i="1" l="1"/>
  <c r="P284" i="1"/>
  <c r="N288" i="1"/>
  <c r="P285" i="1" l="1"/>
  <c r="N289" i="1"/>
  <c r="O288" i="1" l="1"/>
  <c r="P287" i="1"/>
  <c r="T287" i="1" s="1"/>
  <c r="N290" i="1"/>
  <c r="O289" i="1" l="1"/>
  <c r="P288" i="1"/>
  <c r="N291" i="1"/>
  <c r="O290" i="1" l="1"/>
  <c r="P289" i="1"/>
  <c r="N292" i="1"/>
  <c r="O291" i="1" l="1"/>
  <c r="P290" i="1"/>
  <c r="N293" i="1"/>
  <c r="O292" i="1" l="1"/>
  <c r="P291" i="1"/>
  <c r="N294" i="1"/>
  <c r="O293" i="1" l="1"/>
  <c r="P292" i="1"/>
  <c r="N295" i="1"/>
  <c r="O294" i="1" l="1"/>
  <c r="P293" i="1"/>
  <c r="N296" i="1"/>
  <c r="O295" i="1" l="1"/>
  <c r="P294" i="1"/>
  <c r="N297" i="1"/>
  <c r="O296" i="1" l="1"/>
  <c r="P295" i="1"/>
  <c r="N298" i="1"/>
  <c r="O297" i="1" l="1"/>
  <c r="P296" i="1"/>
  <c r="N299" i="1"/>
  <c r="O298" i="1" l="1"/>
  <c r="P297" i="1"/>
  <c r="N300" i="1"/>
  <c r="O299" i="1" l="1"/>
  <c r="P298" i="1"/>
  <c r="N301" i="1"/>
  <c r="O300" i="1" l="1"/>
  <c r="P299" i="1"/>
  <c r="N302" i="1"/>
  <c r="O301" i="1" l="1"/>
  <c r="P300" i="1"/>
  <c r="N303" i="1"/>
  <c r="O302" i="1" l="1"/>
  <c r="P301" i="1"/>
  <c r="N304" i="1"/>
  <c r="O303" i="1" l="1"/>
  <c r="P302" i="1"/>
  <c r="N305" i="1"/>
  <c r="O304" i="1" l="1"/>
  <c r="P303" i="1"/>
  <c r="N306" i="1"/>
  <c r="O305" i="1" l="1"/>
  <c r="P304" i="1"/>
  <c r="N307" i="1"/>
  <c r="O306" i="1" l="1"/>
  <c r="P305" i="1"/>
  <c r="N308" i="1"/>
  <c r="O307" i="1" l="1"/>
  <c r="P306" i="1"/>
  <c r="N309" i="1"/>
  <c r="O308" i="1" l="1"/>
  <c r="P307" i="1"/>
  <c r="N310" i="1"/>
  <c r="O309" i="1" l="1"/>
  <c r="P308" i="1"/>
  <c r="N311" i="1"/>
  <c r="O310" i="1" l="1"/>
  <c r="P309" i="1"/>
  <c r="N312" i="1"/>
  <c r="O311" i="1" l="1"/>
  <c r="P310" i="1"/>
  <c r="O312" i="1" l="1"/>
  <c r="P311" i="1"/>
  <c r="N315" i="1"/>
  <c r="P312" i="1" l="1"/>
  <c r="N316" i="1"/>
  <c r="O315" i="1" l="1"/>
  <c r="P314" i="1"/>
  <c r="T314" i="1" s="1"/>
  <c r="N317" i="1"/>
  <c r="O316" i="1" l="1"/>
  <c r="P315" i="1"/>
  <c r="N318" i="1"/>
  <c r="O317" i="1" l="1"/>
  <c r="P316" i="1"/>
  <c r="N319" i="1"/>
  <c r="O318" i="1" l="1"/>
  <c r="P317" i="1"/>
  <c r="N320" i="1"/>
  <c r="O319" i="1" l="1"/>
  <c r="P318" i="1"/>
  <c r="N321" i="1"/>
  <c r="O320" i="1" l="1"/>
  <c r="P319" i="1"/>
  <c r="N322" i="1"/>
  <c r="O321" i="1" l="1"/>
  <c r="P320" i="1"/>
  <c r="N323" i="1"/>
  <c r="O322" i="1" l="1"/>
  <c r="P321" i="1"/>
  <c r="N324" i="1"/>
  <c r="O323" i="1" l="1"/>
  <c r="P322" i="1"/>
  <c r="N325" i="1"/>
  <c r="O324" i="1" l="1"/>
  <c r="P323" i="1"/>
  <c r="N326" i="1"/>
  <c r="O325" i="1" l="1"/>
  <c r="P324" i="1"/>
  <c r="N327" i="1"/>
  <c r="O326" i="1" l="1"/>
  <c r="P325" i="1"/>
  <c r="N328" i="1"/>
  <c r="O327" i="1" l="1"/>
  <c r="P326" i="1"/>
  <c r="N329" i="1"/>
  <c r="O328" i="1" l="1"/>
  <c r="P327" i="1"/>
  <c r="N330" i="1"/>
  <c r="O329" i="1" l="1"/>
  <c r="P328" i="1"/>
  <c r="N331" i="1"/>
  <c r="O330" i="1" l="1"/>
  <c r="P329" i="1"/>
  <c r="N332" i="1"/>
  <c r="O331" i="1" l="1"/>
  <c r="P330" i="1"/>
  <c r="N333" i="1"/>
  <c r="O332" i="1" l="1"/>
  <c r="P331" i="1"/>
  <c r="N334" i="1"/>
  <c r="O333" i="1" l="1"/>
  <c r="P332" i="1"/>
  <c r="N335" i="1"/>
  <c r="O334" i="1" l="1"/>
  <c r="P333" i="1"/>
  <c r="N336" i="1"/>
  <c r="O335" i="1" l="1"/>
  <c r="P334" i="1"/>
  <c r="N337" i="1"/>
  <c r="O336" i="1" l="1"/>
  <c r="P335" i="1"/>
  <c r="N338" i="1"/>
  <c r="O337" i="1" l="1"/>
  <c r="P336" i="1"/>
  <c r="N339" i="1"/>
  <c r="O338" i="1" l="1"/>
  <c r="P337" i="1"/>
  <c r="O339" i="1" l="1"/>
  <c r="P338" i="1"/>
  <c r="N342" i="1"/>
  <c r="P339" i="1" l="1"/>
  <c r="N343" i="1"/>
  <c r="O342" i="1" l="1"/>
  <c r="P341" i="1"/>
  <c r="T341" i="1" s="1"/>
  <c r="N344" i="1"/>
  <c r="O343" i="1" l="1"/>
  <c r="P342" i="1"/>
  <c r="N345" i="1"/>
  <c r="O344" i="1" l="1"/>
  <c r="P343" i="1"/>
  <c r="N346" i="1"/>
  <c r="O345" i="1" l="1"/>
  <c r="P344" i="1"/>
  <c r="N347" i="1"/>
  <c r="O346" i="1" l="1"/>
  <c r="P345" i="1"/>
  <c r="N348" i="1"/>
  <c r="O347" i="1" l="1"/>
  <c r="P346" i="1"/>
  <c r="N349" i="1"/>
  <c r="O348" i="1" l="1"/>
  <c r="P347" i="1"/>
  <c r="N350" i="1"/>
  <c r="O349" i="1" l="1"/>
  <c r="P348" i="1"/>
  <c r="N351" i="1"/>
  <c r="O350" i="1" l="1"/>
  <c r="P349" i="1"/>
  <c r="N352" i="1"/>
  <c r="O351" i="1" l="1"/>
  <c r="P350" i="1"/>
  <c r="N353" i="1"/>
  <c r="O352" i="1" l="1"/>
  <c r="P351" i="1"/>
  <c r="N354" i="1"/>
  <c r="O353" i="1" l="1"/>
  <c r="P352" i="1"/>
  <c r="N355" i="1"/>
  <c r="O354" i="1" l="1"/>
  <c r="P353" i="1"/>
  <c r="N356" i="1"/>
  <c r="O355" i="1" l="1"/>
  <c r="P354" i="1"/>
  <c r="N357" i="1"/>
  <c r="O356" i="1" l="1"/>
  <c r="P355" i="1"/>
  <c r="N358" i="1"/>
  <c r="O357" i="1" l="1"/>
  <c r="P356" i="1"/>
  <c r="N359" i="1"/>
  <c r="O358" i="1" l="1"/>
  <c r="P357" i="1"/>
  <c r="N360" i="1"/>
  <c r="O359" i="1" l="1"/>
  <c r="P358" i="1"/>
  <c r="N361" i="1"/>
  <c r="O360" i="1" l="1"/>
  <c r="P359" i="1"/>
  <c r="N362" i="1"/>
  <c r="O361" i="1" l="1"/>
  <c r="P360" i="1"/>
  <c r="N363" i="1"/>
  <c r="O362" i="1" l="1"/>
  <c r="P361" i="1"/>
  <c r="N364" i="1"/>
  <c r="O363" i="1" l="1"/>
  <c r="P362" i="1"/>
  <c r="N365" i="1"/>
  <c r="O364" i="1" l="1"/>
  <c r="P363" i="1"/>
  <c r="N366" i="1"/>
  <c r="O365" i="1" l="1"/>
  <c r="P364" i="1"/>
  <c r="N367" i="1"/>
  <c r="O366" i="1" l="1"/>
  <c r="P365" i="1"/>
  <c r="N368" i="1"/>
  <c r="O367" i="1" l="1"/>
  <c r="P366" i="1"/>
  <c r="O368" i="1" l="1"/>
  <c r="P368" i="1" s="1"/>
  <c r="P367" i="1"/>
</calcChain>
</file>

<file path=xl/sharedStrings.xml><?xml version="1.0" encoding="utf-8"?>
<sst xmlns="http://schemas.openxmlformats.org/spreadsheetml/2006/main" count="366" uniqueCount="13">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</sst>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U36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2" sqref="S2:S15"/>
    </sheetView>
  </sheetViews>
  <sheetFormatPr defaultColWidth="9.140625" defaultRowHeight="13.5" x14ac:dyDescent="0.25"/>
  <cols>
    <col min="1" max="1" width="9.140625" style="8" customWidth="1"/>
    <col min="2" max="2" width="9.42578125" style="9" bestFit="1" customWidth="1"/>
    <col min="3" max="3" width="7.42578125" style="10" bestFit="1" customWidth="1"/>
    <col min="4" max="4" width="7.42578125" style="17" bestFit="1" customWidth="1"/>
    <col min="5" max="5" width="7.28515625" style="17" bestFit="1" customWidth="1"/>
    <col min="6" max="6" width="7.42578125" style="10" bestFit="1" customWidth="1"/>
    <col min="7" max="7" width="7.42578125" style="17" bestFit="1" customWidth="1"/>
    <col min="8" max="8" width="6" style="17" bestFit="1" customWidth="1"/>
    <col min="9" max="9" width="10" style="10" bestFit="1" customWidth="1"/>
    <col min="10" max="10" width="7.42578125" style="10" bestFit="1" customWidth="1"/>
    <col min="11" max="11" width="8.7109375" style="19" bestFit="1" customWidth="1"/>
    <col min="12" max="12" width="6.42578125" style="17" bestFit="1" customWidth="1"/>
    <col min="13" max="13" width="1.140625" style="14" customWidth="1"/>
    <col min="14" max="14" width="6.42578125" style="8" bestFit="1" customWidth="1"/>
    <col min="15" max="15" width="4" style="8" bestFit="1" customWidth="1"/>
    <col min="16" max="16" width="20.140625" style="8" bestFit="1" customWidth="1"/>
    <col min="17" max="17" width="4.28515625" style="8" bestFit="1" customWidth="1"/>
    <col min="18" max="18" width="3" style="8" bestFit="1" customWidth="1"/>
    <col min="19" max="19" width="4" style="8" bestFit="1" customWidth="1"/>
    <col min="20" max="20" width="38.140625" style="8" bestFit="1" customWidth="1"/>
    <col min="21" max="21" width="10.42578125" style="8" bestFit="1" customWidth="1"/>
    <col min="22" max="22" width="12.7109375" style="8" bestFit="1" customWidth="1"/>
    <col min="23" max="16384" width="9.140625" style="8"/>
  </cols>
  <sheetData>
    <row r="1" spans="1:21" s="7" customFormat="1" ht="45" customHeight="1" x14ac:dyDescent="0.25">
      <c r="A1" s="4" t="s">
        <v>0</v>
      </c>
      <c r="B1" s="5" t="s">
        <v>1</v>
      </c>
      <c r="C1" s="6" t="s">
        <v>2</v>
      </c>
      <c r="D1" s="16" t="s">
        <v>3</v>
      </c>
      <c r="E1" s="16" t="s">
        <v>4</v>
      </c>
      <c r="F1" s="6" t="s">
        <v>5</v>
      </c>
      <c r="G1" s="16" t="s">
        <v>6</v>
      </c>
      <c r="H1" s="16" t="s">
        <v>7</v>
      </c>
      <c r="I1" s="6" t="s">
        <v>8</v>
      </c>
      <c r="J1" s="6" t="s">
        <v>9</v>
      </c>
      <c r="K1" s="18" t="s">
        <v>12</v>
      </c>
      <c r="L1" s="16" t="s">
        <v>11</v>
      </c>
      <c r="M1" s="13"/>
    </row>
    <row r="2" spans="1:21" ht="15" x14ac:dyDescent="0.25">
      <c r="A2" s="15">
        <v>282253.3</v>
      </c>
      <c r="B2" s="9">
        <v>1171660.6000000001</v>
      </c>
      <c r="C2" s="10">
        <v>270.327</v>
      </c>
      <c r="D2" s="17">
        <v>271.09300000000002</v>
      </c>
      <c r="E2" s="17">
        <v>0.76600000000000001</v>
      </c>
      <c r="F2" s="10">
        <v>269.63900000000001</v>
      </c>
      <c r="G2" s="17">
        <v>270.38</v>
      </c>
      <c r="H2" s="17">
        <v>0.74099999999999999</v>
      </c>
      <c r="I2" s="10">
        <v>267.45299999999997</v>
      </c>
      <c r="J2" s="10">
        <v>268.17</v>
      </c>
      <c r="K2" s="19">
        <v>2.21</v>
      </c>
      <c r="L2" s="17">
        <v>10.564</v>
      </c>
      <c r="N2" s="8">
        <v>1.25</v>
      </c>
      <c r="O2" s="1">
        <v>163</v>
      </c>
      <c r="P2" s="8" t="str">
        <f>CONCATENATE(N2,",",O2)</f>
        <v>1.25,163</v>
      </c>
      <c r="Q2" s="11" t="s">
        <v>10</v>
      </c>
      <c r="R2" s="8">
        <v>90</v>
      </c>
      <c r="S2" s="8">
        <v>0.25</v>
      </c>
      <c r="T2" s="8" t="str">
        <f>$Q2&amp;" "&amp;$P2&amp;" "&amp;$S2&amp;" "&amp;$R2&amp;" "&amp;$L2</f>
        <v>-text 1.25,163 0.25 90 10.564</v>
      </c>
      <c r="U2" s="10"/>
    </row>
    <row r="3" spans="1:21" x14ac:dyDescent="0.25">
      <c r="A3" s="15">
        <v>282260</v>
      </c>
      <c r="B3" s="9">
        <v>1171667.3</v>
      </c>
      <c r="C3" s="10">
        <v>270.32</v>
      </c>
      <c r="D3" s="17">
        <v>271.09699999999998</v>
      </c>
      <c r="E3" s="17">
        <v>0.77700000000000002</v>
      </c>
      <c r="F3" s="10">
        <v>269.63200000000001</v>
      </c>
      <c r="G3" s="17">
        <v>270.38400000000001</v>
      </c>
      <c r="H3" s="17">
        <v>0.752</v>
      </c>
      <c r="I3" s="10">
        <v>267.54399999999998</v>
      </c>
      <c r="J3" s="10">
        <v>268.54300000000001</v>
      </c>
      <c r="K3" s="19">
        <v>1.841</v>
      </c>
      <c r="L3" s="17">
        <v>10.563000000000001</v>
      </c>
      <c r="N3" s="12">
        <f>N2+(B3-B2)</f>
        <v>7.9499999999534339</v>
      </c>
      <c r="O3" s="8">
        <f>O2</f>
        <v>163</v>
      </c>
      <c r="P3" s="8" t="str">
        <f t="shared" ref="P3:P15" si="0">CONCATENATE(N3,",",O3)</f>
        <v>7.94999999995343,163</v>
      </c>
      <c r="Q3" s="11" t="s">
        <v>10</v>
      </c>
      <c r="R3" s="8">
        <v>90</v>
      </c>
      <c r="S3" s="8">
        <v>0.25</v>
      </c>
      <c r="T3" s="8" t="str">
        <f t="shared" ref="T3:T15" si="1">$Q3&amp;" "&amp;$P3&amp;" "&amp;$S3&amp;" "&amp;$R3&amp;" "&amp;$L3</f>
        <v>-text 7.94999999995343,163 0.25 90 10.563</v>
      </c>
      <c r="U3" s="10"/>
    </row>
    <row r="4" spans="1:21" x14ac:dyDescent="0.25">
      <c r="A4" s="15">
        <v>282280</v>
      </c>
      <c r="B4" s="9">
        <v>1171687.3</v>
      </c>
      <c r="C4" s="10">
        <v>270.29599999999999</v>
      </c>
      <c r="D4" s="17">
        <v>271.11</v>
      </c>
      <c r="E4" s="17">
        <v>0.81299999999999994</v>
      </c>
      <c r="F4" s="10">
        <v>269.608</v>
      </c>
      <c r="G4" s="17">
        <v>270.39699999999999</v>
      </c>
      <c r="H4" s="17">
        <v>0.78800000000000003</v>
      </c>
      <c r="I4" s="10">
        <v>267.38600000000002</v>
      </c>
      <c r="J4" s="10">
        <v>268.66899999999998</v>
      </c>
      <c r="K4" s="19">
        <v>1.7270000000000001</v>
      </c>
      <c r="L4" s="17">
        <v>10.566000000000001</v>
      </c>
      <c r="N4" s="12">
        <f t="shared" ref="N4:N69" si="2">N3+(B4-B3)</f>
        <v>27.949999999953434</v>
      </c>
      <c r="O4" s="8">
        <f t="shared" ref="O4:O69" si="3">O3</f>
        <v>163</v>
      </c>
      <c r="P4" s="8" t="str">
        <f t="shared" si="0"/>
        <v>27.9499999999534,163</v>
      </c>
      <c r="Q4" s="11" t="s">
        <v>10</v>
      </c>
      <c r="R4" s="8">
        <v>90</v>
      </c>
      <c r="S4" s="8">
        <v>0.25</v>
      </c>
      <c r="T4" s="8" t="str">
        <f t="shared" si="1"/>
        <v>-text 27.9499999999534,163 0.25 90 10.566</v>
      </c>
      <c r="U4" s="10"/>
    </row>
    <row r="5" spans="1:21" x14ac:dyDescent="0.25">
      <c r="A5" s="15">
        <v>282300</v>
      </c>
      <c r="B5" s="9">
        <v>1171707.3</v>
      </c>
      <c r="C5" s="10">
        <v>270.27499999999998</v>
      </c>
      <c r="D5" s="17">
        <v>271.12200000000001</v>
      </c>
      <c r="E5" s="17">
        <v>0.84799999999999998</v>
      </c>
      <c r="F5" s="10">
        <v>269.58699999999999</v>
      </c>
      <c r="G5" s="17">
        <v>270.40899999999999</v>
      </c>
      <c r="H5" s="17">
        <v>0.82299999999999995</v>
      </c>
      <c r="I5" s="10">
        <v>267.06200000000001</v>
      </c>
      <c r="J5" s="10">
        <v>268.47500000000002</v>
      </c>
      <c r="K5" s="19">
        <v>1.9339999999999999</v>
      </c>
      <c r="L5" s="17">
        <v>10.57</v>
      </c>
      <c r="N5" s="12">
        <f t="shared" si="2"/>
        <v>47.949999999953434</v>
      </c>
      <c r="O5" s="8">
        <f t="shared" si="3"/>
        <v>163</v>
      </c>
      <c r="P5" s="8" t="str">
        <f t="shared" si="0"/>
        <v>47.9499999999534,163</v>
      </c>
      <c r="Q5" s="11" t="s">
        <v>10</v>
      </c>
      <c r="R5" s="8">
        <v>90</v>
      </c>
      <c r="S5" s="8">
        <v>0.25</v>
      </c>
      <c r="T5" s="8" t="str">
        <f t="shared" si="1"/>
        <v>-text 47.9499999999534,163 0.25 90 10.57</v>
      </c>
      <c r="U5" s="10"/>
    </row>
    <row r="6" spans="1:21" x14ac:dyDescent="0.25">
      <c r="A6" s="15">
        <v>282320</v>
      </c>
      <c r="B6" s="9">
        <v>1171727.3</v>
      </c>
      <c r="C6" s="10">
        <v>270.27</v>
      </c>
      <c r="D6" s="17">
        <v>271.13499999999999</v>
      </c>
      <c r="E6" s="17">
        <v>0.86499999999999999</v>
      </c>
      <c r="F6" s="10">
        <v>269.58199999999999</v>
      </c>
      <c r="G6" s="17">
        <v>270.42200000000003</v>
      </c>
      <c r="H6" s="17">
        <v>0.84</v>
      </c>
      <c r="I6" s="10">
        <v>266.66300000000001</v>
      </c>
      <c r="J6" s="10">
        <v>267.83</v>
      </c>
      <c r="K6" s="19">
        <v>2.5920000000000001</v>
      </c>
      <c r="L6" s="17">
        <v>10.571999999999999</v>
      </c>
      <c r="N6" s="12">
        <f t="shared" si="2"/>
        <v>67.949999999953434</v>
      </c>
      <c r="O6" s="8">
        <f t="shared" si="3"/>
        <v>163</v>
      </c>
      <c r="P6" s="8" t="str">
        <f t="shared" si="0"/>
        <v>67.9499999999534,163</v>
      </c>
      <c r="Q6" s="11" t="s">
        <v>10</v>
      </c>
      <c r="R6" s="8">
        <v>90</v>
      </c>
      <c r="S6" s="8">
        <v>0.25</v>
      </c>
      <c r="T6" s="8" t="str">
        <f t="shared" si="1"/>
        <v>-text 67.9499999999534,163 0.25 90 10.572</v>
      </c>
      <c r="U6" s="10"/>
    </row>
    <row r="7" spans="1:21" x14ac:dyDescent="0.25">
      <c r="A7" s="15">
        <v>282340</v>
      </c>
      <c r="B7" s="9">
        <v>1171747.3</v>
      </c>
      <c r="C7" s="10">
        <v>270.26499999999999</v>
      </c>
      <c r="D7" s="17">
        <v>271.14800000000002</v>
      </c>
      <c r="E7" s="17">
        <v>0.88300000000000001</v>
      </c>
      <c r="F7" s="10">
        <v>269.577</v>
      </c>
      <c r="G7" s="17">
        <v>270.435</v>
      </c>
      <c r="H7" s="17">
        <v>0.85799999999999998</v>
      </c>
      <c r="I7" s="10">
        <v>266.80700000000002</v>
      </c>
      <c r="J7" s="10">
        <v>268.47199999999998</v>
      </c>
      <c r="K7" s="19">
        <v>1.9630000000000001</v>
      </c>
      <c r="L7" s="17">
        <v>10.597</v>
      </c>
      <c r="N7" s="12">
        <f t="shared" si="2"/>
        <v>87.949999999953434</v>
      </c>
      <c r="O7" s="8">
        <f t="shared" si="3"/>
        <v>163</v>
      </c>
      <c r="P7" s="8" t="str">
        <f t="shared" si="0"/>
        <v>87.9499999999534,163</v>
      </c>
      <c r="Q7" s="11" t="s">
        <v>10</v>
      </c>
      <c r="R7" s="8">
        <v>90</v>
      </c>
      <c r="S7" s="8">
        <v>0.25</v>
      </c>
      <c r="T7" s="8" t="str">
        <f t="shared" si="1"/>
        <v>-text 87.9499999999534,163 0.25 90 10.597</v>
      </c>
      <c r="U7" s="10"/>
    </row>
    <row r="8" spans="1:21" x14ac:dyDescent="0.25">
      <c r="A8" s="15">
        <v>282360</v>
      </c>
      <c r="B8" s="9">
        <v>1171767.3</v>
      </c>
      <c r="C8" s="10">
        <v>270.25400000000002</v>
      </c>
      <c r="D8" s="17">
        <v>271.16000000000003</v>
      </c>
      <c r="E8" s="17">
        <v>0.90700000000000003</v>
      </c>
      <c r="F8" s="10">
        <v>269.56599999999997</v>
      </c>
      <c r="G8" s="17">
        <v>270.447</v>
      </c>
      <c r="H8" s="17">
        <v>0.88200000000000001</v>
      </c>
      <c r="I8" s="10">
        <v>266.52300000000002</v>
      </c>
      <c r="J8" s="10">
        <v>267.63099999999997</v>
      </c>
      <c r="K8" s="19">
        <v>2.8159999999999998</v>
      </c>
      <c r="L8" s="17">
        <v>10.597</v>
      </c>
      <c r="N8" s="12">
        <f t="shared" si="2"/>
        <v>107.94999999995343</v>
      </c>
      <c r="O8" s="8">
        <f t="shared" si="3"/>
        <v>163</v>
      </c>
      <c r="P8" s="8" t="str">
        <f t="shared" si="0"/>
        <v>107.949999999953,163</v>
      </c>
      <c r="Q8" s="11" t="s">
        <v>10</v>
      </c>
      <c r="R8" s="8">
        <v>90</v>
      </c>
      <c r="S8" s="8">
        <v>0.25</v>
      </c>
      <c r="T8" s="8" t="str">
        <f t="shared" si="1"/>
        <v>-text 107.949999999953,163 0.25 90 10.597</v>
      </c>
      <c r="U8" s="10"/>
    </row>
    <row r="9" spans="1:21" x14ac:dyDescent="0.25">
      <c r="A9" s="15">
        <v>282380</v>
      </c>
      <c r="B9" s="9">
        <v>1171787.3</v>
      </c>
      <c r="C9" s="10">
        <v>270.23</v>
      </c>
      <c r="D9" s="17">
        <v>271.173</v>
      </c>
      <c r="E9" s="17">
        <v>0.94299999999999995</v>
      </c>
      <c r="F9" s="10">
        <v>269.54199999999997</v>
      </c>
      <c r="G9" s="17">
        <v>270.45999999999998</v>
      </c>
      <c r="H9" s="17">
        <v>0.91800000000000004</v>
      </c>
      <c r="I9" s="10">
        <v>266.38</v>
      </c>
      <c r="J9" s="10">
        <v>267.04199999999997</v>
      </c>
      <c r="K9" s="19">
        <v>3.4180000000000001</v>
      </c>
      <c r="L9" s="17">
        <v>10.545</v>
      </c>
      <c r="N9" s="12">
        <f t="shared" si="2"/>
        <v>127.94999999995343</v>
      </c>
      <c r="O9" s="8">
        <f t="shared" si="3"/>
        <v>163</v>
      </c>
      <c r="P9" s="8" t="str">
        <f t="shared" si="0"/>
        <v>127.949999999953,163</v>
      </c>
      <c r="Q9" s="11" t="s">
        <v>10</v>
      </c>
      <c r="R9" s="8">
        <v>90</v>
      </c>
      <c r="S9" s="8">
        <v>0.25</v>
      </c>
      <c r="T9" s="8" t="str">
        <f t="shared" si="1"/>
        <v>-text 127.949999999953,163 0.25 90 10.545</v>
      </c>
      <c r="U9" s="10"/>
    </row>
    <row r="10" spans="1:21" x14ac:dyDescent="0.25">
      <c r="A10" s="15">
        <v>282400</v>
      </c>
      <c r="B10" s="9">
        <v>1171807.3</v>
      </c>
      <c r="C10" s="10">
        <v>270.22300000000001</v>
      </c>
      <c r="D10" s="17">
        <v>271.18599999999998</v>
      </c>
      <c r="E10" s="17">
        <v>0.96299999999999997</v>
      </c>
      <c r="F10" s="10">
        <v>269.53500000000003</v>
      </c>
      <c r="G10" s="17">
        <v>270.47300000000001</v>
      </c>
      <c r="H10" s="17">
        <v>0.93799999999999994</v>
      </c>
      <c r="I10" s="10">
        <v>266.37</v>
      </c>
      <c r="J10" s="10">
        <v>267.71699999999998</v>
      </c>
      <c r="K10" s="19">
        <v>2.7559999999999998</v>
      </c>
      <c r="L10" s="17">
        <v>10.506</v>
      </c>
      <c r="N10" s="12">
        <f t="shared" si="2"/>
        <v>147.94999999995343</v>
      </c>
      <c r="O10" s="8">
        <f t="shared" si="3"/>
        <v>163</v>
      </c>
      <c r="P10" s="8" t="str">
        <f t="shared" si="0"/>
        <v>147.949999999953,163</v>
      </c>
      <c r="Q10" s="11" t="s">
        <v>10</v>
      </c>
      <c r="R10" s="8">
        <v>90</v>
      </c>
      <c r="S10" s="8">
        <v>0.25</v>
      </c>
      <c r="T10" s="8" t="str">
        <f t="shared" si="1"/>
        <v>-text 147.949999999953,163 0.25 90 10.506</v>
      </c>
      <c r="U10" s="10"/>
    </row>
    <row r="11" spans="1:21" x14ac:dyDescent="0.25">
      <c r="A11" s="15">
        <v>282420</v>
      </c>
      <c r="B11" s="9">
        <v>1171827.3</v>
      </c>
      <c r="C11" s="10">
        <v>270.21899999999999</v>
      </c>
      <c r="D11" s="17">
        <v>271.19799999999998</v>
      </c>
      <c r="E11" s="17">
        <v>0.97899999999999998</v>
      </c>
      <c r="F11" s="10">
        <v>269.53100000000001</v>
      </c>
      <c r="G11" s="17">
        <v>270.48500000000001</v>
      </c>
      <c r="H11" s="17">
        <v>0.95399999999999996</v>
      </c>
      <c r="I11" s="10">
        <v>266.649</v>
      </c>
      <c r="J11" s="10">
        <v>267.82400000000001</v>
      </c>
      <c r="K11" s="19">
        <v>2.661</v>
      </c>
      <c r="L11" s="17">
        <v>10.478999999999999</v>
      </c>
      <c r="N11" s="12">
        <f t="shared" si="2"/>
        <v>167.94999999995343</v>
      </c>
      <c r="O11" s="8">
        <f t="shared" si="3"/>
        <v>163</v>
      </c>
      <c r="P11" s="8" t="str">
        <f t="shared" si="0"/>
        <v>167.949999999953,163</v>
      </c>
      <c r="Q11" s="11" t="s">
        <v>10</v>
      </c>
      <c r="R11" s="8">
        <v>90</v>
      </c>
      <c r="S11" s="8">
        <v>0.25</v>
      </c>
      <c r="T11" s="8" t="str">
        <f t="shared" si="1"/>
        <v>-text 167.949999999953,163 0.25 90 10.479</v>
      </c>
      <c r="U11" s="10"/>
    </row>
    <row r="12" spans="1:21" x14ac:dyDescent="0.25">
      <c r="A12" s="15">
        <v>282440</v>
      </c>
      <c r="B12" s="9">
        <v>1171847.3</v>
      </c>
      <c r="C12" s="10">
        <v>270.18099999999998</v>
      </c>
      <c r="D12" s="17">
        <v>271.21100000000001</v>
      </c>
      <c r="E12" s="17">
        <v>1.03</v>
      </c>
      <c r="F12" s="10">
        <v>269.49299999999999</v>
      </c>
      <c r="G12" s="17">
        <v>270.49799999999999</v>
      </c>
      <c r="H12" s="17">
        <v>1.0049999999999999</v>
      </c>
      <c r="I12" s="10">
        <v>266.697</v>
      </c>
      <c r="J12" s="10">
        <v>268.05200000000002</v>
      </c>
      <c r="K12" s="19">
        <v>2.4470000000000001</v>
      </c>
      <c r="L12" s="17">
        <v>10.505000000000001</v>
      </c>
      <c r="N12" s="12">
        <f t="shared" si="2"/>
        <v>187.94999999995343</v>
      </c>
      <c r="O12" s="8">
        <f t="shared" si="3"/>
        <v>163</v>
      </c>
      <c r="P12" s="8" t="str">
        <f t="shared" si="0"/>
        <v>187.949999999953,163</v>
      </c>
      <c r="Q12" s="11" t="s">
        <v>10</v>
      </c>
      <c r="R12" s="8">
        <v>90</v>
      </c>
      <c r="S12" s="8">
        <v>0.25</v>
      </c>
      <c r="T12" s="8" t="str">
        <f t="shared" si="1"/>
        <v>-text 187.949999999953,163 0.25 90 10.505</v>
      </c>
      <c r="U12" s="10"/>
    </row>
    <row r="13" spans="1:21" x14ac:dyDescent="0.25">
      <c r="A13" s="15">
        <v>282460</v>
      </c>
      <c r="B13" s="9">
        <v>1171867.3</v>
      </c>
      <c r="C13" s="10">
        <v>270.15199999999999</v>
      </c>
      <c r="D13" s="17">
        <v>271.22399999999999</v>
      </c>
      <c r="E13" s="17">
        <v>1.0720000000000001</v>
      </c>
      <c r="F13" s="10">
        <v>269.464</v>
      </c>
      <c r="G13" s="17">
        <v>270.51100000000002</v>
      </c>
      <c r="H13" s="17">
        <v>1.0469999999999999</v>
      </c>
      <c r="I13" s="10">
        <v>266.74799999999999</v>
      </c>
      <c r="J13" s="10">
        <v>268.23700000000002</v>
      </c>
      <c r="K13" s="19">
        <v>2.274</v>
      </c>
      <c r="L13" s="17">
        <v>10.528</v>
      </c>
      <c r="N13" s="12">
        <f t="shared" si="2"/>
        <v>207.94999999995343</v>
      </c>
      <c r="O13" s="8">
        <f t="shared" si="3"/>
        <v>163</v>
      </c>
      <c r="P13" s="8" t="str">
        <f t="shared" si="0"/>
        <v>207.949999999953,163</v>
      </c>
      <c r="Q13" s="11" t="s">
        <v>10</v>
      </c>
      <c r="R13" s="8">
        <v>90</v>
      </c>
      <c r="S13" s="8">
        <v>0.25</v>
      </c>
      <c r="T13" s="8" t="str">
        <f t="shared" si="1"/>
        <v>-text 207.949999999953,163 0.25 90 10.528</v>
      </c>
      <c r="U13" s="10"/>
    </row>
    <row r="14" spans="1:21" x14ac:dyDescent="0.25">
      <c r="A14" s="15">
        <v>282480</v>
      </c>
      <c r="B14" s="9">
        <v>1171887.3</v>
      </c>
      <c r="C14" s="10">
        <v>270.13</v>
      </c>
      <c r="D14" s="17">
        <v>271.23599999999999</v>
      </c>
      <c r="E14" s="17">
        <v>1.107</v>
      </c>
      <c r="F14" s="10">
        <v>269.44200000000001</v>
      </c>
      <c r="G14" s="17">
        <v>270.52300000000002</v>
      </c>
      <c r="H14" s="17">
        <v>1.0820000000000001</v>
      </c>
      <c r="I14" s="10">
        <v>267.20299999999997</v>
      </c>
      <c r="J14" s="10">
        <v>268.43599999999998</v>
      </c>
      <c r="K14" s="19">
        <v>2.0870000000000002</v>
      </c>
      <c r="L14" s="17">
        <v>10.548999999999999</v>
      </c>
      <c r="N14" s="12">
        <f t="shared" si="2"/>
        <v>227.94999999995343</v>
      </c>
      <c r="O14" s="8">
        <f t="shared" si="3"/>
        <v>163</v>
      </c>
      <c r="P14" s="8" t="str">
        <f t="shared" si="0"/>
        <v>227.949999999953,163</v>
      </c>
      <c r="Q14" s="11" t="s">
        <v>10</v>
      </c>
      <c r="R14" s="8">
        <v>90</v>
      </c>
      <c r="S14" s="8">
        <v>0.25</v>
      </c>
      <c r="T14" s="8" t="str">
        <f t="shared" si="1"/>
        <v>-text 227.949999999953,163 0.25 90 10.549</v>
      </c>
      <c r="U14" s="10"/>
    </row>
    <row r="15" spans="1:21" x14ac:dyDescent="0.25">
      <c r="A15" s="15">
        <v>282500</v>
      </c>
      <c r="B15" s="9">
        <v>1171907.3</v>
      </c>
      <c r="C15" s="10">
        <v>270.13</v>
      </c>
      <c r="D15" s="17">
        <v>271.24900000000002</v>
      </c>
      <c r="E15" s="17">
        <v>1.1200000000000001</v>
      </c>
      <c r="F15" s="10">
        <v>269.44200000000001</v>
      </c>
      <c r="G15" s="17">
        <v>270.536</v>
      </c>
      <c r="H15" s="17">
        <v>1.095</v>
      </c>
      <c r="I15" s="10">
        <v>267.113</v>
      </c>
      <c r="J15" s="10">
        <v>268.19099999999997</v>
      </c>
      <c r="K15" s="19">
        <v>2.3450000000000002</v>
      </c>
      <c r="L15" s="17">
        <v>10.564</v>
      </c>
      <c r="N15" s="12">
        <f>N12+(B15-B12)</f>
        <v>247.94999999995343</v>
      </c>
      <c r="O15" s="8">
        <f t="shared" si="3"/>
        <v>163</v>
      </c>
      <c r="P15" s="8" t="str">
        <f t="shared" si="0"/>
        <v>247.949999999953,163</v>
      </c>
      <c r="Q15" s="11" t="s">
        <v>10</v>
      </c>
      <c r="R15" s="8">
        <v>90</v>
      </c>
      <c r="S15" s="8">
        <v>0.25</v>
      </c>
      <c r="T15" s="8" t="str">
        <f t="shared" si="1"/>
        <v>-text 247.949999999953,163 0.25 90 10.564</v>
      </c>
      <c r="U15" s="10"/>
    </row>
    <row r="16" spans="1:21" x14ac:dyDescent="0.25">
      <c r="A16" s="15"/>
      <c r="N16" s="12"/>
      <c r="Q16" s="11"/>
      <c r="U16" s="10"/>
    </row>
    <row r="17" spans="1:21" x14ac:dyDescent="0.25">
      <c r="A17" s="15">
        <v>282500</v>
      </c>
      <c r="B17" s="9">
        <v>1171907.3</v>
      </c>
      <c r="C17" s="10">
        <v>270.13</v>
      </c>
      <c r="D17" s="17">
        <v>271.24900000000002</v>
      </c>
      <c r="E17" s="17">
        <v>1.1200000000000001</v>
      </c>
      <c r="F17" s="10">
        <v>269.44200000000001</v>
      </c>
      <c r="G17" s="17">
        <v>270.536</v>
      </c>
      <c r="H17" s="17">
        <v>1.095</v>
      </c>
      <c r="I17" s="10">
        <v>267.113</v>
      </c>
      <c r="J17" s="10">
        <v>268.19099999999997</v>
      </c>
      <c r="K17" s="19">
        <v>2.3450000000000002</v>
      </c>
      <c r="L17" s="17">
        <v>10.564</v>
      </c>
      <c r="N17" s="12">
        <v>1.25</v>
      </c>
      <c r="O17" s="8">
        <v>163</v>
      </c>
      <c r="P17" s="8" t="str">
        <f t="shared" ref="P17:P71" si="4">CONCATENATE(N17,",",O17)</f>
        <v>1.25,163</v>
      </c>
      <c r="Q17" s="11" t="s">
        <v>10</v>
      </c>
      <c r="R17" s="8">
        <v>90</v>
      </c>
      <c r="S17" s="8">
        <v>2.5</v>
      </c>
      <c r="T17" s="8" t="str">
        <f>$Q17&amp;" "&amp;$P17&amp;" "&amp;$S17&amp;" "&amp;$R17&amp;" "&amp;$L17</f>
        <v>-text 1.25,163 2.5 90 10.564</v>
      </c>
      <c r="U17" s="10"/>
    </row>
    <row r="18" spans="1:21" x14ac:dyDescent="0.25">
      <c r="A18" s="15">
        <v>282520</v>
      </c>
      <c r="B18" s="9">
        <v>1171927.3</v>
      </c>
      <c r="C18" s="10">
        <v>270.13200000000001</v>
      </c>
      <c r="D18" s="17">
        <v>271.262</v>
      </c>
      <c r="E18" s="17">
        <v>1.1299999999999999</v>
      </c>
      <c r="F18" s="10">
        <v>269.44400000000002</v>
      </c>
      <c r="G18" s="17">
        <v>270.54899999999998</v>
      </c>
      <c r="H18" s="17">
        <v>1.105</v>
      </c>
      <c r="I18" s="10">
        <v>267.60599999999999</v>
      </c>
      <c r="J18" s="10">
        <v>267.99700000000001</v>
      </c>
      <c r="K18" s="19">
        <v>2.552</v>
      </c>
      <c r="L18" s="17">
        <v>10.571999999999999</v>
      </c>
      <c r="N18" s="12">
        <f t="shared" si="2"/>
        <v>21.25</v>
      </c>
      <c r="O18" s="8">
        <f t="shared" si="3"/>
        <v>163</v>
      </c>
      <c r="P18" s="8" t="str">
        <f t="shared" si="4"/>
        <v>21.25,163</v>
      </c>
      <c r="Q18" s="11" t="s">
        <v>10</v>
      </c>
      <c r="R18" s="8">
        <v>90</v>
      </c>
      <c r="S18" s="8">
        <v>2.5</v>
      </c>
      <c r="T18" s="8" t="str">
        <f t="shared" ref="T18:T42" si="5">$Q18&amp;" "&amp;$P18&amp;" "&amp;$S18&amp;" "&amp;$R18&amp;" "&amp;$L18</f>
        <v>-text 21.25,163 2.5 90 10.572</v>
      </c>
      <c r="U18" s="10"/>
    </row>
    <row r="19" spans="1:21" x14ac:dyDescent="0.25">
      <c r="A19" s="15">
        <v>282540</v>
      </c>
      <c r="B19" s="9">
        <v>1171947.3</v>
      </c>
      <c r="C19" s="10">
        <v>270.12099999999998</v>
      </c>
      <c r="D19" s="17">
        <v>271.274</v>
      </c>
      <c r="E19" s="17">
        <v>1.1539999999999999</v>
      </c>
      <c r="F19" s="10">
        <v>269.43299999999999</v>
      </c>
      <c r="G19" s="17">
        <v>270.56099999999998</v>
      </c>
      <c r="H19" s="17">
        <v>1.129</v>
      </c>
      <c r="I19" s="10">
        <v>267.87900000000002</v>
      </c>
      <c r="J19" s="10">
        <v>267.79899999999998</v>
      </c>
      <c r="K19" s="19">
        <v>2.7629999999999999</v>
      </c>
      <c r="L19" s="17">
        <v>10.568</v>
      </c>
      <c r="N19" s="12">
        <f t="shared" si="2"/>
        <v>41.25</v>
      </c>
      <c r="O19" s="8">
        <f t="shared" si="3"/>
        <v>163</v>
      </c>
      <c r="P19" s="8" t="str">
        <f t="shared" si="4"/>
        <v>41.25,163</v>
      </c>
      <c r="Q19" s="11" t="s">
        <v>10</v>
      </c>
      <c r="R19" s="8">
        <v>90</v>
      </c>
      <c r="S19" s="8">
        <v>2.5</v>
      </c>
      <c r="T19" s="8" t="str">
        <f t="shared" si="5"/>
        <v>-text 41.25,163 2.5 90 10.568</v>
      </c>
      <c r="U19" s="10"/>
    </row>
    <row r="20" spans="1:21" x14ac:dyDescent="0.25">
      <c r="A20" s="15">
        <v>282560</v>
      </c>
      <c r="B20" s="9">
        <v>1171967.3</v>
      </c>
      <c r="C20" s="10">
        <v>270.11599999999999</v>
      </c>
      <c r="D20" s="17">
        <v>271.28699999999998</v>
      </c>
      <c r="E20" s="17">
        <v>1.171</v>
      </c>
      <c r="F20" s="10">
        <v>269.428</v>
      </c>
      <c r="G20" s="17">
        <v>270.57400000000001</v>
      </c>
      <c r="H20" s="17">
        <v>1.1459999999999999</v>
      </c>
      <c r="I20" s="10">
        <v>267.32100000000003</v>
      </c>
      <c r="J20" s="10">
        <v>266.85899999999998</v>
      </c>
      <c r="K20" s="19">
        <v>3.7149999999999999</v>
      </c>
      <c r="L20" s="17">
        <v>10.579000000000001</v>
      </c>
      <c r="N20" s="12">
        <f t="shared" si="2"/>
        <v>61.25</v>
      </c>
      <c r="O20" s="8">
        <f t="shared" si="3"/>
        <v>163</v>
      </c>
      <c r="P20" s="8" t="str">
        <f t="shared" si="4"/>
        <v>61.25,163</v>
      </c>
      <c r="Q20" s="11" t="s">
        <v>10</v>
      </c>
      <c r="R20" s="8">
        <v>90</v>
      </c>
      <c r="S20" s="8">
        <v>2.5</v>
      </c>
      <c r="T20" s="8" t="str">
        <f t="shared" si="5"/>
        <v>-text 61.25,163 2.5 90 10.579</v>
      </c>
      <c r="U20" s="10"/>
    </row>
    <row r="21" spans="1:21" x14ac:dyDescent="0.25">
      <c r="A21" s="15">
        <v>282580</v>
      </c>
      <c r="B21" s="9">
        <v>1171987.3</v>
      </c>
      <c r="C21" s="10">
        <v>270.11399999999998</v>
      </c>
      <c r="D21" s="17">
        <v>271.3</v>
      </c>
      <c r="E21" s="17">
        <v>1.1859999999999999</v>
      </c>
      <c r="F21" s="10">
        <v>269.42599999999999</v>
      </c>
      <c r="G21" s="17">
        <v>270.58699999999999</v>
      </c>
      <c r="H21" s="17">
        <v>1.161</v>
      </c>
      <c r="I21" s="10">
        <v>267.20999999999998</v>
      </c>
      <c r="J21" s="10">
        <v>267.19299999999998</v>
      </c>
      <c r="K21" s="19">
        <v>3.3940000000000001</v>
      </c>
      <c r="L21" s="17">
        <v>10.596</v>
      </c>
      <c r="N21" s="12">
        <f t="shared" si="2"/>
        <v>81.25</v>
      </c>
      <c r="O21" s="8">
        <f t="shared" si="3"/>
        <v>163</v>
      </c>
      <c r="P21" s="8" t="str">
        <f t="shared" si="4"/>
        <v>81.25,163</v>
      </c>
      <c r="Q21" s="11" t="s">
        <v>10</v>
      </c>
      <c r="R21" s="8">
        <v>90</v>
      </c>
      <c r="S21" s="8">
        <v>2.5</v>
      </c>
      <c r="T21" s="8" t="str">
        <f t="shared" si="5"/>
        <v>-text 81.25,163 2.5 90 10.596</v>
      </c>
      <c r="U21" s="10"/>
    </row>
    <row r="22" spans="1:21" x14ac:dyDescent="0.25">
      <c r="A22" s="15">
        <v>282600</v>
      </c>
      <c r="B22" s="9">
        <v>1172007.2</v>
      </c>
      <c r="C22" s="10">
        <v>270.04000000000002</v>
      </c>
      <c r="D22" s="17">
        <v>271.31200000000001</v>
      </c>
      <c r="E22" s="17">
        <v>1.272</v>
      </c>
      <c r="F22" s="10">
        <v>269.35199999999998</v>
      </c>
      <c r="G22" s="17">
        <v>270.59899999999999</v>
      </c>
      <c r="H22" s="17">
        <v>1.2470000000000001</v>
      </c>
      <c r="I22" s="10">
        <v>267.39100000000002</v>
      </c>
      <c r="J22" s="10">
        <v>267.75700000000001</v>
      </c>
      <c r="K22" s="19">
        <v>2.8420000000000001</v>
      </c>
      <c r="L22" s="17">
        <v>10.47</v>
      </c>
      <c r="N22" s="12">
        <f t="shared" si="2"/>
        <v>101.14999999990687</v>
      </c>
      <c r="O22" s="8">
        <f t="shared" si="3"/>
        <v>163</v>
      </c>
      <c r="P22" s="8" t="str">
        <f t="shared" si="4"/>
        <v>101.149999999907,163</v>
      </c>
      <c r="Q22" s="11" t="s">
        <v>10</v>
      </c>
      <c r="R22" s="8">
        <v>90</v>
      </c>
      <c r="S22" s="8">
        <v>2.5</v>
      </c>
      <c r="T22" s="8" t="str">
        <f t="shared" si="5"/>
        <v>-text 101.149999999907,163 2.5 90 10.47</v>
      </c>
      <c r="U22" s="10"/>
    </row>
    <row r="23" spans="1:21" x14ac:dyDescent="0.25">
      <c r="A23" s="15">
        <v>282620</v>
      </c>
      <c r="B23" s="9">
        <v>1172027.3</v>
      </c>
      <c r="C23" s="10">
        <v>269.96300000000002</v>
      </c>
      <c r="D23" s="17">
        <v>271.32799999999997</v>
      </c>
      <c r="E23" s="17">
        <v>1.365</v>
      </c>
      <c r="F23" s="10">
        <v>269.27499999999998</v>
      </c>
      <c r="G23" s="17">
        <v>270.61500000000001</v>
      </c>
      <c r="H23" s="17">
        <v>1.34</v>
      </c>
      <c r="I23" s="10">
        <v>267.22399999999999</v>
      </c>
      <c r="J23" s="10">
        <v>267.86500000000001</v>
      </c>
      <c r="K23" s="19">
        <v>2.75</v>
      </c>
      <c r="L23" s="17">
        <v>10.331</v>
      </c>
      <c r="N23" s="12">
        <f t="shared" si="2"/>
        <v>121.25</v>
      </c>
      <c r="O23" s="8">
        <f t="shared" si="3"/>
        <v>163</v>
      </c>
      <c r="P23" s="8" t="str">
        <f t="shared" si="4"/>
        <v>121.25,163</v>
      </c>
      <c r="Q23" s="11" t="s">
        <v>10</v>
      </c>
      <c r="R23" s="8">
        <v>90</v>
      </c>
      <c r="S23" s="8">
        <v>2.5</v>
      </c>
      <c r="T23" s="8" t="str">
        <f t="shared" si="5"/>
        <v>-text 121.25,163 2.5 90 10.331</v>
      </c>
      <c r="U23" s="10"/>
    </row>
    <row r="24" spans="1:21" x14ac:dyDescent="0.25">
      <c r="A24" s="15">
        <v>282640</v>
      </c>
      <c r="B24" s="9">
        <v>1172047.3</v>
      </c>
      <c r="C24" s="10">
        <v>269.98899999999998</v>
      </c>
      <c r="D24" s="17">
        <v>271.34500000000003</v>
      </c>
      <c r="E24" s="17">
        <v>1.3560000000000001</v>
      </c>
      <c r="F24" s="10">
        <v>269.30099999999999</v>
      </c>
      <c r="G24" s="17">
        <v>270.63200000000001</v>
      </c>
      <c r="H24" s="17">
        <v>1.331</v>
      </c>
      <c r="I24" s="10">
        <v>267.05200000000002</v>
      </c>
      <c r="J24" s="10">
        <v>267.71800000000002</v>
      </c>
      <c r="K24" s="19">
        <v>2.9140000000000001</v>
      </c>
      <c r="L24" s="17">
        <v>10.38</v>
      </c>
      <c r="N24" s="12">
        <f t="shared" si="2"/>
        <v>141.25</v>
      </c>
      <c r="O24" s="8">
        <f t="shared" si="3"/>
        <v>163</v>
      </c>
      <c r="P24" s="8" t="str">
        <f t="shared" si="4"/>
        <v>141.25,163</v>
      </c>
      <c r="Q24" s="11" t="s">
        <v>10</v>
      </c>
      <c r="R24" s="8">
        <v>90</v>
      </c>
      <c r="S24" s="8">
        <v>2.5</v>
      </c>
      <c r="T24" s="8" t="str">
        <f t="shared" si="5"/>
        <v>-text 141.25,163 2.5 90 10.38</v>
      </c>
      <c r="U24" s="10"/>
    </row>
    <row r="25" spans="1:21" x14ac:dyDescent="0.25">
      <c r="A25" s="15">
        <v>282660</v>
      </c>
      <c r="B25" s="9">
        <v>1172067.3</v>
      </c>
      <c r="C25" s="10">
        <v>270.01499999999999</v>
      </c>
      <c r="D25" s="17">
        <v>271.36200000000002</v>
      </c>
      <c r="E25" s="17">
        <v>1.3460000000000001</v>
      </c>
      <c r="F25" s="10">
        <v>269.327</v>
      </c>
      <c r="G25" s="17">
        <v>270.649</v>
      </c>
      <c r="H25" s="17">
        <v>1.321</v>
      </c>
      <c r="I25" s="10">
        <v>267.12400000000002</v>
      </c>
      <c r="J25" s="10">
        <v>267.428</v>
      </c>
      <c r="K25" s="19">
        <v>3.2210000000000001</v>
      </c>
      <c r="L25" s="17">
        <v>10.42</v>
      </c>
      <c r="N25" s="12">
        <f t="shared" si="2"/>
        <v>161.25</v>
      </c>
      <c r="O25" s="8">
        <f t="shared" si="3"/>
        <v>163</v>
      </c>
      <c r="P25" s="8" t="str">
        <f t="shared" si="4"/>
        <v>161.25,163</v>
      </c>
      <c r="Q25" s="11" t="s">
        <v>10</v>
      </c>
      <c r="R25" s="8">
        <v>90</v>
      </c>
      <c r="S25" s="8">
        <v>2.5</v>
      </c>
      <c r="T25" s="8" t="str">
        <f t="shared" si="5"/>
        <v>-text 161.25,163 2.5 90 10.42</v>
      </c>
      <c r="U25" s="10"/>
    </row>
    <row r="26" spans="1:21" x14ac:dyDescent="0.25">
      <c r="A26" s="15">
        <v>282680</v>
      </c>
      <c r="B26" s="9">
        <v>1172087.3</v>
      </c>
      <c r="C26" s="10">
        <v>270.04000000000002</v>
      </c>
      <c r="D26" s="17">
        <v>271.37900000000002</v>
      </c>
      <c r="E26" s="17">
        <v>1.339</v>
      </c>
      <c r="F26" s="10">
        <v>269.35199999999998</v>
      </c>
      <c r="G26" s="17">
        <v>270.666</v>
      </c>
      <c r="H26" s="17">
        <v>1.3140000000000001</v>
      </c>
      <c r="I26" s="10">
        <v>267.28199999999998</v>
      </c>
      <c r="J26" s="10">
        <v>267.154</v>
      </c>
      <c r="K26" s="19">
        <v>3.5110000000000001</v>
      </c>
      <c r="L26" s="17">
        <v>10.425000000000001</v>
      </c>
      <c r="N26" s="12">
        <f t="shared" si="2"/>
        <v>181.25</v>
      </c>
      <c r="O26" s="8">
        <f t="shared" si="3"/>
        <v>163</v>
      </c>
      <c r="P26" s="8" t="str">
        <f t="shared" si="4"/>
        <v>181.25,163</v>
      </c>
      <c r="Q26" s="11" t="s">
        <v>10</v>
      </c>
      <c r="R26" s="8">
        <v>90</v>
      </c>
      <c r="S26" s="8">
        <v>2.5</v>
      </c>
      <c r="T26" s="8" t="str">
        <f t="shared" si="5"/>
        <v>-text 181.25,163 2.5 90 10.425</v>
      </c>
      <c r="U26" s="10"/>
    </row>
    <row r="27" spans="1:21" x14ac:dyDescent="0.25">
      <c r="A27" s="15">
        <v>282700</v>
      </c>
      <c r="B27" s="9">
        <v>1172107.3</v>
      </c>
      <c r="C27" s="10">
        <v>270.065</v>
      </c>
      <c r="D27" s="17">
        <v>271.39600000000002</v>
      </c>
      <c r="E27" s="17">
        <v>1.331</v>
      </c>
      <c r="F27" s="10">
        <v>269.37700000000001</v>
      </c>
      <c r="G27" s="17">
        <v>270.68299999999999</v>
      </c>
      <c r="H27" s="17">
        <v>1.306</v>
      </c>
      <c r="I27" s="10">
        <v>267.50299999999999</v>
      </c>
      <c r="J27" s="10">
        <v>267.29899999999998</v>
      </c>
      <c r="K27" s="19">
        <v>3.3839999999999999</v>
      </c>
      <c r="L27" s="17">
        <v>10.438000000000001</v>
      </c>
      <c r="N27" s="12">
        <f t="shared" si="2"/>
        <v>201.25</v>
      </c>
      <c r="O27" s="8">
        <f t="shared" si="3"/>
        <v>163</v>
      </c>
      <c r="P27" s="8" t="str">
        <f t="shared" si="4"/>
        <v>201.25,163</v>
      </c>
      <c r="Q27" s="11" t="s">
        <v>10</v>
      </c>
      <c r="R27" s="8">
        <v>90</v>
      </c>
      <c r="S27" s="8">
        <v>2.5</v>
      </c>
      <c r="T27" s="8" t="str">
        <f t="shared" si="5"/>
        <v>-text 201.25,163 2.5 90 10.438</v>
      </c>
      <c r="U27" s="10"/>
    </row>
    <row r="28" spans="1:21" x14ac:dyDescent="0.25">
      <c r="A28" s="15">
        <v>282720</v>
      </c>
      <c r="B28" s="9">
        <v>1172127.3</v>
      </c>
      <c r="C28" s="10">
        <v>270.09100000000001</v>
      </c>
      <c r="D28" s="17">
        <v>271.41199999999998</v>
      </c>
      <c r="E28" s="17">
        <v>1.3220000000000001</v>
      </c>
      <c r="F28" s="10">
        <v>269.40300000000002</v>
      </c>
      <c r="G28" s="17">
        <v>270.69900000000001</v>
      </c>
      <c r="H28" s="17">
        <v>1.2969999999999999</v>
      </c>
      <c r="I28" s="10">
        <v>267.637</v>
      </c>
      <c r="J28" s="10">
        <v>267.95</v>
      </c>
      <c r="K28" s="19">
        <v>2.7490000000000001</v>
      </c>
      <c r="L28" s="17">
        <v>10.458</v>
      </c>
      <c r="N28" s="12">
        <f t="shared" si="2"/>
        <v>221.25</v>
      </c>
      <c r="O28" s="8">
        <f t="shared" si="3"/>
        <v>163</v>
      </c>
      <c r="P28" s="8" t="str">
        <f t="shared" si="4"/>
        <v>221.25,163</v>
      </c>
      <c r="Q28" s="11" t="s">
        <v>10</v>
      </c>
      <c r="R28" s="8">
        <v>90</v>
      </c>
      <c r="S28" s="8">
        <v>2.5</v>
      </c>
      <c r="T28" s="8" t="str">
        <f t="shared" si="5"/>
        <v>-text 221.25,163 2.5 90 10.458</v>
      </c>
      <c r="U28" s="10"/>
    </row>
    <row r="29" spans="1:21" x14ac:dyDescent="0.25">
      <c r="A29" s="15">
        <v>282740</v>
      </c>
      <c r="B29" s="9">
        <v>1172147.3</v>
      </c>
      <c r="C29" s="10">
        <v>270.11099999999999</v>
      </c>
      <c r="D29" s="17">
        <v>271.42899999999997</v>
      </c>
      <c r="E29" s="17">
        <v>1.319</v>
      </c>
      <c r="F29" s="10">
        <v>269.423</v>
      </c>
      <c r="G29" s="17">
        <v>270.71600000000001</v>
      </c>
      <c r="H29" s="17">
        <v>1.294</v>
      </c>
      <c r="I29" s="10">
        <v>267.7</v>
      </c>
      <c r="J29" s="10">
        <v>267.33600000000001</v>
      </c>
      <c r="K29" s="19">
        <v>3.38</v>
      </c>
      <c r="L29" s="17">
        <v>10.457000000000001</v>
      </c>
      <c r="N29" s="12">
        <f t="shared" si="2"/>
        <v>241.25</v>
      </c>
      <c r="O29" s="8">
        <f t="shared" si="3"/>
        <v>163</v>
      </c>
      <c r="P29" s="8" t="str">
        <f t="shared" si="4"/>
        <v>241.25,163</v>
      </c>
      <c r="Q29" s="11" t="s">
        <v>10</v>
      </c>
      <c r="R29" s="8">
        <v>90</v>
      </c>
      <c r="S29" s="8">
        <v>2.5</v>
      </c>
      <c r="T29" s="8" t="str">
        <f t="shared" si="5"/>
        <v>-text 241.25,163 2.5 90 10.457</v>
      </c>
      <c r="U29" s="10"/>
    </row>
    <row r="30" spans="1:21" x14ac:dyDescent="0.25">
      <c r="A30" s="15">
        <v>282760</v>
      </c>
      <c r="B30" s="9">
        <v>1172167.3</v>
      </c>
      <c r="C30" s="10">
        <v>270.12799999999999</v>
      </c>
      <c r="D30" s="17">
        <v>271.44600000000003</v>
      </c>
      <c r="E30" s="17">
        <v>1.3180000000000001</v>
      </c>
      <c r="F30" s="10">
        <v>269.44</v>
      </c>
      <c r="G30" s="17">
        <v>270.733</v>
      </c>
      <c r="H30" s="17">
        <v>1.2929999999999999</v>
      </c>
      <c r="I30" s="10">
        <v>267.58499999999998</v>
      </c>
      <c r="J30" s="10">
        <v>267.64800000000002</v>
      </c>
      <c r="K30" s="19">
        <v>3.0859999999999999</v>
      </c>
      <c r="L30" s="17">
        <v>10.448</v>
      </c>
      <c r="N30" s="12">
        <f t="shared" si="2"/>
        <v>261.25</v>
      </c>
      <c r="O30" s="8">
        <f t="shared" si="3"/>
        <v>163</v>
      </c>
      <c r="P30" s="8" t="str">
        <f t="shared" si="4"/>
        <v>261.25,163</v>
      </c>
      <c r="Q30" s="11" t="s">
        <v>10</v>
      </c>
      <c r="R30" s="8">
        <v>90</v>
      </c>
      <c r="S30" s="8">
        <v>2.5</v>
      </c>
      <c r="T30" s="8" t="str">
        <f t="shared" si="5"/>
        <v>-text 261.25,163 2.5 90 10.448</v>
      </c>
      <c r="U30" s="10"/>
    </row>
    <row r="31" spans="1:21" x14ac:dyDescent="0.25">
      <c r="A31" s="15">
        <v>282780</v>
      </c>
      <c r="B31" s="9">
        <v>1172187.3</v>
      </c>
      <c r="C31" s="10">
        <v>270.13600000000002</v>
      </c>
      <c r="D31" s="17">
        <v>271.46300000000002</v>
      </c>
      <c r="E31" s="17">
        <v>1.327</v>
      </c>
      <c r="F31" s="10">
        <v>269.44799999999998</v>
      </c>
      <c r="G31" s="17">
        <v>270.75</v>
      </c>
      <c r="H31" s="17">
        <v>1.302</v>
      </c>
      <c r="I31" s="10">
        <v>267.75</v>
      </c>
      <c r="J31" s="10">
        <v>267.64499999999998</v>
      </c>
      <c r="K31" s="19">
        <v>3.1059999999999999</v>
      </c>
      <c r="L31" s="17">
        <v>10.462</v>
      </c>
      <c r="N31" s="12">
        <f t="shared" si="2"/>
        <v>281.25</v>
      </c>
      <c r="O31" s="8">
        <f t="shared" si="3"/>
        <v>163</v>
      </c>
      <c r="P31" s="8" t="str">
        <f t="shared" si="4"/>
        <v>281.25,163</v>
      </c>
      <c r="Q31" s="11" t="s">
        <v>10</v>
      </c>
      <c r="R31" s="8">
        <v>90</v>
      </c>
      <c r="S31" s="8">
        <v>2.5</v>
      </c>
      <c r="T31" s="8" t="str">
        <f t="shared" si="5"/>
        <v>-text 281.25,163 2.5 90 10.462</v>
      </c>
      <c r="U31" s="10"/>
    </row>
    <row r="32" spans="1:21" x14ac:dyDescent="0.25">
      <c r="A32" s="15">
        <v>282800</v>
      </c>
      <c r="B32" s="9">
        <v>1172207.3</v>
      </c>
      <c r="C32" s="10">
        <v>270.15100000000001</v>
      </c>
      <c r="D32" s="17">
        <v>271.48</v>
      </c>
      <c r="E32" s="17">
        <v>1.329</v>
      </c>
      <c r="F32" s="10">
        <v>269.46300000000002</v>
      </c>
      <c r="G32" s="17">
        <v>270.767</v>
      </c>
      <c r="H32" s="17">
        <v>1.304</v>
      </c>
      <c r="I32" s="10">
        <v>267.43599999999998</v>
      </c>
      <c r="J32" s="10">
        <v>267.70800000000003</v>
      </c>
      <c r="K32" s="19">
        <v>3.0590000000000002</v>
      </c>
      <c r="L32" s="17">
        <v>10.473000000000001</v>
      </c>
      <c r="N32" s="12">
        <f t="shared" si="2"/>
        <v>301.25</v>
      </c>
      <c r="O32" s="8">
        <f t="shared" si="3"/>
        <v>163</v>
      </c>
      <c r="P32" s="8" t="str">
        <f t="shared" si="4"/>
        <v>301.25,163</v>
      </c>
      <c r="Q32" s="11" t="s">
        <v>10</v>
      </c>
      <c r="R32" s="8">
        <v>90</v>
      </c>
      <c r="S32" s="8">
        <v>2.5</v>
      </c>
      <c r="T32" s="8" t="str">
        <f t="shared" si="5"/>
        <v>-text 301.25,163 2.5 90 10.473</v>
      </c>
      <c r="U32" s="10"/>
    </row>
    <row r="33" spans="1:21" x14ac:dyDescent="0.25">
      <c r="A33" s="15">
        <v>282820</v>
      </c>
      <c r="B33" s="9">
        <v>1172227.3</v>
      </c>
      <c r="C33" s="10">
        <v>270.18400000000003</v>
      </c>
      <c r="D33" s="17">
        <v>271.49700000000001</v>
      </c>
      <c r="E33" s="17">
        <v>1.3129999999999999</v>
      </c>
      <c r="F33" s="10">
        <v>269.49599999999998</v>
      </c>
      <c r="G33" s="17">
        <v>270.78399999999999</v>
      </c>
      <c r="H33" s="17">
        <v>1.288</v>
      </c>
      <c r="I33" s="10">
        <v>267.17399999999998</v>
      </c>
      <c r="J33" s="10">
        <v>267.649</v>
      </c>
      <c r="K33" s="19">
        <v>3.1349999999999998</v>
      </c>
      <c r="L33" s="17">
        <v>10.473000000000001</v>
      </c>
      <c r="N33" s="12">
        <f t="shared" si="2"/>
        <v>321.25</v>
      </c>
      <c r="O33" s="8">
        <f t="shared" si="3"/>
        <v>163</v>
      </c>
      <c r="P33" s="8" t="str">
        <f t="shared" si="4"/>
        <v>321.25,163</v>
      </c>
      <c r="Q33" s="11" t="s">
        <v>10</v>
      </c>
      <c r="R33" s="8">
        <v>90</v>
      </c>
      <c r="S33" s="8">
        <v>2.5</v>
      </c>
      <c r="T33" s="8" t="str">
        <f t="shared" si="5"/>
        <v>-text 321.25,163 2.5 90 10.473</v>
      </c>
      <c r="U33" s="10"/>
    </row>
    <row r="34" spans="1:21" x14ac:dyDescent="0.25">
      <c r="A34" s="15">
        <v>282840</v>
      </c>
      <c r="B34" s="9">
        <v>1172247.3</v>
      </c>
      <c r="C34" s="10">
        <v>270.202</v>
      </c>
      <c r="D34" s="17">
        <v>271.51400000000001</v>
      </c>
      <c r="E34" s="17">
        <v>1.3120000000000001</v>
      </c>
      <c r="F34" s="10">
        <v>269.51400000000001</v>
      </c>
      <c r="G34" s="17">
        <v>270.80099999999999</v>
      </c>
      <c r="H34" s="17">
        <v>1.2869999999999999</v>
      </c>
      <c r="I34" s="10">
        <v>267.31200000000001</v>
      </c>
      <c r="J34" s="10">
        <v>268.029</v>
      </c>
      <c r="K34" s="19">
        <v>2.7709999999999999</v>
      </c>
      <c r="L34" s="17">
        <v>10.477</v>
      </c>
      <c r="N34" s="12">
        <f t="shared" si="2"/>
        <v>341.25</v>
      </c>
      <c r="O34" s="8">
        <f t="shared" si="3"/>
        <v>163</v>
      </c>
      <c r="P34" s="8" t="str">
        <f t="shared" si="4"/>
        <v>341.25,163</v>
      </c>
      <c r="Q34" s="11" t="s">
        <v>10</v>
      </c>
      <c r="R34" s="8">
        <v>90</v>
      </c>
      <c r="S34" s="8">
        <v>2.5</v>
      </c>
      <c r="T34" s="8" t="str">
        <f t="shared" si="5"/>
        <v>-text 341.25,163 2.5 90 10.477</v>
      </c>
      <c r="U34" s="10"/>
    </row>
    <row r="35" spans="1:21" x14ac:dyDescent="0.25">
      <c r="A35" s="15">
        <v>282860</v>
      </c>
      <c r="B35" s="9">
        <v>1172267.3</v>
      </c>
      <c r="C35" s="10">
        <v>270.20800000000003</v>
      </c>
      <c r="D35" s="17">
        <v>271.53100000000001</v>
      </c>
      <c r="E35" s="17">
        <v>1.323</v>
      </c>
      <c r="F35" s="10">
        <v>269.52</v>
      </c>
      <c r="G35" s="17">
        <v>270.81799999999998</v>
      </c>
      <c r="H35" s="17">
        <v>1.298</v>
      </c>
      <c r="I35" s="10">
        <v>267.06799999999998</v>
      </c>
      <c r="J35" s="10">
        <v>268.19099999999997</v>
      </c>
      <c r="K35" s="19">
        <v>2.6269999999999998</v>
      </c>
      <c r="L35" s="17">
        <v>10.484999999999999</v>
      </c>
      <c r="N35" s="12">
        <f t="shared" si="2"/>
        <v>361.25</v>
      </c>
      <c r="O35" s="8">
        <f t="shared" si="3"/>
        <v>163</v>
      </c>
      <c r="P35" s="8" t="str">
        <f t="shared" si="4"/>
        <v>361.25,163</v>
      </c>
      <c r="Q35" s="11" t="s">
        <v>10</v>
      </c>
      <c r="R35" s="8">
        <v>90</v>
      </c>
      <c r="S35" s="8">
        <v>2.5</v>
      </c>
      <c r="T35" s="8" t="str">
        <f t="shared" si="5"/>
        <v>-text 361.25,163 2.5 90 10.485</v>
      </c>
      <c r="U35" s="10"/>
    </row>
    <row r="36" spans="1:21" x14ac:dyDescent="0.25">
      <c r="A36" s="15">
        <v>282880</v>
      </c>
      <c r="B36" s="9">
        <v>1172287.3</v>
      </c>
      <c r="C36" s="10">
        <v>270.21899999999999</v>
      </c>
      <c r="D36" s="17">
        <v>271.548</v>
      </c>
      <c r="E36" s="17">
        <v>1.329</v>
      </c>
      <c r="F36" s="10">
        <v>269.53100000000001</v>
      </c>
      <c r="G36" s="17">
        <v>270.83499999999998</v>
      </c>
      <c r="H36" s="17">
        <v>1.304</v>
      </c>
      <c r="I36" s="10">
        <v>267.048</v>
      </c>
      <c r="J36" s="10">
        <v>267.78699999999998</v>
      </c>
      <c r="K36" s="19">
        <v>3.048</v>
      </c>
      <c r="L36" s="17">
        <v>10.481999999999999</v>
      </c>
      <c r="N36" s="12">
        <f t="shared" si="2"/>
        <v>381.25</v>
      </c>
      <c r="O36" s="8">
        <f t="shared" si="3"/>
        <v>163</v>
      </c>
      <c r="P36" s="8" t="str">
        <f t="shared" si="4"/>
        <v>381.25,163</v>
      </c>
      <c r="Q36" s="11" t="s">
        <v>10</v>
      </c>
      <c r="R36" s="8">
        <v>90</v>
      </c>
      <c r="S36" s="8">
        <v>2.5</v>
      </c>
      <c r="T36" s="8" t="str">
        <f t="shared" si="5"/>
        <v>-text 381.25,163 2.5 90 10.482</v>
      </c>
      <c r="U36" s="10"/>
    </row>
    <row r="37" spans="1:21" x14ac:dyDescent="0.25">
      <c r="A37" s="15">
        <v>282900</v>
      </c>
      <c r="B37" s="9">
        <v>1172307.3</v>
      </c>
      <c r="C37" s="10">
        <v>270.23099999999999</v>
      </c>
      <c r="D37" s="17">
        <v>271.565</v>
      </c>
      <c r="E37" s="17">
        <v>1.3340000000000001</v>
      </c>
      <c r="F37" s="10">
        <v>269.54300000000001</v>
      </c>
      <c r="G37" s="17">
        <v>270.85199999999998</v>
      </c>
      <c r="H37" s="17">
        <v>1.3089999999999999</v>
      </c>
      <c r="I37" s="10">
        <v>267.05</v>
      </c>
      <c r="J37" s="10">
        <v>267.423</v>
      </c>
      <c r="K37" s="19">
        <v>3.4279999999999999</v>
      </c>
      <c r="L37" s="17">
        <v>10.478</v>
      </c>
      <c r="N37" s="12">
        <f t="shared" si="2"/>
        <v>401.25</v>
      </c>
      <c r="O37" s="8">
        <f t="shared" si="3"/>
        <v>163</v>
      </c>
      <c r="P37" s="8" t="str">
        <f t="shared" si="4"/>
        <v>401.25,163</v>
      </c>
      <c r="Q37" s="11" t="s">
        <v>10</v>
      </c>
      <c r="R37" s="8">
        <v>90</v>
      </c>
      <c r="S37" s="8">
        <v>2.5</v>
      </c>
      <c r="T37" s="8" t="str">
        <f t="shared" si="5"/>
        <v>-text 401.25,163 2.5 90 10.478</v>
      </c>
      <c r="U37" s="10"/>
    </row>
    <row r="38" spans="1:21" x14ac:dyDescent="0.25">
      <c r="A38" s="15">
        <v>282920</v>
      </c>
      <c r="B38" s="9">
        <v>1172327.3</v>
      </c>
      <c r="C38" s="10">
        <v>270.24299999999999</v>
      </c>
      <c r="D38" s="17">
        <v>271.58199999999999</v>
      </c>
      <c r="E38" s="17">
        <v>1.339</v>
      </c>
      <c r="F38" s="10">
        <v>269.55500000000001</v>
      </c>
      <c r="G38" s="17">
        <v>270.86900000000003</v>
      </c>
      <c r="H38" s="17">
        <v>1.3140000000000001</v>
      </c>
      <c r="I38" s="10">
        <v>267.08499999999998</v>
      </c>
      <c r="J38" s="10">
        <v>267.94799999999998</v>
      </c>
      <c r="K38" s="19">
        <v>2.92</v>
      </c>
      <c r="L38" s="17">
        <v>10.503</v>
      </c>
      <c r="N38" s="12">
        <f t="shared" si="2"/>
        <v>421.25</v>
      </c>
      <c r="O38" s="8">
        <f t="shared" si="3"/>
        <v>163</v>
      </c>
      <c r="P38" s="8" t="str">
        <f t="shared" si="4"/>
        <v>421.25,163</v>
      </c>
      <c r="Q38" s="11" t="s">
        <v>10</v>
      </c>
      <c r="R38" s="8">
        <v>90</v>
      </c>
      <c r="S38" s="8">
        <v>2.5</v>
      </c>
      <c r="T38" s="8" t="str">
        <f t="shared" si="5"/>
        <v>-text 421.25,163 2.5 90 10.503</v>
      </c>
      <c r="U38" s="10"/>
    </row>
    <row r="39" spans="1:21" x14ac:dyDescent="0.25">
      <c r="A39" s="15">
        <v>282940</v>
      </c>
      <c r="B39" s="9">
        <v>1172347.3</v>
      </c>
      <c r="C39" s="10">
        <v>270.25900000000001</v>
      </c>
      <c r="D39" s="17">
        <v>271.59899999999999</v>
      </c>
      <c r="E39" s="17">
        <v>1.34</v>
      </c>
      <c r="F39" s="10">
        <v>269.57100000000003</v>
      </c>
      <c r="G39" s="17">
        <v>270.88600000000002</v>
      </c>
      <c r="H39" s="17">
        <v>1.3149999999999999</v>
      </c>
      <c r="I39" s="10">
        <v>267.33600000000001</v>
      </c>
      <c r="J39" s="10">
        <v>267.91199999999998</v>
      </c>
      <c r="K39" s="19">
        <v>2.9740000000000002</v>
      </c>
      <c r="L39" s="17">
        <v>10.597</v>
      </c>
      <c r="N39" s="12">
        <f t="shared" si="2"/>
        <v>441.25</v>
      </c>
      <c r="O39" s="8">
        <f t="shared" si="3"/>
        <v>163</v>
      </c>
      <c r="P39" s="8" t="str">
        <f t="shared" si="4"/>
        <v>441.25,163</v>
      </c>
      <c r="Q39" s="11" t="s">
        <v>10</v>
      </c>
      <c r="R39" s="8">
        <v>90</v>
      </c>
      <c r="S39" s="8">
        <v>2.5</v>
      </c>
      <c r="T39" s="8" t="str">
        <f t="shared" si="5"/>
        <v>-text 441.25,163 2.5 90 10.597</v>
      </c>
      <c r="U39" s="10"/>
    </row>
    <row r="40" spans="1:21" x14ac:dyDescent="0.25">
      <c r="A40" s="15">
        <v>282960</v>
      </c>
      <c r="B40" s="9">
        <v>1172367.3</v>
      </c>
      <c r="C40" s="10">
        <v>270.28100000000001</v>
      </c>
      <c r="D40" s="17">
        <v>271.61500000000001</v>
      </c>
      <c r="E40" s="17">
        <v>1.335</v>
      </c>
      <c r="F40" s="10">
        <v>269.59300000000002</v>
      </c>
      <c r="G40" s="17">
        <v>270.90199999999999</v>
      </c>
      <c r="H40" s="17">
        <v>1.31</v>
      </c>
      <c r="I40" s="10">
        <v>267.29399999999998</v>
      </c>
      <c r="J40" s="10">
        <v>267.601</v>
      </c>
      <c r="K40" s="19">
        <v>3.3010000000000002</v>
      </c>
      <c r="L40" s="17">
        <v>10.78</v>
      </c>
      <c r="N40" s="12">
        <f t="shared" si="2"/>
        <v>461.25</v>
      </c>
      <c r="O40" s="8">
        <f t="shared" si="3"/>
        <v>163</v>
      </c>
      <c r="P40" s="8" t="str">
        <f t="shared" si="4"/>
        <v>461.25,163</v>
      </c>
      <c r="Q40" s="11" t="s">
        <v>10</v>
      </c>
      <c r="R40" s="8">
        <v>90</v>
      </c>
      <c r="S40" s="8">
        <v>2.5</v>
      </c>
      <c r="T40" s="8" t="str">
        <f t="shared" si="5"/>
        <v>-text 461.25,163 2.5 90 10.78</v>
      </c>
      <c r="U40" s="10"/>
    </row>
    <row r="41" spans="1:21" x14ac:dyDescent="0.25">
      <c r="A41" s="15">
        <v>282980</v>
      </c>
      <c r="B41" s="9">
        <v>1172387.3</v>
      </c>
      <c r="C41" s="10">
        <v>270.32499999999999</v>
      </c>
      <c r="D41" s="17">
        <v>271.63200000000001</v>
      </c>
      <c r="E41" s="17">
        <v>1.3080000000000001</v>
      </c>
      <c r="F41" s="10">
        <v>269.637</v>
      </c>
      <c r="G41" s="17">
        <v>270.91899999999998</v>
      </c>
      <c r="H41" s="17">
        <v>1.2829999999999999</v>
      </c>
      <c r="I41" s="10">
        <v>267.173</v>
      </c>
      <c r="J41" s="10">
        <v>267.18299999999999</v>
      </c>
      <c r="K41" s="19">
        <v>3.7370000000000001</v>
      </c>
      <c r="L41" s="17">
        <v>11.022</v>
      </c>
      <c r="N41" s="12">
        <f t="shared" si="2"/>
        <v>481.25</v>
      </c>
      <c r="O41" s="8">
        <f t="shared" si="3"/>
        <v>163</v>
      </c>
      <c r="P41" s="8" t="str">
        <f t="shared" si="4"/>
        <v>481.25,163</v>
      </c>
      <c r="Q41" s="11" t="s">
        <v>10</v>
      </c>
      <c r="R41" s="8">
        <v>90</v>
      </c>
      <c r="S41" s="8">
        <v>2.5</v>
      </c>
      <c r="T41" s="8" t="str">
        <f t="shared" si="5"/>
        <v>-text 481.25,163 2.5 90 11.022</v>
      </c>
      <c r="U41" s="10"/>
    </row>
    <row r="42" spans="1:21" x14ac:dyDescent="0.25">
      <c r="A42" s="15">
        <v>283000</v>
      </c>
      <c r="B42" s="9">
        <v>1172407.3</v>
      </c>
      <c r="C42" s="10">
        <v>270.38299999999998</v>
      </c>
      <c r="D42" s="17">
        <v>271.649</v>
      </c>
      <c r="E42" s="17">
        <v>1.2669999999999999</v>
      </c>
      <c r="F42" s="10">
        <v>269.69499999999999</v>
      </c>
      <c r="G42" s="17">
        <v>270.93599999999998</v>
      </c>
      <c r="H42" s="17">
        <v>1.242</v>
      </c>
      <c r="I42" s="10">
        <v>267.37799999999999</v>
      </c>
      <c r="J42" s="10">
        <v>267.601</v>
      </c>
      <c r="K42" s="19">
        <v>3.335</v>
      </c>
      <c r="L42" s="17">
        <v>11.289</v>
      </c>
      <c r="N42" s="12">
        <f t="shared" si="2"/>
        <v>501.25</v>
      </c>
      <c r="O42" s="8">
        <f t="shared" si="3"/>
        <v>163</v>
      </c>
      <c r="P42" s="8" t="str">
        <f t="shared" si="4"/>
        <v>501.25,163</v>
      </c>
      <c r="Q42" s="11" t="s">
        <v>10</v>
      </c>
      <c r="R42" s="8">
        <v>90</v>
      </c>
      <c r="S42" s="8">
        <v>2.5</v>
      </c>
      <c r="T42" s="8" t="str">
        <f t="shared" si="5"/>
        <v>-text 501.25,163 2.5 90 11.289</v>
      </c>
      <c r="U42" s="10"/>
    </row>
    <row r="43" spans="1:21" x14ac:dyDescent="0.25">
      <c r="A43" s="15"/>
      <c r="N43" s="12"/>
      <c r="Q43" s="11"/>
      <c r="U43" s="10"/>
    </row>
    <row r="44" spans="1:21" x14ac:dyDescent="0.25">
      <c r="A44" s="15">
        <v>283000</v>
      </c>
      <c r="B44" s="9">
        <v>1172407.3</v>
      </c>
      <c r="C44" s="10">
        <v>270.38299999999998</v>
      </c>
      <c r="D44" s="17">
        <v>271.649</v>
      </c>
      <c r="E44" s="17">
        <v>1.2669999999999999</v>
      </c>
      <c r="F44" s="10">
        <v>269.69499999999999</v>
      </c>
      <c r="G44" s="17">
        <v>270.93599999999998</v>
      </c>
      <c r="H44" s="17">
        <v>1.242</v>
      </c>
      <c r="I44" s="10">
        <v>267.37799999999999</v>
      </c>
      <c r="J44" s="10">
        <v>267.601</v>
      </c>
      <c r="K44" s="19">
        <v>3.335</v>
      </c>
      <c r="L44" s="17">
        <v>11.289</v>
      </c>
      <c r="N44" s="12">
        <v>1.25</v>
      </c>
      <c r="O44" s="8">
        <v>131</v>
      </c>
      <c r="P44" s="8" t="str">
        <f t="shared" si="4"/>
        <v>1.25,131</v>
      </c>
      <c r="Q44" s="11" t="s">
        <v>10</v>
      </c>
      <c r="R44" s="8">
        <v>90</v>
      </c>
      <c r="S44" s="8">
        <v>2.5</v>
      </c>
      <c r="T44" s="8" t="str">
        <f>$Q44&amp;" "&amp;$P44&amp;" "&amp;$S44&amp;" "&amp;$R44&amp;" "&amp;$J44</f>
        <v>-text 1.25,131 2.5 90 267.601</v>
      </c>
      <c r="U44" s="10"/>
    </row>
    <row r="45" spans="1:21" x14ac:dyDescent="0.25">
      <c r="A45" s="15">
        <v>283020</v>
      </c>
      <c r="B45" s="9">
        <v>1172427.3</v>
      </c>
      <c r="C45" s="10">
        <v>270.36500000000001</v>
      </c>
      <c r="D45" s="17">
        <v>271.654</v>
      </c>
      <c r="E45" s="17">
        <v>1.2889999999999999</v>
      </c>
      <c r="F45" s="10">
        <v>269.67700000000002</v>
      </c>
      <c r="G45" s="17">
        <v>270.94099999999997</v>
      </c>
      <c r="H45" s="17">
        <v>1.264</v>
      </c>
      <c r="I45" s="10">
        <v>267.07</v>
      </c>
      <c r="J45" s="10">
        <v>267.38400000000001</v>
      </c>
      <c r="K45" s="19">
        <v>3.5569999999999999</v>
      </c>
      <c r="L45" s="17">
        <v>11.566000000000001</v>
      </c>
      <c r="N45" s="12">
        <f t="shared" si="2"/>
        <v>21.25</v>
      </c>
      <c r="O45" s="8">
        <f t="shared" si="3"/>
        <v>131</v>
      </c>
      <c r="P45" s="8" t="str">
        <f t="shared" si="4"/>
        <v>21.25,131</v>
      </c>
      <c r="Q45" s="11" t="s">
        <v>10</v>
      </c>
      <c r="R45" s="8">
        <v>90</v>
      </c>
      <c r="S45" s="8">
        <v>2.5</v>
      </c>
      <c r="T45" s="8" t="str">
        <f t="shared" ref="T45:T69" si="6">$Q45&amp;" "&amp;$P45&amp;" "&amp;$S45&amp;" "&amp;$R45&amp;" "&amp;$J45</f>
        <v>-text 21.25,131 2.5 90 267.384</v>
      </c>
      <c r="U45" s="10"/>
    </row>
    <row r="46" spans="1:21" x14ac:dyDescent="0.25">
      <c r="A46" s="15">
        <v>283040</v>
      </c>
      <c r="B46" s="9">
        <v>1172447.3</v>
      </c>
      <c r="C46" s="10">
        <v>270.346</v>
      </c>
      <c r="D46" s="17">
        <v>271.654</v>
      </c>
      <c r="E46" s="17">
        <v>1.3080000000000001</v>
      </c>
      <c r="F46" s="10">
        <v>269.65800000000002</v>
      </c>
      <c r="G46" s="17">
        <v>270.94099999999997</v>
      </c>
      <c r="H46" s="17">
        <v>1.2829999999999999</v>
      </c>
      <c r="I46" s="10">
        <v>267.41699999999997</v>
      </c>
      <c r="J46" s="10">
        <v>266.96600000000001</v>
      </c>
      <c r="K46" s="19">
        <v>3.9750000000000001</v>
      </c>
      <c r="L46" s="17">
        <v>11.840999999999999</v>
      </c>
      <c r="N46" s="12">
        <f t="shared" si="2"/>
        <v>41.25</v>
      </c>
      <c r="O46" s="8">
        <f t="shared" si="3"/>
        <v>131</v>
      </c>
      <c r="P46" s="8" t="str">
        <f t="shared" si="4"/>
        <v>41.25,131</v>
      </c>
      <c r="Q46" s="11" t="s">
        <v>10</v>
      </c>
      <c r="R46" s="8">
        <v>90</v>
      </c>
      <c r="S46" s="8">
        <v>2.5</v>
      </c>
      <c r="T46" s="8" t="str">
        <f t="shared" si="6"/>
        <v>-text 41.25,131 2.5 90 266.966</v>
      </c>
      <c r="U46" s="10"/>
    </row>
    <row r="47" spans="1:21" x14ac:dyDescent="0.25">
      <c r="A47" s="15">
        <v>283060</v>
      </c>
      <c r="B47" s="9">
        <v>1172467.3</v>
      </c>
      <c r="C47" s="10">
        <v>270.35199999999998</v>
      </c>
      <c r="D47" s="17">
        <v>271.654</v>
      </c>
      <c r="E47" s="17">
        <v>1.302</v>
      </c>
      <c r="F47" s="10">
        <v>269.66399999999999</v>
      </c>
      <c r="G47" s="17">
        <v>270.94099999999997</v>
      </c>
      <c r="H47" s="17">
        <v>1.2769999999999999</v>
      </c>
      <c r="I47" s="10">
        <v>266.93200000000002</v>
      </c>
      <c r="J47" s="10">
        <v>267.512</v>
      </c>
      <c r="K47" s="19">
        <v>3.4289999999999998</v>
      </c>
      <c r="L47" s="17">
        <v>12.111000000000001</v>
      </c>
      <c r="N47" s="12">
        <f t="shared" si="2"/>
        <v>61.25</v>
      </c>
      <c r="O47" s="8">
        <f t="shared" si="3"/>
        <v>131</v>
      </c>
      <c r="P47" s="8" t="str">
        <f t="shared" si="4"/>
        <v>61.25,131</v>
      </c>
      <c r="Q47" s="11" t="s">
        <v>10</v>
      </c>
      <c r="R47" s="8">
        <v>90</v>
      </c>
      <c r="S47" s="8">
        <v>2.5</v>
      </c>
      <c r="T47" s="8" t="str">
        <f t="shared" si="6"/>
        <v>-text 61.25,131 2.5 90 267.512</v>
      </c>
      <c r="U47" s="10"/>
    </row>
    <row r="48" spans="1:21" x14ac:dyDescent="0.25">
      <c r="A48" s="15">
        <v>283080</v>
      </c>
      <c r="B48" s="9">
        <v>1172487.3</v>
      </c>
      <c r="C48" s="10">
        <v>270.35700000000003</v>
      </c>
      <c r="D48" s="17">
        <v>271.654</v>
      </c>
      <c r="E48" s="17">
        <v>1.2969999999999999</v>
      </c>
      <c r="F48" s="10">
        <v>269.66899999999998</v>
      </c>
      <c r="G48" s="17">
        <v>270.94099999999997</v>
      </c>
      <c r="H48" s="17">
        <v>1.272</v>
      </c>
      <c r="I48" s="10">
        <v>267.17399999999998</v>
      </c>
      <c r="J48" s="10">
        <v>268.36799999999999</v>
      </c>
      <c r="K48" s="19">
        <v>2.573</v>
      </c>
      <c r="L48" s="17">
        <v>12.37</v>
      </c>
      <c r="N48" s="12">
        <f t="shared" si="2"/>
        <v>81.25</v>
      </c>
      <c r="O48" s="8">
        <f t="shared" si="3"/>
        <v>131</v>
      </c>
      <c r="P48" s="8" t="str">
        <f t="shared" si="4"/>
        <v>81.25,131</v>
      </c>
      <c r="Q48" s="11" t="s">
        <v>10</v>
      </c>
      <c r="R48" s="8">
        <v>90</v>
      </c>
      <c r="S48" s="8">
        <v>2.5</v>
      </c>
      <c r="T48" s="8" t="str">
        <f t="shared" si="6"/>
        <v>-text 81.25,131 2.5 90 268.368</v>
      </c>
      <c r="U48" s="10"/>
    </row>
    <row r="49" spans="1:21" x14ac:dyDescent="0.25">
      <c r="A49" s="15">
        <v>283100</v>
      </c>
      <c r="B49" s="9">
        <v>1172507.3</v>
      </c>
      <c r="C49" s="10">
        <v>270.36200000000002</v>
      </c>
      <c r="D49" s="17">
        <v>271.654</v>
      </c>
      <c r="E49" s="17">
        <v>1.292</v>
      </c>
      <c r="F49" s="10">
        <v>269.67399999999998</v>
      </c>
      <c r="G49" s="17">
        <v>270.94099999999997</v>
      </c>
      <c r="H49" s="17">
        <v>1.2669999999999999</v>
      </c>
      <c r="I49" s="10">
        <v>268.529</v>
      </c>
      <c r="J49" s="10">
        <v>268.61200000000002</v>
      </c>
      <c r="K49" s="19">
        <v>2.3290000000000002</v>
      </c>
      <c r="L49" s="17">
        <v>12.62</v>
      </c>
      <c r="N49" s="12">
        <f t="shared" si="2"/>
        <v>101.25</v>
      </c>
      <c r="O49" s="8">
        <f t="shared" si="3"/>
        <v>131</v>
      </c>
      <c r="P49" s="8" t="str">
        <f t="shared" si="4"/>
        <v>101.25,131</v>
      </c>
      <c r="Q49" s="11" t="s">
        <v>10</v>
      </c>
      <c r="R49" s="8">
        <v>90</v>
      </c>
      <c r="S49" s="8">
        <v>2.5</v>
      </c>
      <c r="T49" s="8" t="str">
        <f t="shared" si="6"/>
        <v>-text 101.25,131 2.5 90 268.612</v>
      </c>
      <c r="U49" s="10"/>
    </row>
    <row r="50" spans="1:21" x14ac:dyDescent="0.25">
      <c r="A50" s="15">
        <v>283120</v>
      </c>
      <c r="B50" s="9">
        <v>1172527.3</v>
      </c>
      <c r="C50" s="10">
        <v>270.38799999999998</v>
      </c>
      <c r="D50" s="17">
        <v>271.654</v>
      </c>
      <c r="E50" s="17">
        <v>1.266</v>
      </c>
      <c r="F50" s="10">
        <v>269.7</v>
      </c>
      <c r="G50" s="17">
        <v>270.94099999999997</v>
      </c>
      <c r="H50" s="17">
        <v>1.2410000000000001</v>
      </c>
      <c r="I50" s="10">
        <v>269.04300000000001</v>
      </c>
      <c r="J50" s="10">
        <v>269.62400000000002</v>
      </c>
      <c r="K50" s="19">
        <v>1.3169999999999999</v>
      </c>
      <c r="L50" s="17">
        <v>12.88</v>
      </c>
      <c r="N50" s="12">
        <f t="shared" si="2"/>
        <v>121.25</v>
      </c>
      <c r="O50" s="8">
        <f t="shared" si="3"/>
        <v>131</v>
      </c>
      <c r="P50" s="8" t="str">
        <f t="shared" si="4"/>
        <v>121.25,131</v>
      </c>
      <c r="Q50" s="11" t="s">
        <v>10</v>
      </c>
      <c r="R50" s="8">
        <v>90</v>
      </c>
      <c r="S50" s="8">
        <v>2.5</v>
      </c>
      <c r="T50" s="8" t="str">
        <f t="shared" si="6"/>
        <v>-text 121.25,131 2.5 90 269.624</v>
      </c>
      <c r="U50" s="10"/>
    </row>
    <row r="51" spans="1:21" x14ac:dyDescent="0.25">
      <c r="A51" s="15">
        <v>283140</v>
      </c>
      <c r="B51" s="9">
        <v>1172547.3</v>
      </c>
      <c r="C51" s="10">
        <v>270.416</v>
      </c>
      <c r="D51" s="17">
        <v>271.654</v>
      </c>
      <c r="E51" s="17">
        <v>1.238</v>
      </c>
      <c r="F51" s="10">
        <v>269.72800000000001</v>
      </c>
      <c r="G51" s="17">
        <v>270.94099999999997</v>
      </c>
      <c r="H51" s="17">
        <v>1.2130000000000001</v>
      </c>
      <c r="I51" s="10">
        <v>268.75299999999999</v>
      </c>
      <c r="J51" s="10">
        <v>269.43599999999998</v>
      </c>
      <c r="K51" s="19">
        <v>1.5049999999999999</v>
      </c>
      <c r="L51" s="17">
        <v>13.14</v>
      </c>
      <c r="N51" s="12">
        <f t="shared" si="2"/>
        <v>141.25</v>
      </c>
      <c r="O51" s="8">
        <f t="shared" si="3"/>
        <v>131</v>
      </c>
      <c r="P51" s="8" t="str">
        <f t="shared" si="4"/>
        <v>141.25,131</v>
      </c>
      <c r="Q51" s="11" t="s">
        <v>10</v>
      </c>
      <c r="R51" s="8">
        <v>90</v>
      </c>
      <c r="S51" s="8">
        <v>2.5</v>
      </c>
      <c r="T51" s="8" t="str">
        <f t="shared" si="6"/>
        <v>-text 141.25,131 2.5 90 269.436</v>
      </c>
      <c r="U51" s="10"/>
    </row>
    <row r="52" spans="1:21" x14ac:dyDescent="0.25">
      <c r="A52" s="15">
        <v>283160</v>
      </c>
      <c r="B52" s="9">
        <v>1172567.3</v>
      </c>
      <c r="C52" s="10">
        <v>270.43</v>
      </c>
      <c r="D52" s="17">
        <v>271.654</v>
      </c>
      <c r="E52" s="17">
        <v>1.224</v>
      </c>
      <c r="F52" s="10">
        <v>269.74200000000002</v>
      </c>
      <c r="G52" s="17">
        <v>270.94099999999997</v>
      </c>
      <c r="H52" s="17">
        <v>1.1990000000000001</v>
      </c>
      <c r="I52" s="10">
        <v>269.17500000000001</v>
      </c>
      <c r="J52" s="10">
        <v>269.45499999999998</v>
      </c>
      <c r="K52" s="19">
        <v>1.486</v>
      </c>
      <c r="L52" s="17">
        <v>13.394</v>
      </c>
      <c r="N52" s="12">
        <f t="shared" si="2"/>
        <v>161.25</v>
      </c>
      <c r="O52" s="8">
        <f t="shared" si="3"/>
        <v>131</v>
      </c>
      <c r="P52" s="8" t="str">
        <f t="shared" si="4"/>
        <v>161.25,131</v>
      </c>
      <c r="Q52" s="11" t="s">
        <v>10</v>
      </c>
      <c r="R52" s="8">
        <v>90</v>
      </c>
      <c r="S52" s="8">
        <v>2.5</v>
      </c>
      <c r="T52" s="8" t="str">
        <f t="shared" si="6"/>
        <v>-text 161.25,131 2.5 90 269.455</v>
      </c>
      <c r="U52" s="10"/>
    </row>
    <row r="53" spans="1:21" x14ac:dyDescent="0.25">
      <c r="A53" s="15">
        <v>283180</v>
      </c>
      <c r="B53" s="9">
        <v>1172587.3</v>
      </c>
      <c r="C53" s="10">
        <v>270.43700000000001</v>
      </c>
      <c r="D53" s="17">
        <v>271.654</v>
      </c>
      <c r="E53" s="17">
        <v>1.2170000000000001</v>
      </c>
      <c r="F53" s="10">
        <v>269.74900000000002</v>
      </c>
      <c r="G53" s="17">
        <v>270.94099999999997</v>
      </c>
      <c r="H53" s="17">
        <v>1.1919999999999999</v>
      </c>
      <c r="I53" s="10">
        <v>268.322</v>
      </c>
      <c r="J53" s="10">
        <v>267.541</v>
      </c>
      <c r="K53" s="19">
        <v>3.4</v>
      </c>
      <c r="L53" s="17">
        <v>13.602</v>
      </c>
      <c r="N53" s="12">
        <f t="shared" si="2"/>
        <v>181.25</v>
      </c>
      <c r="O53" s="8">
        <f t="shared" si="3"/>
        <v>131</v>
      </c>
      <c r="P53" s="8" t="str">
        <f t="shared" si="4"/>
        <v>181.25,131</v>
      </c>
      <c r="Q53" s="11" t="s">
        <v>10</v>
      </c>
      <c r="R53" s="8">
        <v>90</v>
      </c>
      <c r="S53" s="8">
        <v>2.5</v>
      </c>
      <c r="T53" s="8" t="str">
        <f t="shared" si="6"/>
        <v>-text 181.25,131 2.5 90 267.541</v>
      </c>
      <c r="U53" s="10"/>
    </row>
    <row r="54" spans="1:21" x14ac:dyDescent="0.25">
      <c r="A54" s="15">
        <v>283200</v>
      </c>
      <c r="B54" s="9">
        <v>1172607.3</v>
      </c>
      <c r="C54" s="10">
        <v>270.43700000000001</v>
      </c>
      <c r="D54" s="17">
        <v>271.654</v>
      </c>
      <c r="E54" s="17">
        <v>1.2170000000000001</v>
      </c>
      <c r="F54" s="10">
        <v>269.74900000000002</v>
      </c>
      <c r="G54" s="17">
        <v>270.94099999999997</v>
      </c>
      <c r="H54" s="17">
        <v>1.1919999999999999</v>
      </c>
      <c r="I54" s="10">
        <v>268.00799999999998</v>
      </c>
      <c r="J54" s="10">
        <v>267.87599999999998</v>
      </c>
      <c r="K54" s="19">
        <v>3.0649999999999999</v>
      </c>
      <c r="L54" s="17">
        <v>13.762</v>
      </c>
      <c r="N54" s="12">
        <f t="shared" si="2"/>
        <v>201.25</v>
      </c>
      <c r="O54" s="8">
        <f t="shared" si="3"/>
        <v>131</v>
      </c>
      <c r="P54" s="8" t="str">
        <f t="shared" si="4"/>
        <v>201.25,131</v>
      </c>
      <c r="Q54" s="11" t="s">
        <v>10</v>
      </c>
      <c r="R54" s="8">
        <v>90</v>
      </c>
      <c r="S54" s="8">
        <v>2.5</v>
      </c>
      <c r="T54" s="8" t="str">
        <f t="shared" si="6"/>
        <v>-text 201.25,131 2.5 90 267.876</v>
      </c>
      <c r="U54" s="10"/>
    </row>
    <row r="55" spans="1:21" x14ac:dyDescent="0.25">
      <c r="A55" s="15">
        <v>283220</v>
      </c>
      <c r="B55" s="9">
        <v>1172627.3</v>
      </c>
      <c r="C55" s="10">
        <v>270.42899999999997</v>
      </c>
      <c r="D55" s="17">
        <v>271.654</v>
      </c>
      <c r="E55" s="17">
        <v>1.2250000000000001</v>
      </c>
      <c r="F55" s="10">
        <v>269.74099999999999</v>
      </c>
      <c r="G55" s="17">
        <v>270.94099999999997</v>
      </c>
      <c r="H55" s="17">
        <v>1.2</v>
      </c>
      <c r="I55" s="10">
        <v>267.99200000000002</v>
      </c>
      <c r="J55" s="10">
        <v>268.16699999999997</v>
      </c>
      <c r="K55" s="19">
        <v>2.774</v>
      </c>
      <c r="L55" s="17">
        <v>13.896000000000001</v>
      </c>
      <c r="N55" s="12">
        <f t="shared" si="2"/>
        <v>221.25</v>
      </c>
      <c r="O55" s="8">
        <f t="shared" si="3"/>
        <v>131</v>
      </c>
      <c r="P55" s="8" t="str">
        <f t="shared" si="4"/>
        <v>221.25,131</v>
      </c>
      <c r="Q55" s="11" t="s">
        <v>10</v>
      </c>
      <c r="R55" s="8">
        <v>90</v>
      </c>
      <c r="S55" s="8">
        <v>2.5</v>
      </c>
      <c r="T55" s="8" t="str">
        <f t="shared" si="6"/>
        <v>-text 221.25,131 2.5 90 268.167</v>
      </c>
      <c r="U55" s="10"/>
    </row>
    <row r="56" spans="1:21" x14ac:dyDescent="0.25">
      <c r="A56" s="15">
        <v>283240</v>
      </c>
      <c r="B56" s="9">
        <v>1172647.3</v>
      </c>
      <c r="C56" s="10">
        <v>270.43700000000001</v>
      </c>
      <c r="D56" s="17">
        <v>271.654</v>
      </c>
      <c r="E56" s="17">
        <v>1.2170000000000001</v>
      </c>
      <c r="F56" s="10">
        <v>269.74900000000002</v>
      </c>
      <c r="G56" s="17">
        <v>270.94099999999997</v>
      </c>
      <c r="H56" s="17">
        <v>1.1919999999999999</v>
      </c>
      <c r="I56" s="10">
        <v>268.23</v>
      </c>
      <c r="J56" s="10">
        <v>268.529</v>
      </c>
      <c r="K56" s="19">
        <v>2.4119999999999999</v>
      </c>
      <c r="L56" s="17">
        <v>13.986000000000001</v>
      </c>
      <c r="N56" s="12">
        <f t="shared" si="2"/>
        <v>241.25</v>
      </c>
      <c r="O56" s="8">
        <f t="shared" si="3"/>
        <v>131</v>
      </c>
      <c r="P56" s="8" t="str">
        <f t="shared" si="4"/>
        <v>241.25,131</v>
      </c>
      <c r="Q56" s="11" t="s">
        <v>10</v>
      </c>
      <c r="R56" s="8">
        <v>90</v>
      </c>
      <c r="S56" s="8">
        <v>2.5</v>
      </c>
      <c r="T56" s="8" t="str">
        <f t="shared" si="6"/>
        <v>-text 241.25,131 2.5 90 268.529</v>
      </c>
      <c r="U56" s="10"/>
    </row>
    <row r="57" spans="1:21" x14ac:dyDescent="0.25">
      <c r="A57" s="15">
        <v>283260</v>
      </c>
      <c r="B57" s="9">
        <v>1172667.3</v>
      </c>
      <c r="C57" s="10">
        <v>270.49599999999998</v>
      </c>
      <c r="D57" s="17">
        <v>271.654</v>
      </c>
      <c r="E57" s="17">
        <v>1.1579999999999999</v>
      </c>
      <c r="F57" s="10">
        <v>269.80799999999999</v>
      </c>
      <c r="G57" s="17">
        <v>270.94099999999997</v>
      </c>
      <c r="H57" s="17">
        <v>1.133</v>
      </c>
      <c r="I57" s="10">
        <v>268.98399999999998</v>
      </c>
      <c r="J57" s="10">
        <v>268.62200000000001</v>
      </c>
      <c r="K57" s="19">
        <v>2.319</v>
      </c>
      <c r="L57" s="17">
        <v>14.021000000000001</v>
      </c>
      <c r="N57" s="12">
        <f t="shared" si="2"/>
        <v>261.25</v>
      </c>
      <c r="O57" s="8">
        <f t="shared" si="3"/>
        <v>131</v>
      </c>
      <c r="P57" s="8" t="str">
        <f t="shared" si="4"/>
        <v>261.25,131</v>
      </c>
      <c r="Q57" s="11" t="s">
        <v>10</v>
      </c>
      <c r="R57" s="8">
        <v>90</v>
      </c>
      <c r="S57" s="8">
        <v>2.5</v>
      </c>
      <c r="T57" s="8" t="str">
        <f t="shared" si="6"/>
        <v>-text 261.25,131 2.5 90 268.622</v>
      </c>
      <c r="U57" s="10"/>
    </row>
    <row r="58" spans="1:21" x14ac:dyDescent="0.25">
      <c r="A58" s="15">
        <v>283280</v>
      </c>
      <c r="B58" s="9">
        <v>1172687.3</v>
      </c>
      <c r="C58" s="10">
        <v>270.54700000000003</v>
      </c>
      <c r="D58" s="17">
        <v>271.654</v>
      </c>
      <c r="E58" s="17">
        <v>1.107</v>
      </c>
      <c r="F58" s="10">
        <v>269.85899999999998</v>
      </c>
      <c r="G58" s="17">
        <v>270.94099999999997</v>
      </c>
      <c r="H58" s="17">
        <v>1.0820000000000001</v>
      </c>
      <c r="I58" s="10">
        <v>271.75400000000002</v>
      </c>
      <c r="J58" s="10">
        <v>271.83100000000002</v>
      </c>
      <c r="K58" s="17">
        <v>-0.89</v>
      </c>
      <c r="L58" s="17">
        <v>14.013999999999999</v>
      </c>
      <c r="N58" s="12">
        <f t="shared" si="2"/>
        <v>281.25</v>
      </c>
      <c r="O58" s="8">
        <f t="shared" si="3"/>
        <v>131</v>
      </c>
      <c r="P58" s="8" t="str">
        <f t="shared" si="4"/>
        <v>281.25,131</v>
      </c>
      <c r="Q58" s="11" t="s">
        <v>10</v>
      </c>
      <c r="R58" s="8">
        <v>90</v>
      </c>
      <c r="S58" s="8">
        <v>2.5</v>
      </c>
      <c r="T58" s="8" t="str">
        <f t="shared" si="6"/>
        <v>-text 281.25,131 2.5 90 271.831</v>
      </c>
      <c r="U58" s="10"/>
    </row>
    <row r="59" spans="1:21" x14ac:dyDescent="0.25">
      <c r="A59" s="15">
        <v>283300</v>
      </c>
      <c r="B59" s="9">
        <v>1172707.3</v>
      </c>
      <c r="C59" s="10">
        <v>270.59300000000002</v>
      </c>
      <c r="D59" s="17">
        <v>271.654</v>
      </c>
      <c r="E59" s="17">
        <v>1.0609999999999999</v>
      </c>
      <c r="F59" s="10">
        <v>269.90499999999997</v>
      </c>
      <c r="G59" s="17">
        <v>270.94099999999997</v>
      </c>
      <c r="H59" s="17">
        <v>1.036</v>
      </c>
      <c r="I59" s="10">
        <v>272.685</v>
      </c>
      <c r="J59" s="10">
        <v>272.20100000000002</v>
      </c>
      <c r="K59" s="17">
        <v>-1.26</v>
      </c>
      <c r="L59" s="17">
        <v>13.984999999999999</v>
      </c>
      <c r="N59" s="12">
        <f t="shared" si="2"/>
        <v>301.25</v>
      </c>
      <c r="O59" s="8">
        <f t="shared" si="3"/>
        <v>131</v>
      </c>
      <c r="P59" s="8" t="str">
        <f t="shared" si="4"/>
        <v>301.25,131</v>
      </c>
      <c r="Q59" s="11" t="s">
        <v>10</v>
      </c>
      <c r="R59" s="8">
        <v>90</v>
      </c>
      <c r="S59" s="8">
        <v>2.5</v>
      </c>
      <c r="T59" s="8" t="str">
        <f t="shared" si="6"/>
        <v>-text 301.25,131 2.5 90 272.201</v>
      </c>
      <c r="U59" s="10"/>
    </row>
    <row r="60" spans="1:21" x14ac:dyDescent="0.25">
      <c r="A60" s="15">
        <v>283320</v>
      </c>
      <c r="B60" s="9">
        <v>1172727.3</v>
      </c>
      <c r="C60" s="10">
        <v>270.637</v>
      </c>
      <c r="D60" s="17">
        <v>271.654</v>
      </c>
      <c r="E60" s="17">
        <v>1.0169999999999999</v>
      </c>
      <c r="F60" s="10">
        <v>269.94900000000001</v>
      </c>
      <c r="G60" s="17">
        <v>270.94099999999997</v>
      </c>
      <c r="H60" s="17">
        <v>0.99199999999999999</v>
      </c>
      <c r="I60" s="10">
        <v>272.81</v>
      </c>
      <c r="J60" s="10">
        <v>273.60300000000001</v>
      </c>
      <c r="K60" s="17">
        <v>-2.6619999999999999</v>
      </c>
      <c r="L60" s="17">
        <v>13.962999999999999</v>
      </c>
      <c r="N60" s="12">
        <f t="shared" si="2"/>
        <v>321.25</v>
      </c>
      <c r="O60" s="8">
        <f t="shared" si="3"/>
        <v>131</v>
      </c>
      <c r="P60" s="8" t="str">
        <f t="shared" si="4"/>
        <v>321.25,131</v>
      </c>
      <c r="Q60" s="11" t="s">
        <v>10</v>
      </c>
      <c r="R60" s="8">
        <v>90</v>
      </c>
      <c r="S60" s="8">
        <v>2.5</v>
      </c>
      <c r="T60" s="8" t="str">
        <f t="shared" si="6"/>
        <v>-text 321.25,131 2.5 90 273.603</v>
      </c>
      <c r="U60" s="10"/>
    </row>
    <row r="61" spans="1:21" x14ac:dyDescent="0.25">
      <c r="A61" s="15">
        <v>283340</v>
      </c>
      <c r="B61" s="9">
        <v>1172747.3</v>
      </c>
      <c r="C61" s="10">
        <v>270.67399999999998</v>
      </c>
      <c r="D61" s="17">
        <v>271.654</v>
      </c>
      <c r="E61" s="17">
        <v>0.98</v>
      </c>
      <c r="F61" s="10">
        <v>269.98599999999999</v>
      </c>
      <c r="G61" s="17">
        <v>270.94099999999997</v>
      </c>
      <c r="H61" s="17">
        <v>0.95499999999999996</v>
      </c>
      <c r="I61" s="10">
        <v>267.45100000000002</v>
      </c>
      <c r="J61" s="10">
        <v>265.76400000000001</v>
      </c>
      <c r="K61" s="19">
        <v>5.1769999999999996</v>
      </c>
      <c r="L61" s="17">
        <v>13.95</v>
      </c>
      <c r="N61" s="12">
        <f t="shared" si="2"/>
        <v>341.25</v>
      </c>
      <c r="O61" s="8">
        <f t="shared" si="3"/>
        <v>131</v>
      </c>
      <c r="P61" s="8" t="str">
        <f t="shared" si="4"/>
        <v>341.25,131</v>
      </c>
      <c r="Q61" s="11" t="s">
        <v>10</v>
      </c>
      <c r="R61" s="8">
        <v>90</v>
      </c>
      <c r="S61" s="8">
        <v>2.5</v>
      </c>
      <c r="T61" s="8" t="str">
        <f t="shared" si="6"/>
        <v>-text 341.25,131 2.5 90 265.764</v>
      </c>
      <c r="U61" s="10"/>
    </row>
    <row r="62" spans="1:21" x14ac:dyDescent="0.25">
      <c r="A62" s="15">
        <v>283360</v>
      </c>
      <c r="B62" s="9">
        <v>1172767.3</v>
      </c>
      <c r="C62" s="10">
        <v>270.69799999999998</v>
      </c>
      <c r="D62" s="17">
        <v>271.654</v>
      </c>
      <c r="E62" s="17">
        <v>0.95599999999999996</v>
      </c>
      <c r="F62" s="10">
        <v>270.01</v>
      </c>
      <c r="G62" s="17">
        <v>270.94099999999997</v>
      </c>
      <c r="H62" s="17">
        <v>0.93100000000000005</v>
      </c>
      <c r="I62" s="10">
        <v>262.13600000000002</v>
      </c>
      <c r="J62" s="10">
        <v>261.94099999999997</v>
      </c>
      <c r="K62" s="19">
        <v>9</v>
      </c>
      <c r="L62" s="17">
        <v>13.956</v>
      </c>
      <c r="N62" s="12">
        <f t="shared" si="2"/>
        <v>361.25</v>
      </c>
      <c r="O62" s="8">
        <f t="shared" si="3"/>
        <v>131</v>
      </c>
      <c r="P62" s="8" t="str">
        <f t="shared" si="4"/>
        <v>361.25,131</v>
      </c>
      <c r="Q62" s="11" t="s">
        <v>10</v>
      </c>
      <c r="R62" s="8">
        <v>90</v>
      </c>
      <c r="S62" s="8">
        <v>2.5</v>
      </c>
      <c r="T62" s="8" t="str">
        <f t="shared" si="6"/>
        <v>-text 361.25,131 2.5 90 261.941</v>
      </c>
      <c r="U62" s="10"/>
    </row>
    <row r="63" spans="1:21" x14ac:dyDescent="0.25">
      <c r="A63" s="15">
        <v>283380</v>
      </c>
      <c r="B63" s="9">
        <v>1172787.3</v>
      </c>
      <c r="C63" s="10">
        <v>270.709</v>
      </c>
      <c r="D63" s="17">
        <v>271.654</v>
      </c>
      <c r="E63" s="17">
        <v>0.94499999999999995</v>
      </c>
      <c r="F63" s="10">
        <v>270.02100000000002</v>
      </c>
      <c r="G63" s="17">
        <v>270.94099999999997</v>
      </c>
      <c r="H63" s="17">
        <v>0.92</v>
      </c>
      <c r="I63" s="10">
        <v>259.09800000000001</v>
      </c>
      <c r="J63" s="10">
        <v>259.44</v>
      </c>
      <c r="K63" s="19">
        <v>11.500999999999999</v>
      </c>
      <c r="L63" s="17">
        <v>13.951000000000001</v>
      </c>
      <c r="N63" s="12">
        <f t="shared" si="2"/>
        <v>381.25</v>
      </c>
      <c r="O63" s="8">
        <f t="shared" si="3"/>
        <v>131</v>
      </c>
      <c r="P63" s="8" t="str">
        <f t="shared" si="4"/>
        <v>381.25,131</v>
      </c>
      <c r="Q63" s="11" t="s">
        <v>10</v>
      </c>
      <c r="R63" s="8">
        <v>90</v>
      </c>
      <c r="S63" s="8">
        <v>2.5</v>
      </c>
      <c r="T63" s="8" t="str">
        <f t="shared" si="6"/>
        <v>-text 381.25,131 2.5 90 259.44</v>
      </c>
      <c r="U63" s="10"/>
    </row>
    <row r="64" spans="1:21" x14ac:dyDescent="0.25">
      <c r="A64" s="15">
        <v>283400</v>
      </c>
      <c r="B64" s="9">
        <v>1172807.3</v>
      </c>
      <c r="C64" s="10">
        <v>270.70499999999998</v>
      </c>
      <c r="D64" s="17">
        <v>271.654</v>
      </c>
      <c r="E64" s="17">
        <v>0.94899999999999995</v>
      </c>
      <c r="F64" s="10">
        <v>270.017</v>
      </c>
      <c r="G64" s="17">
        <v>270.94099999999997</v>
      </c>
      <c r="H64" s="17">
        <v>0.92400000000000004</v>
      </c>
      <c r="I64" s="10">
        <v>262.351</v>
      </c>
      <c r="J64" s="10">
        <v>262.85599999999999</v>
      </c>
      <c r="K64" s="19">
        <v>8.0850000000000009</v>
      </c>
      <c r="L64" s="17">
        <v>13.933999999999999</v>
      </c>
      <c r="N64" s="12">
        <f t="shared" si="2"/>
        <v>401.25</v>
      </c>
      <c r="O64" s="8">
        <f t="shared" si="3"/>
        <v>131</v>
      </c>
      <c r="P64" s="8" t="str">
        <f t="shared" si="4"/>
        <v>401.25,131</v>
      </c>
      <c r="Q64" s="11" t="s">
        <v>10</v>
      </c>
      <c r="R64" s="8">
        <v>90</v>
      </c>
      <c r="S64" s="8">
        <v>2.5</v>
      </c>
      <c r="T64" s="8" t="str">
        <f t="shared" si="6"/>
        <v>-text 401.25,131 2.5 90 262.856</v>
      </c>
      <c r="U64" s="10"/>
    </row>
    <row r="65" spans="1:21" x14ac:dyDescent="0.25">
      <c r="A65" s="15">
        <v>283420</v>
      </c>
      <c r="B65" s="9">
        <v>1172827.3</v>
      </c>
      <c r="C65" s="10">
        <v>270.65300000000002</v>
      </c>
      <c r="D65" s="17">
        <v>271.654</v>
      </c>
      <c r="E65" s="17">
        <v>1.0009999999999999</v>
      </c>
      <c r="F65" s="10">
        <v>269.96499999999997</v>
      </c>
      <c r="G65" s="17">
        <v>270.94099999999997</v>
      </c>
      <c r="H65" s="17">
        <v>0.97599999999999998</v>
      </c>
      <c r="I65" s="10">
        <v>267.05</v>
      </c>
      <c r="J65" s="10">
        <v>268.34199999999998</v>
      </c>
      <c r="K65" s="19">
        <v>2.5990000000000002</v>
      </c>
      <c r="L65" s="17">
        <v>13.926</v>
      </c>
      <c r="N65" s="12">
        <f t="shared" si="2"/>
        <v>421.25</v>
      </c>
      <c r="O65" s="8">
        <f t="shared" si="3"/>
        <v>131</v>
      </c>
      <c r="P65" s="8" t="str">
        <f t="shared" si="4"/>
        <v>421.25,131</v>
      </c>
      <c r="Q65" s="11" t="s">
        <v>10</v>
      </c>
      <c r="R65" s="8">
        <v>90</v>
      </c>
      <c r="S65" s="8">
        <v>2.5</v>
      </c>
      <c r="T65" s="8" t="str">
        <f t="shared" si="6"/>
        <v>-text 421.25,131 2.5 90 268.342</v>
      </c>
      <c r="U65" s="10"/>
    </row>
    <row r="66" spans="1:21" x14ac:dyDescent="0.25">
      <c r="A66" s="15">
        <v>283440</v>
      </c>
      <c r="B66" s="9">
        <v>1172847.3</v>
      </c>
      <c r="C66" s="10">
        <v>270.57299999999998</v>
      </c>
      <c r="D66" s="17">
        <v>271.654</v>
      </c>
      <c r="E66" s="17">
        <v>1.081</v>
      </c>
      <c r="F66" s="10">
        <v>269.88499999999999</v>
      </c>
      <c r="G66" s="17">
        <v>270.94099999999997</v>
      </c>
      <c r="H66" s="17">
        <v>1.056</v>
      </c>
      <c r="I66" s="10">
        <v>270.11500000000001</v>
      </c>
      <c r="J66" s="10">
        <v>270.10199999999998</v>
      </c>
      <c r="K66" s="19">
        <v>0.83899999999999997</v>
      </c>
      <c r="L66" s="17">
        <v>13.901999999999999</v>
      </c>
      <c r="N66" s="12">
        <f t="shared" si="2"/>
        <v>441.25</v>
      </c>
      <c r="O66" s="8">
        <f t="shared" si="3"/>
        <v>131</v>
      </c>
      <c r="P66" s="8" t="str">
        <f t="shared" si="4"/>
        <v>441.25,131</v>
      </c>
      <c r="Q66" s="11" t="s">
        <v>10</v>
      </c>
      <c r="R66" s="8">
        <v>90</v>
      </c>
      <c r="S66" s="8">
        <v>2.5</v>
      </c>
      <c r="T66" s="8" t="str">
        <f t="shared" si="6"/>
        <v>-text 441.25,131 2.5 90 270.102</v>
      </c>
      <c r="U66" s="10"/>
    </row>
    <row r="67" spans="1:21" x14ac:dyDescent="0.25">
      <c r="A67" s="15">
        <v>283460</v>
      </c>
      <c r="B67" s="9">
        <v>1172867.3</v>
      </c>
      <c r="C67" s="10">
        <v>270.49200000000002</v>
      </c>
      <c r="D67" s="17">
        <v>271.654</v>
      </c>
      <c r="E67" s="17">
        <v>1.1619999999999999</v>
      </c>
      <c r="F67" s="10">
        <v>269.80399999999997</v>
      </c>
      <c r="G67" s="17">
        <v>270.94099999999997</v>
      </c>
      <c r="H67" s="17">
        <v>1.137</v>
      </c>
      <c r="I67" s="10">
        <v>269.89299999999997</v>
      </c>
      <c r="J67" s="10">
        <v>270.28399999999999</v>
      </c>
      <c r="K67" s="19">
        <v>0.65700000000000003</v>
      </c>
      <c r="L67" s="17">
        <v>13.891</v>
      </c>
      <c r="N67" s="12">
        <f t="shared" si="2"/>
        <v>461.25</v>
      </c>
      <c r="O67" s="8">
        <f t="shared" si="3"/>
        <v>131</v>
      </c>
      <c r="P67" s="8" t="str">
        <f t="shared" si="4"/>
        <v>461.25,131</v>
      </c>
      <c r="Q67" s="11" t="s">
        <v>10</v>
      </c>
      <c r="R67" s="8">
        <v>90</v>
      </c>
      <c r="S67" s="8">
        <v>2.5</v>
      </c>
      <c r="T67" s="8" t="str">
        <f t="shared" si="6"/>
        <v>-text 461.25,131 2.5 90 270.284</v>
      </c>
      <c r="U67" s="10"/>
    </row>
    <row r="68" spans="1:21" x14ac:dyDescent="0.25">
      <c r="A68" s="15">
        <v>283480</v>
      </c>
      <c r="B68" s="9">
        <v>1172887.3</v>
      </c>
      <c r="C68" s="10">
        <v>270.411</v>
      </c>
      <c r="D68" s="17">
        <v>271.654</v>
      </c>
      <c r="E68" s="17">
        <v>1.2430000000000001</v>
      </c>
      <c r="F68" s="10">
        <v>269.72300000000001</v>
      </c>
      <c r="G68" s="17">
        <v>270.94099999999997</v>
      </c>
      <c r="H68" s="17">
        <v>1.218</v>
      </c>
      <c r="I68" s="10">
        <v>269.31799999999998</v>
      </c>
      <c r="J68" s="10">
        <v>269.74700000000001</v>
      </c>
      <c r="K68" s="19">
        <v>1.194</v>
      </c>
      <c r="L68" s="17">
        <v>13.884</v>
      </c>
      <c r="N68" s="12">
        <f t="shared" si="2"/>
        <v>481.25</v>
      </c>
      <c r="O68" s="8">
        <f t="shared" si="3"/>
        <v>131</v>
      </c>
      <c r="P68" s="8" t="str">
        <f t="shared" si="4"/>
        <v>481.25,131</v>
      </c>
      <c r="Q68" s="11" t="s">
        <v>10</v>
      </c>
      <c r="R68" s="8">
        <v>90</v>
      </c>
      <c r="S68" s="8">
        <v>2.5</v>
      </c>
      <c r="T68" s="8" t="str">
        <f t="shared" si="6"/>
        <v>-text 481.25,131 2.5 90 269.747</v>
      </c>
      <c r="U68" s="10"/>
    </row>
    <row r="69" spans="1:21" x14ac:dyDescent="0.25">
      <c r="A69" s="15">
        <v>283500</v>
      </c>
      <c r="B69" s="9">
        <v>1172907.3</v>
      </c>
      <c r="C69" s="10">
        <v>270.33</v>
      </c>
      <c r="D69" s="17">
        <v>271.654</v>
      </c>
      <c r="E69" s="17">
        <v>1.3240000000000001</v>
      </c>
      <c r="F69" s="10">
        <v>269.642</v>
      </c>
      <c r="G69" s="17">
        <v>270.94099999999997</v>
      </c>
      <c r="H69" s="17">
        <v>1.2989999999999999</v>
      </c>
      <c r="I69" s="10">
        <v>268.41899999999998</v>
      </c>
      <c r="J69" s="10">
        <v>268.41500000000002</v>
      </c>
      <c r="K69" s="19">
        <v>2.5259999999999998</v>
      </c>
      <c r="L69" s="17">
        <v>13.877000000000001</v>
      </c>
      <c r="N69" s="12">
        <f t="shared" si="2"/>
        <v>501.25</v>
      </c>
      <c r="O69" s="8">
        <f t="shared" si="3"/>
        <v>131</v>
      </c>
      <c r="P69" s="8" t="str">
        <f t="shared" si="4"/>
        <v>501.25,131</v>
      </c>
      <c r="Q69" s="11" t="s">
        <v>10</v>
      </c>
      <c r="R69" s="8">
        <v>90</v>
      </c>
      <c r="S69" s="8">
        <v>2.5</v>
      </c>
      <c r="T69" s="8" t="str">
        <f t="shared" si="6"/>
        <v>-text 501.25,131 2.5 90 268.415</v>
      </c>
      <c r="U69" s="10"/>
    </row>
    <row r="70" spans="1:21" x14ac:dyDescent="0.25">
      <c r="A70" s="15"/>
      <c r="N70" s="12"/>
      <c r="Q70" s="11"/>
      <c r="U70" s="10"/>
    </row>
    <row r="71" spans="1:21" x14ac:dyDescent="0.25">
      <c r="A71" s="15">
        <v>283500</v>
      </c>
      <c r="B71" s="9">
        <v>1172907.3</v>
      </c>
      <c r="C71" s="10">
        <v>270.33</v>
      </c>
      <c r="D71" s="17">
        <v>271.654</v>
      </c>
      <c r="E71" s="17">
        <v>1.3240000000000001</v>
      </c>
      <c r="F71" s="10">
        <v>269.642</v>
      </c>
      <c r="G71" s="17">
        <v>270.94099999999997</v>
      </c>
      <c r="H71" s="17">
        <v>1.2989999999999999</v>
      </c>
      <c r="I71" s="10">
        <v>268.41899999999998</v>
      </c>
      <c r="J71" s="10">
        <v>268.41500000000002</v>
      </c>
      <c r="K71" s="19">
        <v>2.5259999999999998</v>
      </c>
      <c r="L71" s="17">
        <v>13.877000000000001</v>
      </c>
      <c r="N71" s="12">
        <v>1.25</v>
      </c>
      <c r="O71" s="8">
        <v>131</v>
      </c>
      <c r="P71" s="8" t="str">
        <f t="shared" si="4"/>
        <v>1.25,131</v>
      </c>
      <c r="Q71" s="11" t="s">
        <v>10</v>
      </c>
      <c r="R71" s="8">
        <v>90</v>
      </c>
      <c r="S71" s="8">
        <v>2.5</v>
      </c>
      <c r="T71" s="8" t="str">
        <f>$Q71&amp;" "&amp;$P71&amp;" "&amp;$S71&amp;" "&amp;$R71&amp;" "&amp;$J71</f>
        <v>-text 1.25,131 2.5 90 268.415</v>
      </c>
      <c r="U71" s="10"/>
    </row>
    <row r="72" spans="1:21" x14ac:dyDescent="0.25">
      <c r="A72" s="15">
        <v>283520</v>
      </c>
      <c r="B72" s="9">
        <v>1172927.3</v>
      </c>
      <c r="C72" s="10">
        <v>270.31400000000002</v>
      </c>
      <c r="D72" s="17">
        <v>271.654</v>
      </c>
      <c r="E72" s="17">
        <v>1.34</v>
      </c>
      <c r="F72" s="10">
        <v>269.62599999999998</v>
      </c>
      <c r="G72" s="17">
        <v>270.94099999999997</v>
      </c>
      <c r="H72" s="17">
        <v>1.3149999999999999</v>
      </c>
      <c r="I72" s="10">
        <v>268.06299999999999</v>
      </c>
      <c r="J72" s="10">
        <v>268.07400000000001</v>
      </c>
      <c r="K72" s="19">
        <v>2.867</v>
      </c>
      <c r="L72" s="17">
        <v>13.869</v>
      </c>
      <c r="N72" s="12">
        <f t="shared" ref="N72:N137" si="7">N71+(B72-B71)</f>
        <v>21.25</v>
      </c>
      <c r="O72" s="8">
        <f t="shared" ref="O72:O137" si="8">O71</f>
        <v>131</v>
      </c>
      <c r="P72" s="8" t="str">
        <f t="shared" ref="P72:P137" si="9">CONCATENATE(N72,",",O72)</f>
        <v>21.25,131</v>
      </c>
      <c r="Q72" s="11" t="s">
        <v>10</v>
      </c>
      <c r="R72" s="8">
        <v>90</v>
      </c>
      <c r="S72" s="8">
        <v>2.5</v>
      </c>
      <c r="T72" s="8" t="str">
        <f t="shared" ref="T72:T96" si="10">$Q72&amp;" "&amp;$P72&amp;" "&amp;$S72&amp;" "&amp;$R72&amp;" "&amp;$J72</f>
        <v>-text 21.25,131 2.5 90 268.074</v>
      </c>
      <c r="U72" s="10"/>
    </row>
    <row r="73" spans="1:21" x14ac:dyDescent="0.25">
      <c r="A73" s="15">
        <v>283540</v>
      </c>
      <c r="B73" s="9">
        <v>1172947.3</v>
      </c>
      <c r="C73" s="10">
        <v>270.30700000000002</v>
      </c>
      <c r="D73" s="17">
        <v>271.654</v>
      </c>
      <c r="E73" s="17">
        <v>1.347</v>
      </c>
      <c r="F73" s="10">
        <v>269.61900000000003</v>
      </c>
      <c r="G73" s="17">
        <v>270.94099999999997</v>
      </c>
      <c r="H73" s="17">
        <v>1.3220000000000001</v>
      </c>
      <c r="I73" s="10">
        <v>267.87799999999999</v>
      </c>
      <c r="J73" s="10">
        <v>267.733</v>
      </c>
      <c r="K73" s="19">
        <v>3.2080000000000002</v>
      </c>
      <c r="L73" s="17">
        <v>13.858000000000001</v>
      </c>
      <c r="N73" s="12">
        <f t="shared" si="7"/>
        <v>41.25</v>
      </c>
      <c r="O73" s="8">
        <f t="shared" si="8"/>
        <v>131</v>
      </c>
      <c r="P73" s="8" t="str">
        <f t="shared" si="9"/>
        <v>41.25,131</v>
      </c>
      <c r="Q73" s="11" t="s">
        <v>10</v>
      </c>
      <c r="R73" s="8">
        <v>90</v>
      </c>
      <c r="S73" s="8">
        <v>2.5</v>
      </c>
      <c r="T73" s="8" t="str">
        <f t="shared" si="10"/>
        <v>-text 41.25,131 2.5 90 267.733</v>
      </c>
      <c r="U73" s="10"/>
    </row>
    <row r="74" spans="1:21" x14ac:dyDescent="0.25">
      <c r="A74" s="15">
        <v>283560</v>
      </c>
      <c r="B74" s="9">
        <v>1172967.3</v>
      </c>
      <c r="C74" s="10">
        <v>270.28899999999999</v>
      </c>
      <c r="D74" s="17">
        <v>271.654</v>
      </c>
      <c r="E74" s="17">
        <v>1.365</v>
      </c>
      <c r="F74" s="10">
        <v>269.601</v>
      </c>
      <c r="G74" s="17">
        <v>270.94099999999997</v>
      </c>
      <c r="H74" s="17">
        <v>1.34</v>
      </c>
      <c r="I74" s="10">
        <v>267.63</v>
      </c>
      <c r="J74" s="10">
        <v>268.00400000000002</v>
      </c>
      <c r="K74" s="19">
        <v>2.9369999999999998</v>
      </c>
      <c r="L74" s="17">
        <v>13.837999999999999</v>
      </c>
      <c r="N74" s="12">
        <f t="shared" si="7"/>
        <v>61.25</v>
      </c>
      <c r="O74" s="8">
        <f t="shared" si="8"/>
        <v>131</v>
      </c>
      <c r="P74" s="8" t="str">
        <f t="shared" si="9"/>
        <v>61.25,131</v>
      </c>
      <c r="Q74" s="11" t="s">
        <v>10</v>
      </c>
      <c r="R74" s="8">
        <v>90</v>
      </c>
      <c r="S74" s="8">
        <v>2.5</v>
      </c>
      <c r="T74" s="8" t="str">
        <f t="shared" si="10"/>
        <v>-text 61.25,131 2.5 90 268.004</v>
      </c>
      <c r="U74" s="10"/>
    </row>
    <row r="75" spans="1:21" x14ac:dyDescent="0.25">
      <c r="A75" s="15">
        <v>283580</v>
      </c>
      <c r="B75" s="9">
        <v>1172987.3</v>
      </c>
      <c r="C75" s="10">
        <v>270.26900000000001</v>
      </c>
      <c r="D75" s="17">
        <v>271.654</v>
      </c>
      <c r="E75" s="17">
        <v>1.385</v>
      </c>
      <c r="F75" s="10">
        <v>269.58100000000002</v>
      </c>
      <c r="G75" s="17">
        <v>270.94099999999997</v>
      </c>
      <c r="H75" s="17">
        <v>1.36</v>
      </c>
      <c r="I75" s="10">
        <v>267.452</v>
      </c>
      <c r="J75" s="10">
        <v>268.44099999999997</v>
      </c>
      <c r="K75" s="19">
        <v>2.5</v>
      </c>
      <c r="L75" s="17">
        <v>13.765000000000001</v>
      </c>
      <c r="N75" s="12">
        <f t="shared" si="7"/>
        <v>81.25</v>
      </c>
      <c r="O75" s="8">
        <f t="shared" si="8"/>
        <v>131</v>
      </c>
      <c r="P75" s="8" t="str">
        <f t="shared" si="9"/>
        <v>81.25,131</v>
      </c>
      <c r="Q75" s="11" t="s">
        <v>10</v>
      </c>
      <c r="R75" s="8">
        <v>90</v>
      </c>
      <c r="S75" s="8">
        <v>2.5</v>
      </c>
      <c r="T75" s="8" t="str">
        <f t="shared" si="10"/>
        <v>-text 81.25,131 2.5 90 268.441</v>
      </c>
      <c r="U75" s="10"/>
    </row>
    <row r="76" spans="1:21" x14ac:dyDescent="0.25">
      <c r="A76" s="15">
        <v>283600</v>
      </c>
      <c r="B76" s="9">
        <v>1173007.3</v>
      </c>
      <c r="C76" s="10">
        <v>270.25400000000002</v>
      </c>
      <c r="D76" s="17">
        <v>271.654</v>
      </c>
      <c r="E76" s="17">
        <v>1.4</v>
      </c>
      <c r="F76" s="10">
        <v>269.56599999999997</v>
      </c>
      <c r="G76" s="17">
        <v>270.94099999999997</v>
      </c>
      <c r="H76" s="17">
        <v>1.375</v>
      </c>
      <c r="I76" s="10">
        <v>268.577</v>
      </c>
      <c r="J76" s="10">
        <v>268.54300000000001</v>
      </c>
      <c r="K76" s="19">
        <v>2.3980000000000001</v>
      </c>
      <c r="L76" s="17">
        <v>13.621</v>
      </c>
      <c r="N76" s="12">
        <f t="shared" si="7"/>
        <v>101.25</v>
      </c>
      <c r="O76" s="8">
        <f t="shared" si="8"/>
        <v>131</v>
      </c>
      <c r="P76" s="8" t="str">
        <f t="shared" si="9"/>
        <v>101.25,131</v>
      </c>
      <c r="Q76" s="11" t="s">
        <v>10</v>
      </c>
      <c r="R76" s="8">
        <v>90</v>
      </c>
      <c r="S76" s="8">
        <v>2.5</v>
      </c>
      <c r="T76" s="8" t="str">
        <f t="shared" si="10"/>
        <v>-text 101.25,131 2.5 90 268.543</v>
      </c>
      <c r="U76" s="10"/>
    </row>
    <row r="77" spans="1:21" x14ac:dyDescent="0.25">
      <c r="A77" s="15">
        <v>283620</v>
      </c>
      <c r="B77" s="9">
        <v>1173027.3</v>
      </c>
      <c r="C77" s="10">
        <v>270.24299999999999</v>
      </c>
      <c r="D77" s="17">
        <v>271.654</v>
      </c>
      <c r="E77" s="17">
        <v>1.411</v>
      </c>
      <c r="F77" s="10">
        <v>269.55500000000001</v>
      </c>
      <c r="G77" s="17">
        <v>270.94099999999997</v>
      </c>
      <c r="H77" s="17">
        <v>1.3859999999999999</v>
      </c>
      <c r="I77" s="10">
        <v>268.17899999999997</v>
      </c>
      <c r="J77" s="10">
        <v>268.32799999999997</v>
      </c>
      <c r="K77" s="19">
        <v>2.613</v>
      </c>
      <c r="L77" s="17">
        <v>13.430999999999999</v>
      </c>
      <c r="N77" s="12">
        <f t="shared" si="7"/>
        <v>121.25</v>
      </c>
      <c r="O77" s="8">
        <f t="shared" si="8"/>
        <v>131</v>
      </c>
      <c r="P77" s="8" t="str">
        <f t="shared" si="9"/>
        <v>121.25,131</v>
      </c>
      <c r="Q77" s="11" t="s">
        <v>10</v>
      </c>
      <c r="R77" s="8">
        <v>90</v>
      </c>
      <c r="S77" s="8">
        <v>2.5</v>
      </c>
      <c r="T77" s="8" t="str">
        <f t="shared" si="10"/>
        <v>-text 121.25,131 2.5 90 268.328</v>
      </c>
      <c r="U77" s="10"/>
    </row>
    <row r="78" spans="1:21" x14ac:dyDescent="0.25">
      <c r="A78" s="15">
        <v>283640</v>
      </c>
      <c r="B78" s="9">
        <v>1173047.3</v>
      </c>
      <c r="C78" s="10">
        <v>270.23500000000001</v>
      </c>
      <c r="D78" s="17">
        <v>271.654</v>
      </c>
      <c r="E78" s="17">
        <v>1.419</v>
      </c>
      <c r="F78" s="10">
        <v>269.54700000000003</v>
      </c>
      <c r="G78" s="17">
        <v>270.94099999999997</v>
      </c>
      <c r="H78" s="17">
        <v>1.3939999999999999</v>
      </c>
      <c r="I78" s="10">
        <v>268.24299999999999</v>
      </c>
      <c r="J78" s="10">
        <v>268.47399999999999</v>
      </c>
      <c r="K78" s="19">
        <v>2.4670000000000001</v>
      </c>
      <c r="L78" s="17">
        <v>13.23</v>
      </c>
      <c r="N78" s="12">
        <f t="shared" si="7"/>
        <v>141.25</v>
      </c>
      <c r="O78" s="8">
        <f t="shared" si="8"/>
        <v>131</v>
      </c>
      <c r="P78" s="8" t="str">
        <f t="shared" si="9"/>
        <v>141.25,131</v>
      </c>
      <c r="Q78" s="11" t="s">
        <v>10</v>
      </c>
      <c r="R78" s="8">
        <v>90</v>
      </c>
      <c r="S78" s="8">
        <v>2.5</v>
      </c>
      <c r="T78" s="8" t="str">
        <f t="shared" si="10"/>
        <v>-text 141.25,131 2.5 90 268.474</v>
      </c>
      <c r="U78" s="10"/>
    </row>
    <row r="79" spans="1:21" x14ac:dyDescent="0.25">
      <c r="A79" s="15">
        <v>283660</v>
      </c>
      <c r="B79" s="9">
        <v>1173067.3</v>
      </c>
      <c r="C79" s="10">
        <v>270.23</v>
      </c>
      <c r="D79" s="17">
        <v>271.61799999999999</v>
      </c>
      <c r="E79" s="17">
        <v>1.3879999999999999</v>
      </c>
      <c r="F79" s="10">
        <v>269.54199999999997</v>
      </c>
      <c r="G79" s="17">
        <v>270.90499999999997</v>
      </c>
      <c r="H79" s="17">
        <v>1.363</v>
      </c>
      <c r="I79" s="10">
        <v>267.95299999999997</v>
      </c>
      <c r="J79" s="10">
        <v>268.78899999999999</v>
      </c>
      <c r="K79" s="19">
        <v>2.1150000000000002</v>
      </c>
      <c r="L79" s="17">
        <v>13.007999999999999</v>
      </c>
      <c r="N79" s="12">
        <f t="shared" si="7"/>
        <v>161.25</v>
      </c>
      <c r="O79" s="8">
        <f t="shared" si="8"/>
        <v>131</v>
      </c>
      <c r="P79" s="8" t="str">
        <f t="shared" si="9"/>
        <v>161.25,131</v>
      </c>
      <c r="Q79" s="11" t="s">
        <v>10</v>
      </c>
      <c r="R79" s="8">
        <v>90</v>
      </c>
      <c r="S79" s="8">
        <v>2.5</v>
      </c>
      <c r="T79" s="8" t="str">
        <f t="shared" si="10"/>
        <v>-text 161.25,131 2.5 90 268.789</v>
      </c>
      <c r="U79" s="10"/>
    </row>
    <row r="80" spans="1:21" x14ac:dyDescent="0.25">
      <c r="A80" s="15">
        <v>283680</v>
      </c>
      <c r="B80" s="9">
        <v>1173087.3</v>
      </c>
      <c r="C80" s="10">
        <v>270.22199999999998</v>
      </c>
      <c r="D80" s="17">
        <v>271.56700000000001</v>
      </c>
      <c r="E80" s="17">
        <v>1.345</v>
      </c>
      <c r="F80" s="10">
        <v>269.53399999999999</v>
      </c>
      <c r="G80" s="17">
        <v>270.85399999999998</v>
      </c>
      <c r="H80" s="17">
        <v>1.32</v>
      </c>
      <c r="I80" s="10">
        <v>267.59899999999999</v>
      </c>
      <c r="J80" s="10">
        <v>267.971</v>
      </c>
      <c r="K80" s="19">
        <v>2.883</v>
      </c>
      <c r="L80" s="17">
        <v>12.781000000000001</v>
      </c>
      <c r="N80" s="12">
        <f t="shared" si="7"/>
        <v>181.25</v>
      </c>
      <c r="O80" s="8">
        <f t="shared" si="8"/>
        <v>131</v>
      </c>
      <c r="P80" s="8" t="str">
        <f t="shared" si="9"/>
        <v>181.25,131</v>
      </c>
      <c r="Q80" s="11" t="s">
        <v>10</v>
      </c>
      <c r="R80" s="8">
        <v>90</v>
      </c>
      <c r="S80" s="8">
        <v>2.5</v>
      </c>
      <c r="T80" s="8" t="str">
        <f t="shared" si="10"/>
        <v>-text 181.25,131 2.5 90 267.971</v>
      </c>
      <c r="U80" s="10"/>
    </row>
    <row r="81" spans="1:21" x14ac:dyDescent="0.25">
      <c r="A81" s="15">
        <v>283700</v>
      </c>
      <c r="B81" s="9">
        <v>1173107.3</v>
      </c>
      <c r="C81" s="10">
        <v>270.21499999999997</v>
      </c>
      <c r="D81" s="17">
        <v>271.51600000000002</v>
      </c>
      <c r="E81" s="17">
        <v>1.3</v>
      </c>
      <c r="F81" s="10">
        <v>269.52699999999999</v>
      </c>
      <c r="G81" s="17">
        <v>270.803</v>
      </c>
      <c r="H81" s="17">
        <v>1.2749999999999999</v>
      </c>
      <c r="I81" s="10">
        <v>267.21300000000002</v>
      </c>
      <c r="J81" s="10">
        <v>267.03399999999999</v>
      </c>
      <c r="K81" s="19">
        <v>3.7690000000000001</v>
      </c>
      <c r="L81" s="17">
        <v>12.537000000000001</v>
      </c>
      <c r="N81" s="12">
        <f t="shared" si="7"/>
        <v>201.25</v>
      </c>
      <c r="O81" s="8">
        <f t="shared" si="8"/>
        <v>131</v>
      </c>
      <c r="P81" s="8" t="str">
        <f t="shared" si="9"/>
        <v>201.25,131</v>
      </c>
      <c r="Q81" s="11" t="s">
        <v>10</v>
      </c>
      <c r="R81" s="8">
        <v>90</v>
      </c>
      <c r="S81" s="8">
        <v>2.5</v>
      </c>
      <c r="T81" s="8" t="str">
        <f t="shared" si="10"/>
        <v>-text 201.25,131 2.5 90 267.034</v>
      </c>
      <c r="U81" s="10"/>
    </row>
    <row r="82" spans="1:21" x14ac:dyDescent="0.25">
      <c r="A82" s="15">
        <v>283720</v>
      </c>
      <c r="B82" s="9">
        <v>1173127.3</v>
      </c>
      <c r="C82" s="10">
        <v>270.20499999999998</v>
      </c>
      <c r="D82" s="17">
        <v>271.464</v>
      </c>
      <c r="E82" s="17">
        <v>1.2589999999999999</v>
      </c>
      <c r="F82" s="10">
        <v>269.517</v>
      </c>
      <c r="G82" s="17">
        <v>270.75099999999998</v>
      </c>
      <c r="H82" s="17">
        <v>1.234</v>
      </c>
      <c r="I82" s="10">
        <v>267.44600000000003</v>
      </c>
      <c r="J82" s="10">
        <v>267.08300000000003</v>
      </c>
      <c r="K82" s="19">
        <v>3.6680000000000001</v>
      </c>
      <c r="L82" s="17">
        <v>12.303000000000001</v>
      </c>
      <c r="N82" s="12">
        <f t="shared" si="7"/>
        <v>221.25</v>
      </c>
      <c r="O82" s="8">
        <f t="shared" si="8"/>
        <v>131</v>
      </c>
      <c r="P82" s="8" t="str">
        <f t="shared" si="9"/>
        <v>221.25,131</v>
      </c>
      <c r="Q82" s="11" t="s">
        <v>10</v>
      </c>
      <c r="R82" s="8">
        <v>90</v>
      </c>
      <c r="S82" s="8">
        <v>2.5</v>
      </c>
      <c r="T82" s="8" t="str">
        <f t="shared" si="10"/>
        <v>-text 221.25,131 2.5 90 267.083</v>
      </c>
      <c r="U82" s="10"/>
    </row>
    <row r="83" spans="1:21" x14ac:dyDescent="0.25">
      <c r="A83" s="15">
        <v>283740</v>
      </c>
      <c r="B83" s="9">
        <v>1173147.3</v>
      </c>
      <c r="C83" s="10">
        <v>270.18099999999998</v>
      </c>
      <c r="D83" s="17">
        <v>271.41300000000001</v>
      </c>
      <c r="E83" s="17">
        <v>1.232</v>
      </c>
      <c r="F83" s="10">
        <v>269.49299999999999</v>
      </c>
      <c r="G83" s="17">
        <v>270.7</v>
      </c>
      <c r="H83" s="17">
        <v>1.2070000000000001</v>
      </c>
      <c r="I83" s="10">
        <v>267.47199999999998</v>
      </c>
      <c r="J83" s="10">
        <v>266.92099999999999</v>
      </c>
      <c r="K83" s="19">
        <v>3.7789999999999999</v>
      </c>
      <c r="L83" s="17">
        <v>12.108000000000001</v>
      </c>
      <c r="N83" s="12">
        <f t="shared" si="7"/>
        <v>241.25</v>
      </c>
      <c r="O83" s="8">
        <f t="shared" si="8"/>
        <v>131</v>
      </c>
      <c r="P83" s="8" t="str">
        <f t="shared" si="9"/>
        <v>241.25,131</v>
      </c>
      <c r="Q83" s="11" t="s">
        <v>10</v>
      </c>
      <c r="R83" s="8">
        <v>90</v>
      </c>
      <c r="S83" s="8">
        <v>2.5</v>
      </c>
      <c r="T83" s="8" t="str">
        <f t="shared" si="10"/>
        <v>-text 241.25,131 2.5 90 266.921</v>
      </c>
      <c r="U83" s="10"/>
    </row>
    <row r="84" spans="1:21" x14ac:dyDescent="0.25">
      <c r="A84" s="15">
        <v>283760</v>
      </c>
      <c r="B84" s="9">
        <v>1173167.3</v>
      </c>
      <c r="C84" s="10">
        <v>270.15699999999998</v>
      </c>
      <c r="D84" s="17">
        <v>271.36200000000002</v>
      </c>
      <c r="E84" s="17">
        <v>1.2050000000000001</v>
      </c>
      <c r="F84" s="10">
        <v>269.46899999999999</v>
      </c>
      <c r="G84" s="17">
        <v>270.649</v>
      </c>
      <c r="H84" s="17">
        <v>1.18</v>
      </c>
      <c r="I84" s="10">
        <v>267.39499999999998</v>
      </c>
      <c r="J84" s="10">
        <v>267.04899999999998</v>
      </c>
      <c r="K84" s="19">
        <v>3.6</v>
      </c>
      <c r="L84" s="17">
        <v>11.913</v>
      </c>
      <c r="N84" s="12">
        <f t="shared" si="7"/>
        <v>261.25</v>
      </c>
      <c r="O84" s="8">
        <f t="shared" si="8"/>
        <v>131</v>
      </c>
      <c r="P84" s="8" t="str">
        <f t="shared" si="9"/>
        <v>261.25,131</v>
      </c>
      <c r="Q84" s="11" t="s">
        <v>10</v>
      </c>
      <c r="R84" s="8">
        <v>90</v>
      </c>
      <c r="S84" s="8">
        <v>2.5</v>
      </c>
      <c r="T84" s="8" t="str">
        <f t="shared" si="10"/>
        <v>-text 261.25,131 2.5 90 267.049</v>
      </c>
      <c r="U84" s="10"/>
    </row>
    <row r="85" spans="1:21" x14ac:dyDescent="0.25">
      <c r="A85" s="15">
        <v>283780</v>
      </c>
      <c r="B85" s="9">
        <v>1173187.3</v>
      </c>
      <c r="C85" s="10">
        <v>270.12900000000002</v>
      </c>
      <c r="D85" s="17">
        <v>271.31099999999998</v>
      </c>
      <c r="E85" s="17">
        <v>1.1830000000000001</v>
      </c>
      <c r="F85" s="10">
        <v>269.44099999999997</v>
      </c>
      <c r="G85" s="17">
        <v>270.59800000000001</v>
      </c>
      <c r="H85" s="17">
        <v>1.1579999999999999</v>
      </c>
      <c r="I85" s="10">
        <v>267.565</v>
      </c>
      <c r="J85" s="10">
        <v>267.31400000000002</v>
      </c>
      <c r="K85" s="19">
        <v>3.2839999999999998</v>
      </c>
      <c r="L85" s="17">
        <v>11.682</v>
      </c>
      <c r="N85" s="12">
        <f t="shared" si="7"/>
        <v>281.25</v>
      </c>
      <c r="O85" s="8">
        <f t="shared" si="8"/>
        <v>131</v>
      </c>
      <c r="P85" s="8" t="str">
        <f t="shared" si="9"/>
        <v>281.25,131</v>
      </c>
      <c r="Q85" s="11" t="s">
        <v>10</v>
      </c>
      <c r="R85" s="8">
        <v>90</v>
      </c>
      <c r="S85" s="8">
        <v>2.5</v>
      </c>
      <c r="T85" s="8" t="str">
        <f t="shared" si="10"/>
        <v>-text 281.25,131 2.5 90 267.314</v>
      </c>
      <c r="U85" s="10"/>
    </row>
    <row r="86" spans="1:21" x14ac:dyDescent="0.25">
      <c r="A86" s="15">
        <v>283800</v>
      </c>
      <c r="B86" s="9">
        <v>1173207.3</v>
      </c>
      <c r="C86" s="10">
        <v>270.09899999999999</v>
      </c>
      <c r="D86" s="17">
        <v>271.26</v>
      </c>
      <c r="E86" s="17">
        <v>1.161</v>
      </c>
      <c r="F86" s="10">
        <v>269.411</v>
      </c>
      <c r="G86" s="17">
        <v>270.54700000000003</v>
      </c>
      <c r="H86" s="17">
        <v>1.1359999999999999</v>
      </c>
      <c r="I86" s="10">
        <v>267.375</v>
      </c>
      <c r="J86" s="10">
        <v>268.07100000000003</v>
      </c>
      <c r="K86" s="19">
        <v>2.476</v>
      </c>
      <c r="L86" s="17">
        <v>11.458</v>
      </c>
      <c r="N86" s="12">
        <f t="shared" si="7"/>
        <v>301.25</v>
      </c>
      <c r="O86" s="8">
        <f t="shared" si="8"/>
        <v>131</v>
      </c>
      <c r="P86" s="8" t="str">
        <f t="shared" si="9"/>
        <v>301.25,131</v>
      </c>
      <c r="Q86" s="11" t="s">
        <v>10</v>
      </c>
      <c r="R86" s="8">
        <v>90</v>
      </c>
      <c r="S86" s="8">
        <v>2.5</v>
      </c>
      <c r="T86" s="8" t="str">
        <f t="shared" si="10"/>
        <v>-text 301.25,131 2.5 90 268.071</v>
      </c>
      <c r="U86" s="10"/>
    </row>
    <row r="87" spans="1:21" x14ac:dyDescent="0.25">
      <c r="A87" s="15">
        <v>283820</v>
      </c>
      <c r="B87" s="9">
        <v>1173227.3</v>
      </c>
      <c r="C87" s="10">
        <v>270.06900000000002</v>
      </c>
      <c r="D87" s="17">
        <v>271.209</v>
      </c>
      <c r="E87" s="17">
        <v>1.139</v>
      </c>
      <c r="F87" s="10">
        <v>269.38099999999997</v>
      </c>
      <c r="G87" s="17">
        <v>270.49599999999998</v>
      </c>
      <c r="H87" s="17">
        <v>1.1140000000000001</v>
      </c>
      <c r="I87" s="10">
        <v>267.82100000000003</v>
      </c>
      <c r="J87" s="10">
        <v>268.815</v>
      </c>
      <c r="K87" s="19">
        <v>1.681</v>
      </c>
      <c r="L87" s="17">
        <v>11.287000000000001</v>
      </c>
      <c r="N87" s="12">
        <f t="shared" si="7"/>
        <v>321.25</v>
      </c>
      <c r="O87" s="8">
        <f t="shared" si="8"/>
        <v>131</v>
      </c>
      <c r="P87" s="8" t="str">
        <f t="shared" si="9"/>
        <v>321.25,131</v>
      </c>
      <c r="Q87" s="11" t="s">
        <v>10</v>
      </c>
      <c r="R87" s="8">
        <v>90</v>
      </c>
      <c r="S87" s="8">
        <v>2.5</v>
      </c>
      <c r="T87" s="8" t="str">
        <f t="shared" si="10"/>
        <v>-text 321.25,131 2.5 90 268.815</v>
      </c>
      <c r="U87" s="10"/>
    </row>
    <row r="88" spans="1:21" x14ac:dyDescent="0.25">
      <c r="A88" s="15">
        <v>283840</v>
      </c>
      <c r="B88" s="9">
        <v>1173247.3</v>
      </c>
      <c r="C88" s="10">
        <v>270.04199999999997</v>
      </c>
      <c r="D88" s="17">
        <v>271.15800000000002</v>
      </c>
      <c r="E88" s="17">
        <v>1.1160000000000001</v>
      </c>
      <c r="F88" s="10">
        <v>269.35399999999998</v>
      </c>
      <c r="G88" s="17">
        <v>270.44499999999999</v>
      </c>
      <c r="H88" s="17">
        <v>1.091</v>
      </c>
      <c r="I88" s="10">
        <v>268.92099999999999</v>
      </c>
      <c r="J88" s="10">
        <v>269.14</v>
      </c>
      <c r="K88" s="19">
        <v>1.3049999999999999</v>
      </c>
      <c r="L88" s="17">
        <v>11.209</v>
      </c>
      <c r="N88" s="12">
        <f t="shared" si="7"/>
        <v>341.25</v>
      </c>
      <c r="O88" s="8">
        <f t="shared" si="8"/>
        <v>131</v>
      </c>
      <c r="P88" s="8" t="str">
        <f t="shared" si="9"/>
        <v>341.25,131</v>
      </c>
      <c r="Q88" s="11" t="s">
        <v>10</v>
      </c>
      <c r="R88" s="8">
        <v>90</v>
      </c>
      <c r="S88" s="8">
        <v>2.5</v>
      </c>
      <c r="T88" s="8" t="str">
        <f t="shared" si="10"/>
        <v>-text 341.25,131 2.5 90 269.14</v>
      </c>
      <c r="U88" s="10"/>
    </row>
    <row r="89" spans="1:21" x14ac:dyDescent="0.25">
      <c r="A89" s="15">
        <v>283860</v>
      </c>
      <c r="B89" s="9">
        <v>1173267.3</v>
      </c>
      <c r="C89" s="10">
        <v>270.01499999999999</v>
      </c>
      <c r="D89" s="17">
        <v>271.10700000000003</v>
      </c>
      <c r="E89" s="17">
        <v>1.0920000000000001</v>
      </c>
      <c r="F89" s="10">
        <v>269.327</v>
      </c>
      <c r="G89" s="17">
        <v>270.39400000000001</v>
      </c>
      <c r="H89" s="17">
        <v>1.0669999999999999</v>
      </c>
      <c r="I89" s="10">
        <v>268.93799999999999</v>
      </c>
      <c r="J89" s="10">
        <v>269.06400000000002</v>
      </c>
      <c r="K89" s="19">
        <v>1.33</v>
      </c>
      <c r="L89" s="17">
        <v>11.169</v>
      </c>
      <c r="N89" s="12">
        <f t="shared" si="7"/>
        <v>361.25</v>
      </c>
      <c r="O89" s="8">
        <f t="shared" si="8"/>
        <v>131</v>
      </c>
      <c r="P89" s="8" t="str">
        <f t="shared" si="9"/>
        <v>361.25,131</v>
      </c>
      <c r="Q89" s="11" t="s">
        <v>10</v>
      </c>
      <c r="R89" s="8">
        <v>90</v>
      </c>
      <c r="S89" s="8">
        <v>2.5</v>
      </c>
      <c r="T89" s="8" t="str">
        <f t="shared" si="10"/>
        <v>-text 361.25,131 2.5 90 269.064</v>
      </c>
      <c r="U89" s="10"/>
    </row>
    <row r="90" spans="1:21" x14ac:dyDescent="0.25">
      <c r="A90" s="15">
        <v>283880</v>
      </c>
      <c r="B90" s="9">
        <v>1173287.3</v>
      </c>
      <c r="C90" s="10">
        <v>270.02</v>
      </c>
      <c r="D90" s="17">
        <v>271.05599999999998</v>
      </c>
      <c r="E90" s="17">
        <v>1.0349999999999999</v>
      </c>
      <c r="F90" s="10">
        <v>269.33199999999999</v>
      </c>
      <c r="G90" s="17">
        <v>270.34300000000002</v>
      </c>
      <c r="H90" s="17">
        <v>1.01</v>
      </c>
      <c r="I90" s="10">
        <v>269.13499999999999</v>
      </c>
      <c r="J90" s="10">
        <v>269.18599999999998</v>
      </c>
      <c r="K90" s="19">
        <v>1.157</v>
      </c>
      <c r="L90" s="17">
        <v>11.132999999999999</v>
      </c>
      <c r="N90" s="12">
        <f t="shared" si="7"/>
        <v>381.25</v>
      </c>
      <c r="O90" s="8">
        <f t="shared" si="8"/>
        <v>131</v>
      </c>
      <c r="P90" s="8" t="str">
        <f t="shared" si="9"/>
        <v>381.25,131</v>
      </c>
      <c r="Q90" s="11" t="s">
        <v>10</v>
      </c>
      <c r="R90" s="8">
        <v>90</v>
      </c>
      <c r="S90" s="8">
        <v>2.5</v>
      </c>
      <c r="T90" s="8" t="str">
        <f t="shared" si="10"/>
        <v>-text 381.25,131 2.5 90 269.186</v>
      </c>
      <c r="U90" s="10"/>
    </row>
    <row r="91" spans="1:21" x14ac:dyDescent="0.25">
      <c r="A91" s="15">
        <v>283900</v>
      </c>
      <c r="B91" s="9">
        <v>1173307.3</v>
      </c>
      <c r="C91" s="10">
        <v>270.02600000000001</v>
      </c>
      <c r="D91" s="17">
        <v>271.00400000000002</v>
      </c>
      <c r="E91" s="17">
        <v>0.97899999999999998</v>
      </c>
      <c r="F91" s="10">
        <v>269.33800000000002</v>
      </c>
      <c r="G91" s="17">
        <v>270.291</v>
      </c>
      <c r="H91" s="17">
        <v>0.95399999999999996</v>
      </c>
      <c r="I91" s="10">
        <v>269.12700000000001</v>
      </c>
      <c r="J91" s="10">
        <v>269.17200000000003</v>
      </c>
      <c r="K91" s="19">
        <v>1.119</v>
      </c>
      <c r="L91" s="17">
        <v>11.127000000000001</v>
      </c>
      <c r="N91" s="12">
        <f t="shared" si="7"/>
        <v>401.25</v>
      </c>
      <c r="O91" s="8">
        <f t="shared" si="8"/>
        <v>131</v>
      </c>
      <c r="P91" s="8" t="str">
        <f t="shared" si="9"/>
        <v>401.25,131</v>
      </c>
      <c r="Q91" s="11" t="s">
        <v>10</v>
      </c>
      <c r="R91" s="8">
        <v>90</v>
      </c>
      <c r="S91" s="8">
        <v>2.5</v>
      </c>
      <c r="T91" s="8" t="str">
        <f t="shared" si="10"/>
        <v>-text 401.25,131 2.5 90 269.172</v>
      </c>
      <c r="U91" s="10"/>
    </row>
    <row r="92" spans="1:21" x14ac:dyDescent="0.25">
      <c r="A92" s="15">
        <v>283920</v>
      </c>
      <c r="B92" s="9">
        <v>1173327.3</v>
      </c>
      <c r="C92" s="10">
        <v>270.00099999999998</v>
      </c>
      <c r="D92" s="17">
        <v>270.95299999999997</v>
      </c>
      <c r="E92" s="17">
        <v>0.95299999999999996</v>
      </c>
      <c r="F92" s="10">
        <v>269.31299999999999</v>
      </c>
      <c r="G92" s="17">
        <v>270.24</v>
      </c>
      <c r="H92" s="17">
        <v>0.92800000000000005</v>
      </c>
      <c r="I92" s="10">
        <v>269.154</v>
      </c>
      <c r="J92" s="10">
        <v>269.25099999999998</v>
      </c>
      <c r="K92" s="19">
        <v>0.98899999999999999</v>
      </c>
      <c r="L92" s="17">
        <v>11.131</v>
      </c>
      <c r="N92" s="12">
        <f t="shared" si="7"/>
        <v>421.25</v>
      </c>
      <c r="O92" s="8">
        <f t="shared" si="8"/>
        <v>131</v>
      </c>
      <c r="P92" s="8" t="str">
        <f t="shared" si="9"/>
        <v>421.25,131</v>
      </c>
      <c r="Q92" s="11" t="s">
        <v>10</v>
      </c>
      <c r="R92" s="8">
        <v>90</v>
      </c>
      <c r="S92" s="8">
        <v>2.5</v>
      </c>
      <c r="T92" s="8" t="str">
        <f t="shared" si="10"/>
        <v>-text 421.25,131 2.5 90 269.251</v>
      </c>
      <c r="U92" s="10"/>
    </row>
    <row r="93" spans="1:21" x14ac:dyDescent="0.25">
      <c r="A93" s="15">
        <v>283940</v>
      </c>
      <c r="B93" s="9">
        <v>1173347.3</v>
      </c>
      <c r="C93" s="10">
        <v>269.96699999999998</v>
      </c>
      <c r="D93" s="17">
        <v>270.90199999999999</v>
      </c>
      <c r="E93" s="17">
        <v>0.93600000000000005</v>
      </c>
      <c r="F93" s="10">
        <v>269.279</v>
      </c>
      <c r="G93" s="17">
        <v>270.18900000000002</v>
      </c>
      <c r="H93" s="17">
        <v>0.91100000000000003</v>
      </c>
      <c r="I93" s="10">
        <v>269.00599999999997</v>
      </c>
      <c r="J93" s="10">
        <v>269.13600000000002</v>
      </c>
      <c r="K93" s="19">
        <v>1.0529999999999999</v>
      </c>
      <c r="L93" s="17">
        <v>11.135999999999999</v>
      </c>
      <c r="N93" s="12">
        <f t="shared" si="7"/>
        <v>441.25</v>
      </c>
      <c r="O93" s="8">
        <f t="shared" si="8"/>
        <v>131</v>
      </c>
      <c r="P93" s="8" t="str">
        <f t="shared" si="9"/>
        <v>441.25,131</v>
      </c>
      <c r="Q93" s="11" t="s">
        <v>10</v>
      </c>
      <c r="R93" s="8">
        <v>90</v>
      </c>
      <c r="S93" s="8">
        <v>2.5</v>
      </c>
      <c r="T93" s="8" t="str">
        <f t="shared" si="10"/>
        <v>-text 441.25,131 2.5 90 269.136</v>
      </c>
      <c r="U93" s="10"/>
    </row>
    <row r="94" spans="1:21" x14ac:dyDescent="0.25">
      <c r="A94" s="15">
        <v>283960</v>
      </c>
      <c r="B94" s="9">
        <v>1173367.3</v>
      </c>
      <c r="C94" s="10">
        <v>269.94499999999999</v>
      </c>
      <c r="D94" s="17">
        <v>270.851</v>
      </c>
      <c r="E94" s="17">
        <v>0.90600000000000003</v>
      </c>
      <c r="F94" s="10">
        <v>269.25700000000001</v>
      </c>
      <c r="G94" s="17">
        <v>270.13799999999998</v>
      </c>
      <c r="H94" s="17">
        <v>0.88100000000000001</v>
      </c>
      <c r="I94" s="10">
        <v>268.83499999999998</v>
      </c>
      <c r="J94" s="10">
        <v>269.14299999999997</v>
      </c>
      <c r="K94" s="19">
        <v>0.995</v>
      </c>
      <c r="L94" s="17">
        <v>11.137</v>
      </c>
      <c r="N94" s="12">
        <f t="shared" si="7"/>
        <v>461.25</v>
      </c>
      <c r="O94" s="8">
        <f t="shared" si="8"/>
        <v>131</v>
      </c>
      <c r="P94" s="8" t="str">
        <f t="shared" si="9"/>
        <v>461.25,131</v>
      </c>
      <c r="Q94" s="11" t="s">
        <v>10</v>
      </c>
      <c r="R94" s="8">
        <v>90</v>
      </c>
      <c r="S94" s="8">
        <v>2.5</v>
      </c>
      <c r="T94" s="8" t="str">
        <f t="shared" si="10"/>
        <v>-text 461.25,131 2.5 90 269.143</v>
      </c>
      <c r="U94" s="10"/>
    </row>
    <row r="95" spans="1:21" x14ac:dyDescent="0.25">
      <c r="A95" s="15">
        <v>283980</v>
      </c>
      <c r="B95" s="9">
        <v>1173387.3</v>
      </c>
      <c r="C95" s="10">
        <v>269.976</v>
      </c>
      <c r="D95" s="17">
        <v>270.8</v>
      </c>
      <c r="E95" s="17">
        <v>0.82399999999999995</v>
      </c>
      <c r="F95" s="10">
        <v>269.28800000000001</v>
      </c>
      <c r="G95" s="17">
        <v>270.08699999999999</v>
      </c>
      <c r="H95" s="17">
        <v>0.79900000000000004</v>
      </c>
      <c r="I95" s="10">
        <v>268.911</v>
      </c>
      <c r="J95" s="10">
        <v>269.08600000000001</v>
      </c>
      <c r="K95" s="19">
        <v>1.0009999999999999</v>
      </c>
      <c r="L95" s="17">
        <v>11.12</v>
      </c>
      <c r="N95" s="12">
        <f t="shared" si="7"/>
        <v>481.25</v>
      </c>
      <c r="O95" s="8">
        <f t="shared" si="8"/>
        <v>131</v>
      </c>
      <c r="P95" s="8" t="str">
        <f t="shared" si="9"/>
        <v>481.25,131</v>
      </c>
      <c r="Q95" s="11" t="s">
        <v>10</v>
      </c>
      <c r="R95" s="8">
        <v>90</v>
      </c>
      <c r="S95" s="8">
        <v>2.5</v>
      </c>
      <c r="T95" s="8" t="str">
        <f t="shared" si="10"/>
        <v>-text 481.25,131 2.5 90 269.086</v>
      </c>
      <c r="U95" s="10"/>
    </row>
    <row r="96" spans="1:21" x14ac:dyDescent="0.25">
      <c r="A96" s="15">
        <v>284000</v>
      </c>
      <c r="B96" s="9">
        <v>1173407.3</v>
      </c>
      <c r="C96" s="10">
        <v>270.00700000000001</v>
      </c>
      <c r="D96" s="17">
        <v>270.74900000000002</v>
      </c>
      <c r="E96" s="17">
        <v>0.74199999999999999</v>
      </c>
      <c r="F96" s="10">
        <v>269.31900000000002</v>
      </c>
      <c r="G96" s="17">
        <v>270.036</v>
      </c>
      <c r="H96" s="17">
        <v>0.71699999999999997</v>
      </c>
      <c r="I96" s="10">
        <v>269.26600000000002</v>
      </c>
      <c r="J96" s="10">
        <v>269.24799999999999</v>
      </c>
      <c r="K96" s="19">
        <v>0.78800000000000003</v>
      </c>
      <c r="L96" s="17">
        <v>11.103</v>
      </c>
      <c r="N96" s="12">
        <f t="shared" si="7"/>
        <v>501.25</v>
      </c>
      <c r="O96" s="8">
        <f t="shared" si="8"/>
        <v>131</v>
      </c>
      <c r="P96" s="8" t="str">
        <f t="shared" si="9"/>
        <v>501.25,131</v>
      </c>
      <c r="Q96" s="11" t="s">
        <v>10</v>
      </c>
      <c r="R96" s="8">
        <v>90</v>
      </c>
      <c r="S96" s="8">
        <v>2.5</v>
      </c>
      <c r="T96" s="8" t="str">
        <f t="shared" si="10"/>
        <v>-text 501.25,131 2.5 90 269.248</v>
      </c>
      <c r="U96" s="10"/>
    </row>
    <row r="97" spans="1:21" s="25" customFormat="1" x14ac:dyDescent="0.25">
      <c r="A97" s="20"/>
      <c r="B97" s="21"/>
      <c r="C97" s="14"/>
      <c r="D97" s="22"/>
      <c r="E97" s="22"/>
      <c r="F97" s="14"/>
      <c r="G97" s="22"/>
      <c r="H97" s="22"/>
      <c r="I97" s="14"/>
      <c r="J97" s="14"/>
      <c r="K97" s="23"/>
      <c r="L97" s="22"/>
      <c r="M97" s="14"/>
      <c r="N97" s="24"/>
      <c r="Q97" s="26"/>
      <c r="U97" s="14"/>
    </row>
    <row r="98" spans="1:21" x14ac:dyDescent="0.25">
      <c r="A98" s="15">
        <v>284000</v>
      </c>
      <c r="B98" s="9">
        <v>1173407.3</v>
      </c>
      <c r="C98" s="10">
        <v>270.00700000000001</v>
      </c>
      <c r="D98" s="17">
        <v>270.74900000000002</v>
      </c>
      <c r="E98" s="17">
        <v>0.74199999999999999</v>
      </c>
      <c r="F98" s="10">
        <v>269.31900000000002</v>
      </c>
      <c r="G98" s="17">
        <v>270.036</v>
      </c>
      <c r="H98" s="17">
        <v>0.71699999999999997</v>
      </c>
      <c r="I98" s="10">
        <v>269.26600000000002</v>
      </c>
      <c r="J98" s="10">
        <v>269.24799999999999</v>
      </c>
      <c r="K98" s="19">
        <v>0.78800000000000003</v>
      </c>
      <c r="L98" s="17">
        <v>11.103</v>
      </c>
      <c r="N98" s="12">
        <v>1.25</v>
      </c>
      <c r="O98" s="8">
        <v>131</v>
      </c>
      <c r="P98" s="8" t="str">
        <f t="shared" si="9"/>
        <v>1.25,131</v>
      </c>
      <c r="Q98" s="11" t="s">
        <v>10</v>
      </c>
      <c r="R98" s="8">
        <v>90</v>
      </c>
      <c r="S98" s="8">
        <v>2.5</v>
      </c>
      <c r="T98" s="8" t="str">
        <f>$Q98&amp;" "&amp;$P98&amp;" "&amp;$S98&amp;" "&amp;$R98&amp;" "&amp;$J98</f>
        <v>-text 1.25,131 2.5 90 269.248</v>
      </c>
      <c r="U98" s="10"/>
    </row>
    <row r="99" spans="1:21" x14ac:dyDescent="0.25">
      <c r="A99" s="15">
        <v>284020</v>
      </c>
      <c r="B99" s="9">
        <v>1173427.3</v>
      </c>
      <c r="C99" s="10">
        <v>270.05799999999999</v>
      </c>
      <c r="D99" s="17">
        <v>270.69799999999998</v>
      </c>
      <c r="E99" s="17">
        <v>0.64</v>
      </c>
      <c r="F99" s="10">
        <v>269.37</v>
      </c>
      <c r="G99" s="17">
        <v>269.98500000000001</v>
      </c>
      <c r="H99" s="17">
        <v>0.61499999999999999</v>
      </c>
      <c r="I99" s="10">
        <v>269.37</v>
      </c>
      <c r="J99" s="10">
        <v>269.745</v>
      </c>
      <c r="K99" s="19">
        <v>0.24</v>
      </c>
      <c r="L99" s="17">
        <v>11.147</v>
      </c>
      <c r="N99" s="12">
        <f t="shared" si="7"/>
        <v>21.25</v>
      </c>
      <c r="O99" s="8">
        <f t="shared" si="8"/>
        <v>131</v>
      </c>
      <c r="P99" s="8" t="str">
        <f t="shared" si="9"/>
        <v>21.25,131</v>
      </c>
      <c r="Q99" s="11" t="s">
        <v>10</v>
      </c>
      <c r="R99" s="8">
        <v>90</v>
      </c>
      <c r="S99" s="8">
        <v>2.5</v>
      </c>
      <c r="T99" s="8" t="str">
        <f t="shared" ref="T99:T123" si="11">$Q99&amp;" "&amp;$P99&amp;" "&amp;$S99&amp;" "&amp;$R99&amp;" "&amp;$J99</f>
        <v>-text 21.25,131 2.5 90 269.745</v>
      </c>
      <c r="U99" s="10"/>
    </row>
    <row r="100" spans="1:21" x14ac:dyDescent="0.25">
      <c r="A100" s="15">
        <v>284040</v>
      </c>
      <c r="B100" s="9">
        <v>1173447.3</v>
      </c>
      <c r="C100" s="10">
        <v>270.01400000000001</v>
      </c>
      <c r="D100" s="17">
        <v>270.64699999999999</v>
      </c>
      <c r="E100" s="17">
        <v>0.63300000000000001</v>
      </c>
      <c r="F100" s="10">
        <v>269.32600000000002</v>
      </c>
      <c r="G100" s="17">
        <v>269.93400000000003</v>
      </c>
      <c r="H100" s="17">
        <v>0.60799999999999998</v>
      </c>
      <c r="I100" s="10">
        <v>267.25299999999999</v>
      </c>
      <c r="J100" s="10">
        <v>267.70600000000002</v>
      </c>
      <c r="K100" s="19">
        <v>2.2269999999999999</v>
      </c>
      <c r="L100" s="17">
        <v>11.135</v>
      </c>
      <c r="N100" s="12">
        <f t="shared" si="7"/>
        <v>41.25</v>
      </c>
      <c r="O100" s="8">
        <f t="shared" si="8"/>
        <v>131</v>
      </c>
      <c r="P100" s="8" t="str">
        <f t="shared" si="9"/>
        <v>41.25,131</v>
      </c>
      <c r="Q100" s="11" t="s">
        <v>10</v>
      </c>
      <c r="R100" s="8">
        <v>90</v>
      </c>
      <c r="S100" s="8">
        <v>2.5</v>
      </c>
      <c r="T100" s="8" t="str">
        <f t="shared" si="11"/>
        <v>-text 41.25,131 2.5 90 267.706</v>
      </c>
      <c r="U100" s="10"/>
    </row>
    <row r="101" spans="1:21" x14ac:dyDescent="0.25">
      <c r="A101" s="15">
        <v>284060</v>
      </c>
      <c r="B101" s="9">
        <v>1173467.3</v>
      </c>
      <c r="C101" s="10">
        <v>269.95999999999998</v>
      </c>
      <c r="D101" s="17">
        <v>270.596</v>
      </c>
      <c r="E101" s="17">
        <v>0.63600000000000001</v>
      </c>
      <c r="F101" s="10">
        <v>269.27199999999999</v>
      </c>
      <c r="G101" s="17">
        <v>269.88299999999998</v>
      </c>
      <c r="H101" s="17">
        <v>0.61099999999999999</v>
      </c>
      <c r="I101" s="10">
        <v>267.48599999999999</v>
      </c>
      <c r="J101" s="10">
        <v>267.70400000000001</v>
      </c>
      <c r="K101" s="19">
        <v>2.1789999999999998</v>
      </c>
      <c r="L101" s="17">
        <v>11.116</v>
      </c>
      <c r="N101" s="12">
        <f t="shared" si="7"/>
        <v>61.25</v>
      </c>
      <c r="O101" s="8">
        <f t="shared" si="8"/>
        <v>131</v>
      </c>
      <c r="P101" s="8" t="str">
        <f t="shared" si="9"/>
        <v>61.25,131</v>
      </c>
      <c r="Q101" s="11" t="s">
        <v>10</v>
      </c>
      <c r="R101" s="8">
        <v>90</v>
      </c>
      <c r="S101" s="8">
        <v>2.5</v>
      </c>
      <c r="T101" s="8" t="str">
        <f t="shared" si="11"/>
        <v>-text 61.25,131 2.5 90 267.704</v>
      </c>
      <c r="U101" s="10"/>
    </row>
    <row r="102" spans="1:21" x14ac:dyDescent="0.25">
      <c r="A102" s="15">
        <v>284080</v>
      </c>
      <c r="B102" s="9">
        <v>1173487.3</v>
      </c>
      <c r="C102" s="10">
        <v>269.91899999999998</v>
      </c>
      <c r="D102" s="17">
        <v>270.54399999999998</v>
      </c>
      <c r="E102" s="17">
        <v>0.626</v>
      </c>
      <c r="F102" s="10">
        <v>269.23099999999999</v>
      </c>
      <c r="G102" s="17">
        <v>269.83100000000002</v>
      </c>
      <c r="H102" s="17">
        <v>0.60099999999999998</v>
      </c>
      <c r="I102" s="10">
        <v>267.45800000000003</v>
      </c>
      <c r="J102" s="10">
        <v>267.73200000000003</v>
      </c>
      <c r="K102" s="19">
        <v>2.1</v>
      </c>
      <c r="L102" s="17">
        <v>11.111000000000001</v>
      </c>
      <c r="N102" s="12">
        <f t="shared" si="7"/>
        <v>81.25</v>
      </c>
      <c r="O102" s="8">
        <f t="shared" si="8"/>
        <v>131</v>
      </c>
      <c r="P102" s="8" t="str">
        <f t="shared" si="9"/>
        <v>81.25,131</v>
      </c>
      <c r="Q102" s="11" t="s">
        <v>10</v>
      </c>
      <c r="R102" s="8">
        <v>90</v>
      </c>
      <c r="S102" s="8">
        <v>2.5</v>
      </c>
      <c r="T102" s="8" t="str">
        <f t="shared" si="11"/>
        <v>-text 81.25,131 2.5 90 267.732</v>
      </c>
      <c r="U102" s="10"/>
    </row>
    <row r="103" spans="1:21" x14ac:dyDescent="0.25">
      <c r="A103" s="15">
        <v>284100</v>
      </c>
      <c r="B103" s="9">
        <v>1173507.3</v>
      </c>
      <c r="C103" s="10">
        <v>269.88799999999998</v>
      </c>
      <c r="D103" s="17">
        <v>270.49299999999999</v>
      </c>
      <c r="E103" s="17">
        <v>0.60499999999999998</v>
      </c>
      <c r="F103" s="10">
        <v>269.2</v>
      </c>
      <c r="G103" s="17">
        <v>269.77999999999997</v>
      </c>
      <c r="H103" s="17">
        <v>0.57999999999999996</v>
      </c>
      <c r="I103" s="10">
        <v>267.23700000000002</v>
      </c>
      <c r="J103" s="10">
        <v>267.71199999999999</v>
      </c>
      <c r="K103" s="19">
        <v>2.0680000000000001</v>
      </c>
      <c r="L103" s="17">
        <v>11.116</v>
      </c>
      <c r="N103" s="12">
        <f t="shared" si="7"/>
        <v>101.25</v>
      </c>
      <c r="O103" s="8">
        <f t="shared" si="8"/>
        <v>131</v>
      </c>
      <c r="P103" s="8" t="str">
        <f t="shared" si="9"/>
        <v>101.25,131</v>
      </c>
      <c r="Q103" s="11" t="s">
        <v>10</v>
      </c>
      <c r="R103" s="8">
        <v>90</v>
      </c>
      <c r="S103" s="8">
        <v>2.5</v>
      </c>
      <c r="T103" s="8" t="str">
        <f t="shared" si="11"/>
        <v>-text 101.25,131 2.5 90 267.712</v>
      </c>
      <c r="U103" s="10"/>
    </row>
    <row r="104" spans="1:21" x14ac:dyDescent="0.25">
      <c r="A104" s="15">
        <v>284120</v>
      </c>
      <c r="B104" s="9">
        <v>1173527.3</v>
      </c>
      <c r="C104" s="10">
        <v>269.85599999999999</v>
      </c>
      <c r="D104" s="17">
        <v>270.44200000000001</v>
      </c>
      <c r="E104" s="17">
        <v>0.58599999999999997</v>
      </c>
      <c r="F104" s="10">
        <v>269.16800000000001</v>
      </c>
      <c r="G104" s="17">
        <v>269.72899999999998</v>
      </c>
      <c r="H104" s="17">
        <v>0.56100000000000005</v>
      </c>
      <c r="I104" s="10">
        <v>267.16399999999999</v>
      </c>
      <c r="J104" s="10">
        <v>267.73500000000001</v>
      </c>
      <c r="K104" s="19">
        <v>1.994</v>
      </c>
      <c r="L104" s="17">
        <v>11.122999999999999</v>
      </c>
      <c r="N104" s="12">
        <f t="shared" si="7"/>
        <v>121.25</v>
      </c>
      <c r="O104" s="8">
        <f t="shared" si="8"/>
        <v>131</v>
      </c>
      <c r="P104" s="8" t="str">
        <f t="shared" si="9"/>
        <v>121.25,131</v>
      </c>
      <c r="Q104" s="11" t="s">
        <v>10</v>
      </c>
      <c r="R104" s="8">
        <v>90</v>
      </c>
      <c r="S104" s="8">
        <v>2.5</v>
      </c>
      <c r="T104" s="8" t="str">
        <f t="shared" si="11"/>
        <v>-text 121.25,131 2.5 90 267.735</v>
      </c>
      <c r="U104" s="10"/>
    </row>
    <row r="105" spans="1:21" x14ac:dyDescent="0.25">
      <c r="A105" s="15">
        <v>284140</v>
      </c>
      <c r="B105" s="9">
        <v>1173547.3</v>
      </c>
      <c r="C105" s="10">
        <v>269.82100000000003</v>
      </c>
      <c r="D105" s="17">
        <v>270.39100000000002</v>
      </c>
      <c r="E105" s="17">
        <v>0.56999999999999995</v>
      </c>
      <c r="F105" s="10">
        <v>269.13299999999998</v>
      </c>
      <c r="G105" s="17">
        <v>269.678</v>
      </c>
      <c r="H105" s="17">
        <v>0.54500000000000004</v>
      </c>
      <c r="I105" s="10">
        <v>267.11399999999998</v>
      </c>
      <c r="J105" s="10">
        <v>267.83</v>
      </c>
      <c r="K105" s="19">
        <v>1.849</v>
      </c>
      <c r="L105" s="17">
        <v>11.135999999999999</v>
      </c>
      <c r="N105" s="12">
        <f t="shared" si="7"/>
        <v>141.25</v>
      </c>
      <c r="O105" s="8">
        <f t="shared" si="8"/>
        <v>131</v>
      </c>
      <c r="P105" s="8" t="str">
        <f t="shared" si="9"/>
        <v>141.25,131</v>
      </c>
      <c r="Q105" s="11" t="s">
        <v>10</v>
      </c>
      <c r="R105" s="8">
        <v>90</v>
      </c>
      <c r="S105" s="8">
        <v>2.5</v>
      </c>
      <c r="T105" s="8" t="str">
        <f t="shared" si="11"/>
        <v>-text 141.25,131 2.5 90 267.83</v>
      </c>
      <c r="U105" s="10"/>
    </row>
    <row r="106" spans="1:21" x14ac:dyDescent="0.25">
      <c r="A106" s="15">
        <v>284160</v>
      </c>
      <c r="B106" s="9">
        <v>1173567.3</v>
      </c>
      <c r="C106" s="10">
        <v>269.78699999999998</v>
      </c>
      <c r="D106" s="17">
        <v>270.33999999999997</v>
      </c>
      <c r="E106" s="17">
        <v>0.55300000000000005</v>
      </c>
      <c r="F106" s="10">
        <v>269.09899999999999</v>
      </c>
      <c r="G106" s="17">
        <v>269.62700000000001</v>
      </c>
      <c r="H106" s="17">
        <v>0.52800000000000002</v>
      </c>
      <c r="I106" s="10">
        <v>267.45999999999998</v>
      </c>
      <c r="J106" s="10">
        <v>267.96800000000002</v>
      </c>
      <c r="K106" s="19">
        <v>1.659</v>
      </c>
      <c r="L106" s="17">
        <v>11.148</v>
      </c>
      <c r="N106" s="12">
        <f t="shared" si="7"/>
        <v>161.25</v>
      </c>
      <c r="O106" s="8">
        <f t="shared" si="8"/>
        <v>131</v>
      </c>
      <c r="P106" s="8" t="str">
        <f t="shared" si="9"/>
        <v>161.25,131</v>
      </c>
      <c r="Q106" s="11" t="s">
        <v>10</v>
      </c>
      <c r="R106" s="8">
        <v>90</v>
      </c>
      <c r="S106" s="8">
        <v>2.5</v>
      </c>
      <c r="T106" s="8" t="str">
        <f t="shared" si="11"/>
        <v>-text 161.25,131 2.5 90 267.968</v>
      </c>
      <c r="U106" s="10"/>
    </row>
    <row r="107" spans="1:21" x14ac:dyDescent="0.25">
      <c r="A107" s="15">
        <v>284180</v>
      </c>
      <c r="B107" s="9">
        <v>1173587.3</v>
      </c>
      <c r="C107" s="10">
        <v>269.762</v>
      </c>
      <c r="D107" s="17">
        <v>270.28899999999999</v>
      </c>
      <c r="E107" s="17">
        <v>0.52700000000000002</v>
      </c>
      <c r="F107" s="10">
        <v>269.07400000000001</v>
      </c>
      <c r="G107" s="17">
        <v>269.57600000000002</v>
      </c>
      <c r="H107" s="17">
        <v>0.502</v>
      </c>
      <c r="I107" s="10">
        <v>268.22399999999999</v>
      </c>
      <c r="J107" s="10">
        <v>268.25099999999998</v>
      </c>
      <c r="K107" s="19">
        <v>1.325</v>
      </c>
      <c r="L107" s="17">
        <v>11.153</v>
      </c>
      <c r="N107" s="12">
        <f t="shared" si="7"/>
        <v>181.25</v>
      </c>
      <c r="O107" s="8">
        <f t="shared" si="8"/>
        <v>131</v>
      </c>
      <c r="P107" s="8" t="str">
        <f t="shared" si="9"/>
        <v>181.25,131</v>
      </c>
      <c r="Q107" s="11" t="s">
        <v>10</v>
      </c>
      <c r="R107" s="8">
        <v>90</v>
      </c>
      <c r="S107" s="8">
        <v>2.5</v>
      </c>
      <c r="T107" s="8" t="str">
        <f t="shared" si="11"/>
        <v>-text 181.25,131 2.5 90 268.251</v>
      </c>
      <c r="U107" s="10"/>
    </row>
    <row r="108" spans="1:21" x14ac:dyDescent="0.25">
      <c r="A108" s="15">
        <v>284200</v>
      </c>
      <c r="B108" s="9">
        <v>1173607.3</v>
      </c>
      <c r="C108" s="10">
        <v>269.74299999999999</v>
      </c>
      <c r="D108" s="17">
        <v>270.28100000000001</v>
      </c>
      <c r="E108" s="17">
        <v>0.53800000000000003</v>
      </c>
      <c r="F108" s="10">
        <v>269.05500000000001</v>
      </c>
      <c r="G108" s="17">
        <v>269.56799999999998</v>
      </c>
      <c r="H108" s="17">
        <v>0.51300000000000001</v>
      </c>
      <c r="I108" s="10">
        <v>268.49299999999999</v>
      </c>
      <c r="J108" s="10">
        <v>268.56900000000002</v>
      </c>
      <c r="K108" s="19">
        <v>0.999</v>
      </c>
      <c r="L108" s="17">
        <v>11.16</v>
      </c>
      <c r="N108" s="12">
        <f t="shared" si="7"/>
        <v>201.25</v>
      </c>
      <c r="O108" s="8">
        <f t="shared" si="8"/>
        <v>131</v>
      </c>
      <c r="P108" s="8" t="str">
        <f t="shared" si="9"/>
        <v>201.25,131</v>
      </c>
      <c r="Q108" s="11" t="s">
        <v>10</v>
      </c>
      <c r="R108" s="8">
        <v>90</v>
      </c>
      <c r="S108" s="8">
        <v>2.5</v>
      </c>
      <c r="T108" s="8" t="str">
        <f t="shared" si="11"/>
        <v>-text 201.25,131 2.5 90 268.569</v>
      </c>
      <c r="U108" s="10"/>
    </row>
    <row r="109" spans="1:21" x14ac:dyDescent="0.25">
      <c r="A109" s="15">
        <v>284220</v>
      </c>
      <c r="B109" s="9">
        <v>1173627.3</v>
      </c>
      <c r="C109" s="10">
        <v>269.70299999999997</v>
      </c>
      <c r="D109" s="17">
        <v>270.29599999999999</v>
      </c>
      <c r="E109" s="17">
        <v>0.59199999999999997</v>
      </c>
      <c r="F109" s="10">
        <v>269.01499999999999</v>
      </c>
      <c r="G109" s="17">
        <v>269.58300000000003</v>
      </c>
      <c r="H109" s="17">
        <v>0.56699999999999995</v>
      </c>
      <c r="I109" s="10">
        <v>268.392</v>
      </c>
      <c r="J109" s="10">
        <v>268.56</v>
      </c>
      <c r="K109" s="19">
        <v>1.022</v>
      </c>
      <c r="L109" s="17">
        <v>11.185</v>
      </c>
      <c r="N109" s="12">
        <f t="shared" si="7"/>
        <v>221.25</v>
      </c>
      <c r="O109" s="8">
        <f t="shared" si="8"/>
        <v>131</v>
      </c>
      <c r="P109" s="8" t="str">
        <f t="shared" si="9"/>
        <v>221.25,131</v>
      </c>
      <c r="Q109" s="11" t="s">
        <v>10</v>
      </c>
      <c r="R109" s="8">
        <v>90</v>
      </c>
      <c r="S109" s="8">
        <v>2.5</v>
      </c>
      <c r="T109" s="8" t="str">
        <f t="shared" si="11"/>
        <v>-text 221.25,131 2.5 90 268.56</v>
      </c>
      <c r="U109" s="10"/>
    </row>
    <row r="110" spans="1:21" x14ac:dyDescent="0.25">
      <c r="A110" s="15">
        <v>284240</v>
      </c>
      <c r="B110" s="9">
        <v>1173647.3</v>
      </c>
      <c r="C110" s="10">
        <v>269.666</v>
      </c>
      <c r="D110" s="17">
        <v>270.31</v>
      </c>
      <c r="E110" s="17">
        <v>0.64500000000000002</v>
      </c>
      <c r="F110" s="10">
        <v>268.97800000000001</v>
      </c>
      <c r="G110" s="17">
        <v>269.59699999999998</v>
      </c>
      <c r="H110" s="17">
        <v>0.62</v>
      </c>
      <c r="I110" s="10">
        <v>268.173</v>
      </c>
      <c r="J110" s="10">
        <v>267.92200000000003</v>
      </c>
      <c r="K110" s="19">
        <v>1.675</v>
      </c>
      <c r="L110" s="17">
        <v>11.2</v>
      </c>
      <c r="N110" s="12">
        <f t="shared" si="7"/>
        <v>241.25</v>
      </c>
      <c r="O110" s="8">
        <f t="shared" si="8"/>
        <v>131</v>
      </c>
      <c r="P110" s="8" t="str">
        <f t="shared" si="9"/>
        <v>241.25,131</v>
      </c>
      <c r="Q110" s="11" t="s">
        <v>10</v>
      </c>
      <c r="R110" s="8">
        <v>90</v>
      </c>
      <c r="S110" s="8">
        <v>2.5</v>
      </c>
      <c r="T110" s="8" t="str">
        <f t="shared" si="11"/>
        <v>-text 241.25,131 2.5 90 267.922</v>
      </c>
      <c r="U110" s="10"/>
    </row>
    <row r="111" spans="1:21" x14ac:dyDescent="0.25">
      <c r="A111" s="15">
        <v>284260</v>
      </c>
      <c r="B111" s="9">
        <v>1173667.3</v>
      </c>
      <c r="C111" s="10">
        <v>269.63200000000001</v>
      </c>
      <c r="D111" s="17">
        <v>270.32499999999999</v>
      </c>
      <c r="E111" s="17">
        <v>0.69399999999999995</v>
      </c>
      <c r="F111" s="10">
        <v>268.94400000000002</v>
      </c>
      <c r="G111" s="17">
        <v>269.61200000000002</v>
      </c>
      <c r="H111" s="17">
        <v>0.66900000000000004</v>
      </c>
      <c r="I111" s="10">
        <v>268.04199999999997</v>
      </c>
      <c r="J111" s="10">
        <v>268.15499999999997</v>
      </c>
      <c r="K111" s="19">
        <v>1.4570000000000001</v>
      </c>
      <c r="L111" s="17">
        <v>11.196</v>
      </c>
      <c r="N111" s="12">
        <f t="shared" si="7"/>
        <v>261.25</v>
      </c>
      <c r="O111" s="8">
        <f t="shared" si="8"/>
        <v>131</v>
      </c>
      <c r="P111" s="8" t="str">
        <f t="shared" si="9"/>
        <v>261.25,131</v>
      </c>
      <c r="Q111" s="11" t="s">
        <v>10</v>
      </c>
      <c r="R111" s="8">
        <v>90</v>
      </c>
      <c r="S111" s="8">
        <v>2.5</v>
      </c>
      <c r="T111" s="8" t="str">
        <f t="shared" si="11"/>
        <v>-text 261.25,131 2.5 90 268.155</v>
      </c>
      <c r="U111" s="10"/>
    </row>
    <row r="112" spans="1:21" x14ac:dyDescent="0.25">
      <c r="A112" s="15">
        <v>284280</v>
      </c>
      <c r="B112" s="9">
        <v>1173687.3</v>
      </c>
      <c r="C112" s="10">
        <v>269.59399999999999</v>
      </c>
      <c r="D112" s="17">
        <v>270.33999999999997</v>
      </c>
      <c r="E112" s="17">
        <v>0.746</v>
      </c>
      <c r="F112" s="10">
        <v>268.90600000000001</v>
      </c>
      <c r="G112" s="17">
        <v>269.62700000000001</v>
      </c>
      <c r="H112" s="17">
        <v>0.72099999999999997</v>
      </c>
      <c r="I112" s="10">
        <v>267.68200000000002</v>
      </c>
      <c r="J112" s="10">
        <v>267.90800000000002</v>
      </c>
      <c r="K112" s="19">
        <v>1.7190000000000001</v>
      </c>
      <c r="L112" s="17">
        <v>11.199</v>
      </c>
      <c r="N112" s="12">
        <f t="shared" si="7"/>
        <v>281.25</v>
      </c>
      <c r="O112" s="8">
        <f t="shared" si="8"/>
        <v>131</v>
      </c>
      <c r="P112" s="8" t="str">
        <f t="shared" si="9"/>
        <v>281.25,131</v>
      </c>
      <c r="Q112" s="11" t="s">
        <v>10</v>
      </c>
      <c r="R112" s="8">
        <v>90</v>
      </c>
      <c r="S112" s="8">
        <v>2.5</v>
      </c>
      <c r="T112" s="8" t="str">
        <f t="shared" si="11"/>
        <v>-text 281.25,131 2.5 90 267.908</v>
      </c>
      <c r="U112" s="10"/>
    </row>
    <row r="113" spans="1:21" x14ac:dyDescent="0.25">
      <c r="A113" s="15">
        <v>284300</v>
      </c>
      <c r="B113" s="9">
        <v>1173707.3</v>
      </c>
      <c r="C113" s="10">
        <v>269.553</v>
      </c>
      <c r="D113" s="17">
        <v>270.35500000000002</v>
      </c>
      <c r="E113" s="17">
        <v>0.80300000000000005</v>
      </c>
      <c r="F113" s="10">
        <v>268.86500000000001</v>
      </c>
      <c r="G113" s="17">
        <v>269.642</v>
      </c>
      <c r="H113" s="17">
        <v>0.77800000000000002</v>
      </c>
      <c r="I113" s="10">
        <v>267.48</v>
      </c>
      <c r="J113" s="10">
        <v>267.85199999999998</v>
      </c>
      <c r="K113" s="19">
        <v>1.79</v>
      </c>
      <c r="L113" s="17">
        <v>11.212</v>
      </c>
      <c r="N113" s="12">
        <f t="shared" si="7"/>
        <v>301.25</v>
      </c>
      <c r="O113" s="8">
        <f t="shared" si="8"/>
        <v>131</v>
      </c>
      <c r="P113" s="8" t="str">
        <f t="shared" si="9"/>
        <v>301.25,131</v>
      </c>
      <c r="Q113" s="11" t="s">
        <v>10</v>
      </c>
      <c r="R113" s="8">
        <v>90</v>
      </c>
      <c r="S113" s="8">
        <v>2.5</v>
      </c>
      <c r="T113" s="8" t="str">
        <f t="shared" si="11"/>
        <v>-text 301.25,131 2.5 90 267.852</v>
      </c>
      <c r="U113" s="10"/>
    </row>
    <row r="114" spans="1:21" x14ac:dyDescent="0.25">
      <c r="A114" s="15">
        <v>284320</v>
      </c>
      <c r="B114" s="9">
        <v>1173727.3</v>
      </c>
      <c r="C114" s="10">
        <v>269.51799999999997</v>
      </c>
      <c r="D114" s="17">
        <v>270.37</v>
      </c>
      <c r="E114" s="17">
        <v>0.85199999999999998</v>
      </c>
      <c r="F114" s="10">
        <v>268.83</v>
      </c>
      <c r="G114" s="17">
        <v>269.65699999999998</v>
      </c>
      <c r="H114" s="17">
        <v>0.82699999999999996</v>
      </c>
      <c r="I114" s="10">
        <v>267.73399999999998</v>
      </c>
      <c r="J114" s="10">
        <v>267.79899999999998</v>
      </c>
      <c r="K114" s="19">
        <v>1.8580000000000001</v>
      </c>
      <c r="L114" s="17">
        <v>11.218999999999999</v>
      </c>
      <c r="N114" s="12">
        <f t="shared" si="7"/>
        <v>321.25</v>
      </c>
      <c r="O114" s="8">
        <f t="shared" si="8"/>
        <v>131</v>
      </c>
      <c r="P114" s="8" t="str">
        <f t="shared" si="9"/>
        <v>321.25,131</v>
      </c>
      <c r="Q114" s="11" t="s">
        <v>10</v>
      </c>
      <c r="R114" s="8">
        <v>90</v>
      </c>
      <c r="S114" s="8">
        <v>2.5</v>
      </c>
      <c r="T114" s="8" t="str">
        <f t="shared" si="11"/>
        <v>-text 321.25,131 2.5 90 267.799</v>
      </c>
      <c r="U114" s="10"/>
    </row>
    <row r="115" spans="1:21" x14ac:dyDescent="0.25">
      <c r="A115" s="15">
        <v>284340</v>
      </c>
      <c r="B115" s="9">
        <v>1173747.3</v>
      </c>
      <c r="C115" s="10">
        <v>269.49099999999999</v>
      </c>
      <c r="D115" s="17">
        <v>270.38499999999999</v>
      </c>
      <c r="E115" s="17">
        <v>0.89300000000000002</v>
      </c>
      <c r="F115" s="10">
        <v>268.803</v>
      </c>
      <c r="G115" s="17">
        <v>269.67200000000003</v>
      </c>
      <c r="H115" s="17">
        <v>0.86799999999999999</v>
      </c>
      <c r="I115" s="10">
        <v>267.80900000000003</v>
      </c>
      <c r="J115" s="10">
        <v>267.91699999999997</v>
      </c>
      <c r="K115" s="19">
        <v>1.7549999999999999</v>
      </c>
      <c r="L115" s="17">
        <v>11.215999999999999</v>
      </c>
      <c r="N115" s="12">
        <f t="shared" si="7"/>
        <v>341.25</v>
      </c>
      <c r="O115" s="8">
        <f t="shared" si="8"/>
        <v>131</v>
      </c>
      <c r="P115" s="8" t="str">
        <f t="shared" si="9"/>
        <v>341.25,131</v>
      </c>
      <c r="Q115" s="11" t="s">
        <v>10</v>
      </c>
      <c r="R115" s="8">
        <v>90</v>
      </c>
      <c r="S115" s="8">
        <v>2.5</v>
      </c>
      <c r="T115" s="8" t="str">
        <f t="shared" si="11"/>
        <v>-text 341.25,131 2.5 90 267.917</v>
      </c>
      <c r="U115" s="10"/>
    </row>
    <row r="116" spans="1:21" x14ac:dyDescent="0.25">
      <c r="A116" s="15">
        <v>284360</v>
      </c>
      <c r="B116" s="9">
        <v>1173767.3</v>
      </c>
      <c r="C116" s="10">
        <v>269.49200000000002</v>
      </c>
      <c r="D116" s="17">
        <v>270.39999999999998</v>
      </c>
      <c r="E116" s="17">
        <v>0.90800000000000003</v>
      </c>
      <c r="F116" s="10">
        <v>268.80399999999997</v>
      </c>
      <c r="G116" s="17">
        <v>269.68700000000001</v>
      </c>
      <c r="H116" s="17">
        <v>0.88300000000000001</v>
      </c>
      <c r="I116" s="10">
        <v>267.13400000000001</v>
      </c>
      <c r="J116" s="10">
        <v>268.34199999999998</v>
      </c>
      <c r="K116" s="19">
        <v>1.3440000000000001</v>
      </c>
      <c r="L116" s="17">
        <v>11.225</v>
      </c>
      <c r="N116" s="12">
        <f t="shared" si="7"/>
        <v>361.25</v>
      </c>
      <c r="O116" s="8">
        <f t="shared" si="8"/>
        <v>131</v>
      </c>
      <c r="P116" s="8" t="str">
        <f t="shared" si="9"/>
        <v>361.25,131</v>
      </c>
      <c r="Q116" s="11" t="s">
        <v>10</v>
      </c>
      <c r="R116" s="8">
        <v>90</v>
      </c>
      <c r="S116" s="8">
        <v>2.5</v>
      </c>
      <c r="T116" s="8" t="str">
        <f t="shared" si="11"/>
        <v>-text 361.25,131 2.5 90 268.342</v>
      </c>
      <c r="U116" s="10"/>
    </row>
    <row r="117" spans="1:21" x14ac:dyDescent="0.25">
      <c r="A117" s="15">
        <v>284380</v>
      </c>
      <c r="B117" s="9">
        <v>1173787.3</v>
      </c>
      <c r="C117" s="10">
        <v>269.53300000000002</v>
      </c>
      <c r="D117" s="17">
        <v>270.41500000000002</v>
      </c>
      <c r="E117" s="17">
        <v>0.88200000000000001</v>
      </c>
      <c r="F117" s="10">
        <v>268.84500000000003</v>
      </c>
      <c r="G117" s="17">
        <v>269.702</v>
      </c>
      <c r="H117" s="17">
        <v>0.85699999999999998</v>
      </c>
      <c r="I117" s="10">
        <v>267.47899999999998</v>
      </c>
      <c r="J117" s="10">
        <v>268.49400000000003</v>
      </c>
      <c r="K117" s="19">
        <v>1.2070000000000001</v>
      </c>
      <c r="L117" s="17">
        <v>11.250999999999999</v>
      </c>
      <c r="N117" s="12">
        <f t="shared" si="7"/>
        <v>381.25</v>
      </c>
      <c r="O117" s="8">
        <f t="shared" si="8"/>
        <v>131</v>
      </c>
      <c r="P117" s="8" t="str">
        <f t="shared" si="9"/>
        <v>381.25,131</v>
      </c>
      <c r="Q117" s="11" t="s">
        <v>10</v>
      </c>
      <c r="R117" s="8">
        <v>90</v>
      </c>
      <c r="S117" s="8">
        <v>2.5</v>
      </c>
      <c r="T117" s="8" t="str">
        <f t="shared" si="11"/>
        <v>-text 381.25,131 2.5 90 268.494</v>
      </c>
      <c r="U117" s="10"/>
    </row>
    <row r="118" spans="1:21" x14ac:dyDescent="0.25">
      <c r="A118" s="15">
        <v>284400</v>
      </c>
      <c r="B118" s="9">
        <v>1173807.3</v>
      </c>
      <c r="C118" s="10">
        <v>269.54599999999999</v>
      </c>
      <c r="D118" s="17">
        <v>270.43</v>
      </c>
      <c r="E118" s="17">
        <v>0.88400000000000001</v>
      </c>
      <c r="F118" s="10">
        <v>268.858</v>
      </c>
      <c r="G118" s="17">
        <v>269.71699999999998</v>
      </c>
      <c r="H118" s="17">
        <v>0.85899999999999999</v>
      </c>
      <c r="I118" s="10">
        <v>268.19200000000001</v>
      </c>
      <c r="J118" s="10">
        <v>268.05399999999997</v>
      </c>
      <c r="K118" s="19">
        <v>1.663</v>
      </c>
      <c r="L118" s="17">
        <v>11.253</v>
      </c>
      <c r="N118" s="12">
        <f t="shared" si="7"/>
        <v>401.25</v>
      </c>
      <c r="O118" s="8">
        <f t="shared" si="8"/>
        <v>131</v>
      </c>
      <c r="P118" s="8" t="str">
        <f t="shared" si="9"/>
        <v>401.25,131</v>
      </c>
      <c r="Q118" s="11" t="s">
        <v>10</v>
      </c>
      <c r="R118" s="8">
        <v>90</v>
      </c>
      <c r="S118" s="8">
        <v>2.5</v>
      </c>
      <c r="T118" s="8" t="str">
        <f t="shared" si="11"/>
        <v>-text 401.25,131 2.5 90 268.054</v>
      </c>
      <c r="U118" s="10"/>
    </row>
    <row r="119" spans="1:21" x14ac:dyDescent="0.25">
      <c r="A119" s="15">
        <v>284420</v>
      </c>
      <c r="B119" s="9">
        <v>1173827.3</v>
      </c>
      <c r="C119" s="10">
        <v>269.541</v>
      </c>
      <c r="D119" s="17">
        <v>270.44400000000002</v>
      </c>
      <c r="E119" s="17">
        <v>0.90300000000000002</v>
      </c>
      <c r="F119" s="10">
        <v>268.85300000000001</v>
      </c>
      <c r="G119" s="17">
        <v>269.73099999999999</v>
      </c>
      <c r="H119" s="17">
        <v>0.878</v>
      </c>
      <c r="I119" s="10">
        <v>268.678</v>
      </c>
      <c r="J119" s="10">
        <v>268.988</v>
      </c>
      <c r="K119" s="19">
        <v>0.74299999999999999</v>
      </c>
      <c r="L119" s="17">
        <v>11.241</v>
      </c>
      <c r="N119" s="12">
        <f t="shared" si="7"/>
        <v>421.25</v>
      </c>
      <c r="O119" s="8">
        <f t="shared" si="8"/>
        <v>131</v>
      </c>
      <c r="P119" s="8" t="str">
        <f t="shared" si="9"/>
        <v>421.25,131</v>
      </c>
      <c r="Q119" s="11" t="s">
        <v>10</v>
      </c>
      <c r="R119" s="8">
        <v>90</v>
      </c>
      <c r="S119" s="8">
        <v>2.5</v>
      </c>
      <c r="T119" s="8" t="str">
        <f t="shared" si="11"/>
        <v>-text 421.25,131 2.5 90 268.988</v>
      </c>
      <c r="U119" s="10"/>
    </row>
    <row r="120" spans="1:21" x14ac:dyDescent="0.25">
      <c r="A120" s="15">
        <v>284440</v>
      </c>
      <c r="B120" s="9">
        <v>1173847.3</v>
      </c>
      <c r="C120" s="10">
        <v>269.536</v>
      </c>
      <c r="D120" s="17">
        <v>270.459</v>
      </c>
      <c r="E120" s="17">
        <v>0.92300000000000004</v>
      </c>
      <c r="F120" s="10">
        <v>268.84800000000001</v>
      </c>
      <c r="G120" s="17">
        <v>269.74599999999998</v>
      </c>
      <c r="H120" s="17">
        <v>0.89800000000000002</v>
      </c>
      <c r="I120" s="10">
        <v>269.70999999999998</v>
      </c>
      <c r="J120" s="10">
        <v>270.16699999999997</v>
      </c>
      <c r="K120" s="17">
        <v>-0.42099999999999999</v>
      </c>
      <c r="L120" s="17">
        <v>11.228</v>
      </c>
      <c r="N120" s="12">
        <f t="shared" si="7"/>
        <v>441.25</v>
      </c>
      <c r="O120" s="8">
        <f t="shared" si="8"/>
        <v>131</v>
      </c>
      <c r="P120" s="8" t="str">
        <f t="shared" si="9"/>
        <v>441.25,131</v>
      </c>
      <c r="Q120" s="11" t="s">
        <v>10</v>
      </c>
      <c r="R120" s="8">
        <v>90</v>
      </c>
      <c r="S120" s="8">
        <v>2.5</v>
      </c>
      <c r="T120" s="8" t="str">
        <f t="shared" si="11"/>
        <v>-text 441.25,131 2.5 90 270.167</v>
      </c>
      <c r="U120" s="10"/>
    </row>
    <row r="121" spans="1:21" x14ac:dyDescent="0.25">
      <c r="A121" s="15">
        <v>284460</v>
      </c>
      <c r="B121" s="9">
        <v>1173867.3</v>
      </c>
      <c r="C121" s="10">
        <v>269.49900000000002</v>
      </c>
      <c r="D121" s="17">
        <v>270.47399999999999</v>
      </c>
      <c r="E121" s="17">
        <v>0.97499999999999998</v>
      </c>
      <c r="F121" s="10">
        <v>268.81099999999998</v>
      </c>
      <c r="G121" s="17">
        <v>269.76100000000002</v>
      </c>
      <c r="H121" s="17">
        <v>0.95</v>
      </c>
      <c r="I121" s="10">
        <v>269.23099999999999</v>
      </c>
      <c r="J121" s="10">
        <v>269.92099999999999</v>
      </c>
      <c r="K121" s="17">
        <v>-0.16</v>
      </c>
      <c r="L121" s="17">
        <v>11.224</v>
      </c>
      <c r="N121" s="12">
        <f t="shared" si="7"/>
        <v>461.25</v>
      </c>
      <c r="O121" s="8">
        <f t="shared" si="8"/>
        <v>131</v>
      </c>
      <c r="P121" s="8" t="str">
        <f t="shared" si="9"/>
        <v>461.25,131</v>
      </c>
      <c r="Q121" s="11" t="s">
        <v>10</v>
      </c>
      <c r="R121" s="8">
        <v>90</v>
      </c>
      <c r="S121" s="8">
        <v>2.5</v>
      </c>
      <c r="T121" s="8" t="str">
        <f t="shared" si="11"/>
        <v>-text 461.25,131 2.5 90 269.921</v>
      </c>
      <c r="U121" s="10"/>
    </row>
    <row r="122" spans="1:21" x14ac:dyDescent="0.25">
      <c r="A122" s="15">
        <v>284480</v>
      </c>
      <c r="B122" s="9">
        <v>1173887.3</v>
      </c>
      <c r="C122" s="10">
        <v>269.45600000000002</v>
      </c>
      <c r="D122" s="17">
        <v>270.48899999999998</v>
      </c>
      <c r="E122" s="17">
        <v>1.0329999999999999</v>
      </c>
      <c r="F122" s="10">
        <v>268.76799999999997</v>
      </c>
      <c r="G122" s="17">
        <v>269.77600000000001</v>
      </c>
      <c r="H122" s="17">
        <v>1.008</v>
      </c>
      <c r="I122" s="10">
        <v>268.42099999999999</v>
      </c>
      <c r="J122" s="10">
        <v>269.24099999999999</v>
      </c>
      <c r="K122" s="19">
        <v>0.53500000000000003</v>
      </c>
      <c r="L122" s="17">
        <v>11.221</v>
      </c>
      <c r="N122" s="12">
        <f t="shared" si="7"/>
        <v>481.25</v>
      </c>
      <c r="O122" s="8">
        <f t="shared" si="8"/>
        <v>131</v>
      </c>
      <c r="P122" s="8" t="str">
        <f t="shared" si="9"/>
        <v>481.25,131</v>
      </c>
      <c r="Q122" s="11" t="s">
        <v>10</v>
      </c>
      <c r="R122" s="8">
        <v>90</v>
      </c>
      <c r="S122" s="8">
        <v>2.5</v>
      </c>
      <c r="T122" s="8" t="str">
        <f t="shared" si="11"/>
        <v>-text 481.25,131 2.5 90 269.241</v>
      </c>
      <c r="U122" s="10"/>
    </row>
    <row r="123" spans="1:21" x14ac:dyDescent="0.25">
      <c r="A123" s="15">
        <v>284500</v>
      </c>
      <c r="B123" s="9">
        <v>1173907.3</v>
      </c>
      <c r="C123" s="10">
        <v>269.41899999999998</v>
      </c>
      <c r="D123" s="17">
        <v>270.50400000000002</v>
      </c>
      <c r="E123" s="17">
        <v>1.085</v>
      </c>
      <c r="F123" s="10">
        <v>268.73099999999999</v>
      </c>
      <c r="G123" s="17">
        <v>269.791</v>
      </c>
      <c r="H123" s="17">
        <v>1.06</v>
      </c>
      <c r="I123" s="10">
        <v>268.04399999999998</v>
      </c>
      <c r="J123" s="10">
        <v>268.57299999999998</v>
      </c>
      <c r="K123" s="19">
        <v>1.218</v>
      </c>
      <c r="L123" s="17">
        <v>11.214</v>
      </c>
      <c r="N123" s="12">
        <f t="shared" si="7"/>
        <v>501.25</v>
      </c>
      <c r="O123" s="8">
        <f t="shared" si="8"/>
        <v>131</v>
      </c>
      <c r="P123" s="8" t="str">
        <f t="shared" si="9"/>
        <v>501.25,131</v>
      </c>
      <c r="Q123" s="11" t="s">
        <v>10</v>
      </c>
      <c r="R123" s="8">
        <v>90</v>
      </c>
      <c r="S123" s="8">
        <v>2.5</v>
      </c>
      <c r="T123" s="8" t="str">
        <f t="shared" si="11"/>
        <v>-text 501.25,131 2.5 90 268.573</v>
      </c>
      <c r="U123" s="10"/>
    </row>
    <row r="124" spans="1:21" x14ac:dyDescent="0.25">
      <c r="A124" s="15"/>
      <c r="N124" s="12"/>
      <c r="Q124" s="11"/>
      <c r="U124" s="10"/>
    </row>
    <row r="125" spans="1:21" x14ac:dyDescent="0.25">
      <c r="A125" s="15">
        <v>284500</v>
      </c>
      <c r="B125" s="9">
        <v>1173907.3</v>
      </c>
      <c r="C125" s="10">
        <v>269.41899999999998</v>
      </c>
      <c r="D125" s="17">
        <v>270.50400000000002</v>
      </c>
      <c r="E125" s="17">
        <v>1.085</v>
      </c>
      <c r="F125" s="10">
        <v>268.73099999999999</v>
      </c>
      <c r="G125" s="17">
        <v>269.791</v>
      </c>
      <c r="H125" s="17">
        <v>1.06</v>
      </c>
      <c r="I125" s="10">
        <v>268.04399999999998</v>
      </c>
      <c r="J125" s="10">
        <v>268.57299999999998</v>
      </c>
      <c r="K125" s="19">
        <v>1.218</v>
      </c>
      <c r="L125" s="17">
        <v>11.214</v>
      </c>
      <c r="N125" s="12">
        <v>1.25</v>
      </c>
      <c r="O125" s="8">
        <v>131</v>
      </c>
      <c r="P125" s="8" t="str">
        <f t="shared" si="9"/>
        <v>1.25,131</v>
      </c>
      <c r="Q125" s="11" t="s">
        <v>10</v>
      </c>
      <c r="R125" s="8">
        <v>90</v>
      </c>
      <c r="S125" s="8">
        <v>2.5</v>
      </c>
      <c r="T125" s="8" t="str">
        <f>$Q125&amp;" "&amp;$P125&amp;" "&amp;$S125&amp;" "&amp;$R125&amp;" "&amp;$J125</f>
        <v>-text 1.25,131 2.5 90 268.573</v>
      </c>
      <c r="U125" s="10"/>
    </row>
    <row r="126" spans="1:21" x14ac:dyDescent="0.25">
      <c r="A126" s="15">
        <v>284520</v>
      </c>
      <c r="B126" s="9">
        <v>1173927.3</v>
      </c>
      <c r="C126" s="10">
        <v>269.38600000000002</v>
      </c>
      <c r="D126" s="17">
        <v>270.51900000000001</v>
      </c>
      <c r="E126" s="17">
        <v>1.133</v>
      </c>
      <c r="F126" s="10">
        <v>268.69799999999998</v>
      </c>
      <c r="G126" s="17">
        <v>269.80599999999998</v>
      </c>
      <c r="H126" s="17">
        <v>1.1080000000000001</v>
      </c>
      <c r="I126" s="10">
        <v>267.98099999999999</v>
      </c>
      <c r="J126" s="10">
        <v>268.03800000000001</v>
      </c>
      <c r="K126" s="19">
        <v>1.768</v>
      </c>
      <c r="L126" s="17">
        <v>11.205</v>
      </c>
      <c r="N126" s="12">
        <f t="shared" si="7"/>
        <v>21.25</v>
      </c>
      <c r="O126" s="8">
        <f t="shared" si="8"/>
        <v>131</v>
      </c>
      <c r="P126" s="8" t="str">
        <f t="shared" si="9"/>
        <v>21.25,131</v>
      </c>
      <c r="Q126" s="11" t="s">
        <v>10</v>
      </c>
      <c r="R126" s="8">
        <v>90</v>
      </c>
      <c r="S126" s="8">
        <v>2.5</v>
      </c>
      <c r="T126" s="8" t="str">
        <f t="shared" ref="T126:T150" si="12">$Q126&amp;" "&amp;$P126&amp;" "&amp;$S126&amp;" "&amp;$R126&amp;" "&amp;$J126</f>
        <v>-text 21.25,131 2.5 90 268.038</v>
      </c>
      <c r="U126" s="10"/>
    </row>
    <row r="127" spans="1:21" x14ac:dyDescent="0.25">
      <c r="A127" s="15">
        <v>284540</v>
      </c>
      <c r="B127" s="9">
        <v>1173947.3</v>
      </c>
      <c r="C127" s="10">
        <v>269.36900000000003</v>
      </c>
      <c r="D127" s="17">
        <v>270.53399999999999</v>
      </c>
      <c r="E127" s="17">
        <v>1.1639999999999999</v>
      </c>
      <c r="F127" s="10">
        <v>268.68099999999998</v>
      </c>
      <c r="G127" s="17">
        <v>269.82100000000003</v>
      </c>
      <c r="H127" s="17">
        <v>1.139</v>
      </c>
      <c r="I127" s="10">
        <v>267.67</v>
      </c>
      <c r="J127" s="10">
        <v>267.47699999999998</v>
      </c>
      <c r="K127" s="19">
        <v>2.343</v>
      </c>
      <c r="L127" s="17">
        <v>11.212</v>
      </c>
      <c r="N127" s="12">
        <f t="shared" si="7"/>
        <v>41.25</v>
      </c>
      <c r="O127" s="8">
        <f t="shared" si="8"/>
        <v>131</v>
      </c>
      <c r="P127" s="8" t="str">
        <f t="shared" si="9"/>
        <v>41.25,131</v>
      </c>
      <c r="Q127" s="11" t="s">
        <v>10</v>
      </c>
      <c r="R127" s="8">
        <v>90</v>
      </c>
      <c r="S127" s="8">
        <v>2.5</v>
      </c>
      <c r="T127" s="8" t="str">
        <f t="shared" si="12"/>
        <v>-text 41.25,131 2.5 90 267.477</v>
      </c>
      <c r="U127" s="10"/>
    </row>
    <row r="128" spans="1:21" x14ac:dyDescent="0.25">
      <c r="A128" s="15">
        <v>284560</v>
      </c>
      <c r="B128" s="9">
        <v>1173967.3</v>
      </c>
      <c r="C128" s="10">
        <v>269.36500000000001</v>
      </c>
      <c r="D128" s="17">
        <v>270.54899999999998</v>
      </c>
      <c r="E128" s="17">
        <v>1.1839999999999999</v>
      </c>
      <c r="F128" s="10">
        <v>268.67700000000002</v>
      </c>
      <c r="G128" s="17">
        <v>269.83600000000001</v>
      </c>
      <c r="H128" s="17">
        <v>1.159</v>
      </c>
      <c r="I128" s="10">
        <v>267.59399999999999</v>
      </c>
      <c r="J128" s="10">
        <v>267.88499999999999</v>
      </c>
      <c r="K128" s="19">
        <v>1.9510000000000001</v>
      </c>
      <c r="L128" s="17">
        <v>11.231999999999999</v>
      </c>
      <c r="N128" s="12">
        <f t="shared" si="7"/>
        <v>61.25</v>
      </c>
      <c r="O128" s="8">
        <f t="shared" si="8"/>
        <v>131</v>
      </c>
      <c r="P128" s="8" t="str">
        <f t="shared" si="9"/>
        <v>61.25,131</v>
      </c>
      <c r="Q128" s="11" t="s">
        <v>10</v>
      </c>
      <c r="R128" s="8">
        <v>90</v>
      </c>
      <c r="S128" s="8">
        <v>2.5</v>
      </c>
      <c r="T128" s="8" t="str">
        <f t="shared" si="12"/>
        <v>-text 61.25,131 2.5 90 267.885</v>
      </c>
      <c r="U128" s="10"/>
    </row>
    <row r="129" spans="1:21" x14ac:dyDescent="0.25">
      <c r="A129" s="15">
        <v>284580</v>
      </c>
      <c r="B129" s="9">
        <v>1173987.3</v>
      </c>
      <c r="C129" s="10">
        <v>269.34300000000002</v>
      </c>
      <c r="D129" s="17">
        <v>270.56400000000002</v>
      </c>
      <c r="E129" s="17">
        <v>1.22</v>
      </c>
      <c r="F129" s="10">
        <v>268.65499999999997</v>
      </c>
      <c r="G129" s="17">
        <v>269.851</v>
      </c>
      <c r="H129" s="17">
        <v>1.1950000000000001</v>
      </c>
      <c r="I129" s="10">
        <v>267.56799999999998</v>
      </c>
      <c r="J129" s="10">
        <v>268.01900000000001</v>
      </c>
      <c r="K129" s="19">
        <v>1.8320000000000001</v>
      </c>
      <c r="L129" s="17">
        <v>11.227</v>
      </c>
      <c r="N129" s="12">
        <f t="shared" si="7"/>
        <v>81.25</v>
      </c>
      <c r="O129" s="8">
        <f t="shared" si="8"/>
        <v>131</v>
      </c>
      <c r="P129" s="8" t="str">
        <f t="shared" si="9"/>
        <v>81.25,131</v>
      </c>
      <c r="Q129" s="11" t="s">
        <v>10</v>
      </c>
      <c r="R129" s="8">
        <v>90</v>
      </c>
      <c r="S129" s="8">
        <v>2.5</v>
      </c>
      <c r="T129" s="8" t="str">
        <f t="shared" si="12"/>
        <v>-text 81.25,131 2.5 90 268.019</v>
      </c>
      <c r="U129" s="10"/>
    </row>
    <row r="130" spans="1:21" x14ac:dyDescent="0.25">
      <c r="A130" s="15">
        <v>284600</v>
      </c>
      <c r="B130" s="9">
        <v>1174007.3</v>
      </c>
      <c r="C130" s="10">
        <v>269.31700000000001</v>
      </c>
      <c r="D130" s="17">
        <v>270.57799999999997</v>
      </c>
      <c r="E130" s="17">
        <v>1.262</v>
      </c>
      <c r="F130" s="10">
        <v>268.62900000000002</v>
      </c>
      <c r="G130" s="17">
        <v>269.86500000000001</v>
      </c>
      <c r="H130" s="17">
        <v>1.2370000000000001</v>
      </c>
      <c r="I130" s="10">
        <v>267.38499999999999</v>
      </c>
      <c r="J130" s="10">
        <v>267.601</v>
      </c>
      <c r="K130" s="19">
        <v>2.2650000000000001</v>
      </c>
      <c r="L130" s="17">
        <v>11.214</v>
      </c>
      <c r="N130" s="12">
        <f t="shared" si="7"/>
        <v>101.25</v>
      </c>
      <c r="O130" s="8">
        <f t="shared" si="8"/>
        <v>131</v>
      </c>
      <c r="P130" s="8" t="str">
        <f t="shared" si="9"/>
        <v>101.25,131</v>
      </c>
      <c r="Q130" s="11" t="s">
        <v>10</v>
      </c>
      <c r="R130" s="8">
        <v>90</v>
      </c>
      <c r="S130" s="8">
        <v>2.5</v>
      </c>
      <c r="T130" s="8" t="str">
        <f t="shared" si="12"/>
        <v>-text 101.25,131 2.5 90 267.601</v>
      </c>
      <c r="U130" s="10"/>
    </row>
    <row r="131" spans="1:21" x14ac:dyDescent="0.25">
      <c r="A131" s="15">
        <v>284620</v>
      </c>
      <c r="B131" s="9">
        <v>1174027.3</v>
      </c>
      <c r="C131" s="10">
        <v>269.29199999999997</v>
      </c>
      <c r="D131" s="17">
        <v>270.59300000000002</v>
      </c>
      <c r="E131" s="17">
        <v>1.3009999999999999</v>
      </c>
      <c r="F131" s="10">
        <v>268.60399999999998</v>
      </c>
      <c r="G131" s="17">
        <v>269.88</v>
      </c>
      <c r="H131" s="17">
        <v>1.276</v>
      </c>
      <c r="I131" s="10">
        <v>267.27999999999997</v>
      </c>
      <c r="J131" s="10">
        <v>267.60599999999999</v>
      </c>
      <c r="K131" s="19">
        <v>2.274</v>
      </c>
      <c r="L131" s="17">
        <v>11.208</v>
      </c>
      <c r="N131" s="12">
        <f t="shared" si="7"/>
        <v>121.25</v>
      </c>
      <c r="O131" s="8">
        <f t="shared" si="8"/>
        <v>131</v>
      </c>
      <c r="P131" s="8" t="str">
        <f t="shared" si="9"/>
        <v>121.25,131</v>
      </c>
      <c r="Q131" s="11" t="s">
        <v>10</v>
      </c>
      <c r="R131" s="8">
        <v>90</v>
      </c>
      <c r="S131" s="8">
        <v>2.5</v>
      </c>
      <c r="T131" s="8" t="str">
        <f t="shared" si="12"/>
        <v>-text 121.25,131 2.5 90 267.606</v>
      </c>
      <c r="U131" s="10"/>
    </row>
    <row r="132" spans="1:21" x14ac:dyDescent="0.25">
      <c r="A132" s="15">
        <v>284640</v>
      </c>
      <c r="B132" s="9">
        <v>1174047.3</v>
      </c>
      <c r="C132" s="10">
        <v>269.267</v>
      </c>
      <c r="D132" s="17">
        <v>270.608</v>
      </c>
      <c r="E132" s="17">
        <v>1.341</v>
      </c>
      <c r="F132" s="10">
        <v>268.57900000000001</v>
      </c>
      <c r="G132" s="17">
        <v>269.89499999999998</v>
      </c>
      <c r="H132" s="17">
        <v>1.3160000000000001</v>
      </c>
      <c r="I132" s="10">
        <v>267.05</v>
      </c>
      <c r="J132" s="10">
        <v>267.28500000000003</v>
      </c>
      <c r="K132" s="19">
        <v>2.6110000000000002</v>
      </c>
      <c r="L132" s="17">
        <v>11.202</v>
      </c>
      <c r="N132" s="12">
        <f t="shared" si="7"/>
        <v>141.25</v>
      </c>
      <c r="O132" s="8">
        <f t="shared" si="8"/>
        <v>131</v>
      </c>
      <c r="P132" s="8" t="str">
        <f t="shared" si="9"/>
        <v>141.25,131</v>
      </c>
      <c r="Q132" s="11" t="s">
        <v>10</v>
      </c>
      <c r="R132" s="8">
        <v>90</v>
      </c>
      <c r="S132" s="8">
        <v>2.5</v>
      </c>
      <c r="T132" s="8" t="str">
        <f t="shared" si="12"/>
        <v>-text 141.25,131 2.5 90 267.285</v>
      </c>
      <c r="U132" s="10"/>
    </row>
    <row r="133" spans="1:21" x14ac:dyDescent="0.25">
      <c r="A133" s="15">
        <v>284660</v>
      </c>
      <c r="B133" s="9">
        <v>1174067.3</v>
      </c>
      <c r="C133" s="10">
        <v>269.25299999999999</v>
      </c>
      <c r="D133" s="17">
        <v>270.62299999999999</v>
      </c>
      <c r="E133" s="17">
        <v>1.37</v>
      </c>
      <c r="F133" s="10">
        <v>268.565</v>
      </c>
      <c r="G133" s="17">
        <v>269.91000000000003</v>
      </c>
      <c r="H133" s="17">
        <v>1.345</v>
      </c>
      <c r="I133" s="10">
        <v>266.99700000000001</v>
      </c>
      <c r="J133" s="10">
        <v>267.05500000000001</v>
      </c>
      <c r="K133" s="19">
        <v>2.855</v>
      </c>
      <c r="L133" s="17">
        <v>11.194000000000001</v>
      </c>
      <c r="N133" s="12">
        <f t="shared" si="7"/>
        <v>161.25</v>
      </c>
      <c r="O133" s="8">
        <f t="shared" si="8"/>
        <v>131</v>
      </c>
      <c r="P133" s="8" t="str">
        <f t="shared" si="9"/>
        <v>161.25,131</v>
      </c>
      <c r="Q133" s="11" t="s">
        <v>10</v>
      </c>
      <c r="R133" s="8">
        <v>90</v>
      </c>
      <c r="S133" s="8">
        <v>2.5</v>
      </c>
      <c r="T133" s="8" t="str">
        <f t="shared" si="12"/>
        <v>-text 161.25,131 2.5 90 267.055</v>
      </c>
      <c r="U133" s="10"/>
    </row>
    <row r="134" spans="1:21" x14ac:dyDescent="0.25">
      <c r="A134" s="15">
        <v>284680</v>
      </c>
      <c r="B134" s="9">
        <v>1174087.3</v>
      </c>
      <c r="C134" s="10">
        <v>269.24299999999999</v>
      </c>
      <c r="D134" s="17">
        <v>270.63799999999998</v>
      </c>
      <c r="E134" s="17">
        <v>1.395</v>
      </c>
      <c r="F134" s="10">
        <v>268.55500000000001</v>
      </c>
      <c r="G134" s="17">
        <v>269.92500000000001</v>
      </c>
      <c r="H134" s="17">
        <v>1.37</v>
      </c>
      <c r="I134" s="10">
        <v>267.02699999999999</v>
      </c>
      <c r="J134" s="10">
        <v>267.53800000000001</v>
      </c>
      <c r="K134" s="19">
        <v>2.387</v>
      </c>
      <c r="L134" s="17">
        <v>11.183999999999999</v>
      </c>
      <c r="N134" s="12">
        <f t="shared" si="7"/>
        <v>181.25</v>
      </c>
      <c r="O134" s="8">
        <f t="shared" si="8"/>
        <v>131</v>
      </c>
      <c r="P134" s="8" t="str">
        <f t="shared" si="9"/>
        <v>181.25,131</v>
      </c>
      <c r="Q134" s="11" t="s">
        <v>10</v>
      </c>
      <c r="R134" s="8">
        <v>90</v>
      </c>
      <c r="S134" s="8">
        <v>2.5</v>
      </c>
      <c r="T134" s="8" t="str">
        <f t="shared" si="12"/>
        <v>-text 181.25,131 2.5 90 267.538</v>
      </c>
      <c r="U134" s="10"/>
    </row>
    <row r="135" spans="1:21" x14ac:dyDescent="0.25">
      <c r="A135" s="15">
        <v>284700</v>
      </c>
      <c r="B135" s="9">
        <v>1174107.3</v>
      </c>
      <c r="C135" s="10">
        <v>269.24700000000001</v>
      </c>
      <c r="D135" s="17">
        <v>270.65300000000002</v>
      </c>
      <c r="E135" s="17">
        <v>1.4059999999999999</v>
      </c>
      <c r="F135" s="10">
        <v>268.55900000000003</v>
      </c>
      <c r="G135" s="17">
        <v>269.94</v>
      </c>
      <c r="H135" s="17">
        <v>1.381</v>
      </c>
      <c r="I135" s="10">
        <v>266.952</v>
      </c>
      <c r="J135" s="10">
        <v>267.65300000000002</v>
      </c>
      <c r="K135" s="19">
        <v>2.2869999999999999</v>
      </c>
      <c r="L135" s="17">
        <v>11.178000000000001</v>
      </c>
      <c r="N135" s="12">
        <f t="shared" si="7"/>
        <v>201.25</v>
      </c>
      <c r="O135" s="8">
        <f t="shared" si="8"/>
        <v>131</v>
      </c>
      <c r="P135" s="8" t="str">
        <f t="shared" si="9"/>
        <v>201.25,131</v>
      </c>
      <c r="Q135" s="11" t="s">
        <v>10</v>
      </c>
      <c r="R135" s="8">
        <v>90</v>
      </c>
      <c r="S135" s="8">
        <v>2.5</v>
      </c>
      <c r="T135" s="8" t="str">
        <f t="shared" si="12"/>
        <v>-text 201.25,131 2.5 90 267.653</v>
      </c>
      <c r="U135" s="10"/>
    </row>
    <row r="136" spans="1:21" x14ac:dyDescent="0.25">
      <c r="A136" s="15">
        <v>284720</v>
      </c>
      <c r="B136" s="9">
        <v>1174127.3</v>
      </c>
      <c r="C136" s="10">
        <v>269.25900000000001</v>
      </c>
      <c r="D136" s="17">
        <v>270.66800000000001</v>
      </c>
      <c r="E136" s="17">
        <v>1.409</v>
      </c>
      <c r="F136" s="10">
        <v>268.57100000000003</v>
      </c>
      <c r="G136" s="17">
        <v>269.95499999999998</v>
      </c>
      <c r="H136" s="17">
        <v>1.3839999999999999</v>
      </c>
      <c r="I136" s="10">
        <v>266.935</v>
      </c>
      <c r="J136" s="10">
        <v>267.37400000000002</v>
      </c>
      <c r="K136" s="19">
        <v>2.581</v>
      </c>
      <c r="L136" s="17">
        <v>11.172000000000001</v>
      </c>
      <c r="N136" s="12">
        <f t="shared" si="7"/>
        <v>221.25</v>
      </c>
      <c r="O136" s="8">
        <f t="shared" si="8"/>
        <v>131</v>
      </c>
      <c r="P136" s="8" t="str">
        <f t="shared" si="9"/>
        <v>221.25,131</v>
      </c>
      <c r="Q136" s="11" t="s">
        <v>10</v>
      </c>
      <c r="R136" s="8">
        <v>90</v>
      </c>
      <c r="S136" s="8">
        <v>2.5</v>
      </c>
      <c r="T136" s="8" t="str">
        <f t="shared" si="12"/>
        <v>-text 221.25,131 2.5 90 267.374</v>
      </c>
      <c r="U136" s="10"/>
    </row>
    <row r="137" spans="1:21" x14ac:dyDescent="0.25">
      <c r="A137" s="15">
        <v>284740</v>
      </c>
      <c r="B137" s="9">
        <v>1174147.3</v>
      </c>
      <c r="C137" s="10">
        <v>269.24599999999998</v>
      </c>
      <c r="D137" s="17">
        <v>270.68299999999999</v>
      </c>
      <c r="E137" s="17">
        <v>1.4370000000000001</v>
      </c>
      <c r="F137" s="10">
        <v>268.55799999999999</v>
      </c>
      <c r="G137" s="17">
        <v>269.97000000000003</v>
      </c>
      <c r="H137" s="17">
        <v>1.4119999999999999</v>
      </c>
      <c r="I137" s="10">
        <v>266.82299999999998</v>
      </c>
      <c r="J137" s="10">
        <v>267.43</v>
      </c>
      <c r="K137" s="19">
        <v>2.54</v>
      </c>
      <c r="L137" s="17">
        <v>11.159000000000001</v>
      </c>
      <c r="N137" s="12">
        <f t="shared" si="7"/>
        <v>241.25</v>
      </c>
      <c r="O137" s="8">
        <f t="shared" si="8"/>
        <v>131</v>
      </c>
      <c r="P137" s="8" t="str">
        <f t="shared" si="9"/>
        <v>241.25,131</v>
      </c>
      <c r="Q137" s="11" t="s">
        <v>10</v>
      </c>
      <c r="R137" s="8">
        <v>90</v>
      </c>
      <c r="S137" s="8">
        <v>2.5</v>
      </c>
      <c r="T137" s="8" t="str">
        <f t="shared" si="12"/>
        <v>-text 241.25,131 2.5 90 267.43</v>
      </c>
      <c r="U137" s="10"/>
    </row>
    <row r="138" spans="1:21" x14ac:dyDescent="0.25">
      <c r="A138" s="15">
        <v>284760</v>
      </c>
      <c r="B138" s="9">
        <v>1174167.3</v>
      </c>
      <c r="C138" s="10">
        <v>269.21899999999999</v>
      </c>
      <c r="D138" s="17">
        <v>270.69799999999998</v>
      </c>
      <c r="E138" s="17">
        <v>1.478</v>
      </c>
      <c r="F138" s="10">
        <v>268.53100000000001</v>
      </c>
      <c r="G138" s="17">
        <v>269.98500000000001</v>
      </c>
      <c r="H138" s="17">
        <v>1.4530000000000001</v>
      </c>
      <c r="I138" s="10">
        <v>266.71300000000002</v>
      </c>
      <c r="J138" s="10">
        <v>267.46199999999999</v>
      </c>
      <c r="K138" s="19">
        <v>2.5230000000000001</v>
      </c>
      <c r="L138" s="17">
        <v>11.141</v>
      </c>
      <c r="N138" s="12">
        <f t="shared" ref="N138:N203" si="13">N137+(B138-B137)</f>
        <v>261.25</v>
      </c>
      <c r="O138" s="8">
        <f t="shared" ref="O138:O203" si="14">O137</f>
        <v>131</v>
      </c>
      <c r="P138" s="8" t="str">
        <f t="shared" ref="P138:P203" si="15">CONCATENATE(N138,",",O138)</f>
        <v>261.25,131</v>
      </c>
      <c r="Q138" s="11" t="s">
        <v>10</v>
      </c>
      <c r="R138" s="8">
        <v>90</v>
      </c>
      <c r="S138" s="8">
        <v>2.5</v>
      </c>
      <c r="T138" s="8" t="str">
        <f t="shared" si="12"/>
        <v>-text 261.25,131 2.5 90 267.462</v>
      </c>
      <c r="U138" s="10"/>
    </row>
    <row r="139" spans="1:21" x14ac:dyDescent="0.25">
      <c r="A139" s="15">
        <v>284780</v>
      </c>
      <c r="B139" s="9">
        <v>1174187.3</v>
      </c>
      <c r="C139" s="10">
        <v>269.19600000000003</v>
      </c>
      <c r="D139" s="17">
        <v>270.71199999999999</v>
      </c>
      <c r="E139" s="17">
        <v>1.516</v>
      </c>
      <c r="F139" s="10">
        <v>268.50799999999998</v>
      </c>
      <c r="G139" s="17">
        <v>269.99900000000002</v>
      </c>
      <c r="H139" s="17">
        <v>1.4910000000000001</v>
      </c>
      <c r="I139" s="10">
        <v>266.76100000000002</v>
      </c>
      <c r="J139" s="10">
        <v>267.69900000000001</v>
      </c>
      <c r="K139" s="19">
        <v>2.3010000000000002</v>
      </c>
      <c r="L139" s="17">
        <v>11.13</v>
      </c>
      <c r="N139" s="12">
        <f t="shared" si="13"/>
        <v>281.25</v>
      </c>
      <c r="O139" s="8">
        <f t="shared" si="14"/>
        <v>131</v>
      </c>
      <c r="P139" s="8" t="str">
        <f t="shared" si="15"/>
        <v>281.25,131</v>
      </c>
      <c r="Q139" s="11" t="s">
        <v>10</v>
      </c>
      <c r="R139" s="8">
        <v>90</v>
      </c>
      <c r="S139" s="8">
        <v>2.5</v>
      </c>
      <c r="T139" s="8" t="str">
        <f t="shared" si="12"/>
        <v>-text 281.25,131 2.5 90 267.699</v>
      </c>
      <c r="U139" s="10"/>
    </row>
    <row r="140" spans="1:21" x14ac:dyDescent="0.25">
      <c r="A140" s="15">
        <v>284800</v>
      </c>
      <c r="B140" s="9">
        <v>1174207.3</v>
      </c>
      <c r="C140" s="10">
        <v>269.18299999999999</v>
      </c>
      <c r="D140" s="17">
        <v>270.72699999999998</v>
      </c>
      <c r="E140" s="17">
        <v>1.544</v>
      </c>
      <c r="F140" s="10">
        <v>268.495</v>
      </c>
      <c r="G140" s="17">
        <v>270.01400000000001</v>
      </c>
      <c r="H140" s="17">
        <v>1.5189999999999999</v>
      </c>
      <c r="I140" s="10">
        <v>267.185</v>
      </c>
      <c r="J140" s="10">
        <v>267.83600000000001</v>
      </c>
      <c r="K140" s="19">
        <v>2.1779999999999999</v>
      </c>
      <c r="L140" s="17">
        <v>11.145</v>
      </c>
      <c r="N140" s="12">
        <f t="shared" si="13"/>
        <v>301.25</v>
      </c>
      <c r="O140" s="8">
        <f t="shared" si="14"/>
        <v>131</v>
      </c>
      <c r="P140" s="8" t="str">
        <f t="shared" si="15"/>
        <v>301.25,131</v>
      </c>
      <c r="Q140" s="11" t="s">
        <v>10</v>
      </c>
      <c r="R140" s="8">
        <v>90</v>
      </c>
      <c r="S140" s="8">
        <v>2.5</v>
      </c>
      <c r="T140" s="8" t="str">
        <f t="shared" si="12"/>
        <v>-text 301.25,131 2.5 90 267.836</v>
      </c>
      <c r="U140" s="10"/>
    </row>
    <row r="141" spans="1:21" x14ac:dyDescent="0.25">
      <c r="A141" s="15">
        <v>284820</v>
      </c>
      <c r="B141" s="9">
        <v>1174227.3</v>
      </c>
      <c r="C141" s="10">
        <v>269.20400000000001</v>
      </c>
      <c r="D141" s="17">
        <v>270.74200000000002</v>
      </c>
      <c r="E141" s="17">
        <v>1.538</v>
      </c>
      <c r="F141" s="10">
        <v>268.51600000000002</v>
      </c>
      <c r="G141" s="17">
        <v>270.029</v>
      </c>
      <c r="H141" s="17">
        <v>1.5129999999999999</v>
      </c>
      <c r="I141" s="10">
        <v>266.95499999999998</v>
      </c>
      <c r="J141" s="10">
        <v>268.101</v>
      </c>
      <c r="K141" s="19">
        <v>1.9279999999999999</v>
      </c>
      <c r="L141" s="17">
        <v>11.135999999999999</v>
      </c>
      <c r="N141" s="12">
        <f t="shared" si="13"/>
        <v>321.25</v>
      </c>
      <c r="O141" s="8">
        <f t="shared" si="14"/>
        <v>131</v>
      </c>
      <c r="P141" s="8" t="str">
        <f t="shared" si="15"/>
        <v>321.25,131</v>
      </c>
      <c r="Q141" s="11" t="s">
        <v>10</v>
      </c>
      <c r="R141" s="8">
        <v>90</v>
      </c>
      <c r="S141" s="8">
        <v>2.5</v>
      </c>
      <c r="T141" s="8" t="str">
        <f t="shared" si="12"/>
        <v>-text 321.25,131 2.5 90 268.101</v>
      </c>
      <c r="U141" s="10"/>
    </row>
    <row r="142" spans="1:21" x14ac:dyDescent="0.25">
      <c r="A142" s="15">
        <v>284840</v>
      </c>
      <c r="B142" s="9">
        <v>1174247.3</v>
      </c>
      <c r="C142" s="10">
        <v>269.28199999999998</v>
      </c>
      <c r="D142" s="17">
        <v>270.75700000000001</v>
      </c>
      <c r="E142" s="17">
        <v>1.4750000000000001</v>
      </c>
      <c r="F142" s="10">
        <v>268.59399999999999</v>
      </c>
      <c r="G142" s="17">
        <v>270.04399999999998</v>
      </c>
      <c r="H142" s="17">
        <v>1.45</v>
      </c>
      <c r="I142" s="10">
        <v>267.40600000000001</v>
      </c>
      <c r="J142" s="10">
        <v>268.02800000000002</v>
      </c>
      <c r="K142" s="19">
        <v>2.016</v>
      </c>
      <c r="L142" s="17">
        <v>11.087</v>
      </c>
      <c r="N142" s="12">
        <f t="shared" si="13"/>
        <v>341.25</v>
      </c>
      <c r="O142" s="8">
        <f t="shared" si="14"/>
        <v>131</v>
      </c>
      <c r="P142" s="8" t="str">
        <f t="shared" si="15"/>
        <v>341.25,131</v>
      </c>
      <c r="Q142" s="11" t="s">
        <v>10</v>
      </c>
      <c r="R142" s="8">
        <v>90</v>
      </c>
      <c r="S142" s="8">
        <v>2.5</v>
      </c>
      <c r="T142" s="8" t="str">
        <f t="shared" si="12"/>
        <v>-text 341.25,131 2.5 90 268.028</v>
      </c>
      <c r="U142" s="10"/>
    </row>
    <row r="143" spans="1:21" x14ac:dyDescent="0.25">
      <c r="A143" s="15">
        <v>284860</v>
      </c>
      <c r="B143" s="9">
        <v>1174267.3</v>
      </c>
      <c r="C143" s="10">
        <v>269.33699999999999</v>
      </c>
      <c r="D143" s="17">
        <v>270.77199999999999</v>
      </c>
      <c r="E143" s="17">
        <v>1.4350000000000001</v>
      </c>
      <c r="F143" s="10">
        <v>268.649</v>
      </c>
      <c r="G143" s="17">
        <v>270.05900000000003</v>
      </c>
      <c r="H143" s="17">
        <v>1.41</v>
      </c>
      <c r="I143" s="10">
        <v>267.40300000000002</v>
      </c>
      <c r="J143" s="10">
        <v>267.92399999999998</v>
      </c>
      <c r="K143" s="19">
        <v>2.1349999999999998</v>
      </c>
      <c r="L143" s="17">
        <v>11.048</v>
      </c>
      <c r="N143" s="12">
        <f t="shared" si="13"/>
        <v>361.25</v>
      </c>
      <c r="O143" s="8">
        <f t="shared" si="14"/>
        <v>131</v>
      </c>
      <c r="P143" s="8" t="str">
        <f t="shared" si="15"/>
        <v>361.25,131</v>
      </c>
      <c r="Q143" s="11" t="s">
        <v>10</v>
      </c>
      <c r="R143" s="8">
        <v>90</v>
      </c>
      <c r="S143" s="8">
        <v>2.5</v>
      </c>
      <c r="T143" s="8" t="str">
        <f t="shared" si="12"/>
        <v>-text 361.25,131 2.5 90 267.924</v>
      </c>
      <c r="U143" s="10"/>
    </row>
    <row r="144" spans="1:21" x14ac:dyDescent="0.25">
      <c r="A144" s="15">
        <v>284880</v>
      </c>
      <c r="B144" s="9">
        <v>1174287.3</v>
      </c>
      <c r="C144" s="10">
        <v>269.34100000000001</v>
      </c>
      <c r="D144" s="17">
        <v>270.78699999999998</v>
      </c>
      <c r="E144" s="17">
        <v>1.4450000000000001</v>
      </c>
      <c r="F144" s="10">
        <v>268.65300000000002</v>
      </c>
      <c r="G144" s="17">
        <v>270.07400000000001</v>
      </c>
      <c r="H144" s="17">
        <v>1.42</v>
      </c>
      <c r="I144" s="10">
        <v>267.245</v>
      </c>
      <c r="J144" s="10">
        <v>267.91199999999998</v>
      </c>
      <c r="K144" s="19">
        <v>2.1619999999999999</v>
      </c>
      <c r="L144" s="17">
        <v>11.032999999999999</v>
      </c>
      <c r="N144" s="12">
        <f t="shared" si="13"/>
        <v>381.25</v>
      </c>
      <c r="O144" s="8">
        <f t="shared" si="14"/>
        <v>131</v>
      </c>
      <c r="P144" s="8" t="str">
        <f t="shared" si="15"/>
        <v>381.25,131</v>
      </c>
      <c r="Q144" s="11" t="s">
        <v>10</v>
      </c>
      <c r="R144" s="8">
        <v>90</v>
      </c>
      <c r="S144" s="8">
        <v>2.5</v>
      </c>
      <c r="T144" s="8" t="str">
        <f t="shared" si="12"/>
        <v>-text 381.25,131 2.5 90 267.912</v>
      </c>
      <c r="U144" s="10"/>
    </row>
    <row r="145" spans="1:21" x14ac:dyDescent="0.25">
      <c r="A145" s="15">
        <v>284900</v>
      </c>
      <c r="B145" s="9">
        <v>1174307.3</v>
      </c>
      <c r="C145" s="10">
        <v>269.34899999999999</v>
      </c>
      <c r="D145" s="17">
        <v>270.80200000000002</v>
      </c>
      <c r="E145" s="17">
        <v>1.4530000000000001</v>
      </c>
      <c r="F145" s="10">
        <v>268.661</v>
      </c>
      <c r="G145" s="17">
        <v>270.089</v>
      </c>
      <c r="H145" s="17">
        <v>1.4279999999999999</v>
      </c>
      <c r="I145" s="10">
        <v>266.99799999999999</v>
      </c>
      <c r="J145" s="10">
        <v>267.875</v>
      </c>
      <c r="K145" s="19">
        <v>2.2130000000000001</v>
      </c>
      <c r="L145" s="17">
        <v>11.022</v>
      </c>
      <c r="N145" s="12">
        <f t="shared" si="13"/>
        <v>401.25</v>
      </c>
      <c r="O145" s="8">
        <f t="shared" si="14"/>
        <v>131</v>
      </c>
      <c r="P145" s="8" t="str">
        <f t="shared" si="15"/>
        <v>401.25,131</v>
      </c>
      <c r="Q145" s="11" t="s">
        <v>10</v>
      </c>
      <c r="R145" s="8">
        <v>90</v>
      </c>
      <c r="S145" s="8">
        <v>2.5</v>
      </c>
      <c r="T145" s="8" t="str">
        <f t="shared" si="12"/>
        <v>-text 401.25,131 2.5 90 267.875</v>
      </c>
      <c r="U145" s="10"/>
    </row>
    <row r="146" spans="1:21" x14ac:dyDescent="0.25">
      <c r="A146" s="15">
        <v>284920</v>
      </c>
      <c r="B146" s="9">
        <v>1174327.3</v>
      </c>
      <c r="C146" s="10">
        <v>269.36</v>
      </c>
      <c r="D146" s="17">
        <v>270.81700000000001</v>
      </c>
      <c r="E146" s="17">
        <v>1.456</v>
      </c>
      <c r="F146" s="10">
        <v>268.67200000000003</v>
      </c>
      <c r="G146" s="17">
        <v>270.10399999999998</v>
      </c>
      <c r="H146" s="17">
        <v>1.431</v>
      </c>
      <c r="I146" s="10">
        <v>266.73700000000002</v>
      </c>
      <c r="J146" s="10">
        <v>267.83499999999998</v>
      </c>
      <c r="K146" s="19">
        <v>2.2690000000000001</v>
      </c>
      <c r="L146" s="17">
        <v>11.016999999999999</v>
      </c>
      <c r="N146" s="12">
        <f t="shared" si="13"/>
        <v>421.25</v>
      </c>
      <c r="O146" s="8">
        <f t="shared" si="14"/>
        <v>131</v>
      </c>
      <c r="P146" s="8" t="str">
        <f t="shared" si="15"/>
        <v>421.25,131</v>
      </c>
      <c r="Q146" s="11" t="s">
        <v>10</v>
      </c>
      <c r="R146" s="8">
        <v>90</v>
      </c>
      <c r="S146" s="8">
        <v>2.5</v>
      </c>
      <c r="T146" s="8" t="str">
        <f t="shared" si="12"/>
        <v>-text 421.25,131 2.5 90 267.835</v>
      </c>
      <c r="U146" s="10"/>
    </row>
    <row r="147" spans="1:21" x14ac:dyDescent="0.25">
      <c r="A147" s="15">
        <v>284940</v>
      </c>
      <c r="B147" s="9">
        <v>1174347.3</v>
      </c>
      <c r="C147" s="10">
        <v>269.37</v>
      </c>
      <c r="D147" s="17">
        <v>270.83199999999999</v>
      </c>
      <c r="E147" s="17">
        <v>1.4610000000000001</v>
      </c>
      <c r="F147" s="10">
        <v>268.68200000000002</v>
      </c>
      <c r="G147" s="17">
        <v>270.11900000000003</v>
      </c>
      <c r="H147" s="17">
        <v>1.4359999999999999</v>
      </c>
      <c r="I147" s="10">
        <v>266.60899999999998</v>
      </c>
      <c r="J147" s="10">
        <v>267.85899999999998</v>
      </c>
      <c r="K147" s="19">
        <v>2.2599999999999998</v>
      </c>
      <c r="L147" s="17">
        <v>11.012</v>
      </c>
      <c r="N147" s="12">
        <f t="shared" si="13"/>
        <v>441.25</v>
      </c>
      <c r="O147" s="8">
        <f t="shared" si="14"/>
        <v>131</v>
      </c>
      <c r="P147" s="8" t="str">
        <f t="shared" si="15"/>
        <v>441.25,131</v>
      </c>
      <c r="Q147" s="11" t="s">
        <v>10</v>
      </c>
      <c r="R147" s="8">
        <v>90</v>
      </c>
      <c r="S147" s="8">
        <v>2.5</v>
      </c>
      <c r="T147" s="8" t="str">
        <f t="shared" si="12"/>
        <v>-text 441.25,131 2.5 90 267.859</v>
      </c>
      <c r="U147" s="10"/>
    </row>
    <row r="148" spans="1:21" x14ac:dyDescent="0.25">
      <c r="A148" s="15">
        <v>284960</v>
      </c>
      <c r="B148" s="9">
        <v>1174367.3</v>
      </c>
      <c r="C148" s="10">
        <v>269.35300000000001</v>
      </c>
      <c r="D148" s="17">
        <v>270.846</v>
      </c>
      <c r="E148" s="17">
        <v>1.4930000000000001</v>
      </c>
      <c r="F148" s="10">
        <v>268.66500000000002</v>
      </c>
      <c r="G148" s="17">
        <v>270.13299999999998</v>
      </c>
      <c r="H148" s="17">
        <v>1.468</v>
      </c>
      <c r="I148" s="10">
        <v>267.27499999999998</v>
      </c>
      <c r="J148" s="10">
        <v>268.11</v>
      </c>
      <c r="K148" s="19">
        <v>2.024</v>
      </c>
      <c r="L148" s="17">
        <v>11.016</v>
      </c>
      <c r="N148" s="12">
        <f t="shared" si="13"/>
        <v>461.25</v>
      </c>
      <c r="O148" s="8">
        <f t="shared" si="14"/>
        <v>131</v>
      </c>
      <c r="P148" s="8" t="str">
        <f t="shared" si="15"/>
        <v>461.25,131</v>
      </c>
      <c r="Q148" s="11" t="s">
        <v>10</v>
      </c>
      <c r="R148" s="8">
        <v>90</v>
      </c>
      <c r="S148" s="8">
        <v>2.5</v>
      </c>
      <c r="T148" s="8" t="str">
        <f t="shared" si="12"/>
        <v>-text 461.25,131 2.5 90 268.11</v>
      </c>
      <c r="U148" s="10"/>
    </row>
    <row r="149" spans="1:21" x14ac:dyDescent="0.25">
      <c r="A149" s="15">
        <v>284980</v>
      </c>
      <c r="B149" s="9">
        <v>1174387.3</v>
      </c>
      <c r="C149" s="10">
        <v>269.33699999999999</v>
      </c>
      <c r="D149" s="17">
        <v>270.86099999999999</v>
      </c>
      <c r="E149" s="17">
        <v>1.5249999999999999</v>
      </c>
      <c r="F149" s="10">
        <v>268.649</v>
      </c>
      <c r="G149" s="17">
        <v>270.14800000000002</v>
      </c>
      <c r="H149" s="17">
        <v>1.5</v>
      </c>
      <c r="I149" s="10">
        <v>267.93700000000001</v>
      </c>
      <c r="J149" s="10">
        <v>268.255</v>
      </c>
      <c r="K149" s="19">
        <v>1.893</v>
      </c>
      <c r="L149" s="17">
        <v>11.019</v>
      </c>
      <c r="N149" s="12">
        <f t="shared" si="13"/>
        <v>481.25</v>
      </c>
      <c r="O149" s="8">
        <f t="shared" si="14"/>
        <v>131</v>
      </c>
      <c r="P149" s="8" t="str">
        <f t="shared" si="15"/>
        <v>481.25,131</v>
      </c>
      <c r="Q149" s="11" t="s">
        <v>10</v>
      </c>
      <c r="R149" s="8">
        <v>90</v>
      </c>
      <c r="S149" s="8">
        <v>2.5</v>
      </c>
      <c r="T149" s="8" t="str">
        <f t="shared" si="12"/>
        <v>-text 481.25,131 2.5 90 268.255</v>
      </c>
      <c r="U149" s="10"/>
    </row>
    <row r="150" spans="1:21" x14ac:dyDescent="0.25">
      <c r="A150" s="15">
        <v>285000</v>
      </c>
      <c r="B150" s="9">
        <v>1174407.3</v>
      </c>
      <c r="C150" s="10">
        <v>269.35300000000001</v>
      </c>
      <c r="D150" s="17">
        <v>270.87599999999998</v>
      </c>
      <c r="E150" s="17">
        <v>1.5229999999999999</v>
      </c>
      <c r="F150" s="10">
        <v>268.66500000000002</v>
      </c>
      <c r="G150" s="17">
        <v>270.16300000000001</v>
      </c>
      <c r="H150" s="17">
        <v>1.498</v>
      </c>
      <c r="I150" s="10">
        <v>268.59199999999998</v>
      </c>
      <c r="J150" s="10">
        <v>268.63799999999998</v>
      </c>
      <c r="K150" s="19">
        <v>1.5249999999999999</v>
      </c>
      <c r="L150" s="17">
        <v>11.018000000000001</v>
      </c>
      <c r="N150" s="12">
        <f t="shared" si="13"/>
        <v>501.25</v>
      </c>
      <c r="O150" s="8">
        <f t="shared" si="14"/>
        <v>131</v>
      </c>
      <c r="P150" s="8" t="str">
        <f t="shared" si="15"/>
        <v>501.25,131</v>
      </c>
      <c r="Q150" s="11" t="s">
        <v>10</v>
      </c>
      <c r="R150" s="8">
        <v>90</v>
      </c>
      <c r="S150" s="8">
        <v>2.5</v>
      </c>
      <c r="T150" s="8" t="str">
        <f t="shared" si="12"/>
        <v>-text 501.25,131 2.5 90 268.638</v>
      </c>
      <c r="U150" s="10"/>
    </row>
    <row r="151" spans="1:21" x14ac:dyDescent="0.25">
      <c r="A151" s="15"/>
      <c r="N151" s="12"/>
      <c r="Q151" s="11"/>
      <c r="U151" s="10"/>
    </row>
    <row r="152" spans="1:21" x14ac:dyDescent="0.25">
      <c r="A152" s="15">
        <v>285000</v>
      </c>
      <c r="B152" s="9">
        <v>1174407.3</v>
      </c>
      <c r="C152" s="10">
        <v>269.35300000000001</v>
      </c>
      <c r="D152" s="17">
        <v>270.87599999999998</v>
      </c>
      <c r="E152" s="17">
        <v>1.5229999999999999</v>
      </c>
      <c r="F152" s="10">
        <v>268.66500000000002</v>
      </c>
      <c r="G152" s="17">
        <v>270.16300000000001</v>
      </c>
      <c r="H152" s="17">
        <v>1.498</v>
      </c>
      <c r="I152" s="10">
        <v>268.59199999999998</v>
      </c>
      <c r="J152" s="10">
        <v>268.63799999999998</v>
      </c>
      <c r="K152" s="19">
        <v>1.5249999999999999</v>
      </c>
      <c r="L152" s="17">
        <v>11.018000000000001</v>
      </c>
      <c r="N152" s="12">
        <v>1.25</v>
      </c>
      <c r="O152" s="8">
        <v>131</v>
      </c>
      <c r="P152" s="8" t="str">
        <f t="shared" si="15"/>
        <v>1.25,131</v>
      </c>
      <c r="Q152" s="11" t="s">
        <v>10</v>
      </c>
      <c r="R152" s="8">
        <v>90</v>
      </c>
      <c r="S152" s="8">
        <v>2.5</v>
      </c>
      <c r="T152" s="8" t="str">
        <f>$Q152&amp;" "&amp;$P152&amp;" "&amp;$S152&amp;" "&amp;$R152&amp;" "&amp;$L152</f>
        <v>-text 1.25,131 2.5 90 11.018</v>
      </c>
      <c r="U152" s="10"/>
    </row>
    <row r="153" spans="1:21" x14ac:dyDescent="0.25">
      <c r="A153" s="15">
        <v>285020</v>
      </c>
      <c r="B153" s="9">
        <v>1174427.3</v>
      </c>
      <c r="C153" s="10">
        <v>269.37599999999998</v>
      </c>
      <c r="D153" s="17">
        <v>270.89100000000002</v>
      </c>
      <c r="E153" s="17">
        <v>1.5149999999999999</v>
      </c>
      <c r="F153" s="10">
        <v>268.68799999999999</v>
      </c>
      <c r="G153" s="17">
        <v>270.178</v>
      </c>
      <c r="H153" s="17">
        <v>1.49</v>
      </c>
      <c r="I153" s="10">
        <v>269.07600000000002</v>
      </c>
      <c r="J153" s="10">
        <v>268.95800000000003</v>
      </c>
      <c r="K153" s="19">
        <v>1.22</v>
      </c>
      <c r="L153" s="17">
        <v>11.016</v>
      </c>
      <c r="N153" s="12">
        <f t="shared" si="13"/>
        <v>21.25</v>
      </c>
      <c r="O153" s="8">
        <f t="shared" si="14"/>
        <v>131</v>
      </c>
      <c r="P153" s="8" t="str">
        <f t="shared" si="15"/>
        <v>21.25,131</v>
      </c>
      <c r="Q153" s="11" t="s">
        <v>10</v>
      </c>
      <c r="R153" s="8">
        <v>90</v>
      </c>
      <c r="S153" s="8">
        <v>2.5</v>
      </c>
      <c r="T153" s="8" t="str">
        <f t="shared" ref="T153:T177" si="16">$Q153&amp;" "&amp;$P153&amp;" "&amp;$S153&amp;" "&amp;$R153&amp;" "&amp;$J153</f>
        <v>-text 21.25,131 2.5 90 268.958</v>
      </c>
      <c r="U153" s="10"/>
    </row>
    <row r="154" spans="1:21" x14ac:dyDescent="0.25">
      <c r="A154" s="15">
        <v>285040</v>
      </c>
      <c r="B154" s="9">
        <v>1174447.3</v>
      </c>
      <c r="C154" s="10">
        <v>269.404</v>
      </c>
      <c r="D154" s="17">
        <v>270.90600000000001</v>
      </c>
      <c r="E154" s="17">
        <v>1.5009999999999999</v>
      </c>
      <c r="F154" s="10">
        <v>268.71600000000001</v>
      </c>
      <c r="G154" s="17">
        <v>270.19299999999998</v>
      </c>
      <c r="H154" s="17">
        <v>1.476</v>
      </c>
      <c r="I154" s="10">
        <v>269.39600000000002</v>
      </c>
      <c r="J154" s="10">
        <v>269.28500000000003</v>
      </c>
      <c r="K154" s="19">
        <v>0.90800000000000003</v>
      </c>
      <c r="L154" s="17">
        <v>11.016999999999999</v>
      </c>
      <c r="N154" s="12">
        <f t="shared" si="13"/>
        <v>41.25</v>
      </c>
      <c r="O154" s="8">
        <f t="shared" si="14"/>
        <v>131</v>
      </c>
      <c r="P154" s="8" t="str">
        <f t="shared" si="15"/>
        <v>41.25,131</v>
      </c>
      <c r="Q154" s="11" t="s">
        <v>10</v>
      </c>
      <c r="R154" s="8">
        <v>90</v>
      </c>
      <c r="S154" s="8">
        <v>2.5</v>
      </c>
      <c r="T154" s="8" t="str">
        <f t="shared" si="16"/>
        <v>-text 41.25,131 2.5 90 269.285</v>
      </c>
      <c r="U154" s="10"/>
    </row>
    <row r="155" spans="1:21" x14ac:dyDescent="0.25">
      <c r="A155" s="15">
        <v>285060</v>
      </c>
      <c r="B155" s="9">
        <v>1174467.3</v>
      </c>
      <c r="C155" s="10">
        <v>269.435</v>
      </c>
      <c r="D155" s="17">
        <v>270.92099999999999</v>
      </c>
      <c r="E155" s="17">
        <v>1.486</v>
      </c>
      <c r="F155" s="10">
        <v>268.74700000000001</v>
      </c>
      <c r="G155" s="17">
        <v>270.20800000000003</v>
      </c>
      <c r="H155" s="17">
        <v>1.4610000000000001</v>
      </c>
      <c r="I155" s="10">
        <v>269.58</v>
      </c>
      <c r="J155" s="10">
        <v>269.72899999999998</v>
      </c>
      <c r="K155" s="19">
        <v>0.47899999999999998</v>
      </c>
      <c r="L155" s="17">
        <v>11.018000000000001</v>
      </c>
      <c r="N155" s="12">
        <f t="shared" si="13"/>
        <v>61.25</v>
      </c>
      <c r="O155" s="8">
        <f t="shared" si="14"/>
        <v>131</v>
      </c>
      <c r="P155" s="8" t="str">
        <f t="shared" si="15"/>
        <v>61.25,131</v>
      </c>
      <c r="Q155" s="11" t="s">
        <v>10</v>
      </c>
      <c r="R155" s="8">
        <v>90</v>
      </c>
      <c r="S155" s="8">
        <v>2.5</v>
      </c>
      <c r="T155" s="8" t="str">
        <f t="shared" si="16"/>
        <v>-text 61.25,131 2.5 90 269.729</v>
      </c>
      <c r="U155" s="10"/>
    </row>
    <row r="156" spans="1:21" x14ac:dyDescent="0.25">
      <c r="A156" s="15">
        <v>285080</v>
      </c>
      <c r="B156" s="9">
        <v>1174487.3</v>
      </c>
      <c r="C156" s="10">
        <v>269.46100000000001</v>
      </c>
      <c r="D156" s="17">
        <v>270.93599999999998</v>
      </c>
      <c r="E156" s="17">
        <v>1.474</v>
      </c>
      <c r="F156" s="10">
        <v>268.77300000000002</v>
      </c>
      <c r="G156" s="17">
        <v>270.22300000000001</v>
      </c>
      <c r="H156" s="17">
        <v>1.4490000000000001</v>
      </c>
      <c r="I156" s="10">
        <v>269.15100000000001</v>
      </c>
      <c r="J156" s="10">
        <v>269.89299999999997</v>
      </c>
      <c r="K156" s="19">
        <v>0.33</v>
      </c>
      <c r="L156" s="17">
        <v>11.013999999999999</v>
      </c>
      <c r="N156" s="12">
        <f t="shared" si="13"/>
        <v>81.25</v>
      </c>
      <c r="O156" s="8">
        <f t="shared" si="14"/>
        <v>131</v>
      </c>
      <c r="P156" s="8" t="str">
        <f t="shared" si="15"/>
        <v>81.25,131</v>
      </c>
      <c r="Q156" s="11" t="s">
        <v>10</v>
      </c>
      <c r="R156" s="8">
        <v>90</v>
      </c>
      <c r="S156" s="8">
        <v>2.5</v>
      </c>
      <c r="T156" s="8" t="str">
        <f t="shared" si="16"/>
        <v>-text 81.25,131 2.5 90 269.893</v>
      </c>
      <c r="U156" s="10"/>
    </row>
    <row r="157" spans="1:21" x14ac:dyDescent="0.25">
      <c r="A157" s="15">
        <v>285100</v>
      </c>
      <c r="B157" s="9">
        <v>1174507.3</v>
      </c>
      <c r="C157" s="10">
        <v>269.48500000000001</v>
      </c>
      <c r="D157" s="17">
        <v>270.95100000000002</v>
      </c>
      <c r="E157" s="17">
        <v>1.466</v>
      </c>
      <c r="F157" s="10">
        <v>268.79700000000003</v>
      </c>
      <c r="G157" s="17">
        <v>270.238</v>
      </c>
      <c r="H157" s="17">
        <v>1.4410000000000001</v>
      </c>
      <c r="I157" s="10">
        <v>268.541</v>
      </c>
      <c r="J157" s="10">
        <v>269.86599999999999</v>
      </c>
      <c r="K157" s="19">
        <v>0.371</v>
      </c>
      <c r="L157" s="17">
        <v>11.004</v>
      </c>
      <c r="N157" s="12">
        <f t="shared" si="13"/>
        <v>101.25</v>
      </c>
      <c r="O157" s="8">
        <f t="shared" si="14"/>
        <v>131</v>
      </c>
      <c r="P157" s="8" t="str">
        <f t="shared" si="15"/>
        <v>101.25,131</v>
      </c>
      <c r="Q157" s="11" t="s">
        <v>10</v>
      </c>
      <c r="R157" s="8">
        <v>90</v>
      </c>
      <c r="S157" s="8">
        <v>2.5</v>
      </c>
      <c r="T157" s="8" t="str">
        <f t="shared" si="16"/>
        <v>-text 101.25,131 2.5 90 269.866</v>
      </c>
      <c r="U157" s="10"/>
    </row>
    <row r="158" spans="1:21" x14ac:dyDescent="0.25">
      <c r="A158" s="15">
        <v>285120</v>
      </c>
      <c r="B158" s="9">
        <v>1174527.3</v>
      </c>
      <c r="C158" s="10">
        <v>269.50900000000001</v>
      </c>
      <c r="D158" s="17">
        <v>270.96499999999997</v>
      </c>
      <c r="E158" s="17">
        <v>1.4570000000000001</v>
      </c>
      <c r="F158" s="10">
        <v>268.82100000000003</v>
      </c>
      <c r="G158" s="17">
        <v>270.25200000000001</v>
      </c>
      <c r="H158" s="17">
        <v>1.4319999999999999</v>
      </c>
      <c r="I158" s="10">
        <v>267.49099999999999</v>
      </c>
      <c r="J158" s="10">
        <v>269.435</v>
      </c>
      <c r="K158" s="19">
        <v>0.81699999999999995</v>
      </c>
      <c r="L158" s="17">
        <v>10.994999999999999</v>
      </c>
      <c r="N158" s="12">
        <f t="shared" si="13"/>
        <v>121.25</v>
      </c>
      <c r="O158" s="8">
        <f t="shared" si="14"/>
        <v>131</v>
      </c>
      <c r="P158" s="8" t="str">
        <f t="shared" si="15"/>
        <v>121.25,131</v>
      </c>
      <c r="Q158" s="11" t="s">
        <v>10</v>
      </c>
      <c r="R158" s="8">
        <v>90</v>
      </c>
      <c r="S158" s="8">
        <v>2.5</v>
      </c>
      <c r="T158" s="8" t="str">
        <f t="shared" si="16"/>
        <v>-text 121.25,131 2.5 90 269.435</v>
      </c>
      <c r="U158" s="10"/>
    </row>
    <row r="159" spans="1:21" x14ac:dyDescent="0.25">
      <c r="A159" s="15">
        <v>285140</v>
      </c>
      <c r="B159" s="9">
        <v>1174547.3</v>
      </c>
      <c r="C159" s="10">
        <v>269.529</v>
      </c>
      <c r="D159" s="17">
        <v>270.98</v>
      </c>
      <c r="E159" s="17">
        <v>1.452</v>
      </c>
      <c r="F159" s="10">
        <v>268.84100000000001</v>
      </c>
      <c r="G159" s="17">
        <v>270.267</v>
      </c>
      <c r="H159" s="17">
        <v>1.427</v>
      </c>
      <c r="I159" s="10">
        <v>266.72000000000003</v>
      </c>
      <c r="J159" s="10">
        <v>268.51499999999999</v>
      </c>
      <c r="K159" s="19">
        <v>1.752</v>
      </c>
      <c r="L159" s="17">
        <v>10.994999999999999</v>
      </c>
      <c r="N159" s="12">
        <f t="shared" si="13"/>
        <v>141.25</v>
      </c>
      <c r="O159" s="8">
        <f t="shared" si="14"/>
        <v>131</v>
      </c>
      <c r="P159" s="8" t="str">
        <f t="shared" si="15"/>
        <v>141.25,131</v>
      </c>
      <c r="Q159" s="11" t="s">
        <v>10</v>
      </c>
      <c r="R159" s="8">
        <v>90</v>
      </c>
      <c r="S159" s="8">
        <v>2.5</v>
      </c>
      <c r="T159" s="8" t="str">
        <f t="shared" si="16"/>
        <v>-text 141.25,131 2.5 90 268.515</v>
      </c>
      <c r="U159" s="10"/>
    </row>
    <row r="160" spans="1:21" x14ac:dyDescent="0.25">
      <c r="A160" s="15">
        <v>285160</v>
      </c>
      <c r="B160" s="9">
        <v>1174567.3</v>
      </c>
      <c r="C160" s="10">
        <v>269.548</v>
      </c>
      <c r="D160" s="17">
        <v>270.995</v>
      </c>
      <c r="E160" s="17">
        <v>1.4470000000000001</v>
      </c>
      <c r="F160" s="10">
        <v>268.86</v>
      </c>
      <c r="G160" s="17">
        <v>270.28199999999998</v>
      </c>
      <c r="H160" s="17">
        <v>1.4219999999999999</v>
      </c>
      <c r="I160" s="10">
        <v>266.65699999999998</v>
      </c>
      <c r="J160" s="10">
        <v>267.62099999999998</v>
      </c>
      <c r="K160" s="19">
        <v>2.6619999999999999</v>
      </c>
      <c r="L160" s="17">
        <v>10.996</v>
      </c>
      <c r="N160" s="12">
        <f t="shared" si="13"/>
        <v>161.25</v>
      </c>
      <c r="O160" s="8">
        <f t="shared" si="14"/>
        <v>131</v>
      </c>
      <c r="P160" s="8" t="str">
        <f t="shared" si="15"/>
        <v>161.25,131</v>
      </c>
      <c r="Q160" s="11" t="s">
        <v>10</v>
      </c>
      <c r="R160" s="8">
        <v>90</v>
      </c>
      <c r="S160" s="8">
        <v>2.5</v>
      </c>
      <c r="T160" s="8" t="str">
        <f t="shared" si="16"/>
        <v>-text 161.25,131 2.5 90 267.621</v>
      </c>
      <c r="U160" s="10"/>
    </row>
    <row r="161" spans="1:21" x14ac:dyDescent="0.25">
      <c r="A161" s="15">
        <v>285180</v>
      </c>
      <c r="B161" s="9">
        <v>1174587.3</v>
      </c>
      <c r="C161" s="10">
        <v>269.572</v>
      </c>
      <c r="D161" s="17">
        <v>271.01</v>
      </c>
      <c r="E161" s="17">
        <v>1.4379999999999999</v>
      </c>
      <c r="F161" s="10">
        <v>268.88400000000001</v>
      </c>
      <c r="G161" s="17">
        <v>270.29700000000003</v>
      </c>
      <c r="H161" s="17">
        <v>1.413</v>
      </c>
      <c r="I161" s="10">
        <v>266.82900000000001</v>
      </c>
      <c r="J161" s="10">
        <v>267.529</v>
      </c>
      <c r="K161" s="19">
        <v>2.7690000000000001</v>
      </c>
      <c r="L161" s="17">
        <v>10.994</v>
      </c>
      <c r="N161" s="12">
        <f t="shared" si="13"/>
        <v>181.25</v>
      </c>
      <c r="O161" s="8">
        <f t="shared" si="14"/>
        <v>131</v>
      </c>
      <c r="P161" s="8" t="str">
        <f t="shared" si="15"/>
        <v>181.25,131</v>
      </c>
      <c r="Q161" s="11" t="s">
        <v>10</v>
      </c>
      <c r="R161" s="8">
        <v>90</v>
      </c>
      <c r="S161" s="8">
        <v>2.5</v>
      </c>
      <c r="T161" s="8" t="str">
        <f t="shared" si="16"/>
        <v>-text 181.25,131 2.5 90 267.529</v>
      </c>
      <c r="U161" s="10"/>
    </row>
    <row r="162" spans="1:21" x14ac:dyDescent="0.25">
      <c r="A162" s="15">
        <v>285200</v>
      </c>
      <c r="B162" s="9">
        <v>1174607.3</v>
      </c>
      <c r="C162" s="10">
        <v>269.60199999999998</v>
      </c>
      <c r="D162" s="17">
        <v>271.02499999999998</v>
      </c>
      <c r="E162" s="17">
        <v>1.423</v>
      </c>
      <c r="F162" s="10">
        <v>268.91399999999999</v>
      </c>
      <c r="G162" s="17">
        <v>270.31200000000001</v>
      </c>
      <c r="H162" s="17">
        <v>1.3979999999999999</v>
      </c>
      <c r="I162" s="10">
        <v>266.661</v>
      </c>
      <c r="J162" s="10">
        <v>267.38299999999998</v>
      </c>
      <c r="K162" s="19">
        <v>2.9289999999999998</v>
      </c>
      <c r="L162" s="17">
        <v>10.988</v>
      </c>
      <c r="N162" s="12">
        <f t="shared" si="13"/>
        <v>201.25</v>
      </c>
      <c r="O162" s="8">
        <f t="shared" si="14"/>
        <v>131</v>
      </c>
      <c r="P162" s="8" t="str">
        <f t="shared" si="15"/>
        <v>201.25,131</v>
      </c>
      <c r="Q162" s="11" t="s">
        <v>10</v>
      </c>
      <c r="R162" s="8">
        <v>90</v>
      </c>
      <c r="S162" s="8">
        <v>2.5</v>
      </c>
      <c r="T162" s="8" t="str">
        <f t="shared" si="16"/>
        <v>-text 201.25,131 2.5 90 267.383</v>
      </c>
      <c r="U162" s="10"/>
    </row>
    <row r="163" spans="1:21" x14ac:dyDescent="0.25">
      <c r="A163" s="15">
        <v>285220</v>
      </c>
      <c r="B163" s="9">
        <v>1174627.3</v>
      </c>
      <c r="C163" s="10">
        <v>269.625</v>
      </c>
      <c r="D163" s="17">
        <v>271.04000000000002</v>
      </c>
      <c r="E163" s="17">
        <v>1.415</v>
      </c>
      <c r="F163" s="10">
        <v>268.93700000000001</v>
      </c>
      <c r="G163" s="17">
        <v>270.327</v>
      </c>
      <c r="H163" s="17">
        <v>1.39</v>
      </c>
      <c r="I163" s="10">
        <v>266.673</v>
      </c>
      <c r="J163" s="10">
        <v>267.43400000000003</v>
      </c>
      <c r="K163" s="19">
        <v>2.8919999999999999</v>
      </c>
      <c r="L163" s="17">
        <v>10.993</v>
      </c>
      <c r="N163" s="12">
        <f t="shared" si="13"/>
        <v>221.25</v>
      </c>
      <c r="O163" s="8">
        <f t="shared" si="14"/>
        <v>131</v>
      </c>
      <c r="P163" s="8" t="str">
        <f t="shared" si="15"/>
        <v>221.25,131</v>
      </c>
      <c r="Q163" s="11" t="s">
        <v>10</v>
      </c>
      <c r="R163" s="8">
        <v>90</v>
      </c>
      <c r="S163" s="8">
        <v>2.5</v>
      </c>
      <c r="T163" s="8" t="str">
        <f t="shared" si="16"/>
        <v>-text 221.25,131 2.5 90 267.434</v>
      </c>
      <c r="U163" s="10"/>
    </row>
    <row r="164" spans="1:21" x14ac:dyDescent="0.25">
      <c r="A164" s="15">
        <v>285240</v>
      </c>
      <c r="B164" s="9">
        <v>1174647.3</v>
      </c>
      <c r="C164" s="10">
        <v>269.63900000000001</v>
      </c>
      <c r="D164" s="17">
        <v>271.05500000000001</v>
      </c>
      <c r="E164" s="17">
        <v>1.4159999999999999</v>
      </c>
      <c r="F164" s="10">
        <v>268.95100000000002</v>
      </c>
      <c r="G164" s="17">
        <v>270.34199999999998</v>
      </c>
      <c r="H164" s="17">
        <v>1.391</v>
      </c>
      <c r="I164" s="10">
        <v>266.71300000000002</v>
      </c>
      <c r="J164" s="10">
        <v>267.48599999999999</v>
      </c>
      <c r="K164" s="19">
        <v>2.8559999999999999</v>
      </c>
      <c r="L164" s="17">
        <v>11.009</v>
      </c>
      <c r="N164" s="12">
        <f t="shared" si="13"/>
        <v>241.25</v>
      </c>
      <c r="O164" s="8">
        <f t="shared" si="14"/>
        <v>131</v>
      </c>
      <c r="P164" s="8" t="str">
        <f t="shared" si="15"/>
        <v>241.25,131</v>
      </c>
      <c r="Q164" s="11" t="s">
        <v>10</v>
      </c>
      <c r="R164" s="8">
        <v>90</v>
      </c>
      <c r="S164" s="8">
        <v>2.5</v>
      </c>
      <c r="T164" s="8" t="str">
        <f t="shared" si="16"/>
        <v>-text 241.25,131 2.5 90 267.486</v>
      </c>
      <c r="U164" s="10"/>
    </row>
    <row r="165" spans="1:21" x14ac:dyDescent="0.25">
      <c r="A165" s="15">
        <v>285260</v>
      </c>
      <c r="B165" s="9">
        <v>1174667.3</v>
      </c>
      <c r="C165" s="10">
        <v>269.64800000000002</v>
      </c>
      <c r="D165" s="17">
        <v>271.07</v>
      </c>
      <c r="E165" s="17">
        <v>1.421</v>
      </c>
      <c r="F165" s="10">
        <v>268.95999999999998</v>
      </c>
      <c r="G165" s="17">
        <v>270.35700000000003</v>
      </c>
      <c r="H165" s="17">
        <v>1.3959999999999999</v>
      </c>
      <c r="I165" s="10">
        <v>266.84199999999998</v>
      </c>
      <c r="J165" s="10">
        <v>267.56200000000001</v>
      </c>
      <c r="K165" s="19">
        <v>2.7949999999999999</v>
      </c>
      <c r="L165" s="17">
        <v>11.025</v>
      </c>
      <c r="N165" s="12">
        <f t="shared" si="13"/>
        <v>261.25</v>
      </c>
      <c r="O165" s="8">
        <f t="shared" si="14"/>
        <v>131</v>
      </c>
      <c r="P165" s="8" t="str">
        <f t="shared" si="15"/>
        <v>261.25,131</v>
      </c>
      <c r="Q165" s="11" t="s">
        <v>10</v>
      </c>
      <c r="R165" s="8">
        <v>90</v>
      </c>
      <c r="S165" s="8">
        <v>2.5</v>
      </c>
      <c r="T165" s="8" t="str">
        <f t="shared" si="16"/>
        <v>-text 261.25,131 2.5 90 267.562</v>
      </c>
      <c r="U165" s="10"/>
    </row>
    <row r="166" spans="1:21" x14ac:dyDescent="0.25">
      <c r="A166" s="15">
        <v>285280</v>
      </c>
      <c r="B166" s="9">
        <v>1174687.3</v>
      </c>
      <c r="C166" s="10">
        <v>269.62599999999998</v>
      </c>
      <c r="D166" s="17">
        <v>271.08499999999998</v>
      </c>
      <c r="E166" s="17">
        <v>1.458</v>
      </c>
      <c r="F166" s="10">
        <v>268.93799999999999</v>
      </c>
      <c r="G166" s="17">
        <v>270.37200000000001</v>
      </c>
      <c r="H166" s="17">
        <v>1.4330000000000001</v>
      </c>
      <c r="I166" s="10">
        <v>267.01799999999997</v>
      </c>
      <c r="J166" s="10">
        <v>267.66899999999998</v>
      </c>
      <c r="K166" s="19">
        <v>2.702</v>
      </c>
      <c r="L166" s="17">
        <v>11.03</v>
      </c>
      <c r="N166" s="12">
        <f t="shared" si="13"/>
        <v>281.25</v>
      </c>
      <c r="O166" s="8">
        <f t="shared" si="14"/>
        <v>131</v>
      </c>
      <c r="P166" s="8" t="str">
        <f t="shared" si="15"/>
        <v>281.25,131</v>
      </c>
      <c r="Q166" s="11" t="s">
        <v>10</v>
      </c>
      <c r="R166" s="8">
        <v>90</v>
      </c>
      <c r="S166" s="8">
        <v>2.5</v>
      </c>
      <c r="T166" s="8" t="str">
        <f t="shared" si="16"/>
        <v>-text 281.25,131 2.5 90 267.669</v>
      </c>
      <c r="U166" s="10"/>
    </row>
    <row r="167" spans="1:21" x14ac:dyDescent="0.25">
      <c r="A167" s="15">
        <v>285300</v>
      </c>
      <c r="B167" s="9">
        <v>1174707.3</v>
      </c>
      <c r="C167" s="10">
        <v>269.61</v>
      </c>
      <c r="D167" s="17">
        <v>271.09899999999999</v>
      </c>
      <c r="E167" s="17">
        <v>1.49</v>
      </c>
      <c r="F167" s="10">
        <v>268.92200000000003</v>
      </c>
      <c r="G167" s="17">
        <v>270.38600000000002</v>
      </c>
      <c r="H167" s="17">
        <v>1.4650000000000001</v>
      </c>
      <c r="I167" s="10">
        <v>266.80599999999998</v>
      </c>
      <c r="J167" s="10">
        <v>267.661</v>
      </c>
      <c r="K167" s="19">
        <v>2.726</v>
      </c>
      <c r="L167" s="17">
        <v>11.032999999999999</v>
      </c>
      <c r="N167" s="12">
        <f t="shared" si="13"/>
        <v>301.25</v>
      </c>
      <c r="O167" s="8">
        <f t="shared" si="14"/>
        <v>131</v>
      </c>
      <c r="P167" s="8" t="str">
        <f t="shared" si="15"/>
        <v>301.25,131</v>
      </c>
      <c r="Q167" s="11" t="s">
        <v>10</v>
      </c>
      <c r="R167" s="8">
        <v>90</v>
      </c>
      <c r="S167" s="8">
        <v>2.5</v>
      </c>
      <c r="T167" s="8" t="str">
        <f t="shared" si="16"/>
        <v>-text 301.25,131 2.5 90 267.661</v>
      </c>
      <c r="U167" s="10"/>
    </row>
    <row r="168" spans="1:21" x14ac:dyDescent="0.25">
      <c r="A168" s="15">
        <v>285320</v>
      </c>
      <c r="B168" s="9">
        <v>1174727.3</v>
      </c>
      <c r="C168" s="10">
        <v>269.67599999999999</v>
      </c>
      <c r="D168" s="17">
        <v>271.11399999999998</v>
      </c>
      <c r="E168" s="17">
        <v>1.4379999999999999</v>
      </c>
      <c r="F168" s="10">
        <v>268.988</v>
      </c>
      <c r="G168" s="17">
        <v>270.40100000000001</v>
      </c>
      <c r="H168" s="17">
        <v>1.413</v>
      </c>
      <c r="I168" s="10">
        <v>266.798</v>
      </c>
      <c r="J168" s="10">
        <v>267.57400000000001</v>
      </c>
      <c r="K168" s="19">
        <v>2.827</v>
      </c>
      <c r="L168" s="17">
        <v>11.015000000000001</v>
      </c>
      <c r="N168" s="12">
        <f t="shared" si="13"/>
        <v>321.25</v>
      </c>
      <c r="O168" s="8">
        <f t="shared" si="14"/>
        <v>131</v>
      </c>
      <c r="P168" s="8" t="str">
        <f t="shared" si="15"/>
        <v>321.25,131</v>
      </c>
      <c r="Q168" s="11" t="s">
        <v>10</v>
      </c>
      <c r="R168" s="8">
        <v>90</v>
      </c>
      <c r="S168" s="8">
        <v>2.5</v>
      </c>
      <c r="T168" s="8" t="str">
        <f t="shared" si="16"/>
        <v>-text 321.25,131 2.5 90 267.574</v>
      </c>
      <c r="U168" s="10"/>
    </row>
    <row r="169" spans="1:21" x14ac:dyDescent="0.25">
      <c r="A169" s="15">
        <v>285340</v>
      </c>
      <c r="B169" s="9">
        <v>1174747.3</v>
      </c>
      <c r="C169" s="10">
        <v>269.74299999999999</v>
      </c>
      <c r="D169" s="17">
        <v>271.12900000000002</v>
      </c>
      <c r="E169" s="17">
        <v>1.3859999999999999</v>
      </c>
      <c r="F169" s="10">
        <v>269.05500000000001</v>
      </c>
      <c r="G169" s="17">
        <v>270.416</v>
      </c>
      <c r="H169" s="17">
        <v>1.361</v>
      </c>
      <c r="I169" s="10">
        <v>266.83300000000003</v>
      </c>
      <c r="J169" s="10">
        <v>267.50400000000002</v>
      </c>
      <c r="K169" s="19">
        <v>2.9129999999999998</v>
      </c>
      <c r="L169" s="17">
        <v>10.996</v>
      </c>
      <c r="N169" s="12">
        <f t="shared" si="13"/>
        <v>341.25</v>
      </c>
      <c r="O169" s="8">
        <f t="shared" si="14"/>
        <v>131</v>
      </c>
      <c r="P169" s="8" t="str">
        <f t="shared" si="15"/>
        <v>341.25,131</v>
      </c>
      <c r="Q169" s="11" t="s">
        <v>10</v>
      </c>
      <c r="R169" s="8">
        <v>90</v>
      </c>
      <c r="S169" s="8">
        <v>2.5</v>
      </c>
      <c r="T169" s="8" t="str">
        <f t="shared" si="16"/>
        <v>-text 341.25,131 2.5 90 267.504</v>
      </c>
      <c r="U169" s="10"/>
    </row>
    <row r="170" spans="1:21" x14ac:dyDescent="0.25">
      <c r="A170" s="15">
        <v>285360</v>
      </c>
      <c r="B170" s="9">
        <v>1174767.3</v>
      </c>
      <c r="C170" s="10">
        <v>269.798</v>
      </c>
      <c r="D170" s="17">
        <v>271.14400000000001</v>
      </c>
      <c r="E170" s="17">
        <v>1.3460000000000001</v>
      </c>
      <c r="F170" s="10">
        <v>269.11</v>
      </c>
      <c r="G170" s="17">
        <v>270.43099999999998</v>
      </c>
      <c r="H170" s="17">
        <v>1.321</v>
      </c>
      <c r="I170" s="10">
        <v>266.98700000000002</v>
      </c>
      <c r="J170" s="10">
        <v>267.61799999999999</v>
      </c>
      <c r="K170" s="19">
        <v>2.8130000000000002</v>
      </c>
      <c r="L170" s="17">
        <v>11</v>
      </c>
      <c r="N170" s="12">
        <f t="shared" si="13"/>
        <v>361.25</v>
      </c>
      <c r="O170" s="8">
        <f t="shared" si="14"/>
        <v>131</v>
      </c>
      <c r="P170" s="8" t="str">
        <f t="shared" si="15"/>
        <v>361.25,131</v>
      </c>
      <c r="Q170" s="11" t="s">
        <v>10</v>
      </c>
      <c r="R170" s="8">
        <v>90</v>
      </c>
      <c r="S170" s="8">
        <v>2.5</v>
      </c>
      <c r="T170" s="8" t="str">
        <f t="shared" si="16"/>
        <v>-text 361.25,131 2.5 90 267.618</v>
      </c>
      <c r="U170" s="10"/>
    </row>
    <row r="171" spans="1:21" x14ac:dyDescent="0.25">
      <c r="A171" s="15">
        <v>285380</v>
      </c>
      <c r="B171" s="9">
        <v>1174787.3</v>
      </c>
      <c r="C171" s="10">
        <v>269.84899999999999</v>
      </c>
      <c r="D171" s="17">
        <v>271.15899999999999</v>
      </c>
      <c r="E171" s="17">
        <v>1.31</v>
      </c>
      <c r="F171" s="10">
        <v>269.161</v>
      </c>
      <c r="G171" s="17">
        <v>270.44600000000003</v>
      </c>
      <c r="H171" s="17">
        <v>1.2849999999999999</v>
      </c>
      <c r="I171" s="10">
        <v>267.17200000000003</v>
      </c>
      <c r="J171" s="10">
        <v>267.81700000000001</v>
      </c>
      <c r="K171" s="19">
        <v>2.629</v>
      </c>
      <c r="L171" s="17">
        <v>11.009</v>
      </c>
      <c r="N171" s="12">
        <f t="shared" si="13"/>
        <v>381.25</v>
      </c>
      <c r="O171" s="8">
        <f t="shared" si="14"/>
        <v>131</v>
      </c>
      <c r="P171" s="8" t="str">
        <f t="shared" si="15"/>
        <v>381.25,131</v>
      </c>
      <c r="Q171" s="11" t="s">
        <v>10</v>
      </c>
      <c r="R171" s="8">
        <v>90</v>
      </c>
      <c r="S171" s="8">
        <v>2.5</v>
      </c>
      <c r="T171" s="8" t="str">
        <f t="shared" si="16"/>
        <v>-text 381.25,131 2.5 90 267.817</v>
      </c>
      <c r="U171" s="10"/>
    </row>
    <row r="172" spans="1:21" x14ac:dyDescent="0.25">
      <c r="A172" s="15">
        <v>285400</v>
      </c>
      <c r="B172" s="9">
        <v>1174807.3</v>
      </c>
      <c r="C172" s="10">
        <v>269.89299999999997</v>
      </c>
      <c r="D172" s="17">
        <v>271.17399999999998</v>
      </c>
      <c r="E172" s="17">
        <v>1.2809999999999999</v>
      </c>
      <c r="F172" s="10">
        <v>269.20499999999998</v>
      </c>
      <c r="G172" s="17">
        <v>270.46100000000001</v>
      </c>
      <c r="H172" s="17">
        <v>1.256</v>
      </c>
      <c r="I172" s="10">
        <v>267.19</v>
      </c>
      <c r="J172" s="10">
        <v>267.78199999999998</v>
      </c>
      <c r="K172" s="19">
        <v>2.6789999999999998</v>
      </c>
      <c r="L172" s="17">
        <v>11.03</v>
      </c>
      <c r="N172" s="12">
        <f t="shared" si="13"/>
        <v>401.25</v>
      </c>
      <c r="O172" s="8">
        <f t="shared" si="14"/>
        <v>131</v>
      </c>
      <c r="P172" s="8" t="str">
        <f t="shared" si="15"/>
        <v>401.25,131</v>
      </c>
      <c r="Q172" s="11" t="s">
        <v>10</v>
      </c>
      <c r="R172" s="8">
        <v>90</v>
      </c>
      <c r="S172" s="8">
        <v>2.5</v>
      </c>
      <c r="T172" s="8" t="str">
        <f t="shared" si="16"/>
        <v>-text 401.25,131 2.5 90 267.782</v>
      </c>
      <c r="U172" s="10"/>
    </row>
    <row r="173" spans="1:21" x14ac:dyDescent="0.25">
      <c r="A173" s="15">
        <v>285420</v>
      </c>
      <c r="B173" s="9">
        <v>1174827.3</v>
      </c>
      <c r="C173" s="10">
        <v>269.93200000000002</v>
      </c>
      <c r="D173" s="17">
        <v>271.18900000000002</v>
      </c>
      <c r="E173" s="17">
        <v>1.256</v>
      </c>
      <c r="F173" s="10">
        <v>269.24400000000003</v>
      </c>
      <c r="G173" s="17">
        <v>270.476</v>
      </c>
      <c r="H173" s="17">
        <v>1.2310000000000001</v>
      </c>
      <c r="I173" s="10">
        <v>266.80900000000003</v>
      </c>
      <c r="J173" s="10">
        <v>267.50299999999999</v>
      </c>
      <c r="K173" s="19">
        <v>2.9729999999999999</v>
      </c>
      <c r="L173" s="17">
        <v>11.055999999999999</v>
      </c>
      <c r="N173" s="12">
        <f t="shared" si="13"/>
        <v>421.25</v>
      </c>
      <c r="O173" s="8">
        <f t="shared" si="14"/>
        <v>131</v>
      </c>
      <c r="P173" s="8" t="str">
        <f t="shared" si="15"/>
        <v>421.25,131</v>
      </c>
      <c r="Q173" s="11" t="s">
        <v>10</v>
      </c>
      <c r="R173" s="8">
        <v>90</v>
      </c>
      <c r="S173" s="8">
        <v>2.5</v>
      </c>
      <c r="T173" s="8" t="str">
        <f t="shared" si="16"/>
        <v>-text 421.25,131 2.5 90 267.503</v>
      </c>
      <c r="U173" s="10"/>
    </row>
    <row r="174" spans="1:21" x14ac:dyDescent="0.25">
      <c r="A174" s="15">
        <v>285440</v>
      </c>
      <c r="B174" s="9">
        <v>1174847.3</v>
      </c>
      <c r="C174" s="10">
        <v>269.971</v>
      </c>
      <c r="D174" s="17">
        <v>271.20400000000001</v>
      </c>
      <c r="E174" s="17">
        <v>1.2330000000000001</v>
      </c>
      <c r="F174" s="10">
        <v>269.28300000000002</v>
      </c>
      <c r="G174" s="17">
        <v>270.49099999999999</v>
      </c>
      <c r="H174" s="17">
        <v>1.208</v>
      </c>
      <c r="I174" s="10">
        <v>266.50799999999998</v>
      </c>
      <c r="J174" s="10">
        <v>267.363</v>
      </c>
      <c r="K174" s="19">
        <v>3.1269999999999998</v>
      </c>
      <c r="L174" s="17">
        <v>11.08</v>
      </c>
      <c r="N174" s="12">
        <f t="shared" si="13"/>
        <v>441.25</v>
      </c>
      <c r="O174" s="8">
        <f t="shared" si="14"/>
        <v>131</v>
      </c>
      <c r="P174" s="8" t="str">
        <f t="shared" si="15"/>
        <v>441.25,131</v>
      </c>
      <c r="Q174" s="11" t="s">
        <v>10</v>
      </c>
      <c r="R174" s="8">
        <v>90</v>
      </c>
      <c r="S174" s="8">
        <v>2.5</v>
      </c>
      <c r="T174" s="8" t="str">
        <f t="shared" si="16"/>
        <v>-text 441.25,131 2.5 90 267.363</v>
      </c>
      <c r="U174" s="10"/>
    </row>
    <row r="175" spans="1:21" x14ac:dyDescent="0.25">
      <c r="A175" s="15">
        <v>285460</v>
      </c>
      <c r="B175" s="9">
        <v>1174867.3</v>
      </c>
      <c r="C175" s="10">
        <v>270.00299999999999</v>
      </c>
      <c r="D175" s="17">
        <v>271.21899999999999</v>
      </c>
      <c r="E175" s="17">
        <v>1.216</v>
      </c>
      <c r="F175" s="10">
        <v>269.315</v>
      </c>
      <c r="G175" s="17">
        <v>270.50599999999997</v>
      </c>
      <c r="H175" s="17">
        <v>1.1910000000000001</v>
      </c>
      <c r="I175" s="10">
        <v>266.05</v>
      </c>
      <c r="J175" s="10">
        <v>266.13299999999998</v>
      </c>
      <c r="K175" s="19">
        <v>4.3730000000000002</v>
      </c>
      <c r="L175" s="17">
        <v>11.081</v>
      </c>
      <c r="N175" s="12">
        <f t="shared" si="13"/>
        <v>461.25</v>
      </c>
      <c r="O175" s="8">
        <f t="shared" si="14"/>
        <v>131</v>
      </c>
      <c r="P175" s="8" t="str">
        <f t="shared" si="15"/>
        <v>461.25,131</v>
      </c>
      <c r="Q175" s="11" t="s">
        <v>10</v>
      </c>
      <c r="R175" s="8">
        <v>90</v>
      </c>
      <c r="S175" s="8">
        <v>2.5</v>
      </c>
      <c r="T175" s="8" t="str">
        <f t="shared" si="16"/>
        <v>-text 461.25,131 2.5 90 266.133</v>
      </c>
      <c r="U175" s="10"/>
    </row>
    <row r="176" spans="1:21" x14ac:dyDescent="0.25">
      <c r="A176" s="15">
        <v>285480</v>
      </c>
      <c r="B176" s="9">
        <v>1174887.3</v>
      </c>
      <c r="C176" s="10">
        <v>269.99599999999998</v>
      </c>
      <c r="D176" s="17">
        <v>271.233</v>
      </c>
      <c r="E176" s="17">
        <v>1.2370000000000001</v>
      </c>
      <c r="F176" s="10">
        <v>269.30799999999999</v>
      </c>
      <c r="G176" s="17">
        <v>270.52</v>
      </c>
      <c r="H176" s="17">
        <v>1.212</v>
      </c>
      <c r="I176" s="10">
        <v>266.52300000000002</v>
      </c>
      <c r="J176" s="10">
        <v>267.86799999999999</v>
      </c>
      <c r="K176" s="19">
        <v>2.653</v>
      </c>
      <c r="L176" s="17">
        <v>11.055</v>
      </c>
      <c r="N176" s="12">
        <f t="shared" si="13"/>
        <v>481.25</v>
      </c>
      <c r="O176" s="8">
        <f t="shared" si="14"/>
        <v>131</v>
      </c>
      <c r="P176" s="8" t="str">
        <f t="shared" si="15"/>
        <v>481.25,131</v>
      </c>
      <c r="Q176" s="11" t="s">
        <v>10</v>
      </c>
      <c r="R176" s="8">
        <v>90</v>
      </c>
      <c r="S176" s="8">
        <v>2.5</v>
      </c>
      <c r="T176" s="8" t="str">
        <f t="shared" si="16"/>
        <v>-text 481.25,131 2.5 90 267.868</v>
      </c>
      <c r="U176" s="10"/>
    </row>
    <row r="177" spans="1:21" x14ac:dyDescent="0.25">
      <c r="A177" s="15">
        <v>285500</v>
      </c>
      <c r="B177" s="9">
        <v>1174907.3</v>
      </c>
      <c r="C177" s="10">
        <v>269.97199999999998</v>
      </c>
      <c r="D177" s="17">
        <v>271.24799999999999</v>
      </c>
      <c r="E177" s="17">
        <v>1.276</v>
      </c>
      <c r="F177" s="10">
        <v>269.28399999999999</v>
      </c>
      <c r="G177" s="17">
        <v>270.53500000000003</v>
      </c>
      <c r="H177" s="17">
        <v>1.2509999999999999</v>
      </c>
      <c r="I177" s="10">
        <v>266.97800000000001</v>
      </c>
      <c r="J177" s="10">
        <v>268.27699999999999</v>
      </c>
      <c r="K177" s="19">
        <v>2.258</v>
      </c>
      <c r="L177" s="17">
        <v>10.975</v>
      </c>
      <c r="N177" s="12">
        <f t="shared" si="13"/>
        <v>501.25</v>
      </c>
      <c r="O177" s="8">
        <f t="shared" si="14"/>
        <v>131</v>
      </c>
      <c r="P177" s="8" t="str">
        <f t="shared" si="15"/>
        <v>501.25,131</v>
      </c>
      <c r="Q177" s="11" t="s">
        <v>10</v>
      </c>
      <c r="R177" s="8">
        <v>90</v>
      </c>
      <c r="S177" s="8">
        <v>2.5</v>
      </c>
      <c r="T177" s="8" t="str">
        <f t="shared" si="16"/>
        <v>-text 501.25,131 2.5 90 268.277</v>
      </c>
      <c r="U177" s="10"/>
    </row>
    <row r="178" spans="1:21" x14ac:dyDescent="0.25">
      <c r="A178" s="15"/>
      <c r="N178" s="12"/>
      <c r="Q178" s="11"/>
      <c r="U178" s="10"/>
    </row>
    <row r="179" spans="1:21" x14ac:dyDescent="0.25">
      <c r="A179" s="15">
        <v>285500</v>
      </c>
      <c r="B179" s="9">
        <v>1174907.3</v>
      </c>
      <c r="C179" s="10">
        <v>269.97199999999998</v>
      </c>
      <c r="D179" s="17">
        <v>271.24799999999999</v>
      </c>
      <c r="E179" s="17">
        <v>1.276</v>
      </c>
      <c r="F179" s="10">
        <v>269.28399999999999</v>
      </c>
      <c r="G179" s="17">
        <v>270.53500000000003</v>
      </c>
      <c r="H179" s="17">
        <v>1.2509999999999999</v>
      </c>
      <c r="I179" s="10">
        <v>266.97800000000001</v>
      </c>
      <c r="J179" s="10">
        <v>268.27699999999999</v>
      </c>
      <c r="K179" s="19">
        <v>2.258</v>
      </c>
      <c r="L179" s="17">
        <v>10.975</v>
      </c>
      <c r="N179" s="12">
        <v>1.25</v>
      </c>
      <c r="O179" s="8">
        <v>131</v>
      </c>
      <c r="P179" s="8" t="str">
        <f t="shared" si="15"/>
        <v>1.25,131</v>
      </c>
      <c r="Q179" s="11" t="s">
        <v>10</v>
      </c>
      <c r="R179" s="8">
        <v>90</v>
      </c>
      <c r="S179" s="8">
        <v>2.5</v>
      </c>
      <c r="T179" s="8" t="str">
        <f>$Q179&amp;" "&amp;$P179&amp;" "&amp;$S179&amp;" "&amp;$R179&amp;" "&amp;$J179</f>
        <v>-text 1.25,131 2.5 90 268.277</v>
      </c>
      <c r="U179" s="10"/>
    </row>
    <row r="180" spans="1:21" x14ac:dyDescent="0.25">
      <c r="A180" s="15">
        <v>285520</v>
      </c>
      <c r="B180" s="9">
        <v>1174927.3999999999</v>
      </c>
      <c r="C180" s="10">
        <v>269.94799999999998</v>
      </c>
      <c r="D180" s="17">
        <v>271.26299999999998</v>
      </c>
      <c r="E180" s="17">
        <v>1.3149999999999999</v>
      </c>
      <c r="F180" s="10">
        <v>269.26</v>
      </c>
      <c r="G180" s="17">
        <v>270.55</v>
      </c>
      <c r="H180" s="17">
        <v>1.29</v>
      </c>
      <c r="I180" s="10">
        <v>267.37299999999999</v>
      </c>
      <c r="J180" s="10">
        <v>268.47699999999998</v>
      </c>
      <c r="K180" s="19">
        <v>2.0739999999999998</v>
      </c>
      <c r="L180" s="17">
        <v>10.84</v>
      </c>
      <c r="N180" s="12">
        <f t="shared" si="13"/>
        <v>21.349999999860302</v>
      </c>
      <c r="O180" s="8">
        <f t="shared" si="14"/>
        <v>131</v>
      </c>
      <c r="P180" s="8" t="str">
        <f t="shared" si="15"/>
        <v>21.3499999998603,131</v>
      </c>
      <c r="Q180" s="11" t="s">
        <v>10</v>
      </c>
      <c r="R180" s="8">
        <v>90</v>
      </c>
      <c r="S180" s="8">
        <v>2.5</v>
      </c>
      <c r="T180" s="8" t="str">
        <f t="shared" ref="T180:T204" si="17">$Q180&amp;" "&amp;$P180&amp;" "&amp;$S180&amp;" "&amp;$R180&amp;" "&amp;$J180</f>
        <v>-text 21.3499999998603,131 2.5 90 268.477</v>
      </c>
      <c r="U180" s="10"/>
    </row>
    <row r="181" spans="1:21" x14ac:dyDescent="0.25">
      <c r="A181" s="15">
        <v>285540</v>
      </c>
      <c r="B181" s="9">
        <v>1174947.3999999999</v>
      </c>
      <c r="C181" s="10">
        <v>269.91800000000001</v>
      </c>
      <c r="D181" s="17">
        <v>271.27800000000002</v>
      </c>
      <c r="E181" s="17">
        <v>1.36</v>
      </c>
      <c r="F181" s="10">
        <v>269.23</v>
      </c>
      <c r="G181" s="17">
        <v>270.565</v>
      </c>
      <c r="H181" s="17">
        <v>1.335</v>
      </c>
      <c r="I181" s="10">
        <v>267.24400000000003</v>
      </c>
      <c r="J181" s="10">
        <v>268.11099999999999</v>
      </c>
      <c r="K181" s="19">
        <v>2.4540000000000002</v>
      </c>
      <c r="L181" s="17">
        <v>10.744999999999999</v>
      </c>
      <c r="N181" s="12">
        <f t="shared" si="13"/>
        <v>41.349999999860302</v>
      </c>
      <c r="O181" s="8">
        <f t="shared" si="14"/>
        <v>131</v>
      </c>
      <c r="P181" s="8" t="str">
        <f t="shared" si="15"/>
        <v>41.3499999998603,131</v>
      </c>
      <c r="Q181" s="11" t="s">
        <v>10</v>
      </c>
      <c r="R181" s="8">
        <v>90</v>
      </c>
      <c r="S181" s="8">
        <v>2.5</v>
      </c>
      <c r="T181" s="8" t="str">
        <f t="shared" si="17"/>
        <v>-text 41.3499999998603,131 2.5 90 268.111</v>
      </c>
      <c r="U181" s="10"/>
    </row>
    <row r="182" spans="1:21" x14ac:dyDescent="0.25">
      <c r="A182" s="15">
        <v>285560</v>
      </c>
      <c r="B182" s="9">
        <v>1174967.3999999999</v>
      </c>
      <c r="C182" s="10">
        <v>269.88400000000001</v>
      </c>
      <c r="D182" s="17">
        <v>271.29300000000001</v>
      </c>
      <c r="E182" s="17">
        <v>1.41</v>
      </c>
      <c r="F182" s="10">
        <v>269.19600000000003</v>
      </c>
      <c r="G182" s="17">
        <v>270.58</v>
      </c>
      <c r="H182" s="17">
        <v>1.385</v>
      </c>
      <c r="I182" s="10">
        <v>267.09300000000002</v>
      </c>
      <c r="J182" s="10">
        <v>267.83699999999999</v>
      </c>
      <c r="K182" s="19">
        <v>2.7429999999999999</v>
      </c>
      <c r="L182" s="17">
        <v>10.66</v>
      </c>
      <c r="N182" s="12">
        <f t="shared" si="13"/>
        <v>61.349999999860302</v>
      </c>
      <c r="O182" s="8">
        <f t="shared" si="14"/>
        <v>131</v>
      </c>
      <c r="P182" s="8" t="str">
        <f t="shared" si="15"/>
        <v>61.3499999998603,131</v>
      </c>
      <c r="Q182" s="11" t="s">
        <v>10</v>
      </c>
      <c r="R182" s="8">
        <v>90</v>
      </c>
      <c r="S182" s="8">
        <v>2.5</v>
      </c>
      <c r="T182" s="8" t="str">
        <f t="shared" si="17"/>
        <v>-text 61.3499999998603,131 2.5 90 267.837</v>
      </c>
      <c r="U182" s="10"/>
    </row>
    <row r="183" spans="1:21" x14ac:dyDescent="0.25">
      <c r="A183" s="15">
        <v>285580</v>
      </c>
      <c r="B183" s="9">
        <v>1174987.5</v>
      </c>
      <c r="C183" s="10">
        <v>269.84800000000001</v>
      </c>
      <c r="D183" s="17">
        <v>271.30799999999999</v>
      </c>
      <c r="E183" s="17">
        <v>1.46</v>
      </c>
      <c r="F183" s="10">
        <v>269.16000000000003</v>
      </c>
      <c r="G183" s="17">
        <v>270.59500000000003</v>
      </c>
      <c r="H183" s="17">
        <v>1.4350000000000001</v>
      </c>
      <c r="I183" s="10">
        <v>266.80599999999998</v>
      </c>
      <c r="J183" s="10">
        <v>267.49799999999999</v>
      </c>
      <c r="K183" s="19">
        <v>3.097</v>
      </c>
      <c r="L183" s="17">
        <v>10.561</v>
      </c>
      <c r="N183" s="12">
        <f t="shared" si="13"/>
        <v>81.449999999953434</v>
      </c>
      <c r="O183" s="8">
        <f t="shared" si="14"/>
        <v>131</v>
      </c>
      <c r="P183" s="8" t="str">
        <f t="shared" si="15"/>
        <v>81.4499999999534,131</v>
      </c>
      <c r="Q183" s="11" t="s">
        <v>10</v>
      </c>
      <c r="R183" s="8">
        <v>90</v>
      </c>
      <c r="S183" s="8">
        <v>2.5</v>
      </c>
      <c r="T183" s="8" t="str">
        <f t="shared" si="17"/>
        <v>-text 81.4499999999534,131 2.5 90 267.498</v>
      </c>
      <c r="U183" s="10"/>
    </row>
    <row r="184" spans="1:21" x14ac:dyDescent="0.25">
      <c r="A184" s="15">
        <v>285600</v>
      </c>
      <c r="B184" s="9">
        <v>1175007.5</v>
      </c>
      <c r="C184" s="10">
        <v>269.81200000000001</v>
      </c>
      <c r="D184" s="17">
        <v>271.32299999999998</v>
      </c>
      <c r="E184" s="17">
        <v>1.51</v>
      </c>
      <c r="F184" s="10">
        <v>269.12400000000002</v>
      </c>
      <c r="G184" s="17">
        <v>270.61</v>
      </c>
      <c r="H184" s="17">
        <v>1.4850000000000001</v>
      </c>
      <c r="I184" s="10">
        <v>267.00599999999997</v>
      </c>
      <c r="J184" s="10">
        <v>267.666</v>
      </c>
      <c r="K184" s="19">
        <v>2.944</v>
      </c>
      <c r="L184" s="17">
        <v>10.509</v>
      </c>
      <c r="N184" s="12">
        <f t="shared" si="13"/>
        <v>101.44999999995343</v>
      </c>
      <c r="O184" s="8">
        <f t="shared" si="14"/>
        <v>131</v>
      </c>
      <c r="P184" s="8" t="str">
        <f t="shared" si="15"/>
        <v>101.449999999953,131</v>
      </c>
      <c r="Q184" s="11" t="s">
        <v>10</v>
      </c>
      <c r="R184" s="8">
        <v>90</v>
      </c>
      <c r="S184" s="8">
        <v>2.5</v>
      </c>
      <c r="T184" s="8" t="str">
        <f t="shared" si="17"/>
        <v>-text 101.449999999953,131 2.5 90 267.666</v>
      </c>
      <c r="U184" s="10"/>
    </row>
    <row r="185" spans="1:21" x14ac:dyDescent="0.25">
      <c r="A185" s="15">
        <v>285620</v>
      </c>
      <c r="B185" s="9">
        <v>1175027.5</v>
      </c>
      <c r="C185" s="10">
        <v>269.77600000000001</v>
      </c>
      <c r="D185" s="17">
        <v>271.33800000000002</v>
      </c>
      <c r="E185" s="17">
        <v>1.5620000000000001</v>
      </c>
      <c r="F185" s="10">
        <v>269.08800000000002</v>
      </c>
      <c r="G185" s="17">
        <v>270.625</v>
      </c>
      <c r="H185" s="17">
        <v>1.5369999999999999</v>
      </c>
      <c r="I185" s="10">
        <v>267.339</v>
      </c>
      <c r="J185" s="10">
        <v>267.65300000000002</v>
      </c>
      <c r="K185" s="19">
        <v>2.972</v>
      </c>
      <c r="L185" s="17">
        <v>10.465</v>
      </c>
      <c r="N185" s="12">
        <f t="shared" si="13"/>
        <v>121.44999999995343</v>
      </c>
      <c r="O185" s="8">
        <f t="shared" si="14"/>
        <v>131</v>
      </c>
      <c r="P185" s="8" t="str">
        <f t="shared" si="15"/>
        <v>121.449999999953,131</v>
      </c>
      <c r="Q185" s="11" t="s">
        <v>10</v>
      </c>
      <c r="R185" s="8">
        <v>90</v>
      </c>
      <c r="S185" s="8">
        <v>2.5</v>
      </c>
      <c r="T185" s="8" t="str">
        <f t="shared" si="17"/>
        <v>-text 121.449999999953,131 2.5 90 267.653</v>
      </c>
      <c r="U185" s="10"/>
    </row>
    <row r="186" spans="1:21" x14ac:dyDescent="0.25">
      <c r="A186" s="15">
        <v>285640</v>
      </c>
      <c r="B186" s="9">
        <v>1175047.5</v>
      </c>
      <c r="C186" s="10">
        <v>269.738</v>
      </c>
      <c r="D186" s="17">
        <v>271.35300000000001</v>
      </c>
      <c r="E186" s="17">
        <v>1.615</v>
      </c>
      <c r="F186" s="10">
        <v>269.05</v>
      </c>
      <c r="G186" s="17">
        <v>270.64</v>
      </c>
      <c r="H186" s="17">
        <v>1.59</v>
      </c>
      <c r="I186" s="10">
        <v>267.19900000000001</v>
      </c>
      <c r="J186" s="10">
        <v>267.49900000000002</v>
      </c>
      <c r="K186" s="19">
        <v>3.141</v>
      </c>
      <c r="L186" s="17">
        <v>10.433</v>
      </c>
      <c r="N186" s="12">
        <f t="shared" si="13"/>
        <v>141.44999999995343</v>
      </c>
      <c r="O186" s="8">
        <f t="shared" si="14"/>
        <v>131</v>
      </c>
      <c r="P186" s="8" t="str">
        <f t="shared" si="15"/>
        <v>141.449999999953,131</v>
      </c>
      <c r="Q186" s="11" t="s">
        <v>10</v>
      </c>
      <c r="R186" s="8">
        <v>90</v>
      </c>
      <c r="S186" s="8">
        <v>2.5</v>
      </c>
      <c r="T186" s="8" t="str">
        <f t="shared" si="17"/>
        <v>-text 141.449999999953,131 2.5 90 267.499</v>
      </c>
      <c r="U186" s="10"/>
    </row>
    <row r="187" spans="1:21" x14ac:dyDescent="0.25">
      <c r="A187" s="15">
        <v>285660</v>
      </c>
      <c r="B187" s="9">
        <v>1175067.5</v>
      </c>
      <c r="C187" s="10">
        <v>269.7</v>
      </c>
      <c r="D187" s="17">
        <v>271.36799999999999</v>
      </c>
      <c r="E187" s="17">
        <v>1.6679999999999999</v>
      </c>
      <c r="F187" s="10">
        <v>269.012</v>
      </c>
      <c r="G187" s="17">
        <v>270.65499999999997</v>
      </c>
      <c r="H187" s="17">
        <v>1.643</v>
      </c>
      <c r="I187" s="10">
        <v>266.67599999999999</v>
      </c>
      <c r="J187" s="10">
        <v>267.22699999999998</v>
      </c>
      <c r="K187" s="19">
        <v>3.4279999999999999</v>
      </c>
      <c r="L187" s="17">
        <v>10.409000000000001</v>
      </c>
      <c r="N187" s="12">
        <f t="shared" si="13"/>
        <v>161.44999999995343</v>
      </c>
      <c r="O187" s="8">
        <f t="shared" si="14"/>
        <v>131</v>
      </c>
      <c r="P187" s="8" t="str">
        <f t="shared" si="15"/>
        <v>161.449999999953,131</v>
      </c>
      <c r="Q187" s="11" t="s">
        <v>10</v>
      </c>
      <c r="R187" s="8">
        <v>90</v>
      </c>
      <c r="S187" s="8">
        <v>2.5</v>
      </c>
      <c r="T187" s="8" t="str">
        <f t="shared" si="17"/>
        <v>-text 161.449999999953,131 2.5 90 267.227</v>
      </c>
      <c r="U187" s="10"/>
    </row>
    <row r="188" spans="1:21" x14ac:dyDescent="0.25">
      <c r="A188" s="15">
        <v>285680</v>
      </c>
      <c r="B188" s="9">
        <v>1175087.5</v>
      </c>
      <c r="C188" s="10">
        <v>269.661</v>
      </c>
      <c r="D188" s="17">
        <v>271.38200000000001</v>
      </c>
      <c r="E188" s="17">
        <v>1.722</v>
      </c>
      <c r="F188" s="10">
        <v>268.97300000000001</v>
      </c>
      <c r="G188" s="17">
        <v>270.66899999999998</v>
      </c>
      <c r="H188" s="17">
        <v>1.6970000000000001</v>
      </c>
      <c r="I188" s="10">
        <v>266.43099999999998</v>
      </c>
      <c r="J188" s="10">
        <v>267.19900000000001</v>
      </c>
      <c r="K188" s="19">
        <v>3.4710000000000001</v>
      </c>
      <c r="L188" s="17">
        <v>10.403</v>
      </c>
      <c r="N188" s="12">
        <f t="shared" si="13"/>
        <v>181.44999999995343</v>
      </c>
      <c r="O188" s="8">
        <f t="shared" si="14"/>
        <v>131</v>
      </c>
      <c r="P188" s="8" t="str">
        <f t="shared" si="15"/>
        <v>181.449999999953,131</v>
      </c>
      <c r="Q188" s="11" t="s">
        <v>10</v>
      </c>
      <c r="R188" s="8">
        <v>90</v>
      </c>
      <c r="S188" s="8">
        <v>2.5</v>
      </c>
      <c r="T188" s="8" t="str">
        <f t="shared" si="17"/>
        <v>-text 181.449999999953,131 2.5 90 267.199</v>
      </c>
      <c r="U188" s="10"/>
    </row>
    <row r="189" spans="1:21" x14ac:dyDescent="0.25">
      <c r="A189" s="15">
        <v>285700</v>
      </c>
      <c r="B189" s="9">
        <v>1175107.5</v>
      </c>
      <c r="C189" s="10">
        <v>269.63099999999997</v>
      </c>
      <c r="D189" s="17">
        <v>271.39699999999999</v>
      </c>
      <c r="E189" s="17">
        <v>1.7669999999999999</v>
      </c>
      <c r="F189" s="10">
        <v>268.94299999999998</v>
      </c>
      <c r="G189" s="17">
        <v>270.68400000000003</v>
      </c>
      <c r="H189" s="17">
        <v>1.742</v>
      </c>
      <c r="I189" s="10">
        <v>266.39499999999998</v>
      </c>
      <c r="J189" s="10">
        <v>267.19400000000002</v>
      </c>
      <c r="K189" s="19">
        <v>3.49</v>
      </c>
      <c r="L189" s="17">
        <v>10.397</v>
      </c>
      <c r="N189" s="12">
        <f t="shared" si="13"/>
        <v>201.44999999995343</v>
      </c>
      <c r="O189" s="8">
        <f t="shared" si="14"/>
        <v>131</v>
      </c>
      <c r="P189" s="8" t="str">
        <f t="shared" si="15"/>
        <v>201.449999999953,131</v>
      </c>
      <c r="Q189" s="11" t="s">
        <v>10</v>
      </c>
      <c r="R189" s="8">
        <v>90</v>
      </c>
      <c r="S189" s="8">
        <v>2.5</v>
      </c>
      <c r="T189" s="8" t="str">
        <f t="shared" si="17"/>
        <v>-text 201.449999999953,131 2.5 90 267.194</v>
      </c>
      <c r="U189" s="10"/>
    </row>
    <row r="190" spans="1:21" x14ac:dyDescent="0.25">
      <c r="A190" s="15">
        <v>285720</v>
      </c>
      <c r="B190" s="9">
        <v>1175127.5</v>
      </c>
      <c r="C190" s="10">
        <v>269.62700000000001</v>
      </c>
      <c r="D190" s="17">
        <v>271.37599999999998</v>
      </c>
      <c r="E190" s="17">
        <v>1.7490000000000001</v>
      </c>
      <c r="F190" s="10">
        <v>268.93900000000002</v>
      </c>
      <c r="G190" s="17">
        <v>270.66300000000001</v>
      </c>
      <c r="H190" s="17">
        <v>1.724</v>
      </c>
      <c r="I190" s="10">
        <v>266.51600000000002</v>
      </c>
      <c r="J190" s="10">
        <v>267.02199999999999</v>
      </c>
      <c r="K190" s="19">
        <v>3.641</v>
      </c>
      <c r="L190" s="17">
        <v>10.443</v>
      </c>
      <c r="N190" s="12">
        <f t="shared" si="13"/>
        <v>221.44999999995343</v>
      </c>
      <c r="O190" s="8">
        <f t="shared" si="14"/>
        <v>131</v>
      </c>
      <c r="P190" s="8" t="str">
        <f t="shared" si="15"/>
        <v>221.449999999953,131</v>
      </c>
      <c r="Q190" s="11" t="s">
        <v>10</v>
      </c>
      <c r="R190" s="8">
        <v>90</v>
      </c>
      <c r="S190" s="8">
        <v>2.5</v>
      </c>
      <c r="T190" s="8" t="str">
        <f t="shared" si="17"/>
        <v>-text 221.449999999953,131 2.5 90 267.022</v>
      </c>
      <c r="U190" s="10"/>
    </row>
    <row r="191" spans="1:21" x14ac:dyDescent="0.25">
      <c r="A191" s="15">
        <v>285740</v>
      </c>
      <c r="B191" s="9">
        <v>1175147.5</v>
      </c>
      <c r="C191" s="10">
        <v>269.57799999999997</v>
      </c>
      <c r="D191" s="17">
        <v>271.315</v>
      </c>
      <c r="E191" s="17">
        <v>1.738</v>
      </c>
      <c r="F191" s="10">
        <v>268.89</v>
      </c>
      <c r="G191" s="17">
        <v>270.60199999999998</v>
      </c>
      <c r="H191" s="17">
        <v>1.7130000000000001</v>
      </c>
      <c r="I191" s="10">
        <v>266.32299999999998</v>
      </c>
      <c r="J191" s="10">
        <v>266.69900000000001</v>
      </c>
      <c r="K191" s="19">
        <v>3.9039999999999999</v>
      </c>
      <c r="L191" s="17">
        <v>10.494999999999999</v>
      </c>
      <c r="N191" s="12">
        <f t="shared" si="13"/>
        <v>241.44999999995343</v>
      </c>
      <c r="O191" s="8">
        <f t="shared" si="14"/>
        <v>131</v>
      </c>
      <c r="P191" s="8" t="str">
        <f t="shared" si="15"/>
        <v>241.449999999953,131</v>
      </c>
      <c r="Q191" s="11" t="s">
        <v>10</v>
      </c>
      <c r="R191" s="8">
        <v>90</v>
      </c>
      <c r="S191" s="8">
        <v>2.5</v>
      </c>
      <c r="T191" s="8" t="str">
        <f t="shared" si="17"/>
        <v>-text 241.449999999953,131 2.5 90 266.699</v>
      </c>
      <c r="U191" s="10"/>
    </row>
    <row r="192" spans="1:21" x14ac:dyDescent="0.25">
      <c r="A192" s="15">
        <v>285760</v>
      </c>
      <c r="B192" s="9">
        <v>1175167.5</v>
      </c>
      <c r="C192" s="10">
        <v>269.46199999999999</v>
      </c>
      <c r="D192" s="17">
        <v>271.255</v>
      </c>
      <c r="E192" s="17">
        <v>1.7929999999999999</v>
      </c>
      <c r="F192" s="10">
        <v>268.774</v>
      </c>
      <c r="G192" s="17">
        <v>270.54199999999997</v>
      </c>
      <c r="H192" s="17">
        <v>1.768</v>
      </c>
      <c r="I192" s="10">
        <v>266.45</v>
      </c>
      <c r="J192" s="10">
        <v>266.39800000000002</v>
      </c>
      <c r="K192" s="19">
        <v>4.1449999999999996</v>
      </c>
      <c r="L192" s="17">
        <v>10.555</v>
      </c>
      <c r="N192" s="12">
        <f t="shared" si="13"/>
        <v>261.44999999995343</v>
      </c>
      <c r="O192" s="8">
        <f t="shared" si="14"/>
        <v>131</v>
      </c>
      <c r="P192" s="8" t="str">
        <f t="shared" si="15"/>
        <v>261.449999999953,131</v>
      </c>
      <c r="Q192" s="11" t="s">
        <v>10</v>
      </c>
      <c r="R192" s="8">
        <v>90</v>
      </c>
      <c r="S192" s="8">
        <v>2.5</v>
      </c>
      <c r="T192" s="8" t="str">
        <f t="shared" si="17"/>
        <v>-text 261.449999999953,131 2.5 90 266.398</v>
      </c>
      <c r="U192" s="10"/>
    </row>
    <row r="193" spans="1:21" x14ac:dyDescent="0.25">
      <c r="A193" s="15">
        <v>285780</v>
      </c>
      <c r="B193" s="9">
        <v>1175187.5</v>
      </c>
      <c r="C193" s="10">
        <v>269.45699999999999</v>
      </c>
      <c r="D193" s="17">
        <v>271.19499999999999</v>
      </c>
      <c r="E193" s="17">
        <v>1.738</v>
      </c>
      <c r="F193" s="10">
        <v>268.76900000000001</v>
      </c>
      <c r="G193" s="17">
        <v>270.48200000000003</v>
      </c>
      <c r="H193" s="17">
        <v>1.7130000000000001</v>
      </c>
      <c r="I193" s="10">
        <v>266.77699999999999</v>
      </c>
      <c r="J193" s="10">
        <v>266.54300000000001</v>
      </c>
      <c r="K193" s="19">
        <v>3.9390000000000001</v>
      </c>
      <c r="L193" s="17">
        <v>10.601000000000001</v>
      </c>
      <c r="N193" s="12">
        <f t="shared" si="13"/>
        <v>281.44999999995343</v>
      </c>
      <c r="O193" s="8">
        <f t="shared" si="14"/>
        <v>131</v>
      </c>
      <c r="P193" s="8" t="str">
        <f t="shared" si="15"/>
        <v>281.449999999953,131</v>
      </c>
      <c r="Q193" s="11" t="s">
        <v>10</v>
      </c>
      <c r="R193" s="8">
        <v>90</v>
      </c>
      <c r="S193" s="8">
        <v>2.5</v>
      </c>
      <c r="T193" s="8" t="str">
        <f t="shared" si="17"/>
        <v>-text 281.449999999953,131 2.5 90 266.543</v>
      </c>
      <c r="U193" s="10"/>
    </row>
    <row r="194" spans="1:21" x14ac:dyDescent="0.25">
      <c r="A194" s="15">
        <v>285800</v>
      </c>
      <c r="B194" s="9">
        <v>1175207.5</v>
      </c>
      <c r="C194" s="10">
        <v>269.49</v>
      </c>
      <c r="D194" s="17">
        <v>271.13499999999999</v>
      </c>
      <c r="E194" s="17">
        <v>1.6439999999999999</v>
      </c>
      <c r="F194" s="10">
        <v>268.80200000000002</v>
      </c>
      <c r="G194" s="17">
        <v>270.42200000000003</v>
      </c>
      <c r="H194" s="17">
        <v>1.619</v>
      </c>
      <c r="I194" s="10">
        <v>266.803</v>
      </c>
      <c r="J194" s="10">
        <v>266.54500000000002</v>
      </c>
      <c r="K194" s="19">
        <v>3.8759999999999999</v>
      </c>
      <c r="L194" s="17">
        <v>10.641999999999999</v>
      </c>
      <c r="N194" s="12">
        <f t="shared" si="13"/>
        <v>301.44999999995343</v>
      </c>
      <c r="O194" s="8">
        <f t="shared" si="14"/>
        <v>131</v>
      </c>
      <c r="P194" s="8" t="str">
        <f t="shared" si="15"/>
        <v>301.449999999953,131</v>
      </c>
      <c r="Q194" s="11" t="s">
        <v>10</v>
      </c>
      <c r="R194" s="8">
        <v>90</v>
      </c>
      <c r="S194" s="8">
        <v>2.5</v>
      </c>
      <c r="T194" s="8" t="str">
        <f t="shared" si="17"/>
        <v>-text 301.449999999953,131 2.5 90 266.545</v>
      </c>
      <c r="U194" s="10"/>
    </row>
    <row r="195" spans="1:21" x14ac:dyDescent="0.25">
      <c r="A195" s="15">
        <v>285820</v>
      </c>
      <c r="B195" s="9">
        <v>1175227.5</v>
      </c>
      <c r="C195" s="10">
        <v>269.495</v>
      </c>
      <c r="D195" s="17">
        <v>271.07499999999999</v>
      </c>
      <c r="E195" s="17">
        <v>1.58</v>
      </c>
      <c r="F195" s="10">
        <v>268.80700000000002</v>
      </c>
      <c r="G195" s="17">
        <v>270.36200000000002</v>
      </c>
      <c r="H195" s="17">
        <v>1.5549999999999999</v>
      </c>
      <c r="I195" s="10">
        <v>266.87299999999999</v>
      </c>
      <c r="J195" s="10">
        <v>266.52</v>
      </c>
      <c r="K195" s="19">
        <v>3.8420000000000001</v>
      </c>
      <c r="L195" s="17">
        <v>10.676</v>
      </c>
      <c r="N195" s="12">
        <f t="shared" si="13"/>
        <v>321.44999999995343</v>
      </c>
      <c r="O195" s="8">
        <f t="shared" si="14"/>
        <v>131</v>
      </c>
      <c r="P195" s="8" t="str">
        <f t="shared" si="15"/>
        <v>321.449999999953,131</v>
      </c>
      <c r="Q195" s="11" t="s">
        <v>10</v>
      </c>
      <c r="R195" s="8">
        <v>90</v>
      </c>
      <c r="S195" s="8">
        <v>2.5</v>
      </c>
      <c r="T195" s="8" t="str">
        <f t="shared" si="17"/>
        <v>-text 321.449999999953,131 2.5 90 266.52</v>
      </c>
      <c r="U195" s="10"/>
    </row>
    <row r="196" spans="1:21" x14ac:dyDescent="0.25">
      <c r="A196" s="15">
        <v>285840</v>
      </c>
      <c r="B196" s="9">
        <v>1175247.5</v>
      </c>
      <c r="C196" s="10">
        <v>269.48500000000001</v>
      </c>
      <c r="D196" s="17">
        <v>271.01499999999999</v>
      </c>
      <c r="E196" s="17">
        <v>1.53</v>
      </c>
      <c r="F196" s="10">
        <v>268.79700000000003</v>
      </c>
      <c r="G196" s="17">
        <v>270.30200000000002</v>
      </c>
      <c r="H196" s="17">
        <v>1.5049999999999999</v>
      </c>
      <c r="I196" s="10">
        <v>265.89800000000002</v>
      </c>
      <c r="J196" s="10">
        <v>266.185</v>
      </c>
      <c r="K196" s="19">
        <v>4.1159999999999997</v>
      </c>
      <c r="L196" s="17">
        <v>10.701000000000001</v>
      </c>
      <c r="N196" s="12">
        <f t="shared" si="13"/>
        <v>341.44999999995343</v>
      </c>
      <c r="O196" s="8">
        <f t="shared" si="14"/>
        <v>131</v>
      </c>
      <c r="P196" s="8" t="str">
        <f t="shared" si="15"/>
        <v>341.449999999953,131</v>
      </c>
      <c r="Q196" s="11" t="s">
        <v>10</v>
      </c>
      <c r="R196" s="8">
        <v>90</v>
      </c>
      <c r="S196" s="8">
        <v>2.5</v>
      </c>
      <c r="T196" s="8" t="str">
        <f t="shared" si="17"/>
        <v>-text 341.449999999953,131 2.5 90 266.185</v>
      </c>
      <c r="U196" s="10"/>
    </row>
    <row r="197" spans="1:21" x14ac:dyDescent="0.25">
      <c r="A197" s="15">
        <v>285860</v>
      </c>
      <c r="B197" s="9">
        <v>1175267.5</v>
      </c>
      <c r="C197" s="10">
        <v>269.47000000000003</v>
      </c>
      <c r="D197" s="17">
        <v>270.95400000000001</v>
      </c>
      <c r="E197" s="17">
        <v>1.484</v>
      </c>
      <c r="F197" s="10">
        <v>268.78199999999998</v>
      </c>
      <c r="G197" s="17">
        <v>270.24099999999999</v>
      </c>
      <c r="H197" s="17">
        <v>1.4590000000000001</v>
      </c>
      <c r="I197" s="10">
        <v>266.18200000000002</v>
      </c>
      <c r="J197" s="10">
        <v>266.40899999999999</v>
      </c>
      <c r="K197" s="19">
        <v>3.8319999999999999</v>
      </c>
      <c r="L197" s="17">
        <v>10.706</v>
      </c>
      <c r="N197" s="12">
        <f t="shared" si="13"/>
        <v>361.44999999995343</v>
      </c>
      <c r="O197" s="8">
        <f t="shared" si="14"/>
        <v>131</v>
      </c>
      <c r="P197" s="8" t="str">
        <f t="shared" si="15"/>
        <v>361.449999999953,131</v>
      </c>
      <c r="Q197" s="11" t="s">
        <v>10</v>
      </c>
      <c r="R197" s="8">
        <v>90</v>
      </c>
      <c r="S197" s="8">
        <v>2.5</v>
      </c>
      <c r="T197" s="8" t="str">
        <f t="shared" si="17"/>
        <v>-text 361.449999999953,131 2.5 90 266.409</v>
      </c>
      <c r="U197" s="10"/>
    </row>
    <row r="198" spans="1:21" x14ac:dyDescent="0.25">
      <c r="A198" s="15">
        <v>285880</v>
      </c>
      <c r="B198" s="9">
        <v>1175287.5</v>
      </c>
      <c r="C198" s="10">
        <v>269.459</v>
      </c>
      <c r="D198" s="17">
        <v>270.89400000000001</v>
      </c>
      <c r="E198" s="17">
        <v>1.4350000000000001</v>
      </c>
      <c r="F198" s="10">
        <v>268.77100000000002</v>
      </c>
      <c r="G198" s="17">
        <v>270.18099999999998</v>
      </c>
      <c r="H198" s="17">
        <v>1.41</v>
      </c>
      <c r="I198" s="10">
        <v>266.88600000000002</v>
      </c>
      <c r="J198" s="10">
        <v>266.40800000000002</v>
      </c>
      <c r="K198" s="19">
        <v>3.7730000000000001</v>
      </c>
      <c r="L198" s="17">
        <v>10.72</v>
      </c>
      <c r="N198" s="12">
        <f t="shared" si="13"/>
        <v>381.44999999995343</v>
      </c>
      <c r="O198" s="8">
        <f t="shared" si="14"/>
        <v>131</v>
      </c>
      <c r="P198" s="8" t="str">
        <f t="shared" si="15"/>
        <v>381.449999999953,131</v>
      </c>
      <c r="Q198" s="11" t="s">
        <v>10</v>
      </c>
      <c r="R198" s="8">
        <v>90</v>
      </c>
      <c r="S198" s="8">
        <v>2.5</v>
      </c>
      <c r="T198" s="8" t="str">
        <f t="shared" si="17"/>
        <v>-text 381.449999999953,131 2.5 90 266.408</v>
      </c>
      <c r="U198" s="10"/>
    </row>
    <row r="199" spans="1:21" x14ac:dyDescent="0.25">
      <c r="A199" s="15">
        <v>285900</v>
      </c>
      <c r="B199" s="9">
        <v>1175307.5</v>
      </c>
      <c r="C199" s="10">
        <v>269.45299999999997</v>
      </c>
      <c r="D199" s="17">
        <v>270.834</v>
      </c>
      <c r="E199" s="17">
        <v>1.381</v>
      </c>
      <c r="F199" s="10">
        <v>268.76499999999999</v>
      </c>
      <c r="G199" s="17">
        <v>270.12099999999998</v>
      </c>
      <c r="H199" s="17">
        <v>1.3560000000000001</v>
      </c>
      <c r="I199" s="10">
        <v>266.73099999999999</v>
      </c>
      <c r="J199" s="10">
        <v>266.358</v>
      </c>
      <c r="K199" s="19">
        <v>3.7629999999999999</v>
      </c>
      <c r="L199" s="17">
        <v>10.744</v>
      </c>
      <c r="N199" s="12">
        <f t="shared" si="13"/>
        <v>401.44999999995343</v>
      </c>
      <c r="O199" s="8">
        <f t="shared" si="14"/>
        <v>131</v>
      </c>
      <c r="P199" s="8" t="str">
        <f t="shared" si="15"/>
        <v>401.449999999953,131</v>
      </c>
      <c r="Q199" s="11" t="s">
        <v>10</v>
      </c>
      <c r="R199" s="8">
        <v>90</v>
      </c>
      <c r="S199" s="8">
        <v>2.5</v>
      </c>
      <c r="T199" s="8" t="str">
        <f t="shared" si="17"/>
        <v>-text 401.449999999953,131 2.5 90 266.358</v>
      </c>
      <c r="U199" s="10"/>
    </row>
    <row r="200" spans="1:21" x14ac:dyDescent="0.25">
      <c r="A200" s="15">
        <v>285920</v>
      </c>
      <c r="B200" s="9">
        <v>1175327.5</v>
      </c>
      <c r="C200" s="10">
        <v>269.41699999999997</v>
      </c>
      <c r="D200" s="17">
        <v>270.774</v>
      </c>
      <c r="E200" s="17">
        <v>1.357</v>
      </c>
      <c r="F200" s="10">
        <v>268.72899999999998</v>
      </c>
      <c r="G200" s="17">
        <v>270.06099999999998</v>
      </c>
      <c r="H200" s="17">
        <v>1.3320000000000001</v>
      </c>
      <c r="I200" s="10">
        <v>267.00200000000001</v>
      </c>
      <c r="J200" s="10">
        <v>266.32499999999999</v>
      </c>
      <c r="K200" s="19">
        <v>3.7360000000000002</v>
      </c>
      <c r="L200" s="17">
        <v>10.744999999999999</v>
      </c>
      <c r="N200" s="12">
        <f t="shared" si="13"/>
        <v>421.44999999995343</v>
      </c>
      <c r="O200" s="8">
        <f t="shared" si="14"/>
        <v>131</v>
      </c>
      <c r="P200" s="8" t="str">
        <f t="shared" si="15"/>
        <v>421.449999999953,131</v>
      </c>
      <c r="Q200" s="11" t="s">
        <v>10</v>
      </c>
      <c r="R200" s="8">
        <v>90</v>
      </c>
      <c r="S200" s="8">
        <v>2.5</v>
      </c>
      <c r="T200" s="8" t="str">
        <f t="shared" si="17"/>
        <v>-text 421.449999999953,131 2.5 90 266.325</v>
      </c>
      <c r="U200" s="10"/>
    </row>
    <row r="201" spans="1:21" x14ac:dyDescent="0.25">
      <c r="A201" s="15">
        <v>285940</v>
      </c>
      <c r="B201" s="9">
        <v>1175347.5</v>
      </c>
      <c r="C201" s="10">
        <v>269.40300000000002</v>
      </c>
      <c r="D201" s="17">
        <v>270.714</v>
      </c>
      <c r="E201" s="17">
        <v>1.31</v>
      </c>
      <c r="F201" s="10">
        <v>268.71499999999997</v>
      </c>
      <c r="G201" s="17">
        <v>270.00099999999998</v>
      </c>
      <c r="H201" s="17">
        <v>1.2849999999999999</v>
      </c>
      <c r="I201" s="10">
        <v>265.98200000000003</v>
      </c>
      <c r="J201" s="10">
        <v>266.30599999999998</v>
      </c>
      <c r="K201" s="19">
        <v>3.694</v>
      </c>
      <c r="L201" s="17">
        <v>10.739000000000001</v>
      </c>
      <c r="N201" s="12">
        <f t="shared" si="13"/>
        <v>441.44999999995343</v>
      </c>
      <c r="O201" s="8">
        <f t="shared" si="14"/>
        <v>131</v>
      </c>
      <c r="P201" s="8" t="str">
        <f t="shared" si="15"/>
        <v>441.449999999953,131</v>
      </c>
      <c r="Q201" s="11" t="s">
        <v>10</v>
      </c>
      <c r="R201" s="8">
        <v>90</v>
      </c>
      <c r="S201" s="8">
        <v>2.5</v>
      </c>
      <c r="T201" s="8" t="str">
        <f t="shared" si="17"/>
        <v>-text 441.449999999953,131 2.5 90 266.306</v>
      </c>
      <c r="U201" s="10"/>
    </row>
    <row r="202" spans="1:21" x14ac:dyDescent="0.25">
      <c r="A202" s="15">
        <v>285960</v>
      </c>
      <c r="B202" s="9">
        <v>1175367.5</v>
      </c>
      <c r="C202" s="10">
        <v>269.37799999999999</v>
      </c>
      <c r="D202" s="17">
        <v>270.65300000000002</v>
      </c>
      <c r="E202" s="17">
        <v>1.2749999999999999</v>
      </c>
      <c r="F202" s="10">
        <v>268.69</v>
      </c>
      <c r="G202" s="17">
        <v>269.94</v>
      </c>
      <c r="H202" s="17">
        <v>1.25</v>
      </c>
      <c r="I202" s="10">
        <v>267.03899999999999</v>
      </c>
      <c r="J202" s="10">
        <v>266.36900000000003</v>
      </c>
      <c r="K202" s="19">
        <v>3.5720000000000001</v>
      </c>
      <c r="L202" s="17">
        <v>10.74</v>
      </c>
      <c r="N202" s="12">
        <f t="shared" si="13"/>
        <v>461.44999999995343</v>
      </c>
      <c r="O202" s="8">
        <f t="shared" si="14"/>
        <v>131</v>
      </c>
      <c r="P202" s="8" t="str">
        <f t="shared" si="15"/>
        <v>461.449999999953,131</v>
      </c>
      <c r="Q202" s="11" t="s">
        <v>10</v>
      </c>
      <c r="R202" s="8">
        <v>90</v>
      </c>
      <c r="S202" s="8">
        <v>2.5</v>
      </c>
      <c r="T202" s="8" t="str">
        <f t="shared" si="17"/>
        <v>-text 461.449999999953,131 2.5 90 266.369</v>
      </c>
      <c r="U202" s="10"/>
    </row>
    <row r="203" spans="1:21" x14ac:dyDescent="0.25">
      <c r="A203" s="15">
        <v>285980</v>
      </c>
      <c r="B203" s="9">
        <v>1175387.5</v>
      </c>
      <c r="C203" s="10">
        <v>269.351</v>
      </c>
      <c r="D203" s="17">
        <v>270.59300000000002</v>
      </c>
      <c r="E203" s="17">
        <v>1.242</v>
      </c>
      <c r="F203" s="10">
        <v>268.66300000000001</v>
      </c>
      <c r="G203" s="17">
        <v>269.88</v>
      </c>
      <c r="H203" s="17">
        <v>1.2170000000000001</v>
      </c>
      <c r="I203" s="10">
        <v>266.03300000000002</v>
      </c>
      <c r="J203" s="10">
        <v>266.387</v>
      </c>
      <c r="K203" s="19">
        <v>3.4940000000000002</v>
      </c>
      <c r="L203" s="17">
        <v>10.742000000000001</v>
      </c>
      <c r="N203" s="12">
        <f t="shared" si="13"/>
        <v>481.44999999995343</v>
      </c>
      <c r="O203" s="8">
        <f t="shared" si="14"/>
        <v>131</v>
      </c>
      <c r="P203" s="8" t="str">
        <f t="shared" si="15"/>
        <v>481.449999999953,131</v>
      </c>
      <c r="Q203" s="11" t="s">
        <v>10</v>
      </c>
      <c r="R203" s="8">
        <v>90</v>
      </c>
      <c r="S203" s="8">
        <v>2.5</v>
      </c>
      <c r="T203" s="8" t="str">
        <f t="shared" si="17"/>
        <v>-text 481.449999999953,131 2.5 90 266.387</v>
      </c>
      <c r="U203" s="10"/>
    </row>
    <row r="204" spans="1:21" x14ac:dyDescent="0.25">
      <c r="A204" s="15">
        <v>286000</v>
      </c>
      <c r="B204" s="9">
        <v>1175407.5</v>
      </c>
      <c r="C204" s="10">
        <v>269.327</v>
      </c>
      <c r="D204" s="17">
        <v>270.53300000000002</v>
      </c>
      <c r="E204" s="17">
        <v>1.206</v>
      </c>
      <c r="F204" s="10">
        <v>268.63900000000001</v>
      </c>
      <c r="G204" s="17">
        <v>269.82</v>
      </c>
      <c r="H204" s="17">
        <v>1.181</v>
      </c>
      <c r="I204" s="10">
        <v>266.31599999999997</v>
      </c>
      <c r="J204" s="10">
        <v>266.61099999999999</v>
      </c>
      <c r="K204" s="19">
        <v>3.21</v>
      </c>
      <c r="L204" s="17">
        <v>10.755000000000001</v>
      </c>
      <c r="N204" s="12">
        <f t="shared" ref="N204:N270" si="18">N203+(B204-B203)</f>
        <v>501.44999999995343</v>
      </c>
      <c r="O204" s="8">
        <f t="shared" ref="O204:O270" si="19">O203</f>
        <v>131</v>
      </c>
      <c r="P204" s="8" t="str">
        <f t="shared" ref="P204:P270" si="20">CONCATENATE(N204,",",O204)</f>
        <v>501.449999999953,131</v>
      </c>
      <c r="Q204" s="11" t="s">
        <v>10</v>
      </c>
      <c r="R204" s="8">
        <v>90</v>
      </c>
      <c r="S204" s="8">
        <v>2.5</v>
      </c>
      <c r="T204" s="8" t="str">
        <f t="shared" si="17"/>
        <v>-text 501.449999999953,131 2.5 90 266.611</v>
      </c>
      <c r="U204" s="10"/>
    </row>
    <row r="205" spans="1:21" x14ac:dyDescent="0.25">
      <c r="A205" s="15"/>
      <c r="N205" s="12"/>
      <c r="Q205" s="11"/>
      <c r="U205" s="10"/>
    </row>
    <row r="206" spans="1:21" x14ac:dyDescent="0.25">
      <c r="A206" s="15">
        <v>286000</v>
      </c>
      <c r="B206" s="9">
        <v>1175407.5</v>
      </c>
      <c r="C206" s="10">
        <v>269.327</v>
      </c>
      <c r="D206" s="17">
        <v>270.53300000000002</v>
      </c>
      <c r="E206" s="17">
        <v>1.206</v>
      </c>
      <c r="F206" s="10">
        <v>268.63900000000001</v>
      </c>
      <c r="G206" s="17">
        <v>269.82</v>
      </c>
      <c r="H206" s="17">
        <v>1.181</v>
      </c>
      <c r="I206" s="10">
        <v>266.31599999999997</v>
      </c>
      <c r="J206" s="10">
        <v>266.61099999999999</v>
      </c>
      <c r="K206" s="19">
        <v>3.21</v>
      </c>
      <c r="L206" s="17">
        <v>10.755000000000001</v>
      </c>
      <c r="N206" s="12">
        <v>1.25</v>
      </c>
      <c r="O206" s="8">
        <v>131</v>
      </c>
      <c r="P206" s="8" t="str">
        <f t="shared" si="20"/>
        <v>1.25,131</v>
      </c>
      <c r="Q206" s="11" t="s">
        <v>10</v>
      </c>
      <c r="R206" s="8">
        <v>90</v>
      </c>
      <c r="S206" s="8">
        <v>2.5</v>
      </c>
      <c r="T206" s="8" t="str">
        <f>$Q206&amp;" "&amp;$P206&amp;" "&amp;$S206&amp;" "&amp;$R206&amp;" "&amp;$J206</f>
        <v>-text 1.25,131 2.5 90 266.611</v>
      </c>
      <c r="U206" s="10"/>
    </row>
    <row r="207" spans="1:21" x14ac:dyDescent="0.25">
      <c r="A207" s="15">
        <v>286020</v>
      </c>
      <c r="B207" s="9">
        <v>1175427.5</v>
      </c>
      <c r="C207" s="10">
        <v>269.30200000000002</v>
      </c>
      <c r="D207" s="17">
        <v>270.47300000000001</v>
      </c>
      <c r="E207" s="17">
        <v>1.17</v>
      </c>
      <c r="F207" s="10">
        <v>268.61399999999998</v>
      </c>
      <c r="G207" s="17">
        <v>269.76</v>
      </c>
      <c r="H207" s="17">
        <v>1.145</v>
      </c>
      <c r="I207" s="10">
        <v>267.27</v>
      </c>
      <c r="J207" s="10">
        <v>266.47899999999998</v>
      </c>
      <c r="K207" s="19">
        <v>3.2810000000000001</v>
      </c>
      <c r="L207" s="17">
        <v>10.766999999999999</v>
      </c>
      <c r="N207" s="12">
        <f t="shared" si="18"/>
        <v>21.25</v>
      </c>
      <c r="O207" s="8">
        <f t="shared" si="19"/>
        <v>131</v>
      </c>
      <c r="P207" s="8" t="str">
        <f t="shared" si="20"/>
        <v>21.25,131</v>
      </c>
      <c r="Q207" s="11" t="s">
        <v>10</v>
      </c>
      <c r="R207" s="8">
        <v>90</v>
      </c>
      <c r="S207" s="8">
        <v>2.5</v>
      </c>
      <c r="T207" s="8" t="str">
        <f t="shared" ref="T207:T231" si="21">$Q207&amp;" "&amp;$P207&amp;" "&amp;$S207&amp;" "&amp;$R207&amp;" "&amp;$J207</f>
        <v>-text 21.25,131 2.5 90 266.479</v>
      </c>
      <c r="U207" s="10"/>
    </row>
    <row r="208" spans="1:21" x14ac:dyDescent="0.25">
      <c r="A208" s="15">
        <v>286040</v>
      </c>
      <c r="B208" s="9">
        <v>1175447.5</v>
      </c>
      <c r="C208" s="10">
        <v>269.279</v>
      </c>
      <c r="D208" s="17">
        <v>270.41300000000001</v>
      </c>
      <c r="E208" s="17">
        <v>1.1339999999999999</v>
      </c>
      <c r="F208" s="10">
        <v>268.59100000000001</v>
      </c>
      <c r="G208" s="17">
        <v>269.7</v>
      </c>
      <c r="H208" s="17">
        <v>1.109</v>
      </c>
      <c r="I208" s="10">
        <v>266.27699999999999</v>
      </c>
      <c r="J208" s="10">
        <v>266.34100000000001</v>
      </c>
      <c r="K208" s="19">
        <v>3.359</v>
      </c>
      <c r="L208" s="17">
        <v>10.775</v>
      </c>
      <c r="N208" s="12">
        <f t="shared" si="18"/>
        <v>41.25</v>
      </c>
      <c r="O208" s="8">
        <f t="shared" si="19"/>
        <v>131</v>
      </c>
      <c r="P208" s="8" t="str">
        <f t="shared" si="20"/>
        <v>41.25,131</v>
      </c>
      <c r="Q208" s="11" t="s">
        <v>10</v>
      </c>
      <c r="R208" s="8">
        <v>90</v>
      </c>
      <c r="S208" s="8">
        <v>2.5</v>
      </c>
      <c r="T208" s="8" t="str">
        <f t="shared" si="21"/>
        <v>-text 41.25,131 2.5 90 266.341</v>
      </c>
      <c r="U208" s="10"/>
    </row>
    <row r="209" spans="1:21" x14ac:dyDescent="0.25">
      <c r="A209" s="15">
        <v>286060</v>
      </c>
      <c r="B209" s="9">
        <v>1175467.5</v>
      </c>
      <c r="C209" s="10">
        <v>269.25599999999997</v>
      </c>
      <c r="D209" s="17">
        <v>270.35199999999998</v>
      </c>
      <c r="E209" s="17">
        <v>1.097</v>
      </c>
      <c r="F209" s="10">
        <v>268.56799999999998</v>
      </c>
      <c r="G209" s="17">
        <v>269.63900000000001</v>
      </c>
      <c r="H209" s="17">
        <v>1.0720000000000001</v>
      </c>
      <c r="I209" s="10">
        <v>266.19600000000003</v>
      </c>
      <c r="J209" s="10">
        <v>266.41699999999997</v>
      </c>
      <c r="K209" s="19">
        <v>3.2229999999999999</v>
      </c>
      <c r="L209" s="17">
        <v>10.782</v>
      </c>
      <c r="N209" s="12">
        <f t="shared" si="18"/>
        <v>61.25</v>
      </c>
      <c r="O209" s="8">
        <f t="shared" si="19"/>
        <v>131</v>
      </c>
      <c r="P209" s="8" t="str">
        <f t="shared" si="20"/>
        <v>61.25,131</v>
      </c>
      <c r="Q209" s="11" t="s">
        <v>10</v>
      </c>
      <c r="R209" s="8">
        <v>90</v>
      </c>
      <c r="S209" s="8">
        <v>2.5</v>
      </c>
      <c r="T209" s="8" t="str">
        <f t="shared" si="21"/>
        <v>-text 61.25,131 2.5 90 266.417</v>
      </c>
      <c r="U209" s="10"/>
    </row>
    <row r="210" spans="1:21" x14ac:dyDescent="0.25">
      <c r="A210" s="15">
        <v>286080</v>
      </c>
      <c r="B210" s="9">
        <v>1175487.5</v>
      </c>
      <c r="C210" s="10">
        <v>269.22800000000001</v>
      </c>
      <c r="D210" s="17">
        <v>270.29199999999997</v>
      </c>
      <c r="E210" s="17">
        <v>1.0640000000000001</v>
      </c>
      <c r="F210" s="10">
        <v>268.54000000000002</v>
      </c>
      <c r="G210" s="17">
        <v>269.57900000000001</v>
      </c>
      <c r="H210" s="17">
        <v>1.0389999999999999</v>
      </c>
      <c r="I210" s="10">
        <v>266.04000000000002</v>
      </c>
      <c r="J210" s="10">
        <v>266.90199999999999</v>
      </c>
      <c r="K210" s="19">
        <v>2.6779999999999999</v>
      </c>
      <c r="L210" s="17">
        <v>10.781000000000001</v>
      </c>
      <c r="N210" s="12">
        <f t="shared" si="18"/>
        <v>81.25</v>
      </c>
      <c r="O210" s="8">
        <f t="shared" si="19"/>
        <v>131</v>
      </c>
      <c r="P210" s="8" t="str">
        <f t="shared" si="20"/>
        <v>81.25,131</v>
      </c>
      <c r="Q210" s="11" t="s">
        <v>10</v>
      </c>
      <c r="R210" s="8">
        <v>90</v>
      </c>
      <c r="S210" s="8">
        <v>2.5</v>
      </c>
      <c r="T210" s="8" t="str">
        <f t="shared" si="21"/>
        <v>-text 81.25,131 2.5 90 266.902</v>
      </c>
      <c r="U210" s="10"/>
    </row>
    <row r="211" spans="1:21" x14ac:dyDescent="0.25">
      <c r="A211" s="15">
        <v>286100</v>
      </c>
      <c r="B211" s="9">
        <v>1175507.5</v>
      </c>
      <c r="C211" s="10">
        <v>269.19900000000001</v>
      </c>
      <c r="D211" s="17">
        <v>270.23200000000003</v>
      </c>
      <c r="E211" s="17">
        <v>1.0329999999999999</v>
      </c>
      <c r="F211" s="10">
        <v>268.51100000000002</v>
      </c>
      <c r="G211" s="17">
        <v>269.51900000000001</v>
      </c>
      <c r="H211" s="17">
        <v>1.008</v>
      </c>
      <c r="I211" s="10">
        <v>266.81599999999997</v>
      </c>
      <c r="J211" s="10">
        <v>267.42700000000002</v>
      </c>
      <c r="K211" s="19">
        <v>2.0920000000000001</v>
      </c>
      <c r="L211" s="17">
        <v>10.775</v>
      </c>
      <c r="N211" s="12">
        <f t="shared" si="18"/>
        <v>101.25</v>
      </c>
      <c r="O211" s="8">
        <f t="shared" si="19"/>
        <v>131</v>
      </c>
      <c r="P211" s="8" t="str">
        <f t="shared" si="20"/>
        <v>101.25,131</v>
      </c>
      <c r="Q211" s="11" t="s">
        <v>10</v>
      </c>
      <c r="R211" s="8">
        <v>90</v>
      </c>
      <c r="S211" s="8">
        <v>2.5</v>
      </c>
      <c r="T211" s="8" t="str">
        <f t="shared" si="21"/>
        <v>-text 101.25,131 2.5 90 267.427</v>
      </c>
      <c r="U211" s="10"/>
    </row>
    <row r="212" spans="1:21" x14ac:dyDescent="0.25">
      <c r="A212" s="15">
        <v>286120</v>
      </c>
      <c r="B212" s="9">
        <v>1175527.5</v>
      </c>
      <c r="C212" s="10">
        <v>269.16399999999999</v>
      </c>
      <c r="D212" s="17">
        <v>270.17200000000003</v>
      </c>
      <c r="E212" s="17">
        <v>1.008</v>
      </c>
      <c r="F212" s="10">
        <v>268.476</v>
      </c>
      <c r="G212" s="17">
        <v>269.459</v>
      </c>
      <c r="H212" s="17">
        <v>0.98299999999999998</v>
      </c>
      <c r="I212" s="10">
        <v>266.98500000000001</v>
      </c>
      <c r="J212" s="10">
        <v>267.78699999999998</v>
      </c>
      <c r="K212" s="19">
        <v>1.6719999999999999</v>
      </c>
      <c r="L212" s="17">
        <v>10.73</v>
      </c>
      <c r="N212" s="12">
        <f t="shared" si="18"/>
        <v>121.25</v>
      </c>
      <c r="O212" s="8">
        <f t="shared" si="19"/>
        <v>131</v>
      </c>
      <c r="P212" s="8" t="str">
        <f t="shared" si="20"/>
        <v>121.25,131</v>
      </c>
      <c r="Q212" s="11" t="s">
        <v>10</v>
      </c>
      <c r="R212" s="8">
        <v>90</v>
      </c>
      <c r="S212" s="8">
        <v>2.5</v>
      </c>
      <c r="T212" s="8" t="str">
        <f t="shared" si="21"/>
        <v>-text 121.25,131 2.5 90 267.787</v>
      </c>
      <c r="U212" s="10"/>
    </row>
    <row r="213" spans="1:21" x14ac:dyDescent="0.25">
      <c r="A213" s="15">
        <v>286140</v>
      </c>
      <c r="B213" s="9">
        <v>1175547.5</v>
      </c>
      <c r="C213" s="10">
        <v>269.12700000000001</v>
      </c>
      <c r="D213" s="17">
        <v>270.11200000000002</v>
      </c>
      <c r="E213" s="17">
        <v>0.98499999999999999</v>
      </c>
      <c r="F213" s="10">
        <v>268.43900000000002</v>
      </c>
      <c r="G213" s="17">
        <v>269.399</v>
      </c>
      <c r="H213" s="17">
        <v>0.96</v>
      </c>
      <c r="I213" s="10">
        <v>266.476</v>
      </c>
      <c r="J213" s="10">
        <v>267.20100000000002</v>
      </c>
      <c r="K213" s="19">
        <v>2.198</v>
      </c>
      <c r="L213" s="17">
        <v>10.667</v>
      </c>
      <c r="N213" s="12">
        <f t="shared" si="18"/>
        <v>141.25</v>
      </c>
      <c r="O213" s="8">
        <f t="shared" si="19"/>
        <v>131</v>
      </c>
      <c r="P213" s="8" t="str">
        <f t="shared" si="20"/>
        <v>141.25,131</v>
      </c>
      <c r="Q213" s="11" t="s">
        <v>10</v>
      </c>
      <c r="R213" s="8">
        <v>90</v>
      </c>
      <c r="S213" s="8">
        <v>2.5</v>
      </c>
      <c r="T213" s="8" t="str">
        <f t="shared" si="21"/>
        <v>-text 141.25,131 2.5 90 267.201</v>
      </c>
      <c r="U213" s="10"/>
    </row>
    <row r="214" spans="1:21" x14ac:dyDescent="0.25">
      <c r="A214" s="15">
        <v>286160</v>
      </c>
      <c r="B214" s="9">
        <v>1175567.5</v>
      </c>
      <c r="C214" s="10">
        <v>269.10700000000003</v>
      </c>
      <c r="D214" s="17">
        <v>270.05099999999999</v>
      </c>
      <c r="E214" s="17">
        <v>0.94499999999999995</v>
      </c>
      <c r="F214" s="10">
        <v>268.41899999999998</v>
      </c>
      <c r="G214" s="17">
        <v>269.33800000000002</v>
      </c>
      <c r="H214" s="17">
        <v>0.92</v>
      </c>
      <c r="I214" s="10">
        <v>265.61799999999999</v>
      </c>
      <c r="J214" s="10">
        <v>266.41899999999998</v>
      </c>
      <c r="K214" s="19">
        <v>2.919</v>
      </c>
      <c r="L214" s="17">
        <v>10.682</v>
      </c>
      <c r="N214" s="12">
        <f t="shared" si="18"/>
        <v>161.25</v>
      </c>
      <c r="O214" s="8">
        <f t="shared" si="19"/>
        <v>131</v>
      </c>
      <c r="P214" s="8" t="str">
        <f t="shared" si="20"/>
        <v>161.25,131</v>
      </c>
      <c r="Q214" s="11" t="s">
        <v>10</v>
      </c>
      <c r="R214" s="8">
        <v>90</v>
      </c>
      <c r="S214" s="8">
        <v>2.5</v>
      </c>
      <c r="T214" s="8" t="str">
        <f t="shared" si="21"/>
        <v>-text 161.25,131 2.5 90 266.419</v>
      </c>
      <c r="U214" s="10"/>
    </row>
    <row r="215" spans="1:21" x14ac:dyDescent="0.25">
      <c r="A215" s="15">
        <v>286180</v>
      </c>
      <c r="B215" s="9">
        <v>1175587.5</v>
      </c>
      <c r="C215" s="10">
        <v>269.09199999999998</v>
      </c>
      <c r="D215" s="17">
        <v>269.99099999999999</v>
      </c>
      <c r="E215" s="17">
        <v>0.9</v>
      </c>
      <c r="F215" s="10">
        <v>268.404</v>
      </c>
      <c r="G215" s="17">
        <v>269.27800000000002</v>
      </c>
      <c r="H215" s="17">
        <v>0.875</v>
      </c>
      <c r="I215" s="10">
        <v>265.25700000000001</v>
      </c>
      <c r="J215" s="10">
        <v>266.36599999999999</v>
      </c>
      <c r="K215" s="19">
        <v>2.9119999999999999</v>
      </c>
      <c r="L215" s="17">
        <v>10.725</v>
      </c>
      <c r="N215" s="12">
        <f t="shared" si="18"/>
        <v>181.25</v>
      </c>
      <c r="O215" s="8">
        <f t="shared" si="19"/>
        <v>131</v>
      </c>
      <c r="P215" s="8" t="str">
        <f t="shared" si="20"/>
        <v>181.25,131</v>
      </c>
      <c r="Q215" s="11" t="s">
        <v>10</v>
      </c>
      <c r="R215" s="8">
        <v>90</v>
      </c>
      <c r="S215" s="8">
        <v>2.5</v>
      </c>
      <c r="T215" s="8" t="str">
        <f t="shared" si="21"/>
        <v>-text 181.25,131 2.5 90 266.366</v>
      </c>
      <c r="U215" s="10"/>
    </row>
    <row r="216" spans="1:21" x14ac:dyDescent="0.25">
      <c r="A216" s="15">
        <v>286200</v>
      </c>
      <c r="B216" s="9">
        <v>1175607.5</v>
      </c>
      <c r="C216" s="10">
        <v>269.077</v>
      </c>
      <c r="D216" s="17">
        <v>269.93099999999998</v>
      </c>
      <c r="E216" s="17">
        <v>0.85399999999999998</v>
      </c>
      <c r="F216" s="10">
        <v>268.38900000000001</v>
      </c>
      <c r="G216" s="17">
        <v>269.21800000000002</v>
      </c>
      <c r="H216" s="17">
        <v>0.82899999999999996</v>
      </c>
      <c r="I216" s="10">
        <v>265.29500000000002</v>
      </c>
      <c r="J216" s="10">
        <v>266.21899999999999</v>
      </c>
      <c r="K216" s="19">
        <v>3</v>
      </c>
      <c r="L216" s="17">
        <v>10.728999999999999</v>
      </c>
      <c r="N216" s="12">
        <f t="shared" si="18"/>
        <v>201.25</v>
      </c>
      <c r="O216" s="8">
        <f t="shared" si="19"/>
        <v>131</v>
      </c>
      <c r="P216" s="8" t="str">
        <f t="shared" si="20"/>
        <v>201.25,131</v>
      </c>
      <c r="Q216" s="11" t="s">
        <v>10</v>
      </c>
      <c r="R216" s="8">
        <v>90</v>
      </c>
      <c r="S216" s="8">
        <v>2.5</v>
      </c>
      <c r="T216" s="8" t="str">
        <f t="shared" si="21"/>
        <v>-text 201.25,131 2.5 90 266.219</v>
      </c>
      <c r="U216" s="10"/>
    </row>
    <row r="217" spans="1:21" x14ac:dyDescent="0.25">
      <c r="A217" s="15">
        <v>286220</v>
      </c>
      <c r="B217" s="9">
        <v>1175627.5</v>
      </c>
      <c r="C217" s="10">
        <v>269.06200000000001</v>
      </c>
      <c r="D217" s="17">
        <v>269.87099999999998</v>
      </c>
      <c r="E217" s="17">
        <v>0.80900000000000005</v>
      </c>
      <c r="F217" s="10">
        <v>268.37400000000002</v>
      </c>
      <c r="G217" s="17">
        <v>269.15800000000002</v>
      </c>
      <c r="H217" s="17">
        <v>0.78400000000000003</v>
      </c>
      <c r="I217" s="10">
        <v>265.416</v>
      </c>
      <c r="J217" s="10">
        <v>266.298</v>
      </c>
      <c r="K217" s="19">
        <v>2.86</v>
      </c>
      <c r="L217" s="17">
        <v>10.725</v>
      </c>
      <c r="N217" s="12">
        <f t="shared" si="18"/>
        <v>221.25</v>
      </c>
      <c r="O217" s="8">
        <f t="shared" si="19"/>
        <v>131</v>
      </c>
      <c r="P217" s="8" t="str">
        <f t="shared" si="20"/>
        <v>221.25,131</v>
      </c>
      <c r="Q217" s="11" t="s">
        <v>10</v>
      </c>
      <c r="R217" s="8">
        <v>90</v>
      </c>
      <c r="S217" s="8">
        <v>2.5</v>
      </c>
      <c r="T217" s="8" t="str">
        <f t="shared" si="21"/>
        <v>-text 221.25,131 2.5 90 266.298</v>
      </c>
      <c r="U217" s="10"/>
    </row>
    <row r="218" spans="1:21" x14ac:dyDescent="0.25">
      <c r="A218" s="15">
        <v>286240</v>
      </c>
      <c r="B218" s="9">
        <v>1175647.5</v>
      </c>
      <c r="C218" s="10">
        <v>269.06200000000001</v>
      </c>
      <c r="D218" s="17">
        <v>269.81099999999998</v>
      </c>
      <c r="E218" s="17">
        <v>0.749</v>
      </c>
      <c r="F218" s="10">
        <v>268.37400000000002</v>
      </c>
      <c r="G218" s="17">
        <v>269.09800000000001</v>
      </c>
      <c r="H218" s="17">
        <v>0.72399999999999998</v>
      </c>
      <c r="I218" s="10">
        <v>265.66500000000002</v>
      </c>
      <c r="J218" s="10">
        <v>266.548</v>
      </c>
      <c r="K218" s="19">
        <v>2.5499999999999998</v>
      </c>
      <c r="L218" s="17">
        <v>10.737</v>
      </c>
      <c r="N218" s="12">
        <f t="shared" si="18"/>
        <v>241.25</v>
      </c>
      <c r="O218" s="8">
        <f t="shared" si="19"/>
        <v>131</v>
      </c>
      <c r="P218" s="8" t="str">
        <f t="shared" si="20"/>
        <v>241.25,131</v>
      </c>
      <c r="Q218" s="11" t="s">
        <v>10</v>
      </c>
      <c r="R218" s="8">
        <v>90</v>
      </c>
      <c r="S218" s="8">
        <v>2.5</v>
      </c>
      <c r="T218" s="8" t="str">
        <f t="shared" si="21"/>
        <v>-text 241.25,131 2.5 90 266.548</v>
      </c>
      <c r="U218" s="10"/>
    </row>
    <row r="219" spans="1:21" x14ac:dyDescent="0.25">
      <c r="A219" s="15">
        <v>286260</v>
      </c>
      <c r="B219" s="9">
        <v>1175667.5</v>
      </c>
      <c r="C219" s="10">
        <v>269.06400000000002</v>
      </c>
      <c r="D219" s="17">
        <v>269.75099999999998</v>
      </c>
      <c r="E219" s="17">
        <v>0.68600000000000005</v>
      </c>
      <c r="F219" s="10">
        <v>268.37599999999998</v>
      </c>
      <c r="G219" s="17">
        <v>269.03800000000001</v>
      </c>
      <c r="H219" s="17">
        <v>0.66100000000000003</v>
      </c>
      <c r="I219" s="10">
        <v>265.80099999999999</v>
      </c>
      <c r="J219" s="10">
        <v>266.59800000000001</v>
      </c>
      <c r="K219" s="19">
        <v>2.44</v>
      </c>
      <c r="L219" s="17">
        <v>10.750999999999999</v>
      </c>
      <c r="N219" s="12">
        <f t="shared" si="18"/>
        <v>261.25</v>
      </c>
      <c r="O219" s="8">
        <f t="shared" si="19"/>
        <v>131</v>
      </c>
      <c r="P219" s="8" t="str">
        <f t="shared" si="20"/>
        <v>261.25,131</v>
      </c>
      <c r="Q219" s="11" t="s">
        <v>10</v>
      </c>
      <c r="R219" s="8">
        <v>90</v>
      </c>
      <c r="S219" s="8">
        <v>2.5</v>
      </c>
      <c r="T219" s="8" t="str">
        <f t="shared" si="21"/>
        <v>-text 261.25,131 2.5 90 266.598</v>
      </c>
      <c r="U219" s="10"/>
    </row>
    <row r="220" spans="1:21" x14ac:dyDescent="0.25">
      <c r="A220" s="15">
        <v>286280</v>
      </c>
      <c r="B220" s="9">
        <v>1175687.3999999999</v>
      </c>
      <c r="C220" s="10">
        <v>269.07</v>
      </c>
      <c r="D220" s="17">
        <v>269.69099999999997</v>
      </c>
      <c r="E220" s="17">
        <v>0.621</v>
      </c>
      <c r="F220" s="10">
        <v>268.38200000000001</v>
      </c>
      <c r="G220" s="17">
        <v>268.97800000000001</v>
      </c>
      <c r="H220" s="17">
        <v>0.59599999999999997</v>
      </c>
      <c r="I220" s="10">
        <v>265.69299999999998</v>
      </c>
      <c r="J220" s="10">
        <v>266.685</v>
      </c>
      <c r="K220" s="19">
        <v>2.2919999999999998</v>
      </c>
      <c r="L220" s="17">
        <v>10.653</v>
      </c>
      <c r="N220" s="12">
        <f t="shared" si="18"/>
        <v>281.14999999990687</v>
      </c>
      <c r="O220" s="8">
        <f t="shared" si="19"/>
        <v>131</v>
      </c>
      <c r="P220" s="8" t="str">
        <f t="shared" si="20"/>
        <v>281.149999999907,131</v>
      </c>
      <c r="Q220" s="11" t="s">
        <v>10</v>
      </c>
      <c r="R220" s="8">
        <v>90</v>
      </c>
      <c r="S220" s="8">
        <v>2.5</v>
      </c>
      <c r="T220" s="8" t="str">
        <f t="shared" si="21"/>
        <v>-text 281.149999999907,131 2.5 90 266.685</v>
      </c>
      <c r="U220" s="10"/>
    </row>
    <row r="221" spans="1:21" x14ac:dyDescent="0.25">
      <c r="A221" s="15">
        <v>286300</v>
      </c>
      <c r="B221" s="9">
        <v>1175707.3999999999</v>
      </c>
      <c r="C221" s="10">
        <v>269.065</v>
      </c>
      <c r="D221" s="17">
        <v>269.63099999999997</v>
      </c>
      <c r="E221" s="17">
        <v>0.56599999999999995</v>
      </c>
      <c r="F221" s="10">
        <v>268.37700000000001</v>
      </c>
      <c r="G221" s="17">
        <v>268.91800000000001</v>
      </c>
      <c r="H221" s="17">
        <v>0.54100000000000004</v>
      </c>
      <c r="I221" s="10">
        <v>265.67099999999999</v>
      </c>
      <c r="J221" s="10">
        <v>266.77300000000002</v>
      </c>
      <c r="K221" s="19">
        <v>2.145</v>
      </c>
      <c r="L221" s="17">
        <v>10.475</v>
      </c>
      <c r="N221" s="12">
        <f t="shared" si="18"/>
        <v>301.14999999990687</v>
      </c>
      <c r="O221" s="8">
        <f t="shared" si="19"/>
        <v>131</v>
      </c>
      <c r="P221" s="8" t="str">
        <f t="shared" si="20"/>
        <v>301.149999999907,131</v>
      </c>
      <c r="Q221" s="11" t="s">
        <v>10</v>
      </c>
      <c r="R221" s="8">
        <v>90</v>
      </c>
      <c r="S221" s="8">
        <v>2.5</v>
      </c>
      <c r="T221" s="8" t="str">
        <f t="shared" si="21"/>
        <v>-text 301.149999999907,131 2.5 90 266.773</v>
      </c>
      <c r="U221" s="10"/>
    </row>
    <row r="222" spans="1:21" x14ac:dyDescent="0.25">
      <c r="A222" s="15">
        <v>286320</v>
      </c>
      <c r="B222" s="9">
        <v>1175727.3</v>
      </c>
      <c r="C222" s="10">
        <v>269.03800000000001</v>
      </c>
      <c r="D222" s="17">
        <v>269.57100000000003</v>
      </c>
      <c r="E222" s="17">
        <v>0.53300000000000003</v>
      </c>
      <c r="F222" s="10">
        <v>268.35000000000002</v>
      </c>
      <c r="G222" s="17">
        <v>268.858</v>
      </c>
      <c r="H222" s="17">
        <v>0.50800000000000001</v>
      </c>
      <c r="I222" s="10">
        <v>265.83600000000001</v>
      </c>
      <c r="J222" s="10">
        <v>266.892</v>
      </c>
      <c r="K222" s="19">
        <v>1.9650000000000001</v>
      </c>
      <c r="L222" s="17">
        <v>10.210000000000001</v>
      </c>
      <c r="N222" s="12">
        <f t="shared" si="18"/>
        <v>321.05000000004657</v>
      </c>
      <c r="O222" s="8">
        <f t="shared" si="19"/>
        <v>131</v>
      </c>
      <c r="P222" s="8" t="str">
        <f t="shared" si="20"/>
        <v>321.050000000047,131</v>
      </c>
      <c r="Q222" s="11" t="s">
        <v>10</v>
      </c>
      <c r="R222" s="8">
        <v>90</v>
      </c>
      <c r="S222" s="8">
        <v>2.5</v>
      </c>
      <c r="T222" s="8" t="str">
        <f t="shared" si="21"/>
        <v>-text 321.050000000047,131 2.5 90 266.892</v>
      </c>
      <c r="U222" s="10"/>
    </row>
    <row r="223" spans="1:21" x14ac:dyDescent="0.25">
      <c r="A223" s="15">
        <v>286340</v>
      </c>
      <c r="B223" s="9">
        <v>1175747.3</v>
      </c>
      <c r="C223" s="10">
        <v>268.98500000000001</v>
      </c>
      <c r="D223" s="17">
        <v>269.51100000000002</v>
      </c>
      <c r="E223" s="17">
        <v>0.52600000000000002</v>
      </c>
      <c r="F223" s="10">
        <v>268.29700000000003</v>
      </c>
      <c r="G223" s="17">
        <v>268.798</v>
      </c>
      <c r="H223" s="17">
        <v>0.501</v>
      </c>
      <c r="I223" s="10">
        <v>265.82600000000002</v>
      </c>
      <c r="J223" s="10">
        <v>266.8</v>
      </c>
      <c r="K223" s="19">
        <v>1.9970000000000001</v>
      </c>
      <c r="L223" s="17">
        <v>9.9060000000000006</v>
      </c>
      <c r="N223" s="12">
        <f t="shared" si="18"/>
        <v>341.05000000004657</v>
      </c>
      <c r="O223" s="8">
        <f t="shared" si="19"/>
        <v>131</v>
      </c>
      <c r="P223" s="8" t="str">
        <f t="shared" si="20"/>
        <v>341.050000000047,131</v>
      </c>
      <c r="Q223" s="11" t="s">
        <v>10</v>
      </c>
      <c r="R223" s="8">
        <v>90</v>
      </c>
      <c r="S223" s="8">
        <v>2.5</v>
      </c>
      <c r="T223" s="8" t="str">
        <f t="shared" si="21"/>
        <v>-text 341.050000000047,131 2.5 90 266.8</v>
      </c>
      <c r="U223" s="10"/>
    </row>
    <row r="224" spans="1:21" x14ac:dyDescent="0.25">
      <c r="A224" s="15">
        <v>286360</v>
      </c>
      <c r="B224" s="9">
        <v>1175767.2</v>
      </c>
      <c r="C224" s="10">
        <v>268.93700000000001</v>
      </c>
      <c r="D224" s="17">
        <v>269.45100000000002</v>
      </c>
      <c r="E224" s="17">
        <v>0.51400000000000001</v>
      </c>
      <c r="F224" s="10">
        <v>268.24900000000002</v>
      </c>
      <c r="G224" s="17">
        <v>268.738</v>
      </c>
      <c r="H224" s="17">
        <v>0.48899999999999999</v>
      </c>
      <c r="I224" s="10">
        <v>265.67099999999999</v>
      </c>
      <c r="J224" s="10">
        <v>266.32799999999997</v>
      </c>
      <c r="K224" s="19">
        <v>2.41</v>
      </c>
      <c r="L224" s="17">
        <v>9.6389999999999993</v>
      </c>
      <c r="N224" s="12">
        <f t="shared" si="18"/>
        <v>360.94999999995343</v>
      </c>
      <c r="O224" s="8">
        <f t="shared" si="19"/>
        <v>131</v>
      </c>
      <c r="P224" s="8" t="str">
        <f t="shared" si="20"/>
        <v>360.949999999953,131</v>
      </c>
      <c r="Q224" s="11" t="s">
        <v>10</v>
      </c>
      <c r="R224" s="8">
        <v>90</v>
      </c>
      <c r="S224" s="8">
        <v>2.5</v>
      </c>
      <c r="T224" s="8" t="str">
        <f t="shared" si="21"/>
        <v>-text 360.949999999953,131 2.5 90 266.328</v>
      </c>
      <c r="U224" s="10"/>
    </row>
    <row r="225" spans="1:21" x14ac:dyDescent="0.25">
      <c r="A225" s="15">
        <v>286380</v>
      </c>
      <c r="B225" s="9">
        <v>1175787.2</v>
      </c>
      <c r="C225" s="10">
        <v>268.91500000000002</v>
      </c>
      <c r="D225" s="17">
        <v>269.39</v>
      </c>
      <c r="E225" s="17">
        <v>0.47599999999999998</v>
      </c>
      <c r="F225" s="10">
        <v>268.22699999999998</v>
      </c>
      <c r="G225" s="17">
        <v>268.67700000000002</v>
      </c>
      <c r="H225" s="17">
        <v>0.45100000000000001</v>
      </c>
      <c r="I225" s="10">
        <v>265.30900000000003</v>
      </c>
      <c r="J225" s="10">
        <v>266.15800000000002</v>
      </c>
      <c r="K225" s="19">
        <v>2.5190000000000001</v>
      </c>
      <c r="L225" s="17">
        <v>9.4610000000000003</v>
      </c>
      <c r="N225" s="12">
        <f t="shared" si="18"/>
        <v>380.94999999995343</v>
      </c>
      <c r="O225" s="8">
        <f t="shared" si="19"/>
        <v>131</v>
      </c>
      <c r="P225" s="8" t="str">
        <f t="shared" si="20"/>
        <v>380.949999999953,131</v>
      </c>
      <c r="Q225" s="11" t="s">
        <v>10</v>
      </c>
      <c r="R225" s="8">
        <v>90</v>
      </c>
      <c r="S225" s="8">
        <v>2.5</v>
      </c>
      <c r="T225" s="8" t="str">
        <f t="shared" si="21"/>
        <v>-text 380.949999999953,131 2.5 90 266.158</v>
      </c>
      <c r="U225" s="10"/>
    </row>
    <row r="226" spans="1:21" x14ac:dyDescent="0.25">
      <c r="A226" s="15">
        <v>286400</v>
      </c>
      <c r="B226" s="9">
        <v>1175807.2</v>
      </c>
      <c r="C226" s="10">
        <v>268.88099999999997</v>
      </c>
      <c r="D226" s="17">
        <v>269.33</v>
      </c>
      <c r="E226" s="17">
        <v>0.44900000000000001</v>
      </c>
      <c r="F226" s="10">
        <v>268.19299999999998</v>
      </c>
      <c r="G226" s="17">
        <v>268.61700000000002</v>
      </c>
      <c r="H226" s="17">
        <v>0.42399999999999999</v>
      </c>
      <c r="I226" s="10">
        <v>265.17099999999999</v>
      </c>
      <c r="J226" s="10">
        <v>266.00099999999998</v>
      </c>
      <c r="K226" s="19">
        <v>2.617</v>
      </c>
      <c r="L226" s="17">
        <v>9.4420000000000002</v>
      </c>
      <c r="N226" s="12">
        <f t="shared" si="18"/>
        <v>400.94999999995343</v>
      </c>
      <c r="O226" s="8">
        <f t="shared" si="19"/>
        <v>131</v>
      </c>
      <c r="P226" s="8" t="str">
        <f t="shared" si="20"/>
        <v>400.949999999953,131</v>
      </c>
      <c r="Q226" s="11" t="s">
        <v>10</v>
      </c>
      <c r="R226" s="8">
        <v>90</v>
      </c>
      <c r="S226" s="8">
        <v>2.5</v>
      </c>
      <c r="T226" s="8" t="str">
        <f t="shared" si="21"/>
        <v>-text 400.949999999953,131 2.5 90 266.001</v>
      </c>
      <c r="U226" s="10"/>
    </row>
    <row r="227" spans="1:21" x14ac:dyDescent="0.25">
      <c r="A227" s="15">
        <v>286420</v>
      </c>
      <c r="B227" s="9">
        <v>1175827.1000000001</v>
      </c>
      <c r="C227" s="10">
        <v>268.86900000000003</v>
      </c>
      <c r="D227" s="17">
        <v>269.27</v>
      </c>
      <c r="E227" s="17">
        <v>0.40100000000000002</v>
      </c>
      <c r="F227" s="10">
        <v>268.18099999999998</v>
      </c>
      <c r="G227" s="17">
        <v>268.55700000000002</v>
      </c>
      <c r="H227" s="17">
        <v>0.376</v>
      </c>
      <c r="I227" s="10">
        <v>265.46899999999999</v>
      </c>
      <c r="J227" s="10">
        <v>266.32</v>
      </c>
      <c r="K227" s="19">
        <v>2.2370000000000001</v>
      </c>
      <c r="L227" s="17">
        <v>9.423</v>
      </c>
      <c r="N227" s="12">
        <f t="shared" si="18"/>
        <v>420.85000000009313</v>
      </c>
      <c r="O227" s="8">
        <f t="shared" si="19"/>
        <v>131</v>
      </c>
      <c r="P227" s="8" t="str">
        <f t="shared" si="20"/>
        <v>420.850000000093,131</v>
      </c>
      <c r="Q227" s="11" t="s">
        <v>10</v>
      </c>
      <c r="R227" s="8">
        <v>90</v>
      </c>
      <c r="S227" s="8">
        <v>2.5</v>
      </c>
      <c r="T227" s="8" t="str">
        <f t="shared" si="21"/>
        <v>-text 420.850000000093,131 2.5 90 266.32</v>
      </c>
      <c r="U227" s="10"/>
    </row>
    <row r="228" spans="1:21" x14ac:dyDescent="0.25">
      <c r="A228" s="15">
        <v>286440</v>
      </c>
      <c r="B228" s="9">
        <v>1175847</v>
      </c>
      <c r="C228" s="10">
        <v>268.86799999999999</v>
      </c>
      <c r="D228" s="17">
        <v>269.20999999999998</v>
      </c>
      <c r="E228" s="17">
        <v>0.34200000000000003</v>
      </c>
      <c r="F228" s="10">
        <v>268.18</v>
      </c>
      <c r="G228" s="17">
        <v>268.49700000000001</v>
      </c>
      <c r="H228" s="17">
        <v>0.317</v>
      </c>
      <c r="I228" s="10">
        <v>265.56299999999999</v>
      </c>
      <c r="J228" s="10">
        <v>267.18299999999999</v>
      </c>
      <c r="K228" s="19">
        <v>1.3140000000000001</v>
      </c>
      <c r="L228" s="17">
        <v>9.468</v>
      </c>
      <c r="N228" s="12">
        <f t="shared" si="18"/>
        <v>440.75</v>
      </c>
      <c r="O228" s="8">
        <f t="shared" si="19"/>
        <v>131</v>
      </c>
      <c r="P228" s="8" t="str">
        <f t="shared" si="20"/>
        <v>440.75,131</v>
      </c>
      <c r="Q228" s="11" t="s">
        <v>10</v>
      </c>
      <c r="R228" s="8">
        <v>90</v>
      </c>
      <c r="S228" s="8">
        <v>2.5</v>
      </c>
      <c r="T228" s="8" t="str">
        <f t="shared" si="21"/>
        <v>-text 440.75,131 2.5 90 267.183</v>
      </c>
      <c r="U228" s="10"/>
    </row>
    <row r="229" spans="1:21" x14ac:dyDescent="0.25">
      <c r="A229" s="15">
        <v>286460</v>
      </c>
      <c r="B229" s="9">
        <v>1175866.8999999999</v>
      </c>
      <c r="C229" s="10">
        <v>268.89499999999998</v>
      </c>
      <c r="D229" s="17">
        <v>269.14999999999998</v>
      </c>
      <c r="E229" s="17">
        <v>0.25600000000000001</v>
      </c>
      <c r="F229" s="10">
        <v>268.20699999999999</v>
      </c>
      <c r="G229" s="17">
        <v>268.43700000000001</v>
      </c>
      <c r="H229" s="17">
        <v>0.23100000000000001</v>
      </c>
      <c r="I229" s="10">
        <v>265.68</v>
      </c>
      <c r="J229" s="10">
        <v>267.19400000000002</v>
      </c>
      <c r="K229" s="19">
        <v>1.2430000000000001</v>
      </c>
      <c r="L229" s="17">
        <v>9.5169999999999995</v>
      </c>
      <c r="N229" s="12">
        <f t="shared" si="18"/>
        <v>460.64999999990687</v>
      </c>
      <c r="O229" s="8">
        <f t="shared" si="19"/>
        <v>131</v>
      </c>
      <c r="P229" s="8" t="str">
        <f t="shared" si="20"/>
        <v>460.649999999907,131</v>
      </c>
      <c r="Q229" s="11" t="s">
        <v>10</v>
      </c>
      <c r="R229" s="8">
        <v>90</v>
      </c>
      <c r="S229" s="8">
        <v>2.5</v>
      </c>
      <c r="T229" s="8" t="str">
        <f t="shared" si="21"/>
        <v>-text 460.649999999907,131 2.5 90 267.194</v>
      </c>
      <c r="U229" s="10"/>
    </row>
    <row r="230" spans="1:21" x14ac:dyDescent="0.25">
      <c r="A230" s="15">
        <v>286480</v>
      </c>
      <c r="B230" s="9">
        <v>1175886.8999999999</v>
      </c>
      <c r="C230" s="10">
        <v>268.93099999999998</v>
      </c>
      <c r="D230" s="17">
        <v>269.08999999999997</v>
      </c>
      <c r="E230" s="17">
        <v>0.159</v>
      </c>
      <c r="F230" s="10">
        <v>268.24299999999999</v>
      </c>
      <c r="G230" s="17">
        <v>268.37700000000001</v>
      </c>
      <c r="H230" s="17">
        <v>0.13400000000000001</v>
      </c>
      <c r="I230" s="10">
        <v>265.84100000000001</v>
      </c>
      <c r="J230" s="10">
        <v>267.18700000000001</v>
      </c>
      <c r="K230" s="19">
        <v>1.19</v>
      </c>
      <c r="L230" s="17">
        <v>9.5220000000000002</v>
      </c>
      <c r="N230" s="12">
        <f t="shared" si="18"/>
        <v>480.64999999990687</v>
      </c>
      <c r="O230" s="8">
        <f t="shared" si="19"/>
        <v>131</v>
      </c>
      <c r="P230" s="8" t="str">
        <f t="shared" si="20"/>
        <v>480.649999999907,131</v>
      </c>
      <c r="Q230" s="11" t="s">
        <v>10</v>
      </c>
      <c r="R230" s="8">
        <v>90</v>
      </c>
      <c r="S230" s="8">
        <v>2.5</v>
      </c>
      <c r="T230" s="8" t="str">
        <f t="shared" si="21"/>
        <v>-text 480.649999999907,131 2.5 90 267.187</v>
      </c>
      <c r="U230" s="10"/>
    </row>
    <row r="231" spans="1:21" x14ac:dyDescent="0.25">
      <c r="A231" s="15">
        <v>286500</v>
      </c>
      <c r="B231" s="9">
        <v>1175906.8</v>
      </c>
      <c r="C231" s="10">
        <v>268.95299999999997</v>
      </c>
      <c r="D231" s="17">
        <v>269.02999999999997</v>
      </c>
      <c r="E231" s="17">
        <v>7.6999999999999999E-2</v>
      </c>
      <c r="F231" s="10">
        <v>268.26499999999999</v>
      </c>
      <c r="G231" s="17">
        <v>268.31700000000001</v>
      </c>
      <c r="H231" s="17">
        <v>5.1999999999999998E-2</v>
      </c>
      <c r="I231" s="10">
        <v>264.98</v>
      </c>
      <c r="J231" s="10">
        <v>266.63299999999998</v>
      </c>
      <c r="K231" s="19">
        <v>1.6839999999999999</v>
      </c>
      <c r="L231" s="17">
        <v>9.4290000000000003</v>
      </c>
      <c r="N231" s="12">
        <f t="shared" si="18"/>
        <v>500.55000000004657</v>
      </c>
      <c r="O231" s="8">
        <f t="shared" si="19"/>
        <v>131</v>
      </c>
      <c r="P231" s="8" t="str">
        <f t="shared" si="20"/>
        <v>500.550000000047,131</v>
      </c>
      <c r="Q231" s="11" t="s">
        <v>10</v>
      </c>
      <c r="R231" s="8">
        <v>90</v>
      </c>
      <c r="S231" s="8">
        <v>2.5</v>
      </c>
      <c r="T231" s="8" t="str">
        <f t="shared" si="21"/>
        <v>-text 500.550000000047,131 2.5 90 266.633</v>
      </c>
      <c r="U231" s="10"/>
    </row>
    <row r="232" spans="1:21" x14ac:dyDescent="0.25">
      <c r="A232" s="15"/>
      <c r="N232" s="12"/>
      <c r="Q232" s="11"/>
      <c r="U232" s="10"/>
    </row>
    <row r="233" spans="1:21" x14ac:dyDescent="0.25">
      <c r="A233" s="15">
        <v>286500</v>
      </c>
      <c r="B233" s="9">
        <v>1175906.8</v>
      </c>
      <c r="C233" s="10">
        <v>268.95299999999997</v>
      </c>
      <c r="D233" s="17">
        <v>269.02999999999997</v>
      </c>
      <c r="E233" s="17">
        <v>7.6999999999999999E-2</v>
      </c>
      <c r="F233" s="10">
        <v>268.26499999999999</v>
      </c>
      <c r="G233" s="17">
        <v>268.31700000000001</v>
      </c>
      <c r="H233" s="17">
        <v>5.1999999999999998E-2</v>
      </c>
      <c r="I233" s="10">
        <v>264.98</v>
      </c>
      <c r="J233" s="10">
        <v>266.63299999999998</v>
      </c>
      <c r="K233" s="19">
        <v>1.6839999999999999</v>
      </c>
      <c r="L233" s="17">
        <v>9.4290000000000003</v>
      </c>
      <c r="N233" s="12">
        <v>1.25</v>
      </c>
      <c r="O233" s="8">
        <v>131</v>
      </c>
      <c r="P233" s="8" t="str">
        <f t="shared" si="20"/>
        <v>1.25,131</v>
      </c>
      <c r="Q233" s="11" t="s">
        <v>10</v>
      </c>
      <c r="R233" s="8">
        <v>90</v>
      </c>
      <c r="S233" s="8">
        <v>2.5</v>
      </c>
      <c r="T233" s="8" t="str">
        <f>$Q233&amp;" "&amp;$P233&amp;" "&amp;$S233&amp;" "&amp;$R233&amp;" "&amp;$J233</f>
        <v>-text 1.25,131 2.5 90 266.633</v>
      </c>
      <c r="U233" s="10"/>
    </row>
    <row r="234" spans="1:21" x14ac:dyDescent="0.25">
      <c r="A234" s="15">
        <v>286520</v>
      </c>
      <c r="B234" s="9">
        <v>1175926.8</v>
      </c>
      <c r="C234" s="10">
        <v>268.935</v>
      </c>
      <c r="D234" s="17">
        <v>268.98399999999998</v>
      </c>
      <c r="E234" s="17">
        <v>4.9000000000000002E-2</v>
      </c>
      <c r="F234" s="10">
        <v>268.24700000000001</v>
      </c>
      <c r="G234" s="17">
        <v>268.27100000000002</v>
      </c>
      <c r="H234" s="17">
        <v>2.4E-2</v>
      </c>
      <c r="I234" s="10">
        <v>265.428</v>
      </c>
      <c r="J234" s="10">
        <v>265.98</v>
      </c>
      <c r="K234" s="19">
        <v>2.2909999999999999</v>
      </c>
      <c r="L234" s="17">
        <v>9.2379999999999995</v>
      </c>
      <c r="N234" s="12">
        <f t="shared" si="18"/>
        <v>21.25</v>
      </c>
      <c r="O234" s="8">
        <f t="shared" si="19"/>
        <v>131</v>
      </c>
      <c r="P234" s="8" t="str">
        <f t="shared" si="20"/>
        <v>21.25,131</v>
      </c>
      <c r="Q234" s="11" t="s">
        <v>10</v>
      </c>
      <c r="R234" s="8">
        <v>90</v>
      </c>
      <c r="S234" s="8">
        <v>2.5</v>
      </c>
      <c r="T234" s="8" t="str">
        <f t="shared" ref="T234:T258" si="22">$Q234&amp;" "&amp;$P234&amp;" "&amp;$S234&amp;" "&amp;$R234&amp;" "&amp;$J234</f>
        <v>-text 21.25,131 2.5 90 265.98</v>
      </c>
      <c r="U234" s="10"/>
    </row>
    <row r="235" spans="1:21" x14ac:dyDescent="0.25">
      <c r="A235" s="15">
        <v>286540</v>
      </c>
      <c r="B235" s="9">
        <v>1175946.8</v>
      </c>
      <c r="C235" s="10">
        <v>268.97399999999999</v>
      </c>
      <c r="D235" s="17">
        <v>269.06400000000002</v>
      </c>
      <c r="E235" s="17">
        <v>0.09</v>
      </c>
      <c r="F235" s="10">
        <v>268.286</v>
      </c>
      <c r="G235" s="17">
        <v>268.351</v>
      </c>
      <c r="H235" s="17">
        <v>6.5000000000000002E-2</v>
      </c>
      <c r="I235" s="10">
        <v>265.21899999999999</v>
      </c>
      <c r="J235" s="10">
        <v>266.05099999999999</v>
      </c>
      <c r="K235" s="19">
        <v>2.2999999999999998</v>
      </c>
      <c r="L235" s="17">
        <v>9.02</v>
      </c>
      <c r="N235" s="12">
        <f t="shared" si="18"/>
        <v>41.25</v>
      </c>
      <c r="O235" s="8">
        <f t="shared" si="19"/>
        <v>131</v>
      </c>
      <c r="P235" s="8" t="str">
        <f t="shared" si="20"/>
        <v>41.25,131</v>
      </c>
      <c r="Q235" s="11" t="s">
        <v>10</v>
      </c>
      <c r="R235" s="8">
        <v>90</v>
      </c>
      <c r="S235" s="8">
        <v>2.5</v>
      </c>
      <c r="T235" s="8" t="str">
        <f t="shared" si="22"/>
        <v>-text 41.25,131 2.5 90 266.051</v>
      </c>
      <c r="U235" s="10"/>
    </row>
    <row r="236" spans="1:21" x14ac:dyDescent="0.25">
      <c r="A236" s="15">
        <v>286560</v>
      </c>
      <c r="B236" s="9">
        <v>1175966.8</v>
      </c>
      <c r="C236" s="10">
        <v>269.00799999999998</v>
      </c>
      <c r="D236" s="17">
        <v>269.14499999999998</v>
      </c>
      <c r="E236" s="17">
        <v>0.13700000000000001</v>
      </c>
      <c r="F236" s="10">
        <v>268.32</v>
      </c>
      <c r="G236" s="17">
        <v>268.43200000000002</v>
      </c>
      <c r="H236" s="17">
        <v>0.112</v>
      </c>
      <c r="I236" s="10">
        <v>265.75400000000002</v>
      </c>
      <c r="J236" s="10">
        <v>266.14699999999999</v>
      </c>
      <c r="K236" s="19">
        <v>2.2850000000000001</v>
      </c>
      <c r="L236" s="17">
        <v>8.8160000000000007</v>
      </c>
      <c r="N236" s="12">
        <f t="shared" si="18"/>
        <v>61.25</v>
      </c>
      <c r="O236" s="8">
        <f t="shared" si="19"/>
        <v>131</v>
      </c>
      <c r="P236" s="8" t="str">
        <f t="shared" si="20"/>
        <v>61.25,131</v>
      </c>
      <c r="Q236" s="11" t="s">
        <v>10</v>
      </c>
      <c r="R236" s="8">
        <v>90</v>
      </c>
      <c r="S236" s="8">
        <v>2.5</v>
      </c>
      <c r="T236" s="8" t="str">
        <f t="shared" si="22"/>
        <v>-text 61.25,131 2.5 90 266.147</v>
      </c>
      <c r="U236" s="10"/>
    </row>
    <row r="237" spans="1:21" x14ac:dyDescent="0.25">
      <c r="A237" s="15">
        <v>286580</v>
      </c>
      <c r="B237" s="9">
        <v>1175986.8</v>
      </c>
      <c r="C237" s="10">
        <v>269.03899999999999</v>
      </c>
      <c r="D237" s="17">
        <v>269.22500000000002</v>
      </c>
      <c r="E237" s="17">
        <v>0.186</v>
      </c>
      <c r="F237" s="10">
        <v>268.351</v>
      </c>
      <c r="G237" s="17">
        <v>268.512</v>
      </c>
      <c r="H237" s="17">
        <v>0.161</v>
      </c>
      <c r="I237" s="10">
        <v>265.346</v>
      </c>
      <c r="J237" s="10">
        <v>266.24099999999999</v>
      </c>
      <c r="K237" s="19">
        <v>2.2709999999999999</v>
      </c>
      <c r="L237" s="17">
        <v>8.6210000000000004</v>
      </c>
      <c r="N237" s="12">
        <f t="shared" si="18"/>
        <v>81.25</v>
      </c>
      <c r="O237" s="8">
        <f t="shared" si="19"/>
        <v>131</v>
      </c>
      <c r="P237" s="8" t="str">
        <f t="shared" si="20"/>
        <v>81.25,131</v>
      </c>
      <c r="Q237" s="11" t="s">
        <v>10</v>
      </c>
      <c r="R237" s="8">
        <v>90</v>
      </c>
      <c r="S237" s="8">
        <v>2.5</v>
      </c>
      <c r="T237" s="8" t="str">
        <f t="shared" si="22"/>
        <v>-text 81.25,131 2.5 90 266.241</v>
      </c>
      <c r="U237" s="10"/>
    </row>
    <row r="238" spans="1:21" x14ac:dyDescent="0.25">
      <c r="A238" s="15">
        <v>286600</v>
      </c>
      <c r="B238" s="9">
        <v>1176006.8</v>
      </c>
      <c r="C238" s="10">
        <v>269.07</v>
      </c>
      <c r="D238" s="17">
        <v>269.30599999999998</v>
      </c>
      <c r="E238" s="17">
        <v>0.23499999999999999</v>
      </c>
      <c r="F238" s="10">
        <v>268.38200000000001</v>
      </c>
      <c r="G238" s="17">
        <v>268.59300000000002</v>
      </c>
      <c r="H238" s="17">
        <v>0.21</v>
      </c>
      <c r="I238" s="10">
        <v>265.839</v>
      </c>
      <c r="J238" s="10">
        <v>266.39100000000002</v>
      </c>
      <c r="K238" s="19">
        <v>2.202</v>
      </c>
      <c r="L238" s="17">
        <v>8.4429999999999996</v>
      </c>
      <c r="N238" s="12">
        <f t="shared" si="18"/>
        <v>101.25</v>
      </c>
      <c r="O238" s="8">
        <f t="shared" si="19"/>
        <v>131</v>
      </c>
      <c r="P238" s="8" t="str">
        <f t="shared" si="20"/>
        <v>101.25,131</v>
      </c>
      <c r="Q238" s="11" t="s">
        <v>10</v>
      </c>
      <c r="R238" s="8">
        <v>90</v>
      </c>
      <c r="S238" s="8">
        <v>2.5</v>
      </c>
      <c r="T238" s="8" t="str">
        <f t="shared" si="22"/>
        <v>-text 101.25,131 2.5 90 266.391</v>
      </c>
      <c r="U238" s="10"/>
    </row>
    <row r="239" spans="1:21" x14ac:dyDescent="0.25">
      <c r="A239" s="15">
        <v>286620</v>
      </c>
      <c r="B239" s="9">
        <v>1176026.8</v>
      </c>
      <c r="C239" s="10">
        <v>269.10500000000002</v>
      </c>
      <c r="D239" s="17">
        <v>269.38600000000002</v>
      </c>
      <c r="E239" s="17">
        <v>0.28100000000000003</v>
      </c>
      <c r="F239" s="10">
        <v>268.41699999999997</v>
      </c>
      <c r="G239" s="17">
        <v>268.673</v>
      </c>
      <c r="H239" s="17">
        <v>0.25600000000000001</v>
      </c>
      <c r="I239" s="10">
        <v>265.51</v>
      </c>
      <c r="J239" s="10">
        <v>266.37400000000002</v>
      </c>
      <c r="K239" s="19">
        <v>2.2989999999999999</v>
      </c>
      <c r="L239" s="17">
        <v>8.2750000000000004</v>
      </c>
      <c r="N239" s="12">
        <f t="shared" si="18"/>
        <v>121.25</v>
      </c>
      <c r="O239" s="8">
        <f t="shared" si="19"/>
        <v>131</v>
      </c>
      <c r="P239" s="8" t="str">
        <f t="shared" si="20"/>
        <v>121.25,131</v>
      </c>
      <c r="Q239" s="11" t="s">
        <v>10</v>
      </c>
      <c r="R239" s="8">
        <v>90</v>
      </c>
      <c r="S239" s="8">
        <v>2.5</v>
      </c>
      <c r="T239" s="8" t="str">
        <f t="shared" si="22"/>
        <v>-text 121.25,131 2.5 90 266.374</v>
      </c>
      <c r="U239" s="10"/>
    </row>
    <row r="240" spans="1:21" x14ac:dyDescent="0.25">
      <c r="A240" s="15">
        <v>286640</v>
      </c>
      <c r="B240" s="9">
        <v>1176046.8999999999</v>
      </c>
      <c r="C240" s="10">
        <v>269.15100000000001</v>
      </c>
      <c r="D240" s="17">
        <v>269.46699999999998</v>
      </c>
      <c r="E240" s="17">
        <v>0.317</v>
      </c>
      <c r="F240" s="10">
        <v>268.46300000000002</v>
      </c>
      <c r="G240" s="17">
        <v>268.75400000000002</v>
      </c>
      <c r="H240" s="17">
        <v>0.29199999999999998</v>
      </c>
      <c r="I240" s="10">
        <v>265.62400000000002</v>
      </c>
      <c r="J240" s="10">
        <v>266.31</v>
      </c>
      <c r="K240" s="19">
        <v>2.444</v>
      </c>
      <c r="L240" s="17">
        <v>8.1449999999999996</v>
      </c>
      <c r="N240" s="12">
        <f t="shared" si="18"/>
        <v>141.3499999998603</v>
      </c>
      <c r="O240" s="8">
        <f t="shared" si="19"/>
        <v>131</v>
      </c>
      <c r="P240" s="8" t="str">
        <f t="shared" si="20"/>
        <v>141.34999999986,131</v>
      </c>
      <c r="Q240" s="11" t="s">
        <v>10</v>
      </c>
      <c r="R240" s="8">
        <v>90</v>
      </c>
      <c r="S240" s="8">
        <v>2.5</v>
      </c>
      <c r="T240" s="8" t="str">
        <f t="shared" si="22"/>
        <v>-text 141.34999999986,131 2.5 90 266.31</v>
      </c>
      <c r="U240" s="10"/>
    </row>
    <row r="241" spans="1:21" x14ac:dyDescent="0.25">
      <c r="A241" s="15">
        <v>286660</v>
      </c>
      <c r="B241" s="9">
        <v>1176066.8999999999</v>
      </c>
      <c r="C241" s="10">
        <v>269.22000000000003</v>
      </c>
      <c r="D241" s="17">
        <v>269.548</v>
      </c>
      <c r="E241" s="17">
        <v>0.32800000000000001</v>
      </c>
      <c r="F241" s="10">
        <v>268.53199999999998</v>
      </c>
      <c r="G241" s="17">
        <v>268.83499999999998</v>
      </c>
      <c r="H241" s="17">
        <v>0.30299999999999999</v>
      </c>
      <c r="I241" s="10">
        <v>265.68900000000002</v>
      </c>
      <c r="J241" s="10">
        <v>266.27600000000001</v>
      </c>
      <c r="K241" s="19">
        <v>2.5590000000000002</v>
      </c>
      <c r="L241" s="17">
        <v>8.1809999999999992</v>
      </c>
      <c r="N241" s="12">
        <f t="shared" si="18"/>
        <v>161.3499999998603</v>
      </c>
      <c r="O241" s="8">
        <f t="shared" si="19"/>
        <v>131</v>
      </c>
      <c r="P241" s="8" t="str">
        <f t="shared" si="20"/>
        <v>161.34999999986,131</v>
      </c>
      <c r="Q241" s="11" t="s">
        <v>10</v>
      </c>
      <c r="R241" s="8">
        <v>90</v>
      </c>
      <c r="S241" s="8">
        <v>2.5</v>
      </c>
      <c r="T241" s="8" t="str">
        <f t="shared" si="22"/>
        <v>-text 161.34999999986,131 2.5 90 266.276</v>
      </c>
      <c r="U241" s="10"/>
    </row>
    <row r="242" spans="1:21" x14ac:dyDescent="0.25">
      <c r="A242" s="15">
        <v>286680</v>
      </c>
      <c r="B242" s="9">
        <v>1176087</v>
      </c>
      <c r="C242" s="10">
        <v>269.28699999999998</v>
      </c>
      <c r="D242" s="17">
        <v>269.62900000000002</v>
      </c>
      <c r="E242" s="17">
        <v>0.34200000000000003</v>
      </c>
      <c r="F242" s="10">
        <v>268.59899999999999</v>
      </c>
      <c r="G242" s="17">
        <v>268.916</v>
      </c>
      <c r="H242" s="17">
        <v>0.317</v>
      </c>
      <c r="I242" s="10">
        <v>265.67700000000002</v>
      </c>
      <c r="J242" s="10">
        <v>266.30399999999997</v>
      </c>
      <c r="K242" s="19">
        <v>2.6120000000000001</v>
      </c>
      <c r="L242" s="17">
        <v>8.2029999999999994</v>
      </c>
      <c r="N242" s="12">
        <f t="shared" si="18"/>
        <v>181.44999999995343</v>
      </c>
      <c r="O242" s="8">
        <f t="shared" si="19"/>
        <v>131</v>
      </c>
      <c r="P242" s="8" t="str">
        <f t="shared" si="20"/>
        <v>181.449999999953,131</v>
      </c>
      <c r="Q242" s="11" t="s">
        <v>10</v>
      </c>
      <c r="R242" s="8">
        <v>90</v>
      </c>
      <c r="S242" s="8">
        <v>2.5</v>
      </c>
      <c r="T242" s="8" t="str">
        <f t="shared" si="22"/>
        <v>-text 181.449999999953,131 2.5 90 266.304</v>
      </c>
      <c r="U242" s="10"/>
    </row>
    <row r="243" spans="1:21" x14ac:dyDescent="0.25">
      <c r="A243" s="15">
        <v>286700</v>
      </c>
      <c r="B243" s="9">
        <v>1176107</v>
      </c>
      <c r="C243" s="10">
        <v>269.35000000000002</v>
      </c>
      <c r="D243" s="17">
        <v>269.709</v>
      </c>
      <c r="E243" s="17">
        <v>0.35899999999999999</v>
      </c>
      <c r="F243" s="10">
        <v>268.66199999999998</v>
      </c>
      <c r="G243" s="17">
        <v>268.99599999999998</v>
      </c>
      <c r="H243" s="17">
        <v>0.33400000000000002</v>
      </c>
      <c r="I243" s="10">
        <v>265.76400000000001</v>
      </c>
      <c r="J243" s="10">
        <v>266.05799999999999</v>
      </c>
      <c r="K243" s="19">
        <v>2.9380000000000002</v>
      </c>
      <c r="L243" s="17">
        <v>8.2230000000000008</v>
      </c>
      <c r="N243" s="12">
        <f t="shared" si="18"/>
        <v>201.44999999995343</v>
      </c>
      <c r="O243" s="8">
        <f t="shared" si="19"/>
        <v>131</v>
      </c>
      <c r="P243" s="8" t="str">
        <f t="shared" si="20"/>
        <v>201.449999999953,131</v>
      </c>
      <c r="Q243" s="11" t="s">
        <v>10</v>
      </c>
      <c r="R243" s="8">
        <v>90</v>
      </c>
      <c r="S243" s="8">
        <v>2.5</v>
      </c>
      <c r="T243" s="8" t="str">
        <f t="shared" si="22"/>
        <v>-text 201.449999999953,131 2.5 90 266.058</v>
      </c>
      <c r="U243" s="10"/>
    </row>
    <row r="244" spans="1:21" x14ac:dyDescent="0.25">
      <c r="A244" s="15">
        <v>286720</v>
      </c>
      <c r="B244" s="9">
        <v>1176127.1000000001</v>
      </c>
      <c r="C244" s="10">
        <v>269.41000000000003</v>
      </c>
      <c r="D244" s="17">
        <v>269.79000000000002</v>
      </c>
      <c r="E244" s="17">
        <v>0.379</v>
      </c>
      <c r="F244" s="10">
        <v>268.72199999999998</v>
      </c>
      <c r="G244" s="17">
        <v>269.077</v>
      </c>
      <c r="H244" s="17">
        <v>0.35399999999999998</v>
      </c>
      <c r="I244" s="10">
        <v>265.54500000000002</v>
      </c>
      <c r="J244" s="10">
        <v>266.17500000000001</v>
      </c>
      <c r="K244" s="19">
        <v>2.9020000000000001</v>
      </c>
      <c r="L244" s="17">
        <v>8.2140000000000004</v>
      </c>
      <c r="N244" s="12">
        <f t="shared" si="18"/>
        <v>221.55000000004657</v>
      </c>
      <c r="O244" s="8">
        <f t="shared" si="19"/>
        <v>131</v>
      </c>
      <c r="P244" s="8" t="str">
        <f t="shared" si="20"/>
        <v>221.550000000047,131</v>
      </c>
      <c r="Q244" s="11" t="s">
        <v>10</v>
      </c>
      <c r="R244" s="8">
        <v>90</v>
      </c>
      <c r="S244" s="8">
        <v>2.5</v>
      </c>
      <c r="T244" s="8" t="str">
        <f t="shared" si="22"/>
        <v>-text 221.550000000047,131 2.5 90 266.175</v>
      </c>
      <c r="U244" s="10"/>
    </row>
    <row r="245" spans="1:21" x14ac:dyDescent="0.25">
      <c r="A245" s="15">
        <v>286740</v>
      </c>
      <c r="B245" s="9">
        <v>1176147.1000000001</v>
      </c>
      <c r="C245" s="10">
        <v>269.49200000000002</v>
      </c>
      <c r="D245" s="17">
        <v>269.87099999999998</v>
      </c>
      <c r="E245" s="17">
        <v>0.378</v>
      </c>
      <c r="F245" s="10">
        <v>268.80399999999997</v>
      </c>
      <c r="G245" s="17">
        <v>269.15800000000002</v>
      </c>
      <c r="H245" s="17">
        <v>0.35299999999999998</v>
      </c>
      <c r="I245" s="10">
        <v>265.98500000000001</v>
      </c>
      <c r="J245" s="10">
        <v>266.26400000000001</v>
      </c>
      <c r="K245" s="19">
        <v>2.8929999999999998</v>
      </c>
      <c r="L245" s="17">
        <v>8.234</v>
      </c>
      <c r="N245" s="12">
        <f t="shared" si="18"/>
        <v>241.55000000004657</v>
      </c>
      <c r="O245" s="8">
        <f t="shared" si="19"/>
        <v>131</v>
      </c>
      <c r="P245" s="8" t="str">
        <f t="shared" si="20"/>
        <v>241.550000000047,131</v>
      </c>
      <c r="Q245" s="11" t="s">
        <v>10</v>
      </c>
      <c r="R245" s="8">
        <v>90</v>
      </c>
      <c r="S245" s="8">
        <v>2.5</v>
      </c>
      <c r="T245" s="8" t="str">
        <f t="shared" si="22"/>
        <v>-text 241.550000000047,131 2.5 90 266.264</v>
      </c>
      <c r="U245" s="10"/>
    </row>
    <row r="246" spans="1:21" x14ac:dyDescent="0.25">
      <c r="A246" s="15">
        <v>286760</v>
      </c>
      <c r="B246" s="9">
        <v>1176167.2</v>
      </c>
      <c r="C246" s="10">
        <v>269.56</v>
      </c>
      <c r="D246" s="17">
        <v>269.95100000000002</v>
      </c>
      <c r="E246" s="17">
        <v>0.39100000000000001</v>
      </c>
      <c r="F246" s="10">
        <v>268.87200000000001</v>
      </c>
      <c r="G246" s="17">
        <v>269.238</v>
      </c>
      <c r="H246" s="17">
        <v>0.36599999999999999</v>
      </c>
      <c r="I246" s="10">
        <v>265.77300000000002</v>
      </c>
      <c r="J246" s="10">
        <v>266.58199999999999</v>
      </c>
      <c r="K246" s="19">
        <v>2.6560000000000001</v>
      </c>
      <c r="L246" s="17">
        <v>8.25</v>
      </c>
      <c r="N246" s="12">
        <f t="shared" si="18"/>
        <v>261.64999999990687</v>
      </c>
      <c r="O246" s="8">
        <f t="shared" si="19"/>
        <v>131</v>
      </c>
      <c r="P246" s="8" t="str">
        <f t="shared" si="20"/>
        <v>261.649999999907,131</v>
      </c>
      <c r="Q246" s="11" t="s">
        <v>10</v>
      </c>
      <c r="R246" s="8">
        <v>90</v>
      </c>
      <c r="S246" s="8">
        <v>2.5</v>
      </c>
      <c r="T246" s="8" t="str">
        <f t="shared" si="22"/>
        <v>-text 261.649999999907,131 2.5 90 266.582</v>
      </c>
      <c r="U246" s="10"/>
    </row>
    <row r="247" spans="1:21" x14ac:dyDescent="0.25">
      <c r="A247" s="15">
        <v>286780</v>
      </c>
      <c r="B247" s="9">
        <v>1176187.2</v>
      </c>
      <c r="C247" s="10">
        <v>269.62799999999999</v>
      </c>
      <c r="D247" s="17">
        <v>270.03199999999998</v>
      </c>
      <c r="E247" s="17">
        <v>0.40400000000000003</v>
      </c>
      <c r="F247" s="10">
        <v>268.94</v>
      </c>
      <c r="G247" s="17">
        <v>269.31900000000002</v>
      </c>
      <c r="H247" s="17">
        <v>0.379</v>
      </c>
      <c r="I247" s="10">
        <v>265.87900000000002</v>
      </c>
      <c r="J247" s="10">
        <v>266.90800000000002</v>
      </c>
      <c r="K247" s="19">
        <v>2.411</v>
      </c>
      <c r="L247" s="17">
        <v>8.2390000000000008</v>
      </c>
      <c r="N247" s="12">
        <f t="shared" si="18"/>
        <v>281.64999999990687</v>
      </c>
      <c r="O247" s="8">
        <f t="shared" si="19"/>
        <v>131</v>
      </c>
      <c r="P247" s="8" t="str">
        <f t="shared" si="20"/>
        <v>281.649999999907,131</v>
      </c>
      <c r="Q247" s="11" t="s">
        <v>10</v>
      </c>
      <c r="R247" s="8">
        <v>90</v>
      </c>
      <c r="S247" s="8">
        <v>2.5</v>
      </c>
      <c r="T247" s="8" t="str">
        <f t="shared" si="22"/>
        <v>-text 281.649999999907,131 2.5 90 266.908</v>
      </c>
      <c r="U247" s="10"/>
    </row>
    <row r="248" spans="1:21" x14ac:dyDescent="0.25">
      <c r="A248" s="15">
        <v>286800</v>
      </c>
      <c r="B248" s="9">
        <v>1176207.3</v>
      </c>
      <c r="C248" s="10">
        <v>269.697</v>
      </c>
      <c r="D248" s="17">
        <v>270.113</v>
      </c>
      <c r="E248" s="17">
        <v>0.41599999999999998</v>
      </c>
      <c r="F248" s="10">
        <v>269.00900000000001</v>
      </c>
      <c r="G248" s="17">
        <v>269.39999999999998</v>
      </c>
      <c r="H248" s="17">
        <v>0.39100000000000001</v>
      </c>
      <c r="I248" s="10">
        <v>265.64100000000002</v>
      </c>
      <c r="J248" s="10">
        <v>267.10500000000002</v>
      </c>
      <c r="K248" s="19">
        <v>2.2949999999999999</v>
      </c>
      <c r="L248" s="17">
        <v>8.1980000000000004</v>
      </c>
      <c r="N248" s="12">
        <f t="shared" si="18"/>
        <v>301.75</v>
      </c>
      <c r="O248" s="8">
        <f t="shared" si="19"/>
        <v>131</v>
      </c>
      <c r="P248" s="8" t="str">
        <f t="shared" si="20"/>
        <v>301.75,131</v>
      </c>
      <c r="Q248" s="11" t="s">
        <v>10</v>
      </c>
      <c r="R248" s="8">
        <v>90</v>
      </c>
      <c r="S248" s="8">
        <v>2.5</v>
      </c>
      <c r="T248" s="8" t="str">
        <f t="shared" si="22"/>
        <v>-text 301.75,131 2.5 90 267.105</v>
      </c>
      <c r="U248" s="10"/>
    </row>
    <row r="249" spans="1:21" x14ac:dyDescent="0.25">
      <c r="A249" s="15">
        <v>286820</v>
      </c>
      <c r="B249" s="9">
        <v>1176227.3</v>
      </c>
      <c r="C249" s="10">
        <v>269.733</v>
      </c>
      <c r="D249" s="17">
        <v>270.19299999999998</v>
      </c>
      <c r="E249" s="17">
        <v>0.46</v>
      </c>
      <c r="F249" s="10">
        <v>269.04500000000002</v>
      </c>
      <c r="G249" s="17">
        <v>269.48</v>
      </c>
      <c r="H249" s="17">
        <v>0.435</v>
      </c>
      <c r="I249" s="10">
        <v>265.60399999999998</v>
      </c>
      <c r="J249" s="10">
        <v>267.221</v>
      </c>
      <c r="K249" s="19">
        <v>2.2589999999999999</v>
      </c>
      <c r="L249" s="17">
        <v>8.1370000000000005</v>
      </c>
      <c r="N249" s="12">
        <f t="shared" si="18"/>
        <v>321.75</v>
      </c>
      <c r="O249" s="8">
        <f t="shared" si="19"/>
        <v>131</v>
      </c>
      <c r="P249" s="8" t="str">
        <f t="shared" si="20"/>
        <v>321.75,131</v>
      </c>
      <c r="Q249" s="11" t="s">
        <v>10</v>
      </c>
      <c r="R249" s="8">
        <v>90</v>
      </c>
      <c r="S249" s="8">
        <v>2.5</v>
      </c>
      <c r="T249" s="8" t="str">
        <f t="shared" si="22"/>
        <v>-text 321.75,131 2.5 90 267.221</v>
      </c>
      <c r="U249" s="10"/>
    </row>
    <row r="250" spans="1:21" x14ac:dyDescent="0.25">
      <c r="A250" s="15">
        <v>286840</v>
      </c>
      <c r="B250" s="9">
        <v>1176247.3</v>
      </c>
      <c r="C250" s="10">
        <v>269.822</v>
      </c>
      <c r="D250" s="17">
        <v>270.274</v>
      </c>
      <c r="E250" s="17">
        <v>0.45200000000000001</v>
      </c>
      <c r="F250" s="10">
        <v>269.13400000000001</v>
      </c>
      <c r="G250" s="17">
        <v>269.56099999999998</v>
      </c>
      <c r="H250" s="17">
        <v>0.42699999999999999</v>
      </c>
      <c r="I250" s="10">
        <v>265.68799999999999</v>
      </c>
      <c r="J250" s="10">
        <v>267.375</v>
      </c>
      <c r="K250" s="19">
        <v>2.1859999999999999</v>
      </c>
      <c r="L250" s="17">
        <v>8.0679999999999996</v>
      </c>
      <c r="N250" s="12">
        <f t="shared" si="18"/>
        <v>341.75</v>
      </c>
      <c r="O250" s="8">
        <f t="shared" si="19"/>
        <v>131</v>
      </c>
      <c r="P250" s="8" t="str">
        <f t="shared" si="20"/>
        <v>341.75,131</v>
      </c>
      <c r="Q250" s="11" t="s">
        <v>10</v>
      </c>
      <c r="R250" s="8">
        <v>90</v>
      </c>
      <c r="S250" s="8">
        <v>2.5</v>
      </c>
      <c r="T250" s="8" t="str">
        <f t="shared" si="22"/>
        <v>-text 341.75,131 2.5 90 267.375</v>
      </c>
      <c r="U250" s="10"/>
    </row>
    <row r="251" spans="1:21" x14ac:dyDescent="0.25">
      <c r="A251" s="15">
        <v>286860</v>
      </c>
      <c r="B251" s="9">
        <v>1176267.3999999999</v>
      </c>
      <c r="C251" s="10">
        <v>269.923</v>
      </c>
      <c r="D251" s="17">
        <v>270.35500000000002</v>
      </c>
      <c r="E251" s="17">
        <v>0.432</v>
      </c>
      <c r="F251" s="10">
        <v>269.23500000000001</v>
      </c>
      <c r="G251" s="17">
        <v>269.642</v>
      </c>
      <c r="H251" s="17">
        <v>0.40699999999999997</v>
      </c>
      <c r="I251" s="10">
        <v>265.18400000000003</v>
      </c>
      <c r="J251" s="10">
        <v>267.47300000000001</v>
      </c>
      <c r="K251" s="19">
        <v>2.169</v>
      </c>
      <c r="L251" s="17">
        <v>8.0109999999999992</v>
      </c>
      <c r="N251" s="12">
        <f t="shared" si="18"/>
        <v>361.8499999998603</v>
      </c>
      <c r="O251" s="8">
        <f t="shared" si="19"/>
        <v>131</v>
      </c>
      <c r="P251" s="8" t="str">
        <f t="shared" si="20"/>
        <v>361.84999999986,131</v>
      </c>
      <c r="Q251" s="11" t="s">
        <v>10</v>
      </c>
      <c r="R251" s="8">
        <v>90</v>
      </c>
      <c r="S251" s="8">
        <v>2.5</v>
      </c>
      <c r="T251" s="8" t="str">
        <f t="shared" si="22"/>
        <v>-text 361.84999999986,131 2.5 90 267.473</v>
      </c>
      <c r="U251" s="10"/>
    </row>
    <row r="252" spans="1:21" x14ac:dyDescent="0.25">
      <c r="A252" s="15">
        <v>286880</v>
      </c>
      <c r="B252" s="9">
        <v>1176287.3999999999</v>
      </c>
      <c r="C252" s="10">
        <v>269.99299999999999</v>
      </c>
      <c r="D252" s="17">
        <v>270.43599999999998</v>
      </c>
      <c r="E252" s="17">
        <v>0.443</v>
      </c>
      <c r="F252" s="10">
        <v>269.30500000000001</v>
      </c>
      <c r="G252" s="17">
        <v>269.72300000000001</v>
      </c>
      <c r="H252" s="17">
        <v>0.41799999999999998</v>
      </c>
      <c r="I252" s="10">
        <v>265.012</v>
      </c>
      <c r="J252" s="10">
        <v>267.608</v>
      </c>
      <c r="K252" s="19">
        <v>2.1139999999999999</v>
      </c>
      <c r="L252" s="17">
        <v>8.0340000000000007</v>
      </c>
      <c r="N252" s="12">
        <f t="shared" si="18"/>
        <v>381.8499999998603</v>
      </c>
      <c r="O252" s="8">
        <f t="shared" si="19"/>
        <v>131</v>
      </c>
      <c r="P252" s="8" t="str">
        <f t="shared" si="20"/>
        <v>381.84999999986,131</v>
      </c>
      <c r="Q252" s="11" t="s">
        <v>10</v>
      </c>
      <c r="R252" s="8">
        <v>90</v>
      </c>
      <c r="S252" s="8">
        <v>2.5</v>
      </c>
      <c r="T252" s="8" t="str">
        <f t="shared" si="22"/>
        <v>-text 381.84999999986,131 2.5 90 267.608</v>
      </c>
      <c r="U252" s="10"/>
    </row>
    <row r="253" spans="1:21" x14ac:dyDescent="0.25">
      <c r="A253" s="15">
        <v>286900</v>
      </c>
      <c r="B253" s="9">
        <v>1176307.3999999999</v>
      </c>
      <c r="C253" s="10">
        <v>270.05799999999999</v>
      </c>
      <c r="D253" s="17">
        <v>270.51600000000002</v>
      </c>
      <c r="E253" s="17">
        <v>0.45800000000000002</v>
      </c>
      <c r="F253" s="10">
        <v>269.37</v>
      </c>
      <c r="G253" s="17">
        <v>269.803</v>
      </c>
      <c r="H253" s="17">
        <v>0.433</v>
      </c>
      <c r="I253" s="10">
        <v>265.43599999999998</v>
      </c>
      <c r="J253" s="10">
        <v>267.63799999999998</v>
      </c>
      <c r="K253" s="19">
        <v>2.165</v>
      </c>
      <c r="L253" s="17">
        <v>8.07</v>
      </c>
      <c r="N253" s="12">
        <f t="shared" si="18"/>
        <v>401.8499999998603</v>
      </c>
      <c r="O253" s="8">
        <f t="shared" si="19"/>
        <v>131</v>
      </c>
      <c r="P253" s="8" t="str">
        <f t="shared" si="20"/>
        <v>401.84999999986,131</v>
      </c>
      <c r="Q253" s="11" t="s">
        <v>10</v>
      </c>
      <c r="R253" s="8">
        <v>90</v>
      </c>
      <c r="S253" s="8">
        <v>2.5</v>
      </c>
      <c r="T253" s="8" t="str">
        <f t="shared" si="22"/>
        <v>-text 401.84999999986,131 2.5 90 267.638</v>
      </c>
      <c r="U253" s="10"/>
    </row>
    <row r="254" spans="1:21" x14ac:dyDescent="0.25">
      <c r="A254" s="15">
        <v>286920</v>
      </c>
      <c r="B254" s="9">
        <v>1176327.3999999999</v>
      </c>
      <c r="C254" s="10">
        <v>270.12200000000001</v>
      </c>
      <c r="D254" s="17">
        <v>270.59699999999998</v>
      </c>
      <c r="E254" s="17">
        <v>0.47499999999999998</v>
      </c>
      <c r="F254" s="10">
        <v>269.43400000000003</v>
      </c>
      <c r="G254" s="17">
        <v>269.88400000000001</v>
      </c>
      <c r="H254" s="17">
        <v>0.45</v>
      </c>
      <c r="I254" s="10">
        <v>266.28699999999998</v>
      </c>
      <c r="J254" s="10">
        <v>267.53199999999998</v>
      </c>
      <c r="K254" s="19">
        <v>2.3519999999999999</v>
      </c>
      <c r="L254" s="17">
        <v>8.1359999999999992</v>
      </c>
      <c r="N254" s="12">
        <f t="shared" si="18"/>
        <v>421.8499999998603</v>
      </c>
      <c r="O254" s="8">
        <f t="shared" si="19"/>
        <v>131</v>
      </c>
      <c r="P254" s="8" t="str">
        <f t="shared" si="20"/>
        <v>421.84999999986,131</v>
      </c>
      <c r="Q254" s="11" t="s">
        <v>10</v>
      </c>
      <c r="R254" s="8">
        <v>90</v>
      </c>
      <c r="S254" s="8">
        <v>2.5</v>
      </c>
      <c r="T254" s="8" t="str">
        <f t="shared" si="22"/>
        <v>-text 421.84999999986,131 2.5 90 267.532</v>
      </c>
      <c r="U254" s="10"/>
    </row>
    <row r="255" spans="1:21" x14ac:dyDescent="0.25">
      <c r="A255" s="15">
        <v>286940</v>
      </c>
      <c r="B255" s="9">
        <v>1176347.3999999999</v>
      </c>
      <c r="C255" s="10">
        <v>270.18400000000003</v>
      </c>
      <c r="D255" s="17">
        <v>270.67700000000002</v>
      </c>
      <c r="E255" s="17">
        <v>0.49299999999999999</v>
      </c>
      <c r="F255" s="10">
        <v>269.49599999999998</v>
      </c>
      <c r="G255" s="17">
        <v>269.964</v>
      </c>
      <c r="H255" s="17">
        <v>0.46800000000000003</v>
      </c>
      <c r="I255" s="10">
        <v>266.37599999999998</v>
      </c>
      <c r="J255" s="10">
        <v>267.45800000000003</v>
      </c>
      <c r="K255" s="19">
        <v>2.5059999999999998</v>
      </c>
      <c r="L255" s="17">
        <v>8.2129999999999992</v>
      </c>
      <c r="N255" s="12">
        <f t="shared" si="18"/>
        <v>441.8499999998603</v>
      </c>
      <c r="O255" s="8">
        <f t="shared" si="19"/>
        <v>131</v>
      </c>
      <c r="P255" s="8" t="str">
        <f t="shared" si="20"/>
        <v>441.84999999986,131</v>
      </c>
      <c r="Q255" s="11" t="s">
        <v>10</v>
      </c>
      <c r="R255" s="8">
        <v>90</v>
      </c>
      <c r="S255" s="8">
        <v>2.5</v>
      </c>
      <c r="T255" s="8" t="str">
        <f t="shared" si="22"/>
        <v>-text 441.84999999986,131 2.5 90 267.458</v>
      </c>
      <c r="U255" s="10"/>
    </row>
    <row r="256" spans="1:21" x14ac:dyDescent="0.25">
      <c r="A256" s="15">
        <v>286960</v>
      </c>
      <c r="B256" s="9">
        <v>1176367.3999999999</v>
      </c>
      <c r="C256" s="10">
        <v>270.24700000000001</v>
      </c>
      <c r="D256" s="17">
        <v>270.75799999999998</v>
      </c>
      <c r="E256" s="17">
        <v>0.51100000000000001</v>
      </c>
      <c r="F256" s="10">
        <v>269.55900000000003</v>
      </c>
      <c r="G256" s="17">
        <v>270.04500000000002</v>
      </c>
      <c r="H256" s="17">
        <v>0.48599999999999999</v>
      </c>
      <c r="I256" s="10">
        <v>266.38499999999999</v>
      </c>
      <c r="J256" s="10">
        <v>267.43299999999999</v>
      </c>
      <c r="K256" s="19">
        <v>2.6120000000000001</v>
      </c>
      <c r="L256" s="17">
        <v>8.2729999999999997</v>
      </c>
      <c r="N256" s="12">
        <f t="shared" si="18"/>
        <v>461.8499999998603</v>
      </c>
      <c r="O256" s="8">
        <f t="shared" si="19"/>
        <v>131</v>
      </c>
      <c r="P256" s="8" t="str">
        <f t="shared" si="20"/>
        <v>461.84999999986,131</v>
      </c>
      <c r="Q256" s="11" t="s">
        <v>10</v>
      </c>
      <c r="R256" s="8">
        <v>90</v>
      </c>
      <c r="S256" s="8">
        <v>2.5</v>
      </c>
      <c r="T256" s="8" t="str">
        <f t="shared" si="22"/>
        <v>-text 461.84999999986,131 2.5 90 267.433</v>
      </c>
      <c r="U256" s="10"/>
    </row>
    <row r="257" spans="1:21" x14ac:dyDescent="0.25">
      <c r="A257" s="15">
        <v>286980</v>
      </c>
      <c r="B257" s="9">
        <v>1176387.3999999999</v>
      </c>
      <c r="C257" s="10">
        <v>270.30900000000003</v>
      </c>
      <c r="D257" s="17">
        <v>270.83800000000002</v>
      </c>
      <c r="E257" s="17">
        <v>0.52900000000000003</v>
      </c>
      <c r="F257" s="10">
        <v>269.62099999999998</v>
      </c>
      <c r="G257" s="17">
        <v>270.125</v>
      </c>
      <c r="H257" s="17">
        <v>0.504</v>
      </c>
      <c r="I257" s="10">
        <v>266.46800000000002</v>
      </c>
      <c r="J257" s="10">
        <v>267.767</v>
      </c>
      <c r="K257" s="19">
        <v>2.3580000000000001</v>
      </c>
      <c r="L257" s="17">
        <v>8.3309999999999995</v>
      </c>
      <c r="N257" s="12">
        <f t="shared" si="18"/>
        <v>481.8499999998603</v>
      </c>
      <c r="O257" s="8">
        <f t="shared" si="19"/>
        <v>131</v>
      </c>
      <c r="P257" s="8" t="str">
        <f t="shared" si="20"/>
        <v>481.84999999986,131</v>
      </c>
      <c r="Q257" s="11" t="s">
        <v>10</v>
      </c>
      <c r="R257" s="8">
        <v>90</v>
      </c>
      <c r="S257" s="8">
        <v>2.5</v>
      </c>
      <c r="T257" s="8" t="str">
        <f t="shared" si="22"/>
        <v>-text 481.84999999986,131 2.5 90 267.767</v>
      </c>
      <c r="U257" s="10"/>
    </row>
    <row r="258" spans="1:21" x14ac:dyDescent="0.25">
      <c r="A258" s="15">
        <v>287000</v>
      </c>
      <c r="B258" s="9">
        <v>1176407.6000000001</v>
      </c>
      <c r="C258" s="10">
        <v>270.36700000000002</v>
      </c>
      <c r="D258" s="17">
        <v>270.92</v>
      </c>
      <c r="E258" s="17">
        <v>0.55200000000000005</v>
      </c>
      <c r="F258" s="10">
        <v>269.67899999999997</v>
      </c>
      <c r="G258" s="17">
        <v>270.20699999999999</v>
      </c>
      <c r="H258" s="17">
        <v>0.52700000000000002</v>
      </c>
      <c r="I258" s="10">
        <v>266.41500000000002</v>
      </c>
      <c r="J258" s="10">
        <v>267.952</v>
      </c>
      <c r="K258" s="19">
        <v>2.254</v>
      </c>
      <c r="L258" s="17">
        <v>8.3960000000000008</v>
      </c>
      <c r="N258" s="12">
        <f t="shared" si="18"/>
        <v>502.05000000004657</v>
      </c>
      <c r="O258" s="8">
        <f t="shared" si="19"/>
        <v>131</v>
      </c>
      <c r="P258" s="8" t="str">
        <f t="shared" si="20"/>
        <v>502.050000000047,131</v>
      </c>
      <c r="Q258" s="11" t="s">
        <v>10</v>
      </c>
      <c r="R258" s="8">
        <v>90</v>
      </c>
      <c r="S258" s="8">
        <v>2.5</v>
      </c>
      <c r="T258" s="8" t="str">
        <f t="shared" si="22"/>
        <v>-text 502.050000000047,131 2.5 90 267.952</v>
      </c>
      <c r="U258" s="10"/>
    </row>
    <row r="259" spans="1:21" x14ac:dyDescent="0.25">
      <c r="A259" s="15"/>
      <c r="N259" s="12"/>
      <c r="Q259" s="11"/>
      <c r="U259" s="10"/>
    </row>
    <row r="260" spans="1:21" x14ac:dyDescent="0.25">
      <c r="A260" s="15">
        <v>287000</v>
      </c>
      <c r="B260" s="9">
        <v>1176407.6000000001</v>
      </c>
      <c r="C260" s="10">
        <v>270.36700000000002</v>
      </c>
      <c r="D260" s="17">
        <v>270.92</v>
      </c>
      <c r="E260" s="17">
        <v>0.55200000000000005</v>
      </c>
      <c r="F260" s="10">
        <v>269.67899999999997</v>
      </c>
      <c r="G260" s="17">
        <v>270.20699999999999</v>
      </c>
      <c r="H260" s="17">
        <v>0.52700000000000002</v>
      </c>
      <c r="I260" s="10">
        <v>266.41500000000002</v>
      </c>
      <c r="J260" s="10">
        <v>267.952</v>
      </c>
      <c r="K260" s="19">
        <v>2.254</v>
      </c>
      <c r="L260" s="17">
        <v>8.3960000000000008</v>
      </c>
      <c r="N260" s="12">
        <v>1.25</v>
      </c>
      <c r="O260" s="8">
        <v>163</v>
      </c>
      <c r="P260" s="8" t="str">
        <f t="shared" si="20"/>
        <v>1.25,163</v>
      </c>
      <c r="Q260" s="11" t="s">
        <v>10</v>
      </c>
      <c r="R260" s="8">
        <v>90</v>
      </c>
      <c r="S260" s="8">
        <v>2.5</v>
      </c>
      <c r="T260" s="8" t="str">
        <f>$Q260&amp;" "&amp;$P260&amp;" "&amp;$S260&amp;" "&amp;$R260&amp;" "&amp;$L260</f>
        <v>-text 1.25,163 2.5 90 8.396</v>
      </c>
      <c r="U260" s="10"/>
    </row>
    <row r="261" spans="1:21" x14ac:dyDescent="0.25">
      <c r="A261" s="15">
        <v>287020</v>
      </c>
      <c r="B261" s="9">
        <v>1176427.3999999999</v>
      </c>
      <c r="C261" s="10">
        <v>270.42200000000003</v>
      </c>
      <c r="D261" s="17">
        <v>270.99900000000002</v>
      </c>
      <c r="E261" s="17">
        <v>0.57799999999999996</v>
      </c>
      <c r="F261" s="10">
        <v>269.73399999999998</v>
      </c>
      <c r="G261" s="17">
        <v>270.286</v>
      </c>
      <c r="H261" s="17">
        <v>0.55300000000000005</v>
      </c>
      <c r="I261" s="10">
        <v>266.41300000000001</v>
      </c>
      <c r="J261" s="10">
        <v>267.767</v>
      </c>
      <c r="K261" s="19">
        <v>2.5190000000000001</v>
      </c>
      <c r="L261" s="17">
        <v>8.4649999999999999</v>
      </c>
      <c r="N261" s="12">
        <f t="shared" si="18"/>
        <v>21.049999999813735</v>
      </c>
      <c r="O261" s="8">
        <f t="shared" si="19"/>
        <v>163</v>
      </c>
      <c r="P261" s="8" t="str">
        <f t="shared" si="20"/>
        <v>21.0499999998137,163</v>
      </c>
      <c r="Q261" s="11" t="s">
        <v>10</v>
      </c>
      <c r="R261" s="8">
        <v>90</v>
      </c>
      <c r="S261" s="8">
        <v>2.5</v>
      </c>
      <c r="T261" s="8" t="str">
        <f t="shared" ref="T261:T285" si="23">$Q261&amp;" "&amp;$P261&amp;" "&amp;$S261&amp;" "&amp;$R261&amp;" "&amp;$L261</f>
        <v>-text 21.0499999998137,163 2.5 90 8.465</v>
      </c>
      <c r="U261" s="10"/>
    </row>
    <row r="262" spans="1:21" x14ac:dyDescent="0.25">
      <c r="A262" s="15">
        <v>287040</v>
      </c>
      <c r="B262" s="9">
        <v>1176447.3999999999</v>
      </c>
      <c r="C262" s="10">
        <v>270.47300000000001</v>
      </c>
      <c r="D262" s="17">
        <v>271.08</v>
      </c>
      <c r="E262" s="17">
        <v>0.60599999999999998</v>
      </c>
      <c r="F262" s="10">
        <v>269.78500000000003</v>
      </c>
      <c r="G262" s="17">
        <v>270.36700000000002</v>
      </c>
      <c r="H262" s="17">
        <v>0.58099999999999996</v>
      </c>
      <c r="I262" s="10">
        <v>266.476</v>
      </c>
      <c r="J262" s="10">
        <v>267.61</v>
      </c>
      <c r="K262" s="19">
        <v>2.7559999999999998</v>
      </c>
      <c r="L262" s="17">
        <v>8.532</v>
      </c>
      <c r="N262" s="12">
        <f t="shared" si="18"/>
        <v>41.049999999813735</v>
      </c>
      <c r="O262" s="8">
        <f t="shared" si="19"/>
        <v>163</v>
      </c>
      <c r="P262" s="8" t="str">
        <f t="shared" si="20"/>
        <v>41.0499999998137,163</v>
      </c>
      <c r="Q262" s="11" t="s">
        <v>10</v>
      </c>
      <c r="R262" s="8">
        <v>90</v>
      </c>
      <c r="S262" s="8">
        <v>2.5</v>
      </c>
      <c r="T262" s="8" t="str">
        <f t="shared" si="23"/>
        <v>-text 41.0499999998137,163 2.5 90 8.532</v>
      </c>
      <c r="U262" s="10"/>
    </row>
    <row r="263" spans="1:21" x14ac:dyDescent="0.25">
      <c r="A263" s="15">
        <v>287060</v>
      </c>
      <c r="B263" s="9">
        <v>1176467.3999999999</v>
      </c>
      <c r="C263" s="10">
        <v>270.52</v>
      </c>
      <c r="D263" s="17">
        <v>271.16000000000003</v>
      </c>
      <c r="E263" s="17">
        <v>0.64</v>
      </c>
      <c r="F263" s="10">
        <v>269.83199999999999</v>
      </c>
      <c r="G263" s="17">
        <v>270.447</v>
      </c>
      <c r="H263" s="17">
        <v>0.61499999999999999</v>
      </c>
      <c r="I263" s="10">
        <v>266.50799999999998</v>
      </c>
      <c r="J263" s="10">
        <v>267.77100000000002</v>
      </c>
      <c r="K263" s="19">
        <v>2.6760000000000002</v>
      </c>
      <c r="L263" s="17">
        <v>8.5980000000000008</v>
      </c>
      <c r="N263" s="12">
        <f t="shared" si="18"/>
        <v>61.049999999813735</v>
      </c>
      <c r="O263" s="8">
        <f t="shared" si="19"/>
        <v>163</v>
      </c>
      <c r="P263" s="8" t="str">
        <f t="shared" si="20"/>
        <v>61.0499999998137,163</v>
      </c>
      <c r="Q263" s="11" t="s">
        <v>10</v>
      </c>
      <c r="R263" s="8">
        <v>90</v>
      </c>
      <c r="S263" s="8">
        <v>2.5</v>
      </c>
      <c r="T263" s="8" t="str">
        <f t="shared" si="23"/>
        <v>-text 61.0499999998137,163 2.5 90 8.598</v>
      </c>
      <c r="U263" s="10"/>
    </row>
    <row r="264" spans="1:21" x14ac:dyDescent="0.25">
      <c r="A264" s="15">
        <v>287080</v>
      </c>
      <c r="B264" s="9">
        <v>1176487.3999999999</v>
      </c>
      <c r="C264" s="10">
        <v>270.56799999999998</v>
      </c>
      <c r="D264" s="17">
        <v>271.24099999999999</v>
      </c>
      <c r="E264" s="17">
        <v>0.67300000000000004</v>
      </c>
      <c r="F264" s="10">
        <v>269.88</v>
      </c>
      <c r="G264" s="17">
        <v>270.52800000000002</v>
      </c>
      <c r="H264" s="17">
        <v>0.64800000000000002</v>
      </c>
      <c r="I264" s="10">
        <v>266.65899999999999</v>
      </c>
      <c r="J264" s="10">
        <v>267.714</v>
      </c>
      <c r="K264" s="19">
        <v>2.8140000000000001</v>
      </c>
      <c r="L264" s="17">
        <v>8.6720000000000006</v>
      </c>
      <c r="N264" s="12">
        <f t="shared" si="18"/>
        <v>81.049999999813735</v>
      </c>
      <c r="O264" s="8">
        <f t="shared" si="19"/>
        <v>163</v>
      </c>
      <c r="P264" s="8" t="str">
        <f t="shared" si="20"/>
        <v>81.0499999998137,163</v>
      </c>
      <c r="Q264" s="11" t="s">
        <v>10</v>
      </c>
      <c r="R264" s="8">
        <v>90</v>
      </c>
      <c r="S264" s="8">
        <v>2.5</v>
      </c>
      <c r="T264" s="8" t="str">
        <f t="shared" si="23"/>
        <v>-text 81.0499999998137,163 2.5 90 8.672</v>
      </c>
      <c r="U264" s="10"/>
    </row>
    <row r="265" spans="1:21" x14ac:dyDescent="0.25">
      <c r="A265" s="15">
        <v>287100</v>
      </c>
      <c r="B265" s="9">
        <v>1176507.3999999999</v>
      </c>
      <c r="C265" s="10">
        <v>270.61900000000003</v>
      </c>
      <c r="D265" s="17">
        <v>271.32100000000003</v>
      </c>
      <c r="E265" s="17">
        <v>0.70299999999999996</v>
      </c>
      <c r="F265" s="10">
        <v>269.93099999999998</v>
      </c>
      <c r="G265" s="17">
        <v>270.608</v>
      </c>
      <c r="H265" s="17">
        <v>0.67800000000000005</v>
      </c>
      <c r="I265" s="10">
        <v>266.80700000000002</v>
      </c>
      <c r="J265" s="10">
        <v>267.64800000000002</v>
      </c>
      <c r="K265" s="19">
        <v>2.96</v>
      </c>
      <c r="L265" s="17">
        <v>8.8030000000000008</v>
      </c>
      <c r="N265" s="12">
        <f t="shared" si="18"/>
        <v>101.04999999981374</v>
      </c>
      <c r="O265" s="8">
        <f t="shared" si="19"/>
        <v>163</v>
      </c>
      <c r="P265" s="8" t="str">
        <f t="shared" si="20"/>
        <v>101.049999999814,163</v>
      </c>
      <c r="Q265" s="11" t="s">
        <v>10</v>
      </c>
      <c r="R265" s="8">
        <v>90</v>
      </c>
      <c r="S265" s="8">
        <v>2.5</v>
      </c>
      <c r="T265" s="8" t="str">
        <f t="shared" si="23"/>
        <v>-text 101.049999999814,163 2.5 90 8.803</v>
      </c>
      <c r="U265" s="10"/>
    </row>
    <row r="266" spans="1:21" x14ac:dyDescent="0.25">
      <c r="A266" s="15">
        <v>287120</v>
      </c>
      <c r="B266" s="9">
        <v>1176527.3999999999</v>
      </c>
      <c r="C266" s="10">
        <v>270.68099999999998</v>
      </c>
      <c r="D266" s="17">
        <v>271.40199999999999</v>
      </c>
      <c r="E266" s="17">
        <v>0.72099999999999997</v>
      </c>
      <c r="F266" s="10">
        <v>269.99299999999999</v>
      </c>
      <c r="G266" s="17">
        <v>270.68900000000002</v>
      </c>
      <c r="H266" s="17">
        <v>0.69599999999999995</v>
      </c>
      <c r="I266" s="10">
        <v>266.73500000000001</v>
      </c>
      <c r="J266" s="10">
        <v>267.50299999999999</v>
      </c>
      <c r="K266" s="19">
        <v>3.1859999999999999</v>
      </c>
      <c r="L266" s="17">
        <v>9.0210000000000008</v>
      </c>
      <c r="N266" s="12">
        <f t="shared" si="18"/>
        <v>121.04999999981374</v>
      </c>
      <c r="O266" s="8">
        <f t="shared" si="19"/>
        <v>163</v>
      </c>
      <c r="P266" s="8" t="str">
        <f t="shared" si="20"/>
        <v>121.049999999814,163</v>
      </c>
      <c r="Q266" s="11" t="s">
        <v>10</v>
      </c>
      <c r="R266" s="8">
        <v>90</v>
      </c>
      <c r="S266" s="8">
        <v>2.5</v>
      </c>
      <c r="T266" s="8" t="str">
        <f t="shared" si="23"/>
        <v>-text 121.049999999814,163 2.5 90 9.021</v>
      </c>
      <c r="U266" s="10"/>
    </row>
    <row r="267" spans="1:21" x14ac:dyDescent="0.25">
      <c r="A267" s="15">
        <v>287140</v>
      </c>
      <c r="B267" s="9">
        <v>1176547.3999999999</v>
      </c>
      <c r="C267" s="10">
        <v>270.76600000000002</v>
      </c>
      <c r="D267" s="17">
        <v>271.48200000000003</v>
      </c>
      <c r="E267" s="17">
        <v>0.71699999999999997</v>
      </c>
      <c r="F267" s="10">
        <v>270.07799999999997</v>
      </c>
      <c r="G267" s="17">
        <v>270.76900000000001</v>
      </c>
      <c r="H267" s="17">
        <v>0.69199999999999995</v>
      </c>
      <c r="I267" s="10">
        <v>268.52</v>
      </c>
      <c r="J267" s="10">
        <v>269.49799999999999</v>
      </c>
      <c r="K267" s="19">
        <v>1.2709999999999999</v>
      </c>
      <c r="L267" s="17">
        <v>9.3179999999999996</v>
      </c>
      <c r="N267" s="12">
        <f t="shared" si="18"/>
        <v>141.04999999981374</v>
      </c>
      <c r="O267" s="8">
        <f t="shared" si="19"/>
        <v>163</v>
      </c>
      <c r="P267" s="8" t="str">
        <f t="shared" si="20"/>
        <v>141.049999999814,163</v>
      </c>
      <c r="Q267" s="11" t="s">
        <v>10</v>
      </c>
      <c r="R267" s="8">
        <v>90</v>
      </c>
      <c r="S267" s="8">
        <v>2.5</v>
      </c>
      <c r="T267" s="8" t="str">
        <f t="shared" si="23"/>
        <v>-text 141.049999999814,163 2.5 90 9.318</v>
      </c>
      <c r="U267" s="10"/>
    </row>
    <row r="268" spans="1:21" x14ac:dyDescent="0.25">
      <c r="A268" s="15">
        <v>287160</v>
      </c>
      <c r="B268" s="9">
        <v>1176567.3999999999</v>
      </c>
      <c r="C268" s="10">
        <v>270.85399999999998</v>
      </c>
      <c r="D268" s="17">
        <v>271.56299999999999</v>
      </c>
      <c r="E268" s="17">
        <v>0.70899999999999996</v>
      </c>
      <c r="F268" s="10">
        <v>270.166</v>
      </c>
      <c r="G268" s="17">
        <v>270.85000000000002</v>
      </c>
      <c r="H268" s="17">
        <v>0.68400000000000005</v>
      </c>
      <c r="I268" s="10">
        <v>264.72500000000002</v>
      </c>
      <c r="J268" s="10">
        <v>268.05399999999997</v>
      </c>
      <c r="K268" s="19">
        <v>2.7959999999999998</v>
      </c>
      <c r="L268" s="17">
        <v>9.718</v>
      </c>
      <c r="N268" s="12">
        <f t="shared" si="18"/>
        <v>161.04999999981374</v>
      </c>
      <c r="O268" s="8">
        <f t="shared" si="19"/>
        <v>163</v>
      </c>
      <c r="P268" s="8" t="str">
        <f t="shared" si="20"/>
        <v>161.049999999814,163</v>
      </c>
      <c r="Q268" s="11" t="s">
        <v>10</v>
      </c>
      <c r="R268" s="8">
        <v>90</v>
      </c>
      <c r="S268" s="8">
        <v>2.5</v>
      </c>
      <c r="T268" s="8" t="str">
        <f t="shared" si="23"/>
        <v>-text 161.049999999814,163 2.5 90 9.718</v>
      </c>
      <c r="U268" s="10"/>
    </row>
    <row r="269" spans="1:21" x14ac:dyDescent="0.25">
      <c r="A269" s="15">
        <v>287180</v>
      </c>
      <c r="B269" s="9">
        <v>1176587.3999999999</v>
      </c>
      <c r="C269" s="10">
        <v>270.947</v>
      </c>
      <c r="D269" s="17">
        <v>271.64400000000001</v>
      </c>
      <c r="E269" s="17">
        <v>0.69699999999999995</v>
      </c>
      <c r="F269" s="10">
        <v>270.25900000000001</v>
      </c>
      <c r="G269" s="17">
        <v>270.93099999999998</v>
      </c>
      <c r="H269" s="17">
        <v>0.67200000000000004</v>
      </c>
      <c r="I269" s="10">
        <v>264.02100000000002</v>
      </c>
      <c r="J269" s="10">
        <v>266.81900000000002</v>
      </c>
      <c r="K269" s="19">
        <v>4.1120000000000001</v>
      </c>
      <c r="L269" s="17">
        <v>10.186</v>
      </c>
      <c r="N269" s="12">
        <f t="shared" si="18"/>
        <v>181.04999999981374</v>
      </c>
      <c r="O269" s="8">
        <f t="shared" si="19"/>
        <v>163</v>
      </c>
      <c r="P269" s="8" t="str">
        <f t="shared" si="20"/>
        <v>181.049999999814,163</v>
      </c>
      <c r="Q269" s="11" t="s">
        <v>10</v>
      </c>
      <c r="R269" s="8">
        <v>90</v>
      </c>
      <c r="S269" s="8">
        <v>2.5</v>
      </c>
      <c r="T269" s="8" t="str">
        <f t="shared" si="23"/>
        <v>-text 181.049999999814,163 2.5 90 10.186</v>
      </c>
      <c r="U269" s="10"/>
    </row>
    <row r="270" spans="1:21" x14ac:dyDescent="0.25">
      <c r="A270" s="15">
        <v>287200</v>
      </c>
      <c r="B270" s="9">
        <v>1176607.3999999999</v>
      </c>
      <c r="C270" s="10">
        <v>271.01799999999997</v>
      </c>
      <c r="D270" s="17">
        <v>271.72399999999999</v>
      </c>
      <c r="E270" s="17">
        <v>0.70599999999999996</v>
      </c>
      <c r="F270" s="10">
        <v>270.33</v>
      </c>
      <c r="G270" s="17">
        <v>271.01100000000002</v>
      </c>
      <c r="H270" s="17">
        <v>0.68100000000000005</v>
      </c>
      <c r="I270" s="10">
        <v>264.93</v>
      </c>
      <c r="J270" s="10">
        <v>265.75400000000002</v>
      </c>
      <c r="K270" s="19">
        <v>5.2569999999999997</v>
      </c>
      <c r="L270" s="17">
        <v>10.653</v>
      </c>
      <c r="N270" s="12">
        <f t="shared" si="18"/>
        <v>201.04999999981374</v>
      </c>
      <c r="O270" s="8">
        <f t="shared" si="19"/>
        <v>163</v>
      </c>
      <c r="P270" s="8" t="str">
        <f t="shared" si="20"/>
        <v>201.049999999814,163</v>
      </c>
      <c r="Q270" s="11" t="s">
        <v>10</v>
      </c>
      <c r="R270" s="8">
        <v>90</v>
      </c>
      <c r="S270" s="8">
        <v>2.5</v>
      </c>
      <c r="T270" s="8" t="str">
        <f t="shared" si="23"/>
        <v>-text 201.049999999814,163 2.5 90 10.653</v>
      </c>
      <c r="U270" s="10"/>
    </row>
    <row r="271" spans="1:21" x14ac:dyDescent="0.25">
      <c r="A271" s="15">
        <v>287220</v>
      </c>
      <c r="B271" s="9">
        <v>1176627.3999999999</v>
      </c>
      <c r="C271" s="10">
        <v>271.05599999999998</v>
      </c>
      <c r="D271" s="17">
        <v>271.80500000000001</v>
      </c>
      <c r="E271" s="17">
        <v>0.749</v>
      </c>
      <c r="F271" s="10">
        <v>270.36799999999999</v>
      </c>
      <c r="G271" s="17">
        <v>271.09199999999998</v>
      </c>
      <c r="H271" s="17">
        <v>0.72399999999999998</v>
      </c>
      <c r="I271" s="10">
        <v>265.34899999999999</v>
      </c>
      <c r="J271" s="10">
        <v>267.33600000000001</v>
      </c>
      <c r="K271" s="19">
        <v>3.7549999999999999</v>
      </c>
      <c r="L271" s="17">
        <v>11.109</v>
      </c>
      <c r="N271" s="12">
        <f t="shared" ref="N271:N336" si="24">N270+(B271-B270)</f>
        <v>221.04999999981374</v>
      </c>
      <c r="O271" s="8">
        <f t="shared" ref="O271:O336" si="25">O270</f>
        <v>163</v>
      </c>
      <c r="P271" s="8" t="str">
        <f t="shared" ref="P271:P336" si="26">CONCATENATE(N271,",",O271)</f>
        <v>221.049999999814,163</v>
      </c>
      <c r="Q271" s="11" t="s">
        <v>10</v>
      </c>
      <c r="R271" s="8">
        <v>90</v>
      </c>
      <c r="S271" s="8">
        <v>2.5</v>
      </c>
      <c r="T271" s="8" t="str">
        <f t="shared" si="23"/>
        <v>-text 221.049999999814,163 2.5 90 11.109</v>
      </c>
      <c r="U271" s="10"/>
    </row>
    <row r="272" spans="1:21" x14ac:dyDescent="0.25">
      <c r="A272" s="15">
        <v>287240</v>
      </c>
      <c r="B272" s="9">
        <v>1176647.5</v>
      </c>
      <c r="C272" s="10">
        <v>271.09399999999999</v>
      </c>
      <c r="D272" s="17">
        <v>271.88499999999999</v>
      </c>
      <c r="E272" s="17">
        <v>0.79100000000000004</v>
      </c>
      <c r="F272" s="10">
        <v>270.40600000000001</v>
      </c>
      <c r="G272" s="17">
        <v>271.17200000000003</v>
      </c>
      <c r="H272" s="17">
        <v>0.76600000000000001</v>
      </c>
      <c r="I272" s="10">
        <v>265.70299999999997</v>
      </c>
      <c r="J272" s="10">
        <v>266.90899999999999</v>
      </c>
      <c r="K272" s="19">
        <v>4.2640000000000002</v>
      </c>
      <c r="L272" s="17">
        <v>11.584</v>
      </c>
      <c r="N272" s="12">
        <f t="shared" si="24"/>
        <v>241.14999999990687</v>
      </c>
      <c r="O272" s="8">
        <f t="shared" si="25"/>
        <v>163</v>
      </c>
      <c r="P272" s="8" t="str">
        <f t="shared" si="26"/>
        <v>241.149999999907,163</v>
      </c>
      <c r="Q272" s="11" t="s">
        <v>10</v>
      </c>
      <c r="R272" s="8">
        <v>90</v>
      </c>
      <c r="S272" s="8">
        <v>2.5</v>
      </c>
      <c r="T272" s="8" t="str">
        <f t="shared" si="23"/>
        <v>-text 241.149999999907,163 2.5 90 11.584</v>
      </c>
      <c r="U272" s="10"/>
    </row>
    <row r="273" spans="1:21" x14ac:dyDescent="0.25">
      <c r="A273" s="15">
        <v>287260</v>
      </c>
      <c r="B273" s="9">
        <v>1176667.5</v>
      </c>
      <c r="C273" s="10">
        <v>271.13299999999998</v>
      </c>
      <c r="D273" s="17">
        <v>271.96600000000001</v>
      </c>
      <c r="E273" s="17">
        <v>0.83299999999999996</v>
      </c>
      <c r="F273" s="10">
        <v>270.44499999999999</v>
      </c>
      <c r="G273" s="17">
        <v>271.25299999999999</v>
      </c>
      <c r="H273" s="17">
        <v>0.80800000000000005</v>
      </c>
      <c r="I273" s="10">
        <v>265.33</v>
      </c>
      <c r="J273" s="10">
        <v>266.68</v>
      </c>
      <c r="K273" s="19">
        <v>4.5730000000000004</v>
      </c>
      <c r="L273" s="17">
        <v>12.071999999999999</v>
      </c>
      <c r="N273" s="12">
        <f t="shared" si="24"/>
        <v>261.14999999990687</v>
      </c>
      <c r="O273" s="8">
        <f t="shared" si="25"/>
        <v>163</v>
      </c>
      <c r="P273" s="8" t="str">
        <f t="shared" si="26"/>
        <v>261.149999999907,163</v>
      </c>
      <c r="Q273" s="11" t="s">
        <v>10</v>
      </c>
      <c r="R273" s="8">
        <v>90</v>
      </c>
      <c r="S273" s="8">
        <v>2.5</v>
      </c>
      <c r="T273" s="8" t="str">
        <f t="shared" si="23"/>
        <v>-text 261.149999999907,163 2.5 90 12.072</v>
      </c>
      <c r="U273" s="10"/>
    </row>
    <row r="274" spans="1:21" x14ac:dyDescent="0.25">
      <c r="A274" s="15">
        <v>287280</v>
      </c>
      <c r="B274" s="9">
        <v>1176687.3999999999</v>
      </c>
      <c r="C274" s="10">
        <v>271.17500000000001</v>
      </c>
      <c r="D274" s="17">
        <v>272.04599999999999</v>
      </c>
      <c r="E274" s="17">
        <v>0.871</v>
      </c>
      <c r="F274" s="10">
        <v>270.48700000000002</v>
      </c>
      <c r="G274" s="17">
        <v>271.33300000000003</v>
      </c>
      <c r="H274" s="17">
        <v>0.84599999999999997</v>
      </c>
      <c r="I274" s="10">
        <v>266.45800000000003</v>
      </c>
      <c r="J274" s="10">
        <v>266.66899999999998</v>
      </c>
      <c r="K274" s="19">
        <v>4.6639999999999997</v>
      </c>
      <c r="L274" s="17">
        <v>12.545999999999999</v>
      </c>
      <c r="N274" s="12">
        <f t="shared" si="24"/>
        <v>281.04999999981374</v>
      </c>
      <c r="O274" s="8">
        <f t="shared" si="25"/>
        <v>163</v>
      </c>
      <c r="P274" s="8" t="str">
        <f t="shared" si="26"/>
        <v>281.049999999814,163</v>
      </c>
      <c r="Q274" s="11" t="s">
        <v>10</v>
      </c>
      <c r="R274" s="8">
        <v>90</v>
      </c>
      <c r="S274" s="8">
        <v>2.5</v>
      </c>
      <c r="T274" s="8" t="str">
        <f t="shared" si="23"/>
        <v>-text 281.049999999814,163 2.5 90 12.546</v>
      </c>
      <c r="U274" s="10"/>
    </row>
    <row r="275" spans="1:21" x14ac:dyDescent="0.25">
      <c r="A275" s="15">
        <v>287300</v>
      </c>
      <c r="B275" s="9">
        <v>1176707.5</v>
      </c>
      <c r="C275" s="10">
        <v>271.221</v>
      </c>
      <c r="D275" s="17">
        <v>272.12700000000001</v>
      </c>
      <c r="E275" s="17">
        <v>0.90600000000000003</v>
      </c>
      <c r="F275" s="10">
        <v>270.53300000000002</v>
      </c>
      <c r="G275" s="17">
        <v>271.41399999999999</v>
      </c>
      <c r="H275" s="17">
        <v>0.88100000000000001</v>
      </c>
      <c r="I275" s="10">
        <v>266.42899999999997</v>
      </c>
      <c r="J275" s="10">
        <v>266.66399999999999</v>
      </c>
      <c r="K275" s="19">
        <v>4.75</v>
      </c>
      <c r="L275" s="17">
        <v>13.003</v>
      </c>
      <c r="N275" s="12">
        <f t="shared" si="24"/>
        <v>301.14999999990687</v>
      </c>
      <c r="O275" s="8">
        <f t="shared" si="25"/>
        <v>163</v>
      </c>
      <c r="P275" s="8" t="str">
        <f t="shared" si="26"/>
        <v>301.149999999907,163</v>
      </c>
      <c r="Q275" s="11" t="s">
        <v>10</v>
      </c>
      <c r="R275" s="8">
        <v>90</v>
      </c>
      <c r="S275" s="8">
        <v>2.5</v>
      </c>
      <c r="T275" s="8" t="str">
        <f t="shared" si="23"/>
        <v>-text 301.149999999907,163 2.5 90 13.003</v>
      </c>
      <c r="U275" s="10"/>
    </row>
    <row r="276" spans="1:21" x14ac:dyDescent="0.25">
      <c r="A276" s="15">
        <v>287320</v>
      </c>
      <c r="B276" s="9">
        <v>1176727.5</v>
      </c>
      <c r="C276" s="10">
        <v>271.28699999999998</v>
      </c>
      <c r="D276" s="17">
        <v>272.20699999999999</v>
      </c>
      <c r="E276" s="17">
        <v>0.92</v>
      </c>
      <c r="F276" s="10">
        <v>270.59899999999999</v>
      </c>
      <c r="G276" s="17">
        <v>271.49400000000003</v>
      </c>
      <c r="H276" s="17">
        <v>0.89500000000000002</v>
      </c>
      <c r="I276" s="10">
        <v>264.42899999999997</v>
      </c>
      <c r="J276" s="10">
        <v>266.69</v>
      </c>
      <c r="K276" s="19">
        <v>4.8049999999999997</v>
      </c>
      <c r="L276" s="17">
        <v>13.433999999999999</v>
      </c>
      <c r="N276" s="12">
        <f t="shared" si="24"/>
        <v>321.14999999990687</v>
      </c>
      <c r="O276" s="8">
        <f t="shared" si="25"/>
        <v>163</v>
      </c>
      <c r="P276" s="8" t="str">
        <f t="shared" si="26"/>
        <v>321.149999999907,163</v>
      </c>
      <c r="Q276" s="11" t="s">
        <v>10</v>
      </c>
      <c r="R276" s="8">
        <v>90</v>
      </c>
      <c r="S276" s="8">
        <v>2.5</v>
      </c>
      <c r="T276" s="8" t="str">
        <f t="shared" si="23"/>
        <v>-text 321.149999999907,163 2.5 90 13.434</v>
      </c>
      <c r="U276" s="10"/>
    </row>
    <row r="277" spans="1:21" x14ac:dyDescent="0.25">
      <c r="A277" s="15">
        <v>287340</v>
      </c>
      <c r="B277" s="9">
        <v>1176747.5</v>
      </c>
      <c r="C277" s="10">
        <v>271.37799999999999</v>
      </c>
      <c r="D277" s="17">
        <v>272.28800000000001</v>
      </c>
      <c r="E277" s="17">
        <v>0.91</v>
      </c>
      <c r="F277" s="10">
        <v>270.69</v>
      </c>
      <c r="G277" s="17">
        <v>271.57499999999999</v>
      </c>
      <c r="H277" s="17">
        <v>0.88500000000000001</v>
      </c>
      <c r="I277" s="10">
        <v>264.68700000000001</v>
      </c>
      <c r="J277" s="10">
        <v>264.39999999999998</v>
      </c>
      <c r="K277" s="19">
        <v>7.1749999999999998</v>
      </c>
      <c r="L277" s="17">
        <v>13.804</v>
      </c>
      <c r="N277" s="12">
        <f t="shared" si="24"/>
        <v>341.14999999990687</v>
      </c>
      <c r="O277" s="8">
        <f t="shared" si="25"/>
        <v>163</v>
      </c>
      <c r="P277" s="8" t="str">
        <f t="shared" si="26"/>
        <v>341.149999999907,163</v>
      </c>
      <c r="Q277" s="11" t="s">
        <v>10</v>
      </c>
      <c r="R277" s="8">
        <v>90</v>
      </c>
      <c r="S277" s="8">
        <v>2.5</v>
      </c>
      <c r="T277" s="8" t="str">
        <f t="shared" si="23"/>
        <v>-text 341.149999999907,163 2.5 90 13.804</v>
      </c>
      <c r="U277" s="10"/>
    </row>
    <row r="278" spans="1:21" x14ac:dyDescent="0.25">
      <c r="A278" s="15">
        <v>287360</v>
      </c>
      <c r="B278" s="9">
        <v>1176767.5</v>
      </c>
      <c r="C278" s="10">
        <v>271.41699999999997</v>
      </c>
      <c r="D278" s="17">
        <v>272.36799999999999</v>
      </c>
      <c r="E278" s="17">
        <v>0.95099999999999996</v>
      </c>
      <c r="F278" s="10">
        <v>270.72899999999998</v>
      </c>
      <c r="G278" s="17">
        <v>271.65499999999997</v>
      </c>
      <c r="H278" s="17">
        <v>0.92600000000000005</v>
      </c>
      <c r="I278" s="10">
        <v>264.71800000000002</v>
      </c>
      <c r="J278" s="10">
        <v>264.97500000000002</v>
      </c>
      <c r="K278" s="19">
        <v>6.681</v>
      </c>
      <c r="L278" s="17">
        <v>14.086</v>
      </c>
      <c r="N278" s="12">
        <f t="shared" si="24"/>
        <v>361.14999999990687</v>
      </c>
      <c r="O278" s="8">
        <f t="shared" si="25"/>
        <v>163</v>
      </c>
      <c r="P278" s="8" t="str">
        <f t="shared" si="26"/>
        <v>361.149999999907,163</v>
      </c>
      <c r="Q278" s="11" t="s">
        <v>10</v>
      </c>
      <c r="R278" s="8">
        <v>90</v>
      </c>
      <c r="S278" s="8">
        <v>2.5</v>
      </c>
      <c r="T278" s="8" t="str">
        <f t="shared" si="23"/>
        <v>-text 361.149999999907,163 2.5 90 14.086</v>
      </c>
      <c r="U278" s="10"/>
    </row>
    <row r="279" spans="1:21" x14ac:dyDescent="0.25">
      <c r="A279" s="15">
        <v>287380</v>
      </c>
      <c r="B279" s="9">
        <v>1176787.3999999999</v>
      </c>
      <c r="C279" s="10">
        <v>271.44600000000003</v>
      </c>
      <c r="D279" s="17">
        <v>272.44900000000001</v>
      </c>
      <c r="E279" s="17">
        <v>1.0029999999999999</v>
      </c>
      <c r="F279" s="10">
        <v>270.75799999999998</v>
      </c>
      <c r="G279" s="17">
        <v>271.73599999999999</v>
      </c>
      <c r="H279" s="17">
        <v>0.97799999999999998</v>
      </c>
      <c r="I279" s="10">
        <v>264.67599999999999</v>
      </c>
      <c r="J279" s="10">
        <v>265.613</v>
      </c>
      <c r="K279" s="19">
        <v>6.1230000000000002</v>
      </c>
      <c r="L279" s="17">
        <v>14.269</v>
      </c>
      <c r="N279" s="12">
        <f t="shared" si="24"/>
        <v>381.04999999981374</v>
      </c>
      <c r="O279" s="8">
        <f t="shared" si="25"/>
        <v>163</v>
      </c>
      <c r="P279" s="8" t="str">
        <f t="shared" si="26"/>
        <v>381.049999999814,163</v>
      </c>
      <c r="Q279" s="11" t="s">
        <v>10</v>
      </c>
      <c r="R279" s="8">
        <v>90</v>
      </c>
      <c r="S279" s="8">
        <v>2.5</v>
      </c>
      <c r="T279" s="8" t="str">
        <f t="shared" si="23"/>
        <v>-text 381.049999999814,163 2.5 90 14.269</v>
      </c>
      <c r="U279" s="10"/>
    </row>
    <row r="280" spans="1:21" x14ac:dyDescent="0.25">
      <c r="A280" s="15">
        <v>287400</v>
      </c>
      <c r="B280" s="9">
        <v>1176807.5</v>
      </c>
      <c r="C280" s="10">
        <v>271.47800000000001</v>
      </c>
      <c r="D280" s="17">
        <v>272.52999999999997</v>
      </c>
      <c r="E280" s="17">
        <v>1.052</v>
      </c>
      <c r="F280" s="10">
        <v>270.79000000000002</v>
      </c>
      <c r="G280" s="17">
        <v>271.81700000000001</v>
      </c>
      <c r="H280" s="17">
        <v>1.0269999999999999</v>
      </c>
      <c r="I280" s="10">
        <v>264.84800000000001</v>
      </c>
      <c r="J280" s="10">
        <v>266.27100000000002</v>
      </c>
      <c r="K280" s="19">
        <v>5.5460000000000003</v>
      </c>
      <c r="L280" s="17">
        <v>14.428000000000001</v>
      </c>
      <c r="N280" s="12">
        <f t="shared" si="24"/>
        <v>401.14999999990687</v>
      </c>
      <c r="O280" s="8">
        <f t="shared" si="25"/>
        <v>163</v>
      </c>
      <c r="P280" s="8" t="str">
        <f t="shared" si="26"/>
        <v>401.149999999907,163</v>
      </c>
      <c r="Q280" s="11" t="s">
        <v>10</v>
      </c>
      <c r="R280" s="8">
        <v>90</v>
      </c>
      <c r="S280" s="8">
        <v>2.5</v>
      </c>
      <c r="T280" s="8" t="str">
        <f t="shared" si="23"/>
        <v>-text 401.149999999907,163 2.5 90 14.428</v>
      </c>
      <c r="U280" s="10"/>
    </row>
    <row r="281" spans="1:21" x14ac:dyDescent="0.25">
      <c r="A281" s="15">
        <v>287420</v>
      </c>
      <c r="B281" s="9">
        <v>1176827.5</v>
      </c>
      <c r="C281" s="10">
        <v>271.488</v>
      </c>
      <c r="D281" s="17">
        <v>272.61</v>
      </c>
      <c r="E281" s="17">
        <v>1.1220000000000001</v>
      </c>
      <c r="F281" s="10">
        <v>270.8</v>
      </c>
      <c r="G281" s="17">
        <v>271.89699999999999</v>
      </c>
      <c r="H281" s="17">
        <v>1.097</v>
      </c>
      <c r="I281" s="10">
        <v>265.31200000000001</v>
      </c>
      <c r="J281" s="10">
        <v>266.96800000000002</v>
      </c>
      <c r="K281" s="19">
        <v>4.9290000000000003</v>
      </c>
      <c r="L281" s="17">
        <v>14.526999999999999</v>
      </c>
      <c r="N281" s="12">
        <f t="shared" si="24"/>
        <v>421.14999999990687</v>
      </c>
      <c r="O281" s="8">
        <f t="shared" si="25"/>
        <v>163</v>
      </c>
      <c r="P281" s="8" t="str">
        <f t="shared" si="26"/>
        <v>421.149999999907,163</v>
      </c>
      <c r="Q281" s="11" t="s">
        <v>10</v>
      </c>
      <c r="R281" s="8">
        <v>90</v>
      </c>
      <c r="S281" s="8">
        <v>2.5</v>
      </c>
      <c r="T281" s="8" t="str">
        <f t="shared" si="23"/>
        <v>-text 421.149999999907,163 2.5 90 14.527</v>
      </c>
      <c r="U281" s="10"/>
    </row>
    <row r="282" spans="1:21" x14ac:dyDescent="0.25">
      <c r="A282" s="15">
        <v>287440</v>
      </c>
      <c r="B282" s="9">
        <v>1176847.5</v>
      </c>
      <c r="C282" s="10">
        <v>271.55099999999999</v>
      </c>
      <c r="D282" s="17">
        <v>272.69099999999997</v>
      </c>
      <c r="E282" s="17">
        <v>1.139</v>
      </c>
      <c r="F282" s="10">
        <v>270.863</v>
      </c>
      <c r="G282" s="17">
        <v>271.97800000000001</v>
      </c>
      <c r="H282" s="17">
        <v>1.1140000000000001</v>
      </c>
      <c r="I282" s="10">
        <v>266.17700000000002</v>
      </c>
      <c r="J282" s="10">
        <v>267.47000000000003</v>
      </c>
      <c r="K282" s="19">
        <v>4.5069999999999997</v>
      </c>
      <c r="L282" s="17">
        <v>14.542</v>
      </c>
      <c r="N282" s="12">
        <f t="shared" si="24"/>
        <v>441.14999999990687</v>
      </c>
      <c r="O282" s="8">
        <f t="shared" si="25"/>
        <v>163</v>
      </c>
      <c r="P282" s="8" t="str">
        <f t="shared" si="26"/>
        <v>441.149999999907,163</v>
      </c>
      <c r="Q282" s="11" t="s">
        <v>10</v>
      </c>
      <c r="R282" s="8">
        <v>90</v>
      </c>
      <c r="S282" s="8">
        <v>2.5</v>
      </c>
      <c r="T282" s="8" t="str">
        <f t="shared" si="23"/>
        <v>-text 441.149999999907,163 2.5 90 14.542</v>
      </c>
      <c r="U282" s="10"/>
    </row>
    <row r="283" spans="1:21" x14ac:dyDescent="0.25">
      <c r="A283" s="15">
        <v>287460</v>
      </c>
      <c r="B283" s="9">
        <v>1176867.5</v>
      </c>
      <c r="C283" s="10">
        <v>271.65800000000002</v>
      </c>
      <c r="D283" s="17">
        <v>272.77100000000002</v>
      </c>
      <c r="E283" s="17">
        <v>1.1140000000000001</v>
      </c>
      <c r="F283" s="10">
        <v>270.97000000000003</v>
      </c>
      <c r="G283" s="17">
        <v>272.05799999999999</v>
      </c>
      <c r="H283" s="17">
        <v>1.089</v>
      </c>
      <c r="I283" s="10">
        <v>267.26100000000002</v>
      </c>
      <c r="J283" s="10">
        <v>266.81599999999997</v>
      </c>
      <c r="K283" s="19">
        <v>5.242</v>
      </c>
      <c r="L283" s="17">
        <v>14.523</v>
      </c>
      <c r="N283" s="12">
        <f t="shared" si="24"/>
        <v>461.14999999990687</v>
      </c>
      <c r="O283" s="8">
        <f t="shared" si="25"/>
        <v>163</v>
      </c>
      <c r="P283" s="8" t="str">
        <f t="shared" si="26"/>
        <v>461.149999999907,163</v>
      </c>
      <c r="Q283" s="11" t="s">
        <v>10</v>
      </c>
      <c r="R283" s="8">
        <v>90</v>
      </c>
      <c r="S283" s="8">
        <v>2.5</v>
      </c>
      <c r="T283" s="8" t="str">
        <f t="shared" si="23"/>
        <v>-text 461.149999999907,163 2.5 90 14.523</v>
      </c>
      <c r="U283" s="10"/>
    </row>
    <row r="284" spans="1:21" x14ac:dyDescent="0.25">
      <c r="A284" s="15">
        <v>287480</v>
      </c>
      <c r="B284" s="9">
        <v>1176887.5</v>
      </c>
      <c r="C284" s="10">
        <v>271.798</v>
      </c>
      <c r="D284" s="17">
        <v>272.84899999999999</v>
      </c>
      <c r="E284" s="17">
        <v>1.0509999999999999</v>
      </c>
      <c r="F284" s="10">
        <v>271.11</v>
      </c>
      <c r="G284" s="17">
        <v>272.13600000000002</v>
      </c>
      <c r="H284" s="17">
        <v>1.026</v>
      </c>
      <c r="I284" s="10">
        <v>267.452</v>
      </c>
      <c r="J284" s="10">
        <v>266.89999999999998</v>
      </c>
      <c r="K284" s="19">
        <v>5.2359999999999998</v>
      </c>
      <c r="L284" s="17">
        <v>14.505000000000001</v>
      </c>
      <c r="N284" s="12">
        <f t="shared" si="24"/>
        <v>481.14999999990687</v>
      </c>
      <c r="O284" s="8">
        <f t="shared" si="25"/>
        <v>163</v>
      </c>
      <c r="P284" s="8" t="str">
        <f t="shared" si="26"/>
        <v>481.149999999907,163</v>
      </c>
      <c r="Q284" s="11" t="s">
        <v>10</v>
      </c>
      <c r="R284" s="8">
        <v>90</v>
      </c>
      <c r="S284" s="8">
        <v>2.5</v>
      </c>
      <c r="T284" s="8" t="str">
        <f t="shared" si="23"/>
        <v>-text 481.149999999907,163 2.5 90 14.505</v>
      </c>
      <c r="U284" s="10"/>
    </row>
    <row r="285" spans="1:21" x14ac:dyDescent="0.25">
      <c r="A285" s="15">
        <v>287500</v>
      </c>
      <c r="B285" s="9">
        <v>1176907.7</v>
      </c>
      <c r="C285" s="10">
        <v>271.85899999999998</v>
      </c>
      <c r="D285" s="17">
        <v>272.84899999999999</v>
      </c>
      <c r="E285" s="17">
        <v>0.99</v>
      </c>
      <c r="F285" s="10">
        <v>271.17099999999999</v>
      </c>
      <c r="G285" s="17">
        <v>272.13600000000002</v>
      </c>
      <c r="H285" s="17">
        <v>0.96499999999999997</v>
      </c>
      <c r="I285" s="10">
        <v>266.517</v>
      </c>
      <c r="J285" s="10">
        <v>267.14699999999999</v>
      </c>
      <c r="K285" s="19">
        <v>4.9889999999999999</v>
      </c>
      <c r="L285" s="17">
        <v>14.487</v>
      </c>
      <c r="N285" s="12">
        <f t="shared" si="24"/>
        <v>501.3499999998603</v>
      </c>
      <c r="O285" s="8">
        <f t="shared" si="25"/>
        <v>163</v>
      </c>
      <c r="P285" s="8" t="str">
        <f t="shared" si="26"/>
        <v>501.34999999986,163</v>
      </c>
      <c r="Q285" s="11" t="s">
        <v>10</v>
      </c>
      <c r="R285" s="8">
        <v>90</v>
      </c>
      <c r="S285" s="8">
        <v>2.5</v>
      </c>
      <c r="T285" s="8" t="str">
        <f t="shared" si="23"/>
        <v>-text 501.34999999986,163 2.5 90 14.487</v>
      </c>
      <c r="U285" s="10"/>
    </row>
    <row r="286" spans="1:21" x14ac:dyDescent="0.25">
      <c r="A286" s="15"/>
      <c r="N286" s="12"/>
      <c r="Q286" s="11"/>
      <c r="U286" s="10"/>
    </row>
    <row r="287" spans="1:21" x14ac:dyDescent="0.25">
      <c r="A287" s="15">
        <v>287500</v>
      </c>
      <c r="B287" s="9">
        <v>1176907.7</v>
      </c>
      <c r="C287" s="10">
        <v>271.85899999999998</v>
      </c>
      <c r="D287" s="17">
        <v>272.84899999999999</v>
      </c>
      <c r="E287" s="17">
        <v>0.99</v>
      </c>
      <c r="F287" s="10">
        <v>271.17099999999999</v>
      </c>
      <c r="G287" s="17">
        <v>272.13600000000002</v>
      </c>
      <c r="H287" s="17">
        <v>0.96499999999999997</v>
      </c>
      <c r="I287" s="10">
        <v>266.517</v>
      </c>
      <c r="J287" s="10">
        <v>267.14699999999999</v>
      </c>
      <c r="K287" s="19">
        <v>4.9889999999999999</v>
      </c>
      <c r="L287" s="17">
        <v>14.487</v>
      </c>
      <c r="N287" s="12">
        <v>1.25</v>
      </c>
      <c r="O287" s="8">
        <v>163</v>
      </c>
      <c r="P287" s="8" t="str">
        <f t="shared" si="26"/>
        <v>1.25,163</v>
      </c>
      <c r="Q287" s="11" t="s">
        <v>10</v>
      </c>
      <c r="R287" s="8">
        <v>90</v>
      </c>
      <c r="S287" s="8">
        <v>2.5</v>
      </c>
      <c r="T287" s="8" t="str">
        <f>$Q287&amp;" "&amp;$P287&amp;" "&amp;$S287&amp;" "&amp;$R287&amp;" "&amp;$L287</f>
        <v>-text 1.25,163 2.5 90 14.487</v>
      </c>
      <c r="U287" s="10"/>
    </row>
    <row r="288" spans="1:21" x14ac:dyDescent="0.25">
      <c r="A288" s="15">
        <v>287520</v>
      </c>
      <c r="B288" s="9">
        <v>1176927.5</v>
      </c>
      <c r="C288" s="10">
        <v>271.90800000000002</v>
      </c>
      <c r="D288" s="17">
        <v>272.84899999999999</v>
      </c>
      <c r="E288" s="17">
        <v>0.94099999999999995</v>
      </c>
      <c r="F288" s="10">
        <v>271.22000000000003</v>
      </c>
      <c r="G288" s="17">
        <v>272.13600000000002</v>
      </c>
      <c r="H288" s="17">
        <v>0.91600000000000004</v>
      </c>
      <c r="I288" s="10">
        <v>266.274</v>
      </c>
      <c r="J288" s="10">
        <v>267.55700000000002</v>
      </c>
      <c r="K288" s="19">
        <v>4.5789999999999997</v>
      </c>
      <c r="L288" s="17">
        <v>14.446</v>
      </c>
      <c r="N288" s="12">
        <f t="shared" si="24"/>
        <v>21.050000000046566</v>
      </c>
      <c r="O288" s="8">
        <f t="shared" si="25"/>
        <v>163</v>
      </c>
      <c r="P288" s="8" t="str">
        <f t="shared" si="26"/>
        <v>21.0500000000466,163</v>
      </c>
      <c r="Q288" s="11" t="s">
        <v>10</v>
      </c>
      <c r="R288" s="8">
        <v>90</v>
      </c>
      <c r="S288" s="8">
        <v>2.5</v>
      </c>
      <c r="T288" s="8" t="str">
        <f t="shared" ref="T288:T312" si="27">$Q288&amp;" "&amp;$P288&amp;" "&amp;$S288&amp;" "&amp;$R288&amp;" "&amp;$L288</f>
        <v>-text 21.0500000000466,163 2.5 90 14.446</v>
      </c>
      <c r="U288" s="10"/>
    </row>
    <row r="289" spans="1:21" x14ac:dyDescent="0.25">
      <c r="A289" s="15">
        <v>287540</v>
      </c>
      <c r="B289" s="9">
        <v>1176947.5</v>
      </c>
      <c r="C289" s="10">
        <v>271.952</v>
      </c>
      <c r="D289" s="17">
        <v>272.84899999999999</v>
      </c>
      <c r="E289" s="17">
        <v>0.89700000000000002</v>
      </c>
      <c r="F289" s="10">
        <v>271.26400000000001</v>
      </c>
      <c r="G289" s="17">
        <v>272.13600000000002</v>
      </c>
      <c r="H289" s="17">
        <v>0.872</v>
      </c>
      <c r="I289" s="10">
        <v>265.97199999999998</v>
      </c>
      <c r="J289" s="10">
        <v>267.041</v>
      </c>
      <c r="K289" s="19">
        <v>5.0949999999999998</v>
      </c>
      <c r="L289" s="17">
        <v>14.41</v>
      </c>
      <c r="N289" s="12">
        <f t="shared" si="24"/>
        <v>41.050000000046566</v>
      </c>
      <c r="O289" s="8">
        <f t="shared" si="25"/>
        <v>163</v>
      </c>
      <c r="P289" s="8" t="str">
        <f t="shared" si="26"/>
        <v>41.0500000000466,163</v>
      </c>
      <c r="Q289" s="11" t="s">
        <v>10</v>
      </c>
      <c r="R289" s="8">
        <v>90</v>
      </c>
      <c r="S289" s="8">
        <v>2.5</v>
      </c>
      <c r="T289" s="8" t="str">
        <f t="shared" si="27"/>
        <v>-text 41.0500000000466,163 2.5 90 14.41</v>
      </c>
      <c r="U289" s="10"/>
    </row>
    <row r="290" spans="1:21" x14ac:dyDescent="0.25">
      <c r="A290" s="15">
        <v>287560</v>
      </c>
      <c r="B290" s="9">
        <v>1176967.5</v>
      </c>
      <c r="C290" s="10">
        <v>271.99099999999999</v>
      </c>
      <c r="D290" s="17">
        <v>272.84899999999999</v>
      </c>
      <c r="E290" s="17">
        <v>0.85799999999999998</v>
      </c>
      <c r="F290" s="10">
        <v>271.303</v>
      </c>
      <c r="G290" s="17">
        <v>272.13600000000002</v>
      </c>
      <c r="H290" s="17">
        <v>0.83299999999999996</v>
      </c>
      <c r="I290" s="10">
        <v>265.45699999999999</v>
      </c>
      <c r="J290" s="10">
        <v>266.36</v>
      </c>
      <c r="K290" s="19">
        <v>5.7759999999999998</v>
      </c>
      <c r="L290" s="17">
        <v>14.451000000000001</v>
      </c>
      <c r="N290" s="12">
        <f t="shared" si="24"/>
        <v>61.050000000046566</v>
      </c>
      <c r="O290" s="8">
        <f t="shared" si="25"/>
        <v>163</v>
      </c>
      <c r="P290" s="8" t="str">
        <f t="shared" si="26"/>
        <v>61.0500000000466,163</v>
      </c>
      <c r="Q290" s="11" t="s">
        <v>10</v>
      </c>
      <c r="R290" s="8">
        <v>90</v>
      </c>
      <c r="S290" s="8">
        <v>2.5</v>
      </c>
      <c r="T290" s="8" t="str">
        <f t="shared" si="27"/>
        <v>-text 61.0500000000466,163 2.5 90 14.451</v>
      </c>
      <c r="U290" s="10"/>
    </row>
    <row r="291" spans="1:21" x14ac:dyDescent="0.25">
      <c r="A291" s="15">
        <v>287580</v>
      </c>
      <c r="B291" s="9">
        <v>1176987.3999999999</v>
      </c>
      <c r="C291" s="10">
        <v>272.02199999999999</v>
      </c>
      <c r="D291" s="17">
        <v>272.84899999999999</v>
      </c>
      <c r="E291" s="17">
        <v>0.82699999999999996</v>
      </c>
      <c r="F291" s="10">
        <v>271.334</v>
      </c>
      <c r="G291" s="17">
        <v>272.13600000000002</v>
      </c>
      <c r="H291" s="17">
        <v>0.80200000000000005</v>
      </c>
      <c r="I291" s="10">
        <v>264.20299999999997</v>
      </c>
      <c r="J291" s="10">
        <v>266.24299999999999</v>
      </c>
      <c r="K291" s="19">
        <v>5.8929999999999998</v>
      </c>
      <c r="L291" s="17">
        <v>14.442</v>
      </c>
      <c r="N291" s="12">
        <f t="shared" si="24"/>
        <v>80.949999999953434</v>
      </c>
      <c r="O291" s="8">
        <f t="shared" si="25"/>
        <v>163</v>
      </c>
      <c r="P291" s="8" t="str">
        <f t="shared" si="26"/>
        <v>80.9499999999534,163</v>
      </c>
      <c r="Q291" s="11" t="s">
        <v>10</v>
      </c>
      <c r="R291" s="8">
        <v>90</v>
      </c>
      <c r="S291" s="8">
        <v>2.5</v>
      </c>
      <c r="T291" s="8" t="str">
        <f t="shared" si="27"/>
        <v>-text 80.9499999999534,163 2.5 90 14.442</v>
      </c>
      <c r="U291" s="10"/>
    </row>
    <row r="292" spans="1:21" x14ac:dyDescent="0.25">
      <c r="A292" s="15">
        <v>287600</v>
      </c>
      <c r="B292" s="9">
        <v>1177007.5</v>
      </c>
      <c r="C292" s="10">
        <v>272.04399999999998</v>
      </c>
      <c r="D292" s="17">
        <v>272.84899999999999</v>
      </c>
      <c r="E292" s="17">
        <v>0.80500000000000005</v>
      </c>
      <c r="F292" s="10">
        <v>271.35599999999999</v>
      </c>
      <c r="G292" s="17">
        <v>272.13600000000002</v>
      </c>
      <c r="H292" s="17">
        <v>0.78</v>
      </c>
      <c r="I292" s="10">
        <v>264.26900000000001</v>
      </c>
      <c r="J292" s="10">
        <v>266.58</v>
      </c>
      <c r="K292" s="19">
        <v>5.556</v>
      </c>
      <c r="L292" s="17">
        <v>14.388</v>
      </c>
      <c r="N292" s="12">
        <f t="shared" si="24"/>
        <v>101.05000000004657</v>
      </c>
      <c r="O292" s="8">
        <f t="shared" si="25"/>
        <v>163</v>
      </c>
      <c r="P292" s="8" t="str">
        <f t="shared" si="26"/>
        <v>101.050000000047,163</v>
      </c>
      <c r="Q292" s="11" t="s">
        <v>10</v>
      </c>
      <c r="R292" s="8">
        <v>90</v>
      </c>
      <c r="S292" s="8">
        <v>2.5</v>
      </c>
      <c r="T292" s="8" t="str">
        <f t="shared" si="27"/>
        <v>-text 101.050000000047,163 2.5 90 14.388</v>
      </c>
      <c r="U292" s="10"/>
    </row>
    <row r="293" spans="1:21" x14ac:dyDescent="0.25">
      <c r="A293" s="15">
        <v>287620</v>
      </c>
      <c r="B293" s="9">
        <v>1177027.5</v>
      </c>
      <c r="C293" s="10">
        <v>272.06099999999998</v>
      </c>
      <c r="D293" s="17">
        <v>272.84899999999999</v>
      </c>
      <c r="E293" s="17">
        <v>0.78800000000000003</v>
      </c>
      <c r="F293" s="10">
        <v>271.37299999999999</v>
      </c>
      <c r="G293" s="17">
        <v>272.13600000000002</v>
      </c>
      <c r="H293" s="17">
        <v>0.76300000000000001</v>
      </c>
      <c r="I293" s="10">
        <v>264.68700000000001</v>
      </c>
      <c r="J293" s="10">
        <v>265.94900000000001</v>
      </c>
      <c r="K293" s="19">
        <v>6.1870000000000003</v>
      </c>
      <c r="L293" s="17">
        <v>14.401</v>
      </c>
      <c r="N293" s="12">
        <f t="shared" si="24"/>
        <v>121.05000000004657</v>
      </c>
      <c r="O293" s="8">
        <f t="shared" si="25"/>
        <v>163</v>
      </c>
      <c r="P293" s="8" t="str">
        <f t="shared" si="26"/>
        <v>121.050000000047,163</v>
      </c>
      <c r="Q293" s="11" t="s">
        <v>10</v>
      </c>
      <c r="R293" s="8">
        <v>90</v>
      </c>
      <c r="S293" s="8">
        <v>2.5</v>
      </c>
      <c r="T293" s="8" t="str">
        <f t="shared" si="27"/>
        <v>-text 121.050000000047,163 2.5 90 14.401</v>
      </c>
      <c r="U293" s="10"/>
    </row>
    <row r="294" spans="1:21" x14ac:dyDescent="0.25">
      <c r="A294" s="15">
        <v>287640</v>
      </c>
      <c r="B294" s="9">
        <v>1177047.5</v>
      </c>
      <c r="C294" s="10">
        <v>272.077</v>
      </c>
      <c r="D294" s="17">
        <v>272.84899999999999</v>
      </c>
      <c r="E294" s="17">
        <v>0.77200000000000002</v>
      </c>
      <c r="F294" s="10">
        <v>271.38900000000001</v>
      </c>
      <c r="G294" s="17">
        <v>272.13600000000002</v>
      </c>
      <c r="H294" s="17">
        <v>0.747</v>
      </c>
      <c r="I294" s="10">
        <v>265.57799999999997</v>
      </c>
      <c r="J294" s="10">
        <v>265.18099999999998</v>
      </c>
      <c r="K294" s="19">
        <v>6.9550000000000001</v>
      </c>
      <c r="L294" s="17">
        <v>14.414999999999999</v>
      </c>
      <c r="N294" s="12">
        <f t="shared" si="24"/>
        <v>141.05000000004657</v>
      </c>
      <c r="O294" s="8">
        <f t="shared" si="25"/>
        <v>163</v>
      </c>
      <c r="P294" s="8" t="str">
        <f t="shared" si="26"/>
        <v>141.050000000047,163</v>
      </c>
      <c r="Q294" s="11" t="s">
        <v>10</v>
      </c>
      <c r="R294" s="8">
        <v>90</v>
      </c>
      <c r="S294" s="8">
        <v>2.5</v>
      </c>
      <c r="T294" s="8" t="str">
        <f t="shared" si="27"/>
        <v>-text 141.050000000047,163 2.5 90 14.415</v>
      </c>
      <c r="U294" s="10"/>
    </row>
    <row r="295" spans="1:21" x14ac:dyDescent="0.25">
      <c r="A295" s="15">
        <v>287660</v>
      </c>
      <c r="B295" s="9">
        <v>1177067.5</v>
      </c>
      <c r="C295" s="10">
        <v>272.08</v>
      </c>
      <c r="D295" s="17">
        <v>272.84899999999999</v>
      </c>
      <c r="E295" s="17">
        <v>0.76900000000000002</v>
      </c>
      <c r="F295" s="10">
        <v>271.392</v>
      </c>
      <c r="G295" s="17">
        <v>272.13600000000002</v>
      </c>
      <c r="H295" s="17">
        <v>0.74399999999999999</v>
      </c>
      <c r="I295" s="10">
        <v>265.04199999999997</v>
      </c>
      <c r="J295" s="10">
        <v>265.03399999999999</v>
      </c>
      <c r="K295" s="19">
        <v>7.1020000000000003</v>
      </c>
      <c r="L295" s="17">
        <v>14.401</v>
      </c>
      <c r="N295" s="12">
        <f t="shared" si="24"/>
        <v>161.05000000004657</v>
      </c>
      <c r="O295" s="8">
        <f t="shared" si="25"/>
        <v>163</v>
      </c>
      <c r="P295" s="8" t="str">
        <f t="shared" si="26"/>
        <v>161.050000000047,163</v>
      </c>
      <c r="Q295" s="11" t="s">
        <v>10</v>
      </c>
      <c r="R295" s="8">
        <v>90</v>
      </c>
      <c r="S295" s="8">
        <v>2.5</v>
      </c>
      <c r="T295" s="8" t="str">
        <f t="shared" si="27"/>
        <v>-text 161.050000000047,163 2.5 90 14.401</v>
      </c>
      <c r="U295" s="10"/>
    </row>
    <row r="296" spans="1:21" x14ac:dyDescent="0.25">
      <c r="A296" s="15">
        <v>287680</v>
      </c>
      <c r="B296" s="9">
        <v>1177087.5</v>
      </c>
      <c r="C296" s="10">
        <v>272.05799999999999</v>
      </c>
      <c r="D296" s="17">
        <v>272.84899999999999</v>
      </c>
      <c r="E296" s="17">
        <v>0.79100000000000004</v>
      </c>
      <c r="F296" s="10">
        <v>271.37</v>
      </c>
      <c r="G296" s="17">
        <v>272.13600000000002</v>
      </c>
      <c r="H296" s="17">
        <v>0.76600000000000001</v>
      </c>
      <c r="I296" s="10">
        <v>265.26</v>
      </c>
      <c r="J296" s="10">
        <v>266.7</v>
      </c>
      <c r="K296" s="19">
        <v>5.4359999999999999</v>
      </c>
      <c r="L296" s="17">
        <v>14.393000000000001</v>
      </c>
      <c r="N296" s="12">
        <f t="shared" si="24"/>
        <v>181.05000000004657</v>
      </c>
      <c r="O296" s="8">
        <f t="shared" si="25"/>
        <v>163</v>
      </c>
      <c r="P296" s="8" t="str">
        <f t="shared" si="26"/>
        <v>181.050000000047,163</v>
      </c>
      <c r="Q296" s="11" t="s">
        <v>10</v>
      </c>
      <c r="R296" s="8">
        <v>90</v>
      </c>
      <c r="S296" s="8">
        <v>2.5</v>
      </c>
      <c r="T296" s="8" t="str">
        <f t="shared" si="27"/>
        <v>-text 181.050000000047,163 2.5 90 14.393</v>
      </c>
      <c r="U296" s="10"/>
    </row>
    <row r="297" spans="1:21" x14ac:dyDescent="0.25">
      <c r="A297" s="15">
        <v>287700</v>
      </c>
      <c r="B297" s="9">
        <v>1177107.5</v>
      </c>
      <c r="C297" s="10">
        <v>271.928</v>
      </c>
      <c r="D297" s="17">
        <v>272.84899999999999</v>
      </c>
      <c r="E297" s="17">
        <v>0.92100000000000004</v>
      </c>
      <c r="F297" s="10">
        <v>271.24</v>
      </c>
      <c r="G297" s="17">
        <v>272.13600000000002</v>
      </c>
      <c r="H297" s="17">
        <v>0.89600000000000002</v>
      </c>
      <c r="I297" s="10">
        <v>265.197</v>
      </c>
      <c r="J297" s="10">
        <v>266.971</v>
      </c>
      <c r="K297" s="19">
        <v>5.165</v>
      </c>
      <c r="L297" s="17">
        <v>14.403</v>
      </c>
      <c r="N297" s="12">
        <f t="shared" si="24"/>
        <v>201.05000000004657</v>
      </c>
      <c r="O297" s="8">
        <f t="shared" si="25"/>
        <v>163</v>
      </c>
      <c r="P297" s="8" t="str">
        <f t="shared" si="26"/>
        <v>201.050000000047,163</v>
      </c>
      <c r="Q297" s="11" t="s">
        <v>10</v>
      </c>
      <c r="R297" s="8">
        <v>90</v>
      </c>
      <c r="S297" s="8">
        <v>2.5</v>
      </c>
      <c r="T297" s="8" t="str">
        <f t="shared" si="27"/>
        <v>-text 201.050000000047,163 2.5 90 14.403</v>
      </c>
      <c r="U297" s="10"/>
    </row>
    <row r="298" spans="1:21" x14ac:dyDescent="0.25">
      <c r="A298" s="15">
        <v>287720</v>
      </c>
      <c r="B298" s="9">
        <v>1177127.5</v>
      </c>
      <c r="C298" s="10">
        <v>271.84199999999998</v>
      </c>
      <c r="D298" s="17">
        <v>272.84899999999999</v>
      </c>
      <c r="E298" s="17">
        <v>1.0069999999999999</v>
      </c>
      <c r="F298" s="10">
        <v>271.154</v>
      </c>
      <c r="G298" s="17">
        <v>272.13600000000002</v>
      </c>
      <c r="H298" s="17">
        <v>0.98199999999999998</v>
      </c>
      <c r="I298" s="10">
        <v>265.27</v>
      </c>
      <c r="J298" s="10">
        <v>267.17899999999997</v>
      </c>
      <c r="K298" s="19">
        <v>4.9569999999999999</v>
      </c>
      <c r="L298" s="17">
        <v>14.401999999999999</v>
      </c>
      <c r="N298" s="12">
        <f t="shared" si="24"/>
        <v>221.05000000004657</v>
      </c>
      <c r="O298" s="8">
        <f t="shared" si="25"/>
        <v>163</v>
      </c>
      <c r="P298" s="8" t="str">
        <f t="shared" si="26"/>
        <v>221.050000000047,163</v>
      </c>
      <c r="Q298" s="11" t="s">
        <v>10</v>
      </c>
      <c r="R298" s="8">
        <v>90</v>
      </c>
      <c r="S298" s="8">
        <v>2.5</v>
      </c>
      <c r="T298" s="8" t="str">
        <f t="shared" si="27"/>
        <v>-text 221.050000000047,163 2.5 90 14.402</v>
      </c>
      <c r="U298" s="10"/>
    </row>
    <row r="299" spans="1:21" x14ac:dyDescent="0.25">
      <c r="A299" s="15">
        <v>287740</v>
      </c>
      <c r="B299" s="9">
        <v>1177147.5</v>
      </c>
      <c r="C299" s="10">
        <v>271.72300000000001</v>
      </c>
      <c r="D299" s="17">
        <v>272.84899999999999</v>
      </c>
      <c r="E299" s="17">
        <v>1.1259999999999999</v>
      </c>
      <c r="F299" s="10">
        <v>271.03500000000003</v>
      </c>
      <c r="G299" s="17">
        <v>272.13600000000002</v>
      </c>
      <c r="H299" s="17">
        <v>1.101</v>
      </c>
      <c r="I299" s="10">
        <v>265.41399999999999</v>
      </c>
      <c r="J299" s="10">
        <v>267.42200000000003</v>
      </c>
      <c r="K299" s="19">
        <v>4.7140000000000004</v>
      </c>
      <c r="L299" s="17">
        <v>14.391</v>
      </c>
      <c r="N299" s="12">
        <f t="shared" si="24"/>
        <v>241.05000000004657</v>
      </c>
      <c r="O299" s="8">
        <f t="shared" si="25"/>
        <v>163</v>
      </c>
      <c r="P299" s="8" t="str">
        <f t="shared" si="26"/>
        <v>241.050000000047,163</v>
      </c>
      <c r="Q299" s="11" t="s">
        <v>10</v>
      </c>
      <c r="R299" s="8">
        <v>90</v>
      </c>
      <c r="S299" s="8">
        <v>2.5</v>
      </c>
      <c r="T299" s="8" t="str">
        <f t="shared" si="27"/>
        <v>-text 241.050000000047,163 2.5 90 14.391</v>
      </c>
      <c r="U299" s="10"/>
    </row>
    <row r="300" spans="1:21" x14ac:dyDescent="0.25">
      <c r="A300" s="15">
        <v>287760</v>
      </c>
      <c r="B300" s="9">
        <v>1177167.5</v>
      </c>
      <c r="C300" s="10">
        <v>271.608</v>
      </c>
      <c r="D300" s="17">
        <v>272.822</v>
      </c>
      <c r="E300" s="17">
        <v>1.214</v>
      </c>
      <c r="F300" s="10">
        <v>270.92</v>
      </c>
      <c r="G300" s="17">
        <v>272.10899999999998</v>
      </c>
      <c r="H300" s="17">
        <v>1.1890000000000001</v>
      </c>
      <c r="I300" s="10">
        <v>265.68</v>
      </c>
      <c r="J300" s="10">
        <v>267.43799999999999</v>
      </c>
      <c r="K300" s="19">
        <v>4.6710000000000003</v>
      </c>
      <c r="L300" s="17">
        <v>14.372999999999999</v>
      </c>
      <c r="N300" s="12">
        <f t="shared" si="24"/>
        <v>261.05000000004657</v>
      </c>
      <c r="O300" s="8">
        <f t="shared" si="25"/>
        <v>163</v>
      </c>
      <c r="P300" s="8" t="str">
        <f t="shared" si="26"/>
        <v>261.050000000047,163</v>
      </c>
      <c r="Q300" s="11" t="s">
        <v>10</v>
      </c>
      <c r="R300" s="8">
        <v>90</v>
      </c>
      <c r="S300" s="8">
        <v>2.5</v>
      </c>
      <c r="T300" s="8" t="str">
        <f t="shared" si="27"/>
        <v>-text 261.050000000047,163 2.5 90 14.373</v>
      </c>
      <c r="U300" s="10"/>
    </row>
    <row r="301" spans="1:21" x14ac:dyDescent="0.25">
      <c r="A301" s="15">
        <v>287780</v>
      </c>
      <c r="B301" s="9">
        <v>1177187.5</v>
      </c>
      <c r="C301" s="10">
        <v>271.44</v>
      </c>
      <c r="D301" s="17">
        <v>272.74</v>
      </c>
      <c r="E301" s="17">
        <v>1.3</v>
      </c>
      <c r="F301" s="10">
        <v>270.75200000000001</v>
      </c>
      <c r="G301" s="17">
        <v>272.02699999999999</v>
      </c>
      <c r="H301" s="17">
        <v>1.2749999999999999</v>
      </c>
      <c r="I301" s="10">
        <v>265.29700000000003</v>
      </c>
      <c r="J301" s="10">
        <v>266.79300000000001</v>
      </c>
      <c r="K301" s="19">
        <v>5.234</v>
      </c>
      <c r="L301" s="17">
        <v>14.353999999999999</v>
      </c>
      <c r="N301" s="12">
        <f t="shared" si="24"/>
        <v>281.05000000004657</v>
      </c>
      <c r="O301" s="8">
        <f t="shared" si="25"/>
        <v>163</v>
      </c>
      <c r="P301" s="8" t="str">
        <f t="shared" si="26"/>
        <v>281.050000000047,163</v>
      </c>
      <c r="Q301" s="11" t="s">
        <v>10</v>
      </c>
      <c r="R301" s="8">
        <v>90</v>
      </c>
      <c r="S301" s="8">
        <v>2.5</v>
      </c>
      <c r="T301" s="8" t="str">
        <f t="shared" si="27"/>
        <v>-text 281.050000000047,163 2.5 90 14.354</v>
      </c>
      <c r="U301" s="10"/>
    </row>
    <row r="302" spans="1:21" x14ac:dyDescent="0.25">
      <c r="A302" s="15">
        <v>287800</v>
      </c>
      <c r="B302" s="9">
        <v>1177207.5</v>
      </c>
      <c r="C302" s="10">
        <v>271.29199999999997</v>
      </c>
      <c r="D302" s="17">
        <v>272.65800000000002</v>
      </c>
      <c r="E302" s="17">
        <v>1.367</v>
      </c>
      <c r="F302" s="10">
        <v>270.60399999999998</v>
      </c>
      <c r="G302" s="17">
        <v>271.94499999999999</v>
      </c>
      <c r="H302" s="17">
        <v>1.3420000000000001</v>
      </c>
      <c r="I302" s="10">
        <v>264.93299999999999</v>
      </c>
      <c r="J302" s="10">
        <v>265.91300000000001</v>
      </c>
      <c r="K302" s="19">
        <v>6.032</v>
      </c>
      <c r="L302" s="17">
        <v>14.292999999999999</v>
      </c>
      <c r="N302" s="12">
        <f t="shared" si="24"/>
        <v>301.05000000004657</v>
      </c>
      <c r="O302" s="8">
        <f t="shared" si="25"/>
        <v>163</v>
      </c>
      <c r="P302" s="8" t="str">
        <f t="shared" si="26"/>
        <v>301.050000000047,163</v>
      </c>
      <c r="Q302" s="11" t="s">
        <v>10</v>
      </c>
      <c r="R302" s="8">
        <v>90</v>
      </c>
      <c r="S302" s="8">
        <v>2.5</v>
      </c>
      <c r="T302" s="8" t="str">
        <f t="shared" si="27"/>
        <v>-text 301.050000000047,163 2.5 90 14.293</v>
      </c>
      <c r="U302" s="10"/>
    </row>
    <row r="303" spans="1:21" x14ac:dyDescent="0.25">
      <c r="A303" s="15">
        <v>287820</v>
      </c>
      <c r="B303" s="9">
        <v>1177227.5</v>
      </c>
      <c r="C303" s="10">
        <v>271.15800000000002</v>
      </c>
      <c r="D303" s="17">
        <v>272.57600000000002</v>
      </c>
      <c r="E303" s="17">
        <v>1.4179999999999999</v>
      </c>
      <c r="F303" s="10">
        <v>270.47000000000003</v>
      </c>
      <c r="G303" s="17">
        <v>271.863</v>
      </c>
      <c r="H303" s="17">
        <v>1.393</v>
      </c>
      <c r="I303" s="10">
        <v>265.041</v>
      </c>
      <c r="J303" s="10">
        <v>266.404</v>
      </c>
      <c r="K303" s="19">
        <v>5.4589999999999996</v>
      </c>
      <c r="L303" s="17">
        <v>14.116</v>
      </c>
      <c r="N303" s="12">
        <f t="shared" si="24"/>
        <v>321.05000000004657</v>
      </c>
      <c r="O303" s="8">
        <f t="shared" si="25"/>
        <v>163</v>
      </c>
      <c r="P303" s="8" t="str">
        <f t="shared" si="26"/>
        <v>321.050000000047,163</v>
      </c>
      <c r="Q303" s="11" t="s">
        <v>10</v>
      </c>
      <c r="R303" s="8">
        <v>90</v>
      </c>
      <c r="S303" s="8">
        <v>2.5</v>
      </c>
      <c r="T303" s="8" t="str">
        <f t="shared" si="27"/>
        <v>-text 321.050000000047,163 2.5 90 14.116</v>
      </c>
      <c r="U303" s="10"/>
    </row>
    <row r="304" spans="1:21" x14ac:dyDescent="0.25">
      <c r="A304" s="15">
        <v>287840</v>
      </c>
      <c r="B304" s="9">
        <v>1177247.5</v>
      </c>
      <c r="C304" s="10">
        <v>271.07900000000001</v>
      </c>
      <c r="D304" s="17">
        <v>272.49400000000003</v>
      </c>
      <c r="E304" s="17">
        <v>1.4159999999999999</v>
      </c>
      <c r="F304" s="10">
        <v>270.39100000000002</v>
      </c>
      <c r="G304" s="17">
        <v>271.78100000000001</v>
      </c>
      <c r="H304" s="17">
        <v>1.391</v>
      </c>
      <c r="I304" s="10">
        <v>265.25799999999998</v>
      </c>
      <c r="J304" s="10">
        <v>266.79700000000003</v>
      </c>
      <c r="K304" s="19">
        <v>4.984</v>
      </c>
      <c r="L304" s="17">
        <v>13.779</v>
      </c>
      <c r="N304" s="12">
        <f t="shared" si="24"/>
        <v>341.05000000004657</v>
      </c>
      <c r="O304" s="8">
        <f t="shared" si="25"/>
        <v>163</v>
      </c>
      <c r="P304" s="8" t="str">
        <f t="shared" si="26"/>
        <v>341.050000000047,163</v>
      </c>
      <c r="Q304" s="11" t="s">
        <v>10</v>
      </c>
      <c r="R304" s="8">
        <v>90</v>
      </c>
      <c r="S304" s="8">
        <v>2.5</v>
      </c>
      <c r="T304" s="8" t="str">
        <f t="shared" si="27"/>
        <v>-text 341.050000000047,163 2.5 90 13.779</v>
      </c>
      <c r="U304" s="10"/>
    </row>
    <row r="305" spans="1:21" x14ac:dyDescent="0.25">
      <c r="A305" s="15">
        <v>287860</v>
      </c>
      <c r="B305" s="9">
        <v>1177267.5</v>
      </c>
      <c r="C305" s="10">
        <v>271.012</v>
      </c>
      <c r="D305" s="17">
        <v>272.41199999999998</v>
      </c>
      <c r="E305" s="17">
        <v>1.4</v>
      </c>
      <c r="F305" s="10">
        <v>270.32400000000001</v>
      </c>
      <c r="G305" s="17">
        <v>271.69900000000001</v>
      </c>
      <c r="H305" s="17">
        <v>1.375</v>
      </c>
      <c r="I305" s="10">
        <v>265.35399999999998</v>
      </c>
      <c r="J305" s="10">
        <v>266.97000000000003</v>
      </c>
      <c r="K305" s="19">
        <v>4.7290000000000001</v>
      </c>
      <c r="L305" s="17">
        <v>13.294</v>
      </c>
      <c r="N305" s="12">
        <f t="shared" si="24"/>
        <v>361.05000000004657</v>
      </c>
      <c r="O305" s="8">
        <f t="shared" si="25"/>
        <v>163</v>
      </c>
      <c r="P305" s="8" t="str">
        <f t="shared" si="26"/>
        <v>361.050000000047,163</v>
      </c>
      <c r="Q305" s="11" t="s">
        <v>10</v>
      </c>
      <c r="R305" s="8">
        <v>90</v>
      </c>
      <c r="S305" s="8">
        <v>2.5</v>
      </c>
      <c r="T305" s="8" t="str">
        <f t="shared" si="27"/>
        <v>-text 361.050000000047,163 2.5 90 13.294</v>
      </c>
      <c r="U305" s="10"/>
    </row>
    <row r="306" spans="1:21" x14ac:dyDescent="0.25">
      <c r="A306" s="15">
        <v>287880</v>
      </c>
      <c r="B306" s="9">
        <v>1177287.5</v>
      </c>
      <c r="C306" s="10">
        <v>270.95299999999997</v>
      </c>
      <c r="D306" s="17">
        <v>272.33</v>
      </c>
      <c r="E306" s="17">
        <v>1.377</v>
      </c>
      <c r="F306" s="10">
        <v>270.26499999999999</v>
      </c>
      <c r="G306" s="17">
        <v>271.61700000000002</v>
      </c>
      <c r="H306" s="17">
        <v>1.3520000000000001</v>
      </c>
      <c r="I306" s="10">
        <v>265.39299999999997</v>
      </c>
      <c r="J306" s="10">
        <v>266.98399999999998</v>
      </c>
      <c r="K306" s="19">
        <v>4.633</v>
      </c>
      <c r="L306" s="17">
        <v>12.747</v>
      </c>
      <c r="N306" s="12">
        <f t="shared" si="24"/>
        <v>381.05000000004657</v>
      </c>
      <c r="O306" s="8">
        <f t="shared" si="25"/>
        <v>163</v>
      </c>
      <c r="P306" s="8" t="str">
        <f t="shared" si="26"/>
        <v>381.050000000047,163</v>
      </c>
      <c r="Q306" s="11" t="s">
        <v>10</v>
      </c>
      <c r="R306" s="8">
        <v>90</v>
      </c>
      <c r="S306" s="8">
        <v>2.5</v>
      </c>
      <c r="T306" s="8" t="str">
        <f t="shared" si="27"/>
        <v>-text 381.050000000047,163 2.5 90 12.747</v>
      </c>
      <c r="U306" s="10"/>
    </row>
    <row r="307" spans="1:21" x14ac:dyDescent="0.25">
      <c r="A307" s="15">
        <v>287900</v>
      </c>
      <c r="B307" s="9">
        <v>1177307.5</v>
      </c>
      <c r="C307" s="10">
        <v>270.892</v>
      </c>
      <c r="D307" s="17">
        <v>272.24799999999999</v>
      </c>
      <c r="E307" s="17">
        <v>1.355</v>
      </c>
      <c r="F307" s="10">
        <v>270.20400000000001</v>
      </c>
      <c r="G307" s="17">
        <v>271.53500000000003</v>
      </c>
      <c r="H307" s="17">
        <v>1.33</v>
      </c>
      <c r="I307" s="10">
        <v>265.89299999999997</v>
      </c>
      <c r="J307" s="10">
        <v>266.22699999999998</v>
      </c>
      <c r="K307" s="19">
        <v>5.3070000000000004</v>
      </c>
      <c r="L307" s="17">
        <v>12.186</v>
      </c>
      <c r="N307" s="12">
        <f t="shared" si="24"/>
        <v>401.05000000004657</v>
      </c>
      <c r="O307" s="8">
        <f t="shared" si="25"/>
        <v>163</v>
      </c>
      <c r="P307" s="8" t="str">
        <f t="shared" si="26"/>
        <v>401.050000000047,163</v>
      </c>
      <c r="Q307" s="11" t="s">
        <v>10</v>
      </c>
      <c r="R307" s="8">
        <v>90</v>
      </c>
      <c r="S307" s="8">
        <v>2.5</v>
      </c>
      <c r="T307" s="8" t="str">
        <f t="shared" si="27"/>
        <v>-text 401.050000000047,163 2.5 90 12.186</v>
      </c>
      <c r="U307" s="10"/>
    </row>
    <row r="308" spans="1:21" x14ac:dyDescent="0.25">
      <c r="A308" s="15">
        <v>287920</v>
      </c>
      <c r="B308" s="9">
        <v>1177327.5</v>
      </c>
      <c r="C308" s="10">
        <v>270.83</v>
      </c>
      <c r="D308" s="17">
        <v>272.166</v>
      </c>
      <c r="E308" s="17">
        <v>1.3360000000000001</v>
      </c>
      <c r="F308" s="10">
        <v>270.142</v>
      </c>
      <c r="G308" s="17">
        <v>271.45299999999997</v>
      </c>
      <c r="H308" s="17">
        <v>1.3109999999999999</v>
      </c>
      <c r="I308" s="10">
        <v>267.26299999999998</v>
      </c>
      <c r="J308" s="10">
        <v>267.14600000000002</v>
      </c>
      <c r="K308" s="19">
        <v>4.306</v>
      </c>
      <c r="L308" s="17">
        <v>11.609</v>
      </c>
      <c r="N308" s="12">
        <f t="shared" si="24"/>
        <v>421.05000000004657</v>
      </c>
      <c r="O308" s="8">
        <f t="shared" si="25"/>
        <v>163</v>
      </c>
      <c r="P308" s="8" t="str">
        <f t="shared" si="26"/>
        <v>421.050000000047,163</v>
      </c>
      <c r="Q308" s="11" t="s">
        <v>10</v>
      </c>
      <c r="R308" s="8">
        <v>90</v>
      </c>
      <c r="S308" s="8">
        <v>2.5</v>
      </c>
      <c r="T308" s="8" t="str">
        <f t="shared" si="27"/>
        <v>-text 421.050000000047,163 2.5 90 11.609</v>
      </c>
      <c r="U308" s="10"/>
    </row>
    <row r="309" spans="1:21" x14ac:dyDescent="0.25">
      <c r="A309" s="15">
        <v>287940</v>
      </c>
      <c r="B309" s="9">
        <v>1177347.5</v>
      </c>
      <c r="C309" s="10">
        <v>270.767</v>
      </c>
      <c r="D309" s="17">
        <v>272.08300000000003</v>
      </c>
      <c r="E309" s="17">
        <v>1.3160000000000001</v>
      </c>
      <c r="F309" s="10">
        <v>270.07900000000001</v>
      </c>
      <c r="G309" s="17">
        <v>271.37</v>
      </c>
      <c r="H309" s="17">
        <v>1.2909999999999999</v>
      </c>
      <c r="I309" s="10">
        <v>266.46699999999998</v>
      </c>
      <c r="J309" s="10">
        <v>267.21800000000002</v>
      </c>
      <c r="K309" s="19">
        <v>4.1520000000000001</v>
      </c>
      <c r="L309" s="17">
        <v>11.032</v>
      </c>
      <c r="N309" s="12">
        <f t="shared" si="24"/>
        <v>441.05000000004657</v>
      </c>
      <c r="O309" s="8">
        <f t="shared" si="25"/>
        <v>163</v>
      </c>
      <c r="P309" s="8" t="str">
        <f t="shared" si="26"/>
        <v>441.050000000047,163</v>
      </c>
      <c r="Q309" s="11" t="s">
        <v>10</v>
      </c>
      <c r="R309" s="8">
        <v>90</v>
      </c>
      <c r="S309" s="8">
        <v>2.5</v>
      </c>
      <c r="T309" s="8" t="str">
        <f t="shared" si="27"/>
        <v>-text 441.050000000047,163 2.5 90 11.032</v>
      </c>
      <c r="U309" s="10"/>
    </row>
    <row r="310" spans="1:21" x14ac:dyDescent="0.25">
      <c r="A310" s="15">
        <v>287960</v>
      </c>
      <c r="B310" s="9">
        <v>1177367.5</v>
      </c>
      <c r="C310" s="10">
        <v>270.65199999999999</v>
      </c>
      <c r="D310" s="17">
        <v>272.00099999999998</v>
      </c>
      <c r="E310" s="17">
        <v>1.35</v>
      </c>
      <c r="F310" s="10">
        <v>269.964</v>
      </c>
      <c r="G310" s="17">
        <v>271.28800000000001</v>
      </c>
      <c r="H310" s="17">
        <v>1.325</v>
      </c>
      <c r="I310" s="10">
        <v>266.15100000000001</v>
      </c>
      <c r="J310" s="10">
        <v>267.26900000000001</v>
      </c>
      <c r="K310" s="19">
        <v>4.0190000000000001</v>
      </c>
      <c r="L310" s="17">
        <v>10.488</v>
      </c>
      <c r="N310" s="12">
        <f t="shared" si="24"/>
        <v>461.05000000004657</v>
      </c>
      <c r="O310" s="8">
        <f t="shared" si="25"/>
        <v>163</v>
      </c>
      <c r="P310" s="8" t="str">
        <f t="shared" si="26"/>
        <v>461.050000000047,163</v>
      </c>
      <c r="Q310" s="11" t="s">
        <v>10</v>
      </c>
      <c r="R310" s="8">
        <v>90</v>
      </c>
      <c r="S310" s="8">
        <v>2.5</v>
      </c>
      <c r="T310" s="8" t="str">
        <f t="shared" si="27"/>
        <v>-text 461.050000000047,163 2.5 90 10.488</v>
      </c>
      <c r="U310" s="10"/>
    </row>
    <row r="311" spans="1:21" x14ac:dyDescent="0.25">
      <c r="A311" s="15">
        <v>287980</v>
      </c>
      <c r="B311" s="9">
        <v>1177387.5</v>
      </c>
      <c r="C311" s="10">
        <v>270.56700000000001</v>
      </c>
      <c r="D311" s="17">
        <v>271.91899999999998</v>
      </c>
      <c r="E311" s="17">
        <v>1.3520000000000001</v>
      </c>
      <c r="F311" s="10">
        <v>269.87900000000002</v>
      </c>
      <c r="G311" s="17">
        <v>271.20600000000002</v>
      </c>
      <c r="H311" s="17">
        <v>1.327</v>
      </c>
      <c r="I311" s="10">
        <v>266.245</v>
      </c>
      <c r="J311" s="10">
        <v>267.42200000000003</v>
      </c>
      <c r="K311" s="19">
        <v>3.7850000000000001</v>
      </c>
      <c r="L311" s="17">
        <v>9.9860000000000007</v>
      </c>
      <c r="N311" s="12">
        <f t="shared" si="24"/>
        <v>481.05000000004657</v>
      </c>
      <c r="O311" s="8">
        <f t="shared" si="25"/>
        <v>163</v>
      </c>
      <c r="P311" s="8" t="str">
        <f t="shared" si="26"/>
        <v>481.050000000047,163</v>
      </c>
      <c r="Q311" s="11" t="s">
        <v>10</v>
      </c>
      <c r="R311" s="8">
        <v>90</v>
      </c>
      <c r="S311" s="8">
        <v>2.5</v>
      </c>
      <c r="T311" s="8" t="str">
        <f t="shared" si="27"/>
        <v>-text 481.050000000047,163 2.5 90 9.986</v>
      </c>
      <c r="U311" s="10"/>
    </row>
    <row r="312" spans="1:21" x14ac:dyDescent="0.25">
      <c r="A312" s="15">
        <v>288000</v>
      </c>
      <c r="B312" s="9">
        <v>1177407.7</v>
      </c>
      <c r="C312" s="10">
        <v>270.50400000000002</v>
      </c>
      <c r="D312" s="17">
        <v>271.83600000000001</v>
      </c>
      <c r="E312" s="17">
        <v>1.333</v>
      </c>
      <c r="F312" s="10">
        <v>269.81599999999997</v>
      </c>
      <c r="G312" s="17">
        <v>271.12299999999999</v>
      </c>
      <c r="H312" s="17">
        <v>1.3080000000000001</v>
      </c>
      <c r="I312" s="10">
        <v>266.32799999999997</v>
      </c>
      <c r="J312" s="10">
        <v>267.33199999999999</v>
      </c>
      <c r="K312" s="19">
        <v>3.7919999999999998</v>
      </c>
      <c r="L312" s="17">
        <v>9.5790000000000006</v>
      </c>
      <c r="N312" s="12">
        <f t="shared" si="24"/>
        <v>501.25</v>
      </c>
      <c r="O312" s="8">
        <f t="shared" si="25"/>
        <v>163</v>
      </c>
      <c r="P312" s="8" t="str">
        <f t="shared" si="26"/>
        <v>501.25,163</v>
      </c>
      <c r="Q312" s="11" t="s">
        <v>10</v>
      </c>
      <c r="R312" s="8">
        <v>90</v>
      </c>
      <c r="S312" s="8">
        <v>2.5</v>
      </c>
      <c r="T312" s="8" t="str">
        <f t="shared" si="27"/>
        <v>-text 501.25,163 2.5 90 9.579</v>
      </c>
      <c r="U312" s="10"/>
    </row>
    <row r="313" spans="1:21" x14ac:dyDescent="0.25">
      <c r="A313" s="15"/>
      <c r="N313" s="12"/>
      <c r="Q313" s="11"/>
      <c r="U313" s="10"/>
    </row>
    <row r="314" spans="1:21" x14ac:dyDescent="0.25">
      <c r="A314" s="15">
        <v>288000</v>
      </c>
      <c r="B314" s="9">
        <v>1177407.7</v>
      </c>
      <c r="C314" s="10">
        <v>270.50400000000002</v>
      </c>
      <c r="D314" s="17">
        <v>271.83600000000001</v>
      </c>
      <c r="E314" s="17">
        <v>1.333</v>
      </c>
      <c r="F314" s="10">
        <v>269.81599999999997</v>
      </c>
      <c r="G314" s="17">
        <v>271.12299999999999</v>
      </c>
      <c r="H314" s="17">
        <v>1.3080000000000001</v>
      </c>
      <c r="I314" s="10">
        <v>266.32799999999997</v>
      </c>
      <c r="J314" s="10">
        <v>267.33199999999999</v>
      </c>
      <c r="K314" s="19">
        <v>3.7919999999999998</v>
      </c>
      <c r="L314" s="17">
        <v>9.5790000000000006</v>
      </c>
      <c r="N314" s="12">
        <v>1.25</v>
      </c>
      <c r="O314" s="8">
        <v>163</v>
      </c>
      <c r="P314" s="8" t="str">
        <f t="shared" si="26"/>
        <v>1.25,163</v>
      </c>
      <c r="Q314" s="11" t="s">
        <v>10</v>
      </c>
      <c r="R314" s="8">
        <v>90</v>
      </c>
      <c r="S314" s="8">
        <v>2.5</v>
      </c>
      <c r="T314" s="8" t="str">
        <f>$Q314&amp;" "&amp;$P314&amp;" "&amp;$S314&amp;" "&amp;$R314&amp;" "&amp;$L314</f>
        <v>-text 1.25,163 2.5 90 9.579</v>
      </c>
      <c r="U314" s="10"/>
    </row>
    <row r="315" spans="1:21" x14ac:dyDescent="0.25">
      <c r="A315" s="15">
        <v>288020</v>
      </c>
      <c r="B315" s="9">
        <v>1177427.6000000001</v>
      </c>
      <c r="C315" s="10">
        <v>270.46300000000002</v>
      </c>
      <c r="D315" s="17">
        <v>271.755</v>
      </c>
      <c r="E315" s="17">
        <v>1.292</v>
      </c>
      <c r="F315" s="10">
        <v>269.77499999999998</v>
      </c>
      <c r="G315" s="17">
        <v>271.04199999999997</v>
      </c>
      <c r="H315" s="17">
        <v>1.2669999999999999</v>
      </c>
      <c r="I315" s="10">
        <v>266.49200000000002</v>
      </c>
      <c r="J315" s="10">
        <v>267.17</v>
      </c>
      <c r="K315" s="19">
        <v>3.8719999999999999</v>
      </c>
      <c r="L315" s="17">
        <v>9.3040000000000003</v>
      </c>
      <c r="N315" s="12">
        <f t="shared" si="24"/>
        <v>21.150000000139698</v>
      </c>
      <c r="O315" s="8">
        <f t="shared" si="25"/>
        <v>163</v>
      </c>
      <c r="P315" s="8" t="str">
        <f t="shared" si="26"/>
        <v>21.1500000001397,163</v>
      </c>
      <c r="Q315" s="11" t="s">
        <v>10</v>
      </c>
      <c r="R315" s="8">
        <v>90</v>
      </c>
      <c r="S315" s="8">
        <v>2.5</v>
      </c>
      <c r="T315" s="8" t="str">
        <f t="shared" ref="T315:T339" si="28">$Q315&amp;" "&amp;$P315&amp;" "&amp;$S315&amp;" "&amp;$R315&amp;" "&amp;$L315</f>
        <v>-text 21.1500000001397,163 2.5 90 9.304</v>
      </c>
      <c r="U315" s="10"/>
    </row>
    <row r="316" spans="1:21" x14ac:dyDescent="0.25">
      <c r="A316" s="15">
        <v>288040</v>
      </c>
      <c r="B316" s="9">
        <v>1177447.6000000001</v>
      </c>
      <c r="C316" s="10">
        <v>270.43299999999999</v>
      </c>
      <c r="D316" s="17">
        <v>271.673</v>
      </c>
      <c r="E316" s="17">
        <v>1.24</v>
      </c>
      <c r="F316" s="10">
        <v>269.745</v>
      </c>
      <c r="G316" s="17">
        <v>270.95999999999998</v>
      </c>
      <c r="H316" s="17">
        <v>1.2150000000000001</v>
      </c>
      <c r="I316" s="10">
        <v>266.63200000000001</v>
      </c>
      <c r="J316" s="10">
        <v>267.08</v>
      </c>
      <c r="K316" s="19">
        <v>3.88</v>
      </c>
      <c r="L316" s="17">
        <v>9.1560000000000006</v>
      </c>
      <c r="N316" s="12">
        <f t="shared" si="24"/>
        <v>41.150000000139698</v>
      </c>
      <c r="O316" s="8">
        <f t="shared" si="25"/>
        <v>163</v>
      </c>
      <c r="P316" s="8" t="str">
        <f t="shared" si="26"/>
        <v>41.1500000001397,163</v>
      </c>
      <c r="Q316" s="11" t="s">
        <v>10</v>
      </c>
      <c r="R316" s="8">
        <v>90</v>
      </c>
      <c r="S316" s="8">
        <v>2.5</v>
      </c>
      <c r="T316" s="8" t="str">
        <f t="shared" si="28"/>
        <v>-text 41.1500000001397,163 2.5 90 9.156</v>
      </c>
      <c r="U316" s="10"/>
    </row>
    <row r="317" spans="1:21" x14ac:dyDescent="0.25">
      <c r="A317" s="15">
        <v>288060</v>
      </c>
      <c r="B317" s="9">
        <v>1177467.6000000001</v>
      </c>
      <c r="C317" s="10">
        <v>270.38600000000002</v>
      </c>
      <c r="D317" s="17">
        <v>271.59100000000001</v>
      </c>
      <c r="E317" s="17">
        <v>1.2050000000000001</v>
      </c>
      <c r="F317" s="10">
        <v>269.69799999999998</v>
      </c>
      <c r="G317" s="17">
        <v>270.87799999999999</v>
      </c>
      <c r="H317" s="17">
        <v>1.18</v>
      </c>
      <c r="I317" s="10">
        <v>266.72899999999998</v>
      </c>
      <c r="J317" s="10">
        <v>266.86599999999999</v>
      </c>
      <c r="K317" s="19">
        <v>4.0119999999999996</v>
      </c>
      <c r="L317" s="17">
        <v>9.0730000000000004</v>
      </c>
      <c r="N317" s="12">
        <f t="shared" si="24"/>
        <v>61.150000000139698</v>
      </c>
      <c r="O317" s="8">
        <f t="shared" si="25"/>
        <v>163</v>
      </c>
      <c r="P317" s="8" t="str">
        <f t="shared" si="26"/>
        <v>61.1500000001397,163</v>
      </c>
      <c r="Q317" s="11" t="s">
        <v>10</v>
      </c>
      <c r="R317" s="8">
        <v>90</v>
      </c>
      <c r="S317" s="8">
        <v>2.5</v>
      </c>
      <c r="T317" s="8" t="str">
        <f t="shared" si="28"/>
        <v>-text 61.1500000001397,163 2.5 90 9.073</v>
      </c>
      <c r="U317" s="10"/>
    </row>
    <row r="318" spans="1:21" x14ac:dyDescent="0.25">
      <c r="A318" s="15">
        <v>288080</v>
      </c>
      <c r="B318" s="9">
        <v>1177487.6000000001</v>
      </c>
      <c r="C318" s="10">
        <v>270.33600000000001</v>
      </c>
      <c r="D318" s="17">
        <v>271.50900000000001</v>
      </c>
      <c r="E318" s="17">
        <v>1.1719999999999999</v>
      </c>
      <c r="F318" s="10">
        <v>269.64800000000002</v>
      </c>
      <c r="G318" s="17">
        <v>270.79599999999999</v>
      </c>
      <c r="H318" s="17">
        <v>1.147</v>
      </c>
      <c r="I318" s="10">
        <v>266.72500000000002</v>
      </c>
      <c r="J318" s="10">
        <v>266.66300000000001</v>
      </c>
      <c r="K318" s="19">
        <v>4.133</v>
      </c>
      <c r="L318" s="17">
        <v>9.016</v>
      </c>
      <c r="N318" s="12">
        <f t="shared" si="24"/>
        <v>81.150000000139698</v>
      </c>
      <c r="O318" s="8">
        <f t="shared" si="25"/>
        <v>163</v>
      </c>
      <c r="P318" s="8" t="str">
        <f t="shared" si="26"/>
        <v>81.1500000001397,163</v>
      </c>
      <c r="Q318" s="11" t="s">
        <v>10</v>
      </c>
      <c r="R318" s="8">
        <v>90</v>
      </c>
      <c r="S318" s="8">
        <v>2.5</v>
      </c>
      <c r="T318" s="8" t="str">
        <f t="shared" si="28"/>
        <v>-text 81.1500000001397,163 2.5 90 9.016</v>
      </c>
      <c r="U318" s="10"/>
    </row>
    <row r="319" spans="1:21" x14ac:dyDescent="0.25">
      <c r="A319" s="15">
        <v>288100</v>
      </c>
      <c r="B319" s="9">
        <v>1177507.6000000001</v>
      </c>
      <c r="C319" s="10">
        <v>270.30200000000002</v>
      </c>
      <c r="D319" s="17">
        <v>271.42700000000002</v>
      </c>
      <c r="E319" s="17">
        <v>1.125</v>
      </c>
      <c r="F319" s="10">
        <v>269.61399999999998</v>
      </c>
      <c r="G319" s="17">
        <v>270.714</v>
      </c>
      <c r="H319" s="17">
        <v>1.1000000000000001</v>
      </c>
      <c r="I319" s="10">
        <v>266.42099999999999</v>
      </c>
      <c r="J319" s="10">
        <v>266.517</v>
      </c>
      <c r="K319" s="19">
        <v>4.1970000000000001</v>
      </c>
      <c r="L319" s="17">
        <v>8.9920000000000009</v>
      </c>
      <c r="N319" s="12">
        <f t="shared" si="24"/>
        <v>101.1500000001397</v>
      </c>
      <c r="O319" s="8">
        <f t="shared" si="25"/>
        <v>163</v>
      </c>
      <c r="P319" s="8" t="str">
        <f t="shared" si="26"/>
        <v>101.15000000014,163</v>
      </c>
      <c r="Q319" s="11" t="s">
        <v>10</v>
      </c>
      <c r="R319" s="8">
        <v>90</v>
      </c>
      <c r="S319" s="8">
        <v>2.5</v>
      </c>
      <c r="T319" s="8" t="str">
        <f t="shared" si="28"/>
        <v>-text 101.15000000014,163 2.5 90 8.992</v>
      </c>
      <c r="U319" s="10"/>
    </row>
    <row r="320" spans="1:21" x14ac:dyDescent="0.25">
      <c r="A320" s="15">
        <v>288120</v>
      </c>
      <c r="B320" s="9">
        <v>1177527.6000000001</v>
      </c>
      <c r="C320" s="10">
        <v>270.26900000000001</v>
      </c>
      <c r="D320" s="17">
        <v>271.34500000000003</v>
      </c>
      <c r="E320" s="17">
        <v>1.0760000000000001</v>
      </c>
      <c r="F320" s="10">
        <v>269.58100000000002</v>
      </c>
      <c r="G320" s="17">
        <v>270.63200000000001</v>
      </c>
      <c r="H320" s="17">
        <v>1.0509999999999999</v>
      </c>
      <c r="I320" s="10">
        <v>266.28800000000001</v>
      </c>
      <c r="J320" s="10">
        <v>266.33300000000003</v>
      </c>
      <c r="K320" s="19">
        <v>4.2990000000000004</v>
      </c>
      <c r="L320" s="17">
        <v>8.9700000000000006</v>
      </c>
      <c r="N320" s="12">
        <f t="shared" si="24"/>
        <v>121.1500000001397</v>
      </c>
      <c r="O320" s="8">
        <f t="shared" si="25"/>
        <v>163</v>
      </c>
      <c r="P320" s="8" t="str">
        <f t="shared" si="26"/>
        <v>121.15000000014,163</v>
      </c>
      <c r="Q320" s="11" t="s">
        <v>10</v>
      </c>
      <c r="R320" s="8">
        <v>90</v>
      </c>
      <c r="S320" s="8">
        <v>2.5</v>
      </c>
      <c r="T320" s="8" t="str">
        <f t="shared" si="28"/>
        <v>-text 121.15000000014,163 2.5 90 8.97</v>
      </c>
      <c r="U320" s="10"/>
    </row>
    <row r="321" spans="1:21" x14ac:dyDescent="0.25">
      <c r="A321" s="15">
        <v>288140</v>
      </c>
      <c r="B321" s="9">
        <v>1177547.6000000001</v>
      </c>
      <c r="C321" s="10">
        <v>270.20499999999998</v>
      </c>
      <c r="D321" s="17">
        <v>271.26299999999998</v>
      </c>
      <c r="E321" s="17">
        <v>1.0580000000000001</v>
      </c>
      <c r="F321" s="10">
        <v>269.517</v>
      </c>
      <c r="G321" s="17">
        <v>270.55</v>
      </c>
      <c r="H321" s="17">
        <v>1.0329999999999999</v>
      </c>
      <c r="I321" s="10">
        <v>266.298</v>
      </c>
      <c r="J321" s="10">
        <v>266.48899999999998</v>
      </c>
      <c r="K321" s="19">
        <v>4.0599999999999996</v>
      </c>
      <c r="L321" s="17">
        <v>8.9559999999999995</v>
      </c>
      <c r="N321" s="12">
        <f t="shared" si="24"/>
        <v>141.1500000001397</v>
      </c>
      <c r="O321" s="8">
        <f t="shared" si="25"/>
        <v>163</v>
      </c>
      <c r="P321" s="8" t="str">
        <f t="shared" si="26"/>
        <v>141.15000000014,163</v>
      </c>
      <c r="Q321" s="11" t="s">
        <v>10</v>
      </c>
      <c r="R321" s="8">
        <v>90</v>
      </c>
      <c r="S321" s="8">
        <v>2.5</v>
      </c>
      <c r="T321" s="8" t="str">
        <f t="shared" si="28"/>
        <v>-text 141.15000000014,163 2.5 90 8.956</v>
      </c>
      <c r="U321" s="10"/>
    </row>
    <row r="322" spans="1:21" x14ac:dyDescent="0.25">
      <c r="A322" s="15">
        <v>288160</v>
      </c>
      <c r="B322" s="9">
        <v>1177567.6000000001</v>
      </c>
      <c r="C322" s="10">
        <v>270.13</v>
      </c>
      <c r="D322" s="17">
        <v>271.18099999999998</v>
      </c>
      <c r="E322" s="17">
        <v>1.05</v>
      </c>
      <c r="F322" s="10">
        <v>269.44200000000001</v>
      </c>
      <c r="G322" s="17">
        <v>270.46800000000002</v>
      </c>
      <c r="H322" s="17">
        <v>1.0249999999999999</v>
      </c>
      <c r="I322" s="10">
        <v>266.49200000000002</v>
      </c>
      <c r="J322" s="10">
        <v>266.60300000000001</v>
      </c>
      <c r="K322" s="19">
        <v>3.8639999999999999</v>
      </c>
      <c r="L322" s="17">
        <v>8.9440000000000008</v>
      </c>
      <c r="N322" s="12">
        <f t="shared" si="24"/>
        <v>161.1500000001397</v>
      </c>
      <c r="O322" s="8">
        <f t="shared" si="25"/>
        <v>163</v>
      </c>
      <c r="P322" s="8" t="str">
        <f t="shared" si="26"/>
        <v>161.15000000014,163</v>
      </c>
      <c r="Q322" s="11" t="s">
        <v>10</v>
      </c>
      <c r="R322" s="8">
        <v>90</v>
      </c>
      <c r="S322" s="8">
        <v>2.5</v>
      </c>
      <c r="T322" s="8" t="str">
        <f t="shared" si="28"/>
        <v>-text 161.15000000014,163 2.5 90 8.944</v>
      </c>
      <c r="U322" s="10"/>
    </row>
    <row r="323" spans="1:21" x14ac:dyDescent="0.25">
      <c r="A323" s="15">
        <v>288180</v>
      </c>
      <c r="B323" s="9">
        <v>1177587.6000000001</v>
      </c>
      <c r="C323" s="10">
        <v>270.05900000000003</v>
      </c>
      <c r="D323" s="17">
        <v>271.09800000000001</v>
      </c>
      <c r="E323" s="17">
        <v>1.04</v>
      </c>
      <c r="F323" s="10">
        <v>269.37099999999998</v>
      </c>
      <c r="G323" s="17">
        <v>270.38499999999999</v>
      </c>
      <c r="H323" s="17">
        <v>1.0149999999999999</v>
      </c>
      <c r="I323" s="10">
        <v>266.68700000000001</v>
      </c>
      <c r="J323" s="10">
        <v>266.63299999999998</v>
      </c>
      <c r="K323" s="19">
        <v>3.7519999999999998</v>
      </c>
      <c r="L323" s="17">
        <v>8.93</v>
      </c>
      <c r="N323" s="12">
        <f t="shared" si="24"/>
        <v>181.1500000001397</v>
      </c>
      <c r="O323" s="8">
        <f t="shared" si="25"/>
        <v>163</v>
      </c>
      <c r="P323" s="8" t="str">
        <f t="shared" si="26"/>
        <v>181.15000000014,163</v>
      </c>
      <c r="Q323" s="11" t="s">
        <v>10</v>
      </c>
      <c r="R323" s="8">
        <v>90</v>
      </c>
      <c r="S323" s="8">
        <v>2.5</v>
      </c>
      <c r="T323" s="8" t="str">
        <f t="shared" si="28"/>
        <v>-text 181.15000000014,163 2.5 90 8.93</v>
      </c>
      <c r="U323" s="10"/>
    </row>
    <row r="324" spans="1:21" x14ac:dyDescent="0.25">
      <c r="A324" s="15">
        <v>288200</v>
      </c>
      <c r="B324" s="9">
        <v>1177607.6000000001</v>
      </c>
      <c r="C324" s="10">
        <v>269.99</v>
      </c>
      <c r="D324" s="17">
        <v>271.01600000000002</v>
      </c>
      <c r="E324" s="17">
        <v>1.026</v>
      </c>
      <c r="F324" s="10">
        <v>269.30200000000002</v>
      </c>
      <c r="G324" s="17">
        <v>270.303</v>
      </c>
      <c r="H324" s="17">
        <v>1.0009999999999999</v>
      </c>
      <c r="I324" s="10">
        <v>266.964</v>
      </c>
      <c r="J324" s="10">
        <v>266.476</v>
      </c>
      <c r="K324" s="19">
        <v>3.827</v>
      </c>
      <c r="L324" s="17">
        <v>8.9149999999999991</v>
      </c>
      <c r="N324" s="12">
        <f t="shared" si="24"/>
        <v>201.1500000001397</v>
      </c>
      <c r="O324" s="8">
        <f t="shared" si="25"/>
        <v>163</v>
      </c>
      <c r="P324" s="8" t="str">
        <f t="shared" si="26"/>
        <v>201.15000000014,163</v>
      </c>
      <c r="Q324" s="11" t="s">
        <v>10</v>
      </c>
      <c r="R324" s="8">
        <v>90</v>
      </c>
      <c r="S324" s="8">
        <v>2.5</v>
      </c>
      <c r="T324" s="8" t="str">
        <f t="shared" si="28"/>
        <v>-text 201.15000000014,163 2.5 90 8.915</v>
      </c>
      <c r="U324" s="10"/>
    </row>
    <row r="325" spans="1:21" x14ac:dyDescent="0.25">
      <c r="A325" s="15">
        <v>288220</v>
      </c>
      <c r="B325" s="9">
        <v>1177627.6000000001</v>
      </c>
      <c r="C325" s="10">
        <v>269.952</v>
      </c>
      <c r="D325" s="17">
        <v>270.93400000000003</v>
      </c>
      <c r="E325" s="17">
        <v>0.98299999999999998</v>
      </c>
      <c r="F325" s="10">
        <v>269.26400000000001</v>
      </c>
      <c r="G325" s="17">
        <v>270.221</v>
      </c>
      <c r="H325" s="17">
        <v>0.95799999999999996</v>
      </c>
      <c r="I325" s="10">
        <v>267.697</v>
      </c>
      <c r="J325" s="10">
        <v>265.92200000000003</v>
      </c>
      <c r="K325" s="19">
        <v>4.2990000000000004</v>
      </c>
      <c r="L325" s="17">
        <v>8.9550000000000001</v>
      </c>
      <c r="N325" s="12">
        <f t="shared" si="24"/>
        <v>221.1500000001397</v>
      </c>
      <c r="O325" s="8">
        <f t="shared" si="25"/>
        <v>163</v>
      </c>
      <c r="P325" s="8" t="str">
        <f t="shared" si="26"/>
        <v>221.15000000014,163</v>
      </c>
      <c r="Q325" s="11" t="s">
        <v>10</v>
      </c>
      <c r="R325" s="8">
        <v>90</v>
      </c>
      <c r="S325" s="8">
        <v>2.5</v>
      </c>
      <c r="T325" s="8" t="str">
        <f t="shared" si="28"/>
        <v>-text 221.15000000014,163 2.5 90 8.955</v>
      </c>
      <c r="U325" s="10"/>
    </row>
    <row r="326" spans="1:21" x14ac:dyDescent="0.25">
      <c r="A326" s="15">
        <v>288240</v>
      </c>
      <c r="B326" s="9">
        <v>1177647.6000000001</v>
      </c>
      <c r="C326" s="10">
        <v>269.93900000000002</v>
      </c>
      <c r="D326" s="17">
        <v>270.85199999999998</v>
      </c>
      <c r="E326" s="17">
        <v>0.91300000000000003</v>
      </c>
      <c r="F326" s="10">
        <v>269.25099999999998</v>
      </c>
      <c r="G326" s="17">
        <v>270.13900000000001</v>
      </c>
      <c r="H326" s="17">
        <v>0.88800000000000001</v>
      </c>
      <c r="I326" s="10">
        <v>267.048</v>
      </c>
      <c r="J326" s="10">
        <v>266.935</v>
      </c>
      <c r="K326" s="19">
        <v>3.2040000000000002</v>
      </c>
      <c r="L326" s="17">
        <v>9.0030000000000001</v>
      </c>
      <c r="N326" s="12">
        <f t="shared" si="24"/>
        <v>241.1500000001397</v>
      </c>
      <c r="O326" s="8">
        <f t="shared" si="25"/>
        <v>163</v>
      </c>
      <c r="P326" s="8" t="str">
        <f t="shared" si="26"/>
        <v>241.15000000014,163</v>
      </c>
      <c r="Q326" s="11" t="s">
        <v>10</v>
      </c>
      <c r="R326" s="8">
        <v>90</v>
      </c>
      <c r="S326" s="8">
        <v>2.5</v>
      </c>
      <c r="T326" s="8" t="str">
        <f t="shared" si="28"/>
        <v>-text 241.15000000014,163 2.5 90 9.003</v>
      </c>
      <c r="U326" s="10"/>
    </row>
    <row r="327" spans="1:21" x14ac:dyDescent="0.25">
      <c r="A327" s="15">
        <v>288260</v>
      </c>
      <c r="B327" s="9">
        <v>1177667.7</v>
      </c>
      <c r="C327" s="10">
        <v>269.90899999999999</v>
      </c>
      <c r="D327" s="17">
        <v>270.77</v>
      </c>
      <c r="E327" s="17">
        <v>0.86099999999999999</v>
      </c>
      <c r="F327" s="10">
        <v>269.221</v>
      </c>
      <c r="G327" s="17">
        <v>270.05700000000002</v>
      </c>
      <c r="H327" s="17">
        <v>0.83599999999999997</v>
      </c>
      <c r="I327" s="10">
        <v>266.649</v>
      </c>
      <c r="J327" s="10">
        <v>267.14699999999999</v>
      </c>
      <c r="K327" s="19">
        <v>2.91</v>
      </c>
      <c r="L327" s="17">
        <v>9.1910000000000007</v>
      </c>
      <c r="N327" s="12">
        <f t="shared" si="24"/>
        <v>261.25</v>
      </c>
      <c r="O327" s="8">
        <f t="shared" si="25"/>
        <v>163</v>
      </c>
      <c r="P327" s="8" t="str">
        <f t="shared" si="26"/>
        <v>261.25,163</v>
      </c>
      <c r="Q327" s="11" t="s">
        <v>10</v>
      </c>
      <c r="R327" s="8">
        <v>90</v>
      </c>
      <c r="S327" s="8">
        <v>2.5</v>
      </c>
      <c r="T327" s="8" t="str">
        <f t="shared" si="28"/>
        <v>-text 261.25,163 2.5 90 9.191</v>
      </c>
      <c r="U327" s="10"/>
    </row>
    <row r="328" spans="1:21" x14ac:dyDescent="0.25">
      <c r="A328" s="15">
        <v>288280</v>
      </c>
      <c r="B328" s="9">
        <v>1177687.8</v>
      </c>
      <c r="C328" s="10">
        <v>269.87200000000001</v>
      </c>
      <c r="D328" s="17">
        <v>270.68700000000001</v>
      </c>
      <c r="E328" s="17">
        <v>0.81599999999999995</v>
      </c>
      <c r="F328" s="10">
        <v>269.18400000000003</v>
      </c>
      <c r="G328" s="17">
        <v>269.97399999999999</v>
      </c>
      <c r="H328" s="17">
        <v>0.79100000000000004</v>
      </c>
      <c r="I328" s="10">
        <v>267.63099999999997</v>
      </c>
      <c r="J328" s="10">
        <v>267.12799999999999</v>
      </c>
      <c r="K328" s="19">
        <v>2.8460000000000001</v>
      </c>
      <c r="L328" s="17">
        <v>9.2910000000000004</v>
      </c>
      <c r="N328" s="12">
        <f t="shared" si="24"/>
        <v>281.35000000009313</v>
      </c>
      <c r="O328" s="8">
        <f t="shared" si="25"/>
        <v>163</v>
      </c>
      <c r="P328" s="8" t="str">
        <f t="shared" si="26"/>
        <v>281.350000000093,163</v>
      </c>
      <c r="Q328" s="11" t="s">
        <v>10</v>
      </c>
      <c r="R328" s="8">
        <v>90</v>
      </c>
      <c r="S328" s="8">
        <v>2.5</v>
      </c>
      <c r="T328" s="8" t="str">
        <f t="shared" si="28"/>
        <v>-text 281.350000000093,163 2.5 90 9.291</v>
      </c>
      <c r="U328" s="10"/>
    </row>
    <row r="329" spans="1:21" x14ac:dyDescent="0.25">
      <c r="A329" s="15">
        <v>288300</v>
      </c>
      <c r="B329" s="9">
        <v>1177707.8</v>
      </c>
      <c r="C329" s="10">
        <v>269.79700000000003</v>
      </c>
      <c r="D329" s="17">
        <v>270.60500000000002</v>
      </c>
      <c r="E329" s="17">
        <v>0.80800000000000005</v>
      </c>
      <c r="F329" s="10">
        <v>269.10899999999998</v>
      </c>
      <c r="G329" s="17">
        <v>269.892</v>
      </c>
      <c r="H329" s="17">
        <v>0.78300000000000003</v>
      </c>
      <c r="I329" s="10">
        <v>267.38600000000002</v>
      </c>
      <c r="J329" s="10">
        <v>267.11099999999999</v>
      </c>
      <c r="K329" s="19">
        <v>2.7810000000000001</v>
      </c>
      <c r="L329" s="17">
        <v>9.3719999999999999</v>
      </c>
      <c r="N329" s="12">
        <f t="shared" si="24"/>
        <v>301.35000000009313</v>
      </c>
      <c r="O329" s="8">
        <f t="shared" si="25"/>
        <v>163</v>
      </c>
      <c r="P329" s="8" t="str">
        <f t="shared" si="26"/>
        <v>301.350000000093,163</v>
      </c>
      <c r="Q329" s="11" t="s">
        <v>10</v>
      </c>
      <c r="R329" s="8">
        <v>90</v>
      </c>
      <c r="S329" s="8">
        <v>2.5</v>
      </c>
      <c r="T329" s="8" t="str">
        <f t="shared" si="28"/>
        <v>-text 301.350000000093,163 2.5 90 9.372</v>
      </c>
      <c r="U329" s="10"/>
    </row>
    <row r="330" spans="1:21" x14ac:dyDescent="0.25">
      <c r="A330" s="15">
        <v>288320</v>
      </c>
      <c r="B330" s="9">
        <v>1177727.8999999999</v>
      </c>
      <c r="C330" s="10">
        <v>269.73700000000002</v>
      </c>
      <c r="D330" s="17">
        <v>270.52300000000002</v>
      </c>
      <c r="E330" s="17">
        <v>0.78600000000000003</v>
      </c>
      <c r="F330" s="10">
        <v>269.04899999999998</v>
      </c>
      <c r="G330" s="17">
        <v>269.81</v>
      </c>
      <c r="H330" s="17">
        <v>0.76100000000000001</v>
      </c>
      <c r="I330" s="10">
        <v>266.54300000000001</v>
      </c>
      <c r="J330" s="10">
        <v>266.90199999999999</v>
      </c>
      <c r="K330" s="19">
        <v>2.9079999999999999</v>
      </c>
      <c r="L330" s="17">
        <v>9.3979999999999997</v>
      </c>
      <c r="N330" s="12">
        <f t="shared" si="24"/>
        <v>321.44999999995343</v>
      </c>
      <c r="O330" s="8">
        <f t="shared" si="25"/>
        <v>163</v>
      </c>
      <c r="P330" s="8" t="str">
        <f t="shared" si="26"/>
        <v>321.449999999953,163</v>
      </c>
      <c r="Q330" s="11" t="s">
        <v>10</v>
      </c>
      <c r="R330" s="8">
        <v>90</v>
      </c>
      <c r="S330" s="8">
        <v>2.5</v>
      </c>
      <c r="T330" s="8" t="str">
        <f t="shared" si="28"/>
        <v>-text 321.449999999953,163 2.5 90 9.398</v>
      </c>
      <c r="U330" s="10"/>
    </row>
    <row r="331" spans="1:21" x14ac:dyDescent="0.25">
      <c r="A331" s="15">
        <v>288340</v>
      </c>
      <c r="B331" s="9">
        <v>1177747.8999999999</v>
      </c>
      <c r="C331" s="10">
        <v>269.68400000000003</v>
      </c>
      <c r="D331" s="17">
        <v>270.44099999999997</v>
      </c>
      <c r="E331" s="17">
        <v>0.75700000000000001</v>
      </c>
      <c r="F331" s="10">
        <v>268.99599999999998</v>
      </c>
      <c r="G331" s="17">
        <v>269.72800000000001</v>
      </c>
      <c r="H331" s="17">
        <v>0.73199999999999998</v>
      </c>
      <c r="I331" s="10">
        <v>266.42700000000002</v>
      </c>
      <c r="J331" s="10">
        <v>267.05799999999999</v>
      </c>
      <c r="K331" s="19">
        <v>2.67</v>
      </c>
      <c r="L331" s="17">
        <v>9.3010000000000002</v>
      </c>
      <c r="N331" s="12">
        <f t="shared" si="24"/>
        <v>341.44999999995343</v>
      </c>
      <c r="O331" s="8">
        <f t="shared" si="25"/>
        <v>163</v>
      </c>
      <c r="P331" s="8" t="str">
        <f t="shared" si="26"/>
        <v>341.449999999953,163</v>
      </c>
      <c r="Q331" s="11" t="s">
        <v>10</v>
      </c>
      <c r="R331" s="8">
        <v>90</v>
      </c>
      <c r="S331" s="8">
        <v>2.5</v>
      </c>
      <c r="T331" s="8" t="str">
        <f t="shared" si="28"/>
        <v>-text 341.449999999953,163 2.5 90 9.301</v>
      </c>
      <c r="U331" s="10"/>
    </row>
    <row r="332" spans="1:21" x14ac:dyDescent="0.25">
      <c r="A332" s="15">
        <v>288360</v>
      </c>
      <c r="B332" s="9">
        <v>1177768</v>
      </c>
      <c r="C332" s="10">
        <v>269.64499999999998</v>
      </c>
      <c r="D332" s="17">
        <v>270.358</v>
      </c>
      <c r="E332" s="17">
        <v>0.71299999999999997</v>
      </c>
      <c r="F332" s="10">
        <v>268.95699999999999</v>
      </c>
      <c r="G332" s="17">
        <v>269.64499999999998</v>
      </c>
      <c r="H332" s="17">
        <v>0.68799999999999994</v>
      </c>
      <c r="I332" s="10">
        <v>266.37400000000002</v>
      </c>
      <c r="J332" s="10">
        <v>267.05500000000001</v>
      </c>
      <c r="K332" s="19">
        <v>2.59</v>
      </c>
      <c r="L332" s="17">
        <v>9.2260000000000009</v>
      </c>
      <c r="N332" s="12">
        <f t="shared" si="24"/>
        <v>361.55000000004657</v>
      </c>
      <c r="O332" s="8">
        <f t="shared" si="25"/>
        <v>163</v>
      </c>
      <c r="P332" s="8" t="str">
        <f t="shared" si="26"/>
        <v>361.550000000047,163</v>
      </c>
      <c r="Q332" s="11" t="s">
        <v>10</v>
      </c>
      <c r="R332" s="8">
        <v>90</v>
      </c>
      <c r="S332" s="8">
        <v>2.5</v>
      </c>
      <c r="T332" s="8" t="str">
        <f t="shared" si="28"/>
        <v>-text 361.550000000047,163 2.5 90 9.226</v>
      </c>
      <c r="U332" s="10"/>
    </row>
    <row r="333" spans="1:21" x14ac:dyDescent="0.25">
      <c r="A333" s="15">
        <v>288380</v>
      </c>
      <c r="B333" s="9">
        <v>1177788</v>
      </c>
      <c r="C333" s="10">
        <v>269.61</v>
      </c>
      <c r="D333" s="17">
        <v>270.27600000000001</v>
      </c>
      <c r="E333" s="17">
        <v>0.66500000000000004</v>
      </c>
      <c r="F333" s="10">
        <v>268.92200000000003</v>
      </c>
      <c r="G333" s="17">
        <v>269.56299999999999</v>
      </c>
      <c r="H333" s="17">
        <v>0.64</v>
      </c>
      <c r="I333" s="10">
        <v>266.28100000000001</v>
      </c>
      <c r="J333" s="10">
        <v>266.96899999999999</v>
      </c>
      <c r="K333" s="19">
        <v>2.5939999999999999</v>
      </c>
      <c r="L333" s="17">
        <v>9.0359999999999996</v>
      </c>
      <c r="N333" s="12">
        <f t="shared" si="24"/>
        <v>381.55000000004657</v>
      </c>
      <c r="O333" s="8">
        <f t="shared" si="25"/>
        <v>163</v>
      </c>
      <c r="P333" s="8" t="str">
        <f t="shared" si="26"/>
        <v>381.550000000047,163</v>
      </c>
      <c r="Q333" s="11" t="s">
        <v>10</v>
      </c>
      <c r="R333" s="8">
        <v>90</v>
      </c>
      <c r="S333" s="8">
        <v>2.5</v>
      </c>
      <c r="T333" s="8" t="str">
        <f t="shared" si="28"/>
        <v>-text 381.550000000047,163 2.5 90 9.036</v>
      </c>
      <c r="U333" s="10"/>
    </row>
    <row r="334" spans="1:21" x14ac:dyDescent="0.25">
      <c r="A334" s="15">
        <v>288400</v>
      </c>
      <c r="B334" s="9">
        <v>1177808</v>
      </c>
      <c r="C334" s="10">
        <v>269.58100000000002</v>
      </c>
      <c r="D334" s="17">
        <v>270.19400000000002</v>
      </c>
      <c r="E334" s="17">
        <v>0.61299999999999999</v>
      </c>
      <c r="F334" s="10">
        <v>268.89299999999997</v>
      </c>
      <c r="G334" s="17">
        <v>269.48099999999999</v>
      </c>
      <c r="H334" s="17">
        <v>0.58799999999999997</v>
      </c>
      <c r="I334" s="10">
        <v>266.315</v>
      </c>
      <c r="J334" s="10">
        <v>267.02600000000001</v>
      </c>
      <c r="K334" s="19">
        <v>2.4550000000000001</v>
      </c>
      <c r="L334" s="17">
        <v>8.7650000000000006</v>
      </c>
      <c r="N334" s="12">
        <f t="shared" si="24"/>
        <v>401.55000000004657</v>
      </c>
      <c r="O334" s="8">
        <f t="shared" si="25"/>
        <v>163</v>
      </c>
      <c r="P334" s="8" t="str">
        <f t="shared" si="26"/>
        <v>401.550000000047,163</v>
      </c>
      <c r="Q334" s="11" t="s">
        <v>10</v>
      </c>
      <c r="R334" s="8">
        <v>90</v>
      </c>
      <c r="S334" s="8">
        <v>2.5</v>
      </c>
      <c r="T334" s="8" t="str">
        <f t="shared" si="28"/>
        <v>-text 401.550000000047,163 2.5 90 8.765</v>
      </c>
      <c r="U334" s="10"/>
    </row>
    <row r="335" spans="1:21" x14ac:dyDescent="0.25">
      <c r="A335" s="15">
        <v>288420</v>
      </c>
      <c r="B335" s="9">
        <v>1177828.1000000001</v>
      </c>
      <c r="C335" s="10">
        <v>269.59899999999999</v>
      </c>
      <c r="D335" s="17">
        <v>270.11099999999999</v>
      </c>
      <c r="E335" s="17">
        <v>0.51200000000000001</v>
      </c>
      <c r="F335" s="10">
        <v>268.911</v>
      </c>
      <c r="G335" s="17">
        <v>269.39800000000002</v>
      </c>
      <c r="H335" s="17">
        <v>0.48699999999999999</v>
      </c>
      <c r="I335" s="10">
        <v>266.33300000000003</v>
      </c>
      <c r="J335" s="10">
        <v>266.98500000000001</v>
      </c>
      <c r="K335" s="19">
        <v>2.4129999999999998</v>
      </c>
      <c r="L335" s="17">
        <v>8.4779999999999998</v>
      </c>
      <c r="N335" s="12">
        <f t="shared" si="24"/>
        <v>421.6500000001397</v>
      </c>
      <c r="O335" s="8">
        <f t="shared" si="25"/>
        <v>163</v>
      </c>
      <c r="P335" s="8" t="str">
        <f t="shared" si="26"/>
        <v>421.65000000014,163</v>
      </c>
      <c r="Q335" s="11" t="s">
        <v>10</v>
      </c>
      <c r="R335" s="8">
        <v>90</v>
      </c>
      <c r="S335" s="8">
        <v>2.5</v>
      </c>
      <c r="T335" s="8" t="str">
        <f t="shared" si="28"/>
        <v>-text 421.65000000014,163 2.5 90 8.478</v>
      </c>
      <c r="U335" s="10"/>
    </row>
    <row r="336" spans="1:21" x14ac:dyDescent="0.25">
      <c r="A336" s="15">
        <v>288440</v>
      </c>
      <c r="B336" s="9">
        <v>1177848.2</v>
      </c>
      <c r="C336" s="10">
        <v>269.553</v>
      </c>
      <c r="D336" s="17">
        <v>270.029</v>
      </c>
      <c r="E336" s="17">
        <v>0.47699999999999998</v>
      </c>
      <c r="F336" s="10">
        <v>268.86500000000001</v>
      </c>
      <c r="G336" s="17">
        <v>269.31599999999997</v>
      </c>
      <c r="H336" s="17">
        <v>0.45200000000000001</v>
      </c>
      <c r="I336" s="10">
        <v>266.46899999999999</v>
      </c>
      <c r="J336" s="10">
        <v>267.072</v>
      </c>
      <c r="K336" s="19">
        <v>2.2440000000000002</v>
      </c>
      <c r="L336" s="17">
        <v>8.2750000000000004</v>
      </c>
      <c r="N336" s="12">
        <f t="shared" si="24"/>
        <v>441.75</v>
      </c>
      <c r="O336" s="8">
        <f t="shared" si="25"/>
        <v>163</v>
      </c>
      <c r="P336" s="8" t="str">
        <f t="shared" si="26"/>
        <v>441.75,163</v>
      </c>
      <c r="Q336" s="11" t="s">
        <v>10</v>
      </c>
      <c r="R336" s="8">
        <v>90</v>
      </c>
      <c r="S336" s="8">
        <v>2.5</v>
      </c>
      <c r="T336" s="8" t="str">
        <f t="shared" si="28"/>
        <v>-text 441.75,163 2.5 90 8.275</v>
      </c>
      <c r="U336" s="10"/>
    </row>
    <row r="337" spans="1:21" x14ac:dyDescent="0.25">
      <c r="A337" s="15">
        <v>288460</v>
      </c>
      <c r="B337" s="9">
        <v>1177868.2</v>
      </c>
      <c r="C337" s="10">
        <v>269.464</v>
      </c>
      <c r="D337" s="17">
        <v>269.947</v>
      </c>
      <c r="E337" s="17">
        <v>0.48299999999999998</v>
      </c>
      <c r="F337" s="10">
        <v>268.77600000000001</v>
      </c>
      <c r="G337" s="17">
        <v>269.23399999999998</v>
      </c>
      <c r="H337" s="17">
        <v>0.45800000000000002</v>
      </c>
      <c r="I337" s="10">
        <v>267.07299999999998</v>
      </c>
      <c r="J337" s="10">
        <v>267.33600000000001</v>
      </c>
      <c r="K337" s="19">
        <v>1.8979999999999999</v>
      </c>
      <c r="L337" s="17">
        <v>8.1509999999999998</v>
      </c>
      <c r="N337" s="12">
        <f t="shared" ref="N337:N368" si="29">N336+(B337-B336)</f>
        <v>461.75</v>
      </c>
      <c r="O337" s="8">
        <f t="shared" ref="O337:O368" si="30">O336</f>
        <v>163</v>
      </c>
      <c r="P337" s="8" t="str">
        <f t="shared" ref="P337:P368" si="31">CONCATENATE(N337,",",O337)</f>
        <v>461.75,163</v>
      </c>
      <c r="Q337" s="11" t="s">
        <v>10</v>
      </c>
      <c r="R337" s="8">
        <v>90</v>
      </c>
      <c r="S337" s="8">
        <v>2.5</v>
      </c>
      <c r="T337" s="8" t="str">
        <f t="shared" si="28"/>
        <v>-text 461.75,163 2.5 90 8.151</v>
      </c>
      <c r="U337" s="10"/>
    </row>
    <row r="338" spans="1:21" x14ac:dyDescent="0.25">
      <c r="A338" s="15">
        <v>288480</v>
      </c>
      <c r="B338" s="9">
        <v>1177888.2</v>
      </c>
      <c r="C338" s="10">
        <v>269.37</v>
      </c>
      <c r="D338" s="17">
        <v>269.86500000000001</v>
      </c>
      <c r="E338" s="17">
        <v>0.49399999999999999</v>
      </c>
      <c r="F338" s="10">
        <v>268.68200000000002</v>
      </c>
      <c r="G338" s="17">
        <v>269.15199999999999</v>
      </c>
      <c r="H338" s="17">
        <v>0.46899999999999997</v>
      </c>
      <c r="I338" s="10">
        <v>267.34300000000002</v>
      </c>
      <c r="J338" s="10">
        <v>267.46199999999999</v>
      </c>
      <c r="K338" s="19">
        <v>1.69</v>
      </c>
      <c r="L338" s="17">
        <v>8.14</v>
      </c>
      <c r="N338" s="12">
        <f t="shared" si="29"/>
        <v>481.75</v>
      </c>
      <c r="O338" s="8">
        <f t="shared" si="30"/>
        <v>163</v>
      </c>
      <c r="P338" s="8" t="str">
        <f t="shared" si="31"/>
        <v>481.75,163</v>
      </c>
      <c r="Q338" s="11" t="s">
        <v>10</v>
      </c>
      <c r="R338" s="8">
        <v>90</v>
      </c>
      <c r="S338" s="8">
        <v>2.5</v>
      </c>
      <c r="T338" s="8" t="str">
        <f t="shared" si="28"/>
        <v>-text 481.75,163 2.5 90 8.14</v>
      </c>
      <c r="U338" s="10"/>
    </row>
    <row r="339" spans="1:21" x14ac:dyDescent="0.25">
      <c r="A339" s="15">
        <v>288500</v>
      </c>
      <c r="B339" s="9">
        <v>1177908.8999999999</v>
      </c>
      <c r="C339" s="10">
        <v>269.28500000000003</v>
      </c>
      <c r="D339" s="17">
        <v>269.77999999999997</v>
      </c>
      <c r="E339" s="17">
        <v>0.495</v>
      </c>
      <c r="F339" s="10">
        <v>268.59699999999998</v>
      </c>
      <c r="G339" s="17">
        <v>269.06700000000001</v>
      </c>
      <c r="H339" s="17">
        <v>0.47</v>
      </c>
      <c r="I339" s="10">
        <v>267.02699999999999</v>
      </c>
      <c r="J339" s="10">
        <v>267.43599999999998</v>
      </c>
      <c r="K339" s="19">
        <v>1.631</v>
      </c>
      <c r="L339" s="17">
        <v>8.1319999999999997</v>
      </c>
      <c r="N339" s="12">
        <f t="shared" si="29"/>
        <v>502.44999999995343</v>
      </c>
      <c r="O339" s="8">
        <f t="shared" si="30"/>
        <v>163</v>
      </c>
      <c r="P339" s="8" t="str">
        <f t="shared" si="31"/>
        <v>502.449999999953,163</v>
      </c>
      <c r="Q339" s="11" t="s">
        <v>10</v>
      </c>
      <c r="R339" s="8">
        <v>90</v>
      </c>
      <c r="S339" s="8">
        <v>2.5</v>
      </c>
      <c r="T339" s="8" t="str">
        <f t="shared" si="28"/>
        <v>-text 502.449999999953,163 2.5 90 8.132</v>
      </c>
      <c r="U339" s="10"/>
    </row>
    <row r="340" spans="1:21" x14ac:dyDescent="0.25">
      <c r="A340" s="15"/>
      <c r="N340" s="12"/>
      <c r="Q340" s="11"/>
      <c r="U340" s="10"/>
    </row>
    <row r="341" spans="1:21" x14ac:dyDescent="0.25">
      <c r="A341" s="15">
        <v>288500</v>
      </c>
      <c r="B341" s="9">
        <v>1177908.8999999999</v>
      </c>
      <c r="C341" s="10">
        <v>269.28500000000003</v>
      </c>
      <c r="D341" s="17">
        <v>269.77999999999997</v>
      </c>
      <c r="E341" s="17">
        <v>0.495</v>
      </c>
      <c r="F341" s="10">
        <v>268.59699999999998</v>
      </c>
      <c r="G341" s="17">
        <v>269.06700000000001</v>
      </c>
      <c r="H341" s="17">
        <v>0.47</v>
      </c>
      <c r="I341" s="10">
        <v>267.02699999999999</v>
      </c>
      <c r="J341" s="10">
        <v>267.43599999999998</v>
      </c>
      <c r="K341" s="19">
        <v>1.631</v>
      </c>
      <c r="L341" s="17">
        <v>8.1319999999999997</v>
      </c>
      <c r="N341" s="12">
        <v>1.25</v>
      </c>
      <c r="O341" s="8">
        <v>131</v>
      </c>
      <c r="P341" s="8" t="str">
        <f t="shared" si="31"/>
        <v>1.25,131</v>
      </c>
      <c r="Q341" s="11" t="s">
        <v>10</v>
      </c>
      <c r="R341" s="8">
        <v>90</v>
      </c>
      <c r="S341" s="8">
        <v>2.5</v>
      </c>
      <c r="T341" s="8" t="str">
        <f>$Q341&amp;" "&amp;$P341&amp;" "&amp;$S341&amp;" "&amp;$R341&amp;" "&amp;$J341</f>
        <v>-text 1.25,131 2.5 90 267.436</v>
      </c>
      <c r="U341" s="10"/>
    </row>
    <row r="342" spans="1:21" x14ac:dyDescent="0.25">
      <c r="A342" s="15">
        <v>288520</v>
      </c>
      <c r="B342" s="9">
        <v>1177928.3</v>
      </c>
      <c r="C342" s="10">
        <v>269.21800000000002</v>
      </c>
      <c r="D342" s="17">
        <v>269.7</v>
      </c>
      <c r="E342" s="17">
        <v>0.48199999999999998</v>
      </c>
      <c r="F342" s="10">
        <v>268.52999999999997</v>
      </c>
      <c r="G342" s="17">
        <v>268.98700000000002</v>
      </c>
      <c r="H342" s="17">
        <v>0.45700000000000002</v>
      </c>
      <c r="I342" s="10">
        <v>268.98599999999999</v>
      </c>
      <c r="J342" s="10">
        <v>268.68099999999998</v>
      </c>
      <c r="K342" s="19">
        <v>0.30599999999999999</v>
      </c>
      <c r="L342" s="17">
        <v>8.1630000000000003</v>
      </c>
      <c r="N342" s="12">
        <f t="shared" si="29"/>
        <v>20.650000000139698</v>
      </c>
      <c r="O342" s="8">
        <f t="shared" si="30"/>
        <v>131</v>
      </c>
      <c r="P342" s="8" t="str">
        <f t="shared" si="31"/>
        <v>20.6500000001397,131</v>
      </c>
      <c r="Q342" s="11" t="s">
        <v>10</v>
      </c>
      <c r="R342" s="8">
        <v>90</v>
      </c>
      <c r="S342" s="8">
        <v>2.5</v>
      </c>
      <c r="T342" s="8" t="str">
        <f t="shared" ref="T342:T368" si="32">$Q342&amp;" "&amp;$P342&amp;" "&amp;$S342&amp;" "&amp;$R342&amp;" "&amp;$J342</f>
        <v>-text 20.6500000001397,131 2.5 90 268.681</v>
      </c>
      <c r="U342" s="10"/>
    </row>
    <row r="343" spans="1:21" x14ac:dyDescent="0.25">
      <c r="A343" s="15">
        <v>288540</v>
      </c>
      <c r="B343" s="9">
        <v>1177948.3</v>
      </c>
      <c r="C343" s="10">
        <v>269.13499999999999</v>
      </c>
      <c r="D343" s="17">
        <v>269.61799999999999</v>
      </c>
      <c r="E343" s="17">
        <v>0.48299999999999998</v>
      </c>
      <c r="F343" s="10">
        <v>268.447</v>
      </c>
      <c r="G343" s="17">
        <v>268.90499999999997</v>
      </c>
      <c r="H343" s="17">
        <v>0.45800000000000002</v>
      </c>
      <c r="I343" s="10">
        <v>267.548</v>
      </c>
      <c r="J343" s="10">
        <v>267.12200000000001</v>
      </c>
      <c r="K343" s="19">
        <v>1.7829999999999999</v>
      </c>
      <c r="L343" s="17">
        <v>8.2590000000000003</v>
      </c>
      <c r="N343" s="12">
        <f t="shared" si="29"/>
        <v>40.650000000139698</v>
      </c>
      <c r="O343" s="8">
        <f t="shared" si="30"/>
        <v>131</v>
      </c>
      <c r="P343" s="8" t="str">
        <f t="shared" si="31"/>
        <v>40.6500000001397,131</v>
      </c>
      <c r="Q343" s="11" t="s">
        <v>10</v>
      </c>
      <c r="R343" s="8">
        <v>90</v>
      </c>
      <c r="S343" s="8">
        <v>2.5</v>
      </c>
      <c r="T343" s="8" t="str">
        <f t="shared" si="32"/>
        <v>-text 40.6500000001397,131 2.5 90 267.122</v>
      </c>
      <c r="U343" s="10"/>
    </row>
    <row r="344" spans="1:21" x14ac:dyDescent="0.25">
      <c r="A344" s="15">
        <v>288560</v>
      </c>
      <c r="B344" s="9">
        <v>1177968.3</v>
      </c>
      <c r="C344" s="10">
        <v>269.08199999999999</v>
      </c>
      <c r="D344" s="17">
        <v>269.536</v>
      </c>
      <c r="E344" s="17">
        <v>0.45400000000000001</v>
      </c>
      <c r="F344" s="10">
        <v>268.39400000000001</v>
      </c>
      <c r="G344" s="17">
        <v>268.82299999999998</v>
      </c>
      <c r="H344" s="17">
        <v>0.42899999999999999</v>
      </c>
      <c r="I344" s="10">
        <v>267.27100000000002</v>
      </c>
      <c r="J344" s="10">
        <v>266.86599999999999</v>
      </c>
      <c r="K344" s="19">
        <v>1.9570000000000001</v>
      </c>
      <c r="L344" s="17">
        <v>8.4979999999999993</v>
      </c>
      <c r="N344" s="12">
        <f t="shared" si="29"/>
        <v>60.650000000139698</v>
      </c>
      <c r="O344" s="8">
        <f t="shared" si="30"/>
        <v>131</v>
      </c>
      <c r="P344" s="8" t="str">
        <f t="shared" si="31"/>
        <v>60.6500000001397,131</v>
      </c>
      <c r="Q344" s="11" t="s">
        <v>10</v>
      </c>
      <c r="R344" s="8">
        <v>90</v>
      </c>
      <c r="S344" s="8">
        <v>2.5</v>
      </c>
      <c r="T344" s="8" t="str">
        <f t="shared" si="32"/>
        <v>-text 60.6500000001397,131 2.5 90 266.866</v>
      </c>
      <c r="U344" s="10"/>
    </row>
    <row r="345" spans="1:21" x14ac:dyDescent="0.25">
      <c r="A345" s="15">
        <v>288580</v>
      </c>
      <c r="B345" s="9">
        <v>1177988.3</v>
      </c>
      <c r="C345" s="10">
        <v>269.07100000000003</v>
      </c>
      <c r="D345" s="17">
        <v>269.459</v>
      </c>
      <c r="E345" s="17">
        <v>0.38700000000000001</v>
      </c>
      <c r="F345" s="10">
        <v>268.38299999999998</v>
      </c>
      <c r="G345" s="17">
        <v>268.74599999999998</v>
      </c>
      <c r="H345" s="17">
        <v>0.36199999999999999</v>
      </c>
      <c r="I345" s="10">
        <v>267.846</v>
      </c>
      <c r="J345" s="10">
        <v>267.50400000000002</v>
      </c>
      <c r="K345" s="19">
        <v>1.2410000000000001</v>
      </c>
      <c r="L345" s="17">
        <v>8.8800000000000008</v>
      </c>
      <c r="N345" s="12">
        <f t="shared" si="29"/>
        <v>80.650000000139698</v>
      </c>
      <c r="O345" s="8">
        <f t="shared" si="30"/>
        <v>131</v>
      </c>
      <c r="P345" s="8" t="str">
        <f t="shared" si="31"/>
        <v>80.6500000001397,131</v>
      </c>
      <c r="Q345" s="11" t="s">
        <v>10</v>
      </c>
      <c r="R345" s="8">
        <v>90</v>
      </c>
      <c r="S345" s="8">
        <v>2.5</v>
      </c>
      <c r="T345" s="8" t="str">
        <f t="shared" si="32"/>
        <v>-text 80.6500000001397,131 2.5 90 267.504</v>
      </c>
      <c r="U345" s="10"/>
    </row>
    <row r="346" spans="1:21" x14ac:dyDescent="0.25">
      <c r="A346" s="15">
        <v>288600</v>
      </c>
      <c r="B346" s="9">
        <v>1178008.2</v>
      </c>
      <c r="C346" s="10">
        <v>268.90800000000002</v>
      </c>
      <c r="D346" s="17">
        <v>269.42</v>
      </c>
      <c r="E346" s="17">
        <v>0.51100000000000001</v>
      </c>
      <c r="F346" s="10">
        <v>268.22000000000003</v>
      </c>
      <c r="G346" s="17">
        <v>268.70699999999999</v>
      </c>
      <c r="H346" s="17">
        <v>0.48599999999999999</v>
      </c>
      <c r="I346" s="10">
        <v>268.24</v>
      </c>
      <c r="J346" s="10">
        <v>268.36</v>
      </c>
      <c r="K346" s="19">
        <v>0.34599999999999997</v>
      </c>
      <c r="L346" s="17">
        <v>9.2279999999999998</v>
      </c>
      <c r="N346" s="12">
        <f t="shared" si="29"/>
        <v>100.55000000004657</v>
      </c>
      <c r="O346" s="8">
        <f t="shared" si="30"/>
        <v>131</v>
      </c>
      <c r="P346" s="8" t="str">
        <f t="shared" si="31"/>
        <v>100.550000000047,131</v>
      </c>
      <c r="Q346" s="11" t="s">
        <v>10</v>
      </c>
      <c r="R346" s="8">
        <v>90</v>
      </c>
      <c r="S346" s="8">
        <v>2.5</v>
      </c>
      <c r="T346" s="8" t="str">
        <f t="shared" si="32"/>
        <v>-text 100.550000000047,131 2.5 90 268.36</v>
      </c>
      <c r="U346" s="10"/>
    </row>
    <row r="347" spans="1:21" x14ac:dyDescent="0.25">
      <c r="A347" s="15">
        <v>288620</v>
      </c>
      <c r="B347" s="9">
        <v>1178028.1000000001</v>
      </c>
      <c r="C347" s="10">
        <v>268.8</v>
      </c>
      <c r="D347" s="17">
        <v>269.38</v>
      </c>
      <c r="E347" s="17">
        <v>0.58099999999999996</v>
      </c>
      <c r="F347" s="10">
        <v>268.11200000000002</v>
      </c>
      <c r="G347" s="17">
        <v>268.66699999999997</v>
      </c>
      <c r="H347" s="17">
        <v>0.55600000000000005</v>
      </c>
      <c r="I347" s="10">
        <v>268.17099999999999</v>
      </c>
      <c r="J347" s="10">
        <v>268.39600000000002</v>
      </c>
      <c r="K347" s="19">
        <v>0.27100000000000002</v>
      </c>
      <c r="L347" s="17">
        <v>9.5860000000000003</v>
      </c>
      <c r="N347" s="12">
        <f t="shared" si="29"/>
        <v>120.45000000018626</v>
      </c>
      <c r="O347" s="8">
        <f t="shared" si="30"/>
        <v>131</v>
      </c>
      <c r="P347" s="8" t="str">
        <f t="shared" si="31"/>
        <v>120.450000000186,131</v>
      </c>
      <c r="Q347" s="11" t="s">
        <v>10</v>
      </c>
      <c r="R347" s="8">
        <v>90</v>
      </c>
      <c r="S347" s="8">
        <v>2.5</v>
      </c>
      <c r="T347" s="8" t="str">
        <f t="shared" si="32"/>
        <v>-text 120.450000000186,131 2.5 90 268.396</v>
      </c>
      <c r="U347" s="10"/>
    </row>
    <row r="348" spans="1:21" x14ac:dyDescent="0.25">
      <c r="A348" s="15">
        <v>288640</v>
      </c>
      <c r="B348" s="9">
        <v>1178048.1000000001</v>
      </c>
      <c r="C348" s="10">
        <v>268.72000000000003</v>
      </c>
      <c r="D348" s="17">
        <v>269.34100000000001</v>
      </c>
      <c r="E348" s="17">
        <v>0.621</v>
      </c>
      <c r="F348" s="10">
        <v>268.03199999999998</v>
      </c>
      <c r="G348" s="17">
        <v>268.62799999999999</v>
      </c>
      <c r="H348" s="17">
        <v>0.59599999999999997</v>
      </c>
      <c r="I348" s="10">
        <v>267.65199999999999</v>
      </c>
      <c r="J348" s="10">
        <v>267.863</v>
      </c>
      <c r="K348" s="19">
        <v>0.76500000000000001</v>
      </c>
      <c r="L348" s="17">
        <v>10.035</v>
      </c>
      <c r="N348" s="12">
        <f t="shared" si="29"/>
        <v>140.45000000018626</v>
      </c>
      <c r="O348" s="8">
        <f t="shared" si="30"/>
        <v>131</v>
      </c>
      <c r="P348" s="8" t="str">
        <f t="shared" si="31"/>
        <v>140.450000000186,131</v>
      </c>
      <c r="Q348" s="11" t="s">
        <v>10</v>
      </c>
      <c r="R348" s="8">
        <v>90</v>
      </c>
      <c r="S348" s="8">
        <v>2.5</v>
      </c>
      <c r="T348" s="8" t="str">
        <f t="shared" si="32"/>
        <v>-text 140.450000000186,131 2.5 90 267.863</v>
      </c>
      <c r="U348" s="10"/>
    </row>
    <row r="349" spans="1:21" x14ac:dyDescent="0.25">
      <c r="A349" s="15">
        <v>288660</v>
      </c>
      <c r="B349" s="9">
        <v>1178068</v>
      </c>
      <c r="C349" s="10">
        <v>268.66899999999998</v>
      </c>
      <c r="D349" s="17">
        <v>269.30200000000002</v>
      </c>
      <c r="E349" s="17">
        <v>0.63300000000000001</v>
      </c>
      <c r="F349" s="10">
        <v>267.98099999999999</v>
      </c>
      <c r="G349" s="17">
        <v>268.589</v>
      </c>
      <c r="H349" s="17">
        <v>0.60799999999999998</v>
      </c>
      <c r="I349" s="10">
        <v>266.97800000000001</v>
      </c>
      <c r="J349" s="10">
        <v>267.017</v>
      </c>
      <c r="K349" s="19">
        <v>1.5720000000000001</v>
      </c>
      <c r="L349" s="17">
        <v>10.503</v>
      </c>
      <c r="N349" s="12">
        <f t="shared" si="29"/>
        <v>160.35000000009313</v>
      </c>
      <c r="O349" s="8">
        <f t="shared" si="30"/>
        <v>131</v>
      </c>
      <c r="P349" s="8" t="str">
        <f t="shared" si="31"/>
        <v>160.350000000093,131</v>
      </c>
      <c r="Q349" s="11" t="s">
        <v>10</v>
      </c>
      <c r="R349" s="8">
        <v>90</v>
      </c>
      <c r="S349" s="8">
        <v>2.5</v>
      </c>
      <c r="T349" s="8" t="str">
        <f t="shared" si="32"/>
        <v>-text 160.350000000093,131 2.5 90 267.017</v>
      </c>
      <c r="U349" s="10"/>
    </row>
    <row r="350" spans="1:21" x14ac:dyDescent="0.25">
      <c r="A350" s="15">
        <v>288680</v>
      </c>
      <c r="B350" s="9">
        <v>1178088</v>
      </c>
      <c r="C350" s="10">
        <v>268.64499999999998</v>
      </c>
      <c r="D350" s="17">
        <v>269.262</v>
      </c>
      <c r="E350" s="17">
        <v>0.61699999999999999</v>
      </c>
      <c r="F350" s="10">
        <v>267.95699999999999</v>
      </c>
      <c r="G350" s="17">
        <v>268.54899999999998</v>
      </c>
      <c r="H350" s="17">
        <v>0.59199999999999997</v>
      </c>
      <c r="I350" s="10">
        <v>266.96800000000002</v>
      </c>
      <c r="J350" s="10">
        <v>267.34100000000001</v>
      </c>
      <c r="K350" s="19">
        <v>1.208</v>
      </c>
      <c r="L350" s="17">
        <v>11.004</v>
      </c>
      <c r="N350" s="12">
        <f t="shared" si="29"/>
        <v>180.35000000009313</v>
      </c>
      <c r="O350" s="8">
        <f t="shared" si="30"/>
        <v>131</v>
      </c>
      <c r="P350" s="8" t="str">
        <f t="shared" si="31"/>
        <v>180.350000000093,131</v>
      </c>
      <c r="Q350" s="11" t="s">
        <v>10</v>
      </c>
      <c r="R350" s="8">
        <v>90</v>
      </c>
      <c r="S350" s="8">
        <v>2.5</v>
      </c>
      <c r="T350" s="8" t="str">
        <f t="shared" si="32"/>
        <v>-text 180.350000000093,131 2.5 90 267.341</v>
      </c>
      <c r="U350" s="10"/>
    </row>
    <row r="351" spans="1:21" x14ac:dyDescent="0.25">
      <c r="A351" s="15">
        <v>288700</v>
      </c>
      <c r="B351" s="9">
        <v>1178107.8999999999</v>
      </c>
      <c r="C351" s="10">
        <v>268.63900000000001</v>
      </c>
      <c r="D351" s="17">
        <v>269.22300000000001</v>
      </c>
      <c r="E351" s="17">
        <v>0.58399999999999996</v>
      </c>
      <c r="F351" s="10">
        <v>267.95100000000002</v>
      </c>
      <c r="G351" s="17">
        <v>268.51</v>
      </c>
      <c r="H351" s="17">
        <v>0.55900000000000005</v>
      </c>
      <c r="I351" s="10">
        <v>267.09399999999999</v>
      </c>
      <c r="J351" s="10">
        <v>266.89499999999998</v>
      </c>
      <c r="K351" s="19">
        <v>1.615</v>
      </c>
      <c r="L351" s="17">
        <v>11.573</v>
      </c>
      <c r="N351" s="12">
        <f t="shared" si="29"/>
        <v>200.25</v>
      </c>
      <c r="O351" s="8">
        <f t="shared" si="30"/>
        <v>131</v>
      </c>
      <c r="P351" s="8" t="str">
        <f t="shared" si="31"/>
        <v>200.25,131</v>
      </c>
      <c r="Q351" s="11" t="s">
        <v>10</v>
      </c>
      <c r="R351" s="8">
        <v>90</v>
      </c>
      <c r="S351" s="8">
        <v>2.5</v>
      </c>
      <c r="T351" s="8" t="str">
        <f t="shared" si="32"/>
        <v>-text 200.25,131 2.5 90 266.895</v>
      </c>
      <c r="U351" s="10"/>
    </row>
    <row r="352" spans="1:21" x14ac:dyDescent="0.25">
      <c r="A352" s="15">
        <v>288720</v>
      </c>
      <c r="B352" s="9">
        <v>1178127.8999999999</v>
      </c>
      <c r="C352" s="10">
        <v>268.64400000000001</v>
      </c>
      <c r="D352" s="17">
        <v>269.18400000000003</v>
      </c>
      <c r="E352" s="17">
        <v>0.53900000000000003</v>
      </c>
      <c r="F352" s="10">
        <v>267.95600000000002</v>
      </c>
      <c r="G352" s="17">
        <v>268.471</v>
      </c>
      <c r="H352" s="17">
        <v>0.51400000000000001</v>
      </c>
      <c r="I352" s="10">
        <v>267.25200000000001</v>
      </c>
      <c r="J352" s="10">
        <v>267.47500000000002</v>
      </c>
      <c r="K352" s="19">
        <v>0.996</v>
      </c>
      <c r="L352" s="17">
        <v>12.25</v>
      </c>
      <c r="N352" s="12">
        <f t="shared" si="29"/>
        <v>220.25</v>
      </c>
      <c r="O352" s="8">
        <f t="shared" si="30"/>
        <v>131</v>
      </c>
      <c r="P352" s="8" t="str">
        <f t="shared" si="31"/>
        <v>220.25,131</v>
      </c>
      <c r="Q352" s="11" t="s">
        <v>10</v>
      </c>
      <c r="R352" s="8">
        <v>90</v>
      </c>
      <c r="S352" s="8">
        <v>2.5</v>
      </c>
      <c r="T352" s="8" t="str">
        <f t="shared" si="32"/>
        <v>-text 220.25,131 2.5 90 267.475</v>
      </c>
      <c r="U352" s="10"/>
    </row>
    <row r="353" spans="1:21" x14ac:dyDescent="0.25">
      <c r="A353" s="15">
        <v>288740</v>
      </c>
      <c r="B353" s="9">
        <v>1178147.8</v>
      </c>
      <c r="C353" s="10">
        <v>268.68700000000001</v>
      </c>
      <c r="D353" s="17">
        <v>269.14499999999998</v>
      </c>
      <c r="E353" s="17">
        <v>0.45800000000000002</v>
      </c>
      <c r="F353" s="10">
        <v>267.99900000000002</v>
      </c>
      <c r="G353" s="17">
        <v>268.43200000000002</v>
      </c>
      <c r="H353" s="17">
        <v>0.433</v>
      </c>
      <c r="I353" s="10">
        <v>267.50099999999998</v>
      </c>
      <c r="J353" s="10">
        <v>267.19499999999999</v>
      </c>
      <c r="K353" s="19">
        <v>1.2370000000000001</v>
      </c>
      <c r="L353" s="17">
        <v>12.808</v>
      </c>
      <c r="N353" s="12">
        <f t="shared" si="29"/>
        <v>240.1500000001397</v>
      </c>
      <c r="O353" s="8">
        <f t="shared" si="30"/>
        <v>131</v>
      </c>
      <c r="P353" s="8" t="str">
        <f t="shared" si="31"/>
        <v>240.15000000014,131</v>
      </c>
      <c r="Q353" s="11" t="s">
        <v>10</v>
      </c>
      <c r="R353" s="8">
        <v>90</v>
      </c>
      <c r="S353" s="8">
        <v>2.5</v>
      </c>
      <c r="T353" s="8" t="str">
        <f t="shared" si="32"/>
        <v>-text 240.15000000014,131 2.5 90 267.195</v>
      </c>
      <c r="U353" s="10"/>
    </row>
    <row r="354" spans="1:21" x14ac:dyDescent="0.25">
      <c r="A354" s="15">
        <v>288760</v>
      </c>
      <c r="B354" s="9">
        <v>1178167.7</v>
      </c>
      <c r="C354" s="10">
        <v>268.72199999999998</v>
      </c>
      <c r="D354" s="17">
        <v>269.10500000000002</v>
      </c>
      <c r="E354" s="17">
        <v>0.38400000000000001</v>
      </c>
      <c r="F354" s="10">
        <v>268.03399999999999</v>
      </c>
      <c r="G354" s="17">
        <v>268.392</v>
      </c>
      <c r="H354" s="17">
        <v>0.35899999999999999</v>
      </c>
      <c r="I354" s="10">
        <v>267.41199999999998</v>
      </c>
      <c r="J354" s="10">
        <v>267.17700000000002</v>
      </c>
      <c r="K354" s="19">
        <v>1.216</v>
      </c>
      <c r="L354" s="17">
        <v>13.365</v>
      </c>
      <c r="N354" s="12">
        <f t="shared" si="29"/>
        <v>260.05000000004657</v>
      </c>
      <c r="O354" s="8">
        <f t="shared" si="30"/>
        <v>131</v>
      </c>
      <c r="P354" s="8" t="str">
        <f t="shared" si="31"/>
        <v>260.050000000047,131</v>
      </c>
      <c r="Q354" s="11" t="s">
        <v>10</v>
      </c>
      <c r="R354" s="8">
        <v>90</v>
      </c>
      <c r="S354" s="8">
        <v>2.5</v>
      </c>
      <c r="T354" s="8" t="str">
        <f t="shared" si="32"/>
        <v>-text 260.050000000047,131 2.5 90 267.177</v>
      </c>
      <c r="U354" s="10"/>
    </row>
    <row r="355" spans="1:21" x14ac:dyDescent="0.25">
      <c r="A355" s="15">
        <v>288780</v>
      </c>
      <c r="B355" s="9">
        <v>1178187.7</v>
      </c>
      <c r="C355" s="10">
        <v>268.745</v>
      </c>
      <c r="D355" s="17">
        <v>269.06599999999997</v>
      </c>
      <c r="E355" s="17">
        <v>0.32100000000000001</v>
      </c>
      <c r="F355" s="10">
        <v>268.05700000000002</v>
      </c>
      <c r="G355" s="17">
        <v>268.35300000000001</v>
      </c>
      <c r="H355" s="17">
        <v>0.29599999999999999</v>
      </c>
      <c r="I355" s="10">
        <v>267.35199999999998</v>
      </c>
      <c r="J355" s="10">
        <v>267.35300000000001</v>
      </c>
      <c r="K355" s="19">
        <v>1</v>
      </c>
      <c r="L355" s="17">
        <v>13.824</v>
      </c>
      <c r="N355" s="12">
        <f t="shared" si="29"/>
        <v>280.05000000004657</v>
      </c>
      <c r="O355" s="8">
        <f t="shared" si="30"/>
        <v>131</v>
      </c>
      <c r="P355" s="8" t="str">
        <f t="shared" si="31"/>
        <v>280.050000000047,131</v>
      </c>
      <c r="Q355" s="11" t="s">
        <v>10</v>
      </c>
      <c r="R355" s="8">
        <v>90</v>
      </c>
      <c r="S355" s="8">
        <v>2.5</v>
      </c>
      <c r="T355" s="8" t="str">
        <f t="shared" si="32"/>
        <v>-text 280.050000000047,131 2.5 90 267.353</v>
      </c>
      <c r="U355" s="10"/>
    </row>
    <row r="356" spans="1:21" x14ac:dyDescent="0.25">
      <c r="A356" s="15">
        <v>288800</v>
      </c>
      <c r="B356" s="9">
        <v>1178207.5</v>
      </c>
      <c r="C356" s="10">
        <v>268.75900000000001</v>
      </c>
      <c r="D356" s="17">
        <v>269.02699999999999</v>
      </c>
      <c r="E356" s="17">
        <v>0.26700000000000002</v>
      </c>
      <c r="F356" s="10">
        <v>268.07100000000003</v>
      </c>
      <c r="G356" s="17">
        <v>268.31400000000002</v>
      </c>
      <c r="H356" s="17">
        <v>0.24199999999999999</v>
      </c>
      <c r="I356" s="10">
        <v>267.40699999999998</v>
      </c>
      <c r="J356" s="10">
        <v>266.23899999999998</v>
      </c>
      <c r="K356" s="19">
        <v>2.0750000000000002</v>
      </c>
      <c r="L356" s="17">
        <v>14.23</v>
      </c>
      <c r="N356" s="12">
        <f t="shared" si="29"/>
        <v>299.85000000009313</v>
      </c>
      <c r="O356" s="8">
        <f t="shared" si="30"/>
        <v>131</v>
      </c>
      <c r="P356" s="8" t="str">
        <f t="shared" si="31"/>
        <v>299.850000000093,131</v>
      </c>
      <c r="Q356" s="11" t="s">
        <v>10</v>
      </c>
      <c r="R356" s="8">
        <v>90</v>
      </c>
      <c r="S356" s="8">
        <v>2.5</v>
      </c>
      <c r="T356" s="8" t="str">
        <f t="shared" si="32"/>
        <v>-text 299.850000000093,131 2.5 90 266.239</v>
      </c>
      <c r="U356" s="10"/>
    </row>
    <row r="357" spans="1:21" x14ac:dyDescent="0.25">
      <c r="A357" s="15">
        <v>288820</v>
      </c>
      <c r="B357" s="9">
        <v>1178227.5</v>
      </c>
      <c r="C357" s="10">
        <v>268.75299999999999</v>
      </c>
      <c r="D357" s="17">
        <v>268.98700000000002</v>
      </c>
      <c r="E357" s="17">
        <v>0.23499999999999999</v>
      </c>
      <c r="F357" s="10">
        <v>268.065</v>
      </c>
      <c r="G357" s="17">
        <v>268.274</v>
      </c>
      <c r="H357" s="17">
        <v>0.21</v>
      </c>
      <c r="I357" s="10">
        <v>267.47399999999999</v>
      </c>
      <c r="J357" s="10">
        <v>267.63799999999998</v>
      </c>
      <c r="K357" s="19">
        <v>0.63600000000000001</v>
      </c>
      <c r="L357" s="17">
        <v>14.513</v>
      </c>
      <c r="N357" s="12">
        <f t="shared" si="29"/>
        <v>319.85000000009313</v>
      </c>
      <c r="O357" s="8">
        <f t="shared" si="30"/>
        <v>131</v>
      </c>
      <c r="P357" s="8" t="str">
        <f t="shared" si="31"/>
        <v>319.850000000093,131</v>
      </c>
      <c r="Q357" s="11" t="s">
        <v>10</v>
      </c>
      <c r="R357" s="8">
        <v>90</v>
      </c>
      <c r="S357" s="8">
        <v>2.5</v>
      </c>
      <c r="T357" s="8" t="str">
        <f t="shared" si="32"/>
        <v>-text 319.850000000093,131 2.5 90 267.638</v>
      </c>
      <c r="U357" s="10"/>
    </row>
    <row r="358" spans="1:21" x14ac:dyDescent="0.25">
      <c r="A358" s="15">
        <v>288840</v>
      </c>
      <c r="B358" s="9">
        <v>1178247.5</v>
      </c>
      <c r="C358" s="10">
        <v>268.74200000000002</v>
      </c>
      <c r="D358" s="17">
        <v>268.94799999999998</v>
      </c>
      <c r="E358" s="17">
        <v>0.20699999999999999</v>
      </c>
      <c r="F358" s="10">
        <v>268.05399999999997</v>
      </c>
      <c r="G358" s="17">
        <v>268.23500000000001</v>
      </c>
      <c r="H358" s="17">
        <v>0.182</v>
      </c>
      <c r="I358" s="10">
        <v>266.43700000000001</v>
      </c>
      <c r="J358" s="10">
        <v>266.488</v>
      </c>
      <c r="K358" s="19">
        <v>1.7470000000000001</v>
      </c>
      <c r="L358" s="17">
        <v>14.782999999999999</v>
      </c>
      <c r="N358" s="12">
        <f t="shared" si="29"/>
        <v>339.85000000009313</v>
      </c>
      <c r="O358" s="8">
        <f t="shared" si="30"/>
        <v>131</v>
      </c>
      <c r="P358" s="8" t="str">
        <f t="shared" si="31"/>
        <v>339.850000000093,131</v>
      </c>
      <c r="Q358" s="11" t="s">
        <v>10</v>
      </c>
      <c r="R358" s="8">
        <v>90</v>
      </c>
      <c r="S358" s="8">
        <v>2.5</v>
      </c>
      <c r="T358" s="8" t="str">
        <f t="shared" si="32"/>
        <v>-text 339.850000000093,131 2.5 90 266.488</v>
      </c>
      <c r="U358" s="10"/>
    </row>
    <row r="359" spans="1:21" x14ac:dyDescent="0.25">
      <c r="A359" s="15">
        <v>288860</v>
      </c>
      <c r="B359" s="9">
        <v>1178267.5</v>
      </c>
      <c r="C359" s="10">
        <v>268.72300000000001</v>
      </c>
      <c r="D359" s="17">
        <v>268.90899999999999</v>
      </c>
      <c r="E359" s="17">
        <v>0.186</v>
      </c>
      <c r="F359" s="10">
        <v>268.03500000000003</v>
      </c>
      <c r="G359" s="17">
        <v>268.19600000000003</v>
      </c>
      <c r="H359" s="17">
        <v>0.161</v>
      </c>
      <c r="I359" s="10">
        <v>266.92700000000002</v>
      </c>
      <c r="J359" s="10">
        <v>267.06799999999998</v>
      </c>
      <c r="K359" s="19">
        <v>1.1279999999999999</v>
      </c>
      <c r="L359" s="17">
        <v>15.034000000000001</v>
      </c>
      <c r="N359" s="12">
        <f t="shared" si="29"/>
        <v>359.85000000009313</v>
      </c>
      <c r="O359" s="8">
        <f t="shared" si="30"/>
        <v>131</v>
      </c>
      <c r="P359" s="8" t="str">
        <f t="shared" si="31"/>
        <v>359.850000000093,131</v>
      </c>
      <c r="Q359" s="11" t="s">
        <v>10</v>
      </c>
      <c r="R359" s="8">
        <v>90</v>
      </c>
      <c r="S359" s="8">
        <v>2.5</v>
      </c>
      <c r="T359" s="8" t="str">
        <f t="shared" si="32"/>
        <v>-text 359.850000000093,131 2.5 90 267.068</v>
      </c>
      <c r="U359" s="10"/>
    </row>
    <row r="360" spans="1:21" x14ac:dyDescent="0.25">
      <c r="A360" s="15">
        <v>288880</v>
      </c>
      <c r="B360" s="9">
        <v>1178287.5</v>
      </c>
      <c r="C360" s="10">
        <v>268.71699999999998</v>
      </c>
      <c r="D360" s="17">
        <v>268.86900000000003</v>
      </c>
      <c r="E360" s="17">
        <v>0.152</v>
      </c>
      <c r="F360" s="10">
        <v>268.029</v>
      </c>
      <c r="G360" s="17">
        <v>268.15600000000001</v>
      </c>
      <c r="H360" s="17">
        <v>0.127</v>
      </c>
      <c r="I360" s="10">
        <v>264.89299999999997</v>
      </c>
      <c r="J360" s="10">
        <v>264.17</v>
      </c>
      <c r="K360" s="19">
        <v>3.9870000000000001</v>
      </c>
      <c r="L360" s="17">
        <v>15.285</v>
      </c>
      <c r="N360" s="12">
        <f t="shared" si="29"/>
        <v>379.85000000009313</v>
      </c>
      <c r="O360" s="8">
        <f t="shared" si="30"/>
        <v>131</v>
      </c>
      <c r="P360" s="8" t="str">
        <f t="shared" si="31"/>
        <v>379.850000000093,131</v>
      </c>
      <c r="Q360" s="11" t="s">
        <v>10</v>
      </c>
      <c r="R360" s="8">
        <v>90</v>
      </c>
      <c r="S360" s="8">
        <v>2.5</v>
      </c>
      <c r="T360" s="8" t="str">
        <f t="shared" si="32"/>
        <v>-text 379.850000000093,131 2.5 90 264.17</v>
      </c>
      <c r="U360" s="10"/>
    </row>
    <row r="361" spans="1:21" x14ac:dyDescent="0.25">
      <c r="A361" s="15">
        <v>288900</v>
      </c>
      <c r="B361" s="9">
        <v>1178307.5</v>
      </c>
      <c r="C361" s="10">
        <v>268.72000000000003</v>
      </c>
      <c r="D361" s="17">
        <v>268.83</v>
      </c>
      <c r="E361" s="17">
        <v>0.11</v>
      </c>
      <c r="F361" s="10">
        <v>268.03199999999998</v>
      </c>
      <c r="G361" s="17">
        <v>268.11700000000002</v>
      </c>
      <c r="H361" s="17">
        <v>8.5000000000000006E-2</v>
      </c>
      <c r="I361" s="10">
        <v>266.70299999999997</v>
      </c>
      <c r="J361" s="10">
        <v>267.45699999999999</v>
      </c>
      <c r="K361" s="19">
        <v>0.66</v>
      </c>
      <c r="L361" s="17">
        <v>15.526999999999999</v>
      </c>
      <c r="N361" s="12">
        <f t="shared" si="29"/>
        <v>399.85000000009313</v>
      </c>
      <c r="O361" s="8">
        <f t="shared" si="30"/>
        <v>131</v>
      </c>
      <c r="P361" s="8" t="str">
        <f t="shared" si="31"/>
        <v>399.850000000093,131</v>
      </c>
      <c r="Q361" s="11" t="s">
        <v>10</v>
      </c>
      <c r="R361" s="8">
        <v>90</v>
      </c>
      <c r="S361" s="8">
        <v>2.5</v>
      </c>
      <c r="T361" s="8" t="str">
        <f t="shared" si="32"/>
        <v>-text 399.850000000093,131 2.5 90 267.457</v>
      </c>
      <c r="U361" s="10"/>
    </row>
    <row r="362" spans="1:21" x14ac:dyDescent="0.25">
      <c r="A362" s="15">
        <v>288920</v>
      </c>
      <c r="B362" s="9">
        <v>1178327.5</v>
      </c>
      <c r="C362" s="10">
        <v>268.71600000000001</v>
      </c>
      <c r="D362" s="17">
        <v>268.791</v>
      </c>
      <c r="E362" s="17">
        <v>7.4999999999999997E-2</v>
      </c>
      <c r="F362" s="10">
        <v>268.02800000000002</v>
      </c>
      <c r="G362" s="17">
        <v>268.07799999999997</v>
      </c>
      <c r="H362" s="17">
        <v>0.05</v>
      </c>
      <c r="I362" s="10">
        <v>266.61900000000003</v>
      </c>
      <c r="J362" s="10">
        <v>266.49400000000003</v>
      </c>
      <c r="K362" s="19">
        <v>1.583</v>
      </c>
      <c r="L362" s="17">
        <v>15.69</v>
      </c>
      <c r="N362" s="12">
        <f t="shared" si="29"/>
        <v>419.85000000009313</v>
      </c>
      <c r="O362" s="8">
        <f t="shared" si="30"/>
        <v>131</v>
      </c>
      <c r="P362" s="8" t="str">
        <f t="shared" si="31"/>
        <v>419.850000000093,131</v>
      </c>
      <c r="Q362" s="11" t="s">
        <v>10</v>
      </c>
      <c r="R362" s="8">
        <v>90</v>
      </c>
      <c r="S362" s="8">
        <v>2.5</v>
      </c>
      <c r="T362" s="8" t="str">
        <f t="shared" si="32"/>
        <v>-text 419.850000000093,131 2.5 90 266.494</v>
      </c>
      <c r="U362" s="10"/>
    </row>
    <row r="363" spans="1:21" x14ac:dyDescent="0.25">
      <c r="A363" s="15">
        <v>288940</v>
      </c>
      <c r="B363" s="9">
        <v>1178347.5</v>
      </c>
      <c r="C363" s="10">
        <v>268.71100000000001</v>
      </c>
      <c r="D363" s="17">
        <v>268.75099999999998</v>
      </c>
      <c r="E363" s="17">
        <v>0.04</v>
      </c>
      <c r="F363" s="10">
        <v>268.02300000000002</v>
      </c>
      <c r="G363" s="17">
        <v>268.03800000000001</v>
      </c>
      <c r="H363" s="17">
        <v>1.4999999999999999E-2</v>
      </c>
      <c r="I363" s="10">
        <v>265.8</v>
      </c>
      <c r="J363" s="10">
        <v>266.745</v>
      </c>
      <c r="K363" s="19">
        <v>1.2929999999999999</v>
      </c>
      <c r="L363" s="17">
        <v>15.733000000000001</v>
      </c>
      <c r="N363" s="12">
        <f t="shared" si="29"/>
        <v>439.85000000009313</v>
      </c>
      <c r="O363" s="8">
        <f t="shared" si="30"/>
        <v>131</v>
      </c>
      <c r="P363" s="8" t="str">
        <f t="shared" si="31"/>
        <v>439.850000000093,131</v>
      </c>
      <c r="Q363" s="11" t="s">
        <v>10</v>
      </c>
      <c r="R363" s="8">
        <v>90</v>
      </c>
      <c r="S363" s="8">
        <v>2.5</v>
      </c>
      <c r="T363" s="8" t="str">
        <f t="shared" si="32"/>
        <v>-text 439.850000000093,131 2.5 90 266.745</v>
      </c>
      <c r="U363" s="10"/>
    </row>
    <row r="364" spans="1:21" x14ac:dyDescent="0.25">
      <c r="A364" s="15">
        <v>288960</v>
      </c>
      <c r="B364" s="9">
        <v>1178367.5</v>
      </c>
      <c r="C364" s="10">
        <v>268.709</v>
      </c>
      <c r="D364" s="17">
        <v>268.73599999999999</v>
      </c>
      <c r="E364" s="17">
        <v>2.7E-2</v>
      </c>
      <c r="F364" s="10">
        <v>268.02100000000002</v>
      </c>
      <c r="G364" s="17">
        <v>268.02300000000002</v>
      </c>
      <c r="H364" s="17">
        <v>2E-3</v>
      </c>
      <c r="I364" s="10">
        <v>265.78300000000002</v>
      </c>
      <c r="J364" s="10">
        <v>266.19499999999999</v>
      </c>
      <c r="K364" s="19">
        <v>1.829</v>
      </c>
      <c r="L364" s="17">
        <v>15.651</v>
      </c>
      <c r="N364" s="12">
        <f t="shared" si="29"/>
        <v>459.85000000009313</v>
      </c>
      <c r="O364" s="8">
        <f t="shared" si="30"/>
        <v>131</v>
      </c>
      <c r="P364" s="8" t="str">
        <f t="shared" si="31"/>
        <v>459.850000000093,131</v>
      </c>
      <c r="Q364" s="11" t="s">
        <v>10</v>
      </c>
      <c r="R364" s="8">
        <v>90</v>
      </c>
      <c r="S364" s="8">
        <v>2.5</v>
      </c>
      <c r="T364" s="8" t="str">
        <f t="shared" si="32"/>
        <v>-text 459.850000000093,131 2.5 90 266.195</v>
      </c>
      <c r="U364" s="10"/>
    </row>
    <row r="365" spans="1:21" x14ac:dyDescent="0.25">
      <c r="A365" s="15">
        <v>288980</v>
      </c>
      <c r="B365" s="9">
        <v>1178387.5</v>
      </c>
      <c r="C365" s="10">
        <v>268.69400000000002</v>
      </c>
      <c r="D365" s="17">
        <v>268.74200000000002</v>
      </c>
      <c r="E365" s="17">
        <v>4.8000000000000001E-2</v>
      </c>
      <c r="F365" s="10">
        <v>268.00599999999997</v>
      </c>
      <c r="G365" s="17">
        <v>268.029</v>
      </c>
      <c r="H365" s="17">
        <v>2.3E-2</v>
      </c>
      <c r="I365" s="10">
        <v>266.02499999999998</v>
      </c>
      <c r="J365" s="10">
        <v>267.23200000000003</v>
      </c>
      <c r="K365" s="19">
        <v>0.79700000000000004</v>
      </c>
      <c r="L365" s="17">
        <v>15.436</v>
      </c>
      <c r="N365" s="12">
        <f t="shared" si="29"/>
        <v>479.85000000009313</v>
      </c>
      <c r="O365" s="8">
        <f t="shared" si="30"/>
        <v>131</v>
      </c>
      <c r="P365" s="8" t="str">
        <f t="shared" si="31"/>
        <v>479.850000000093,131</v>
      </c>
      <c r="Q365" s="11" t="s">
        <v>10</v>
      </c>
      <c r="R365" s="8">
        <v>90</v>
      </c>
      <c r="S365" s="8">
        <v>2.5</v>
      </c>
      <c r="T365" s="8" t="str">
        <f t="shared" si="32"/>
        <v>-text 479.850000000093,131 2.5 90 267.232</v>
      </c>
      <c r="U365" s="10"/>
    </row>
    <row r="366" spans="1:21" x14ac:dyDescent="0.25">
      <c r="A366" s="15">
        <v>289000</v>
      </c>
      <c r="B366" s="9">
        <v>1178407.8999999999</v>
      </c>
      <c r="C366" s="10">
        <v>268.69</v>
      </c>
      <c r="D366" s="17">
        <v>268.74799999999999</v>
      </c>
      <c r="E366" s="17">
        <v>5.8000000000000003E-2</v>
      </c>
      <c r="F366" s="10">
        <v>268.00200000000001</v>
      </c>
      <c r="G366" s="17">
        <v>268.03500000000003</v>
      </c>
      <c r="H366" s="17">
        <v>3.3000000000000002E-2</v>
      </c>
      <c r="I366" s="10">
        <v>266.411</v>
      </c>
      <c r="J366" s="10">
        <v>267.16000000000003</v>
      </c>
      <c r="K366" s="19">
        <v>0.875</v>
      </c>
      <c r="L366" s="17">
        <v>15.08</v>
      </c>
      <c r="N366" s="12">
        <f t="shared" si="29"/>
        <v>500.25</v>
      </c>
      <c r="O366" s="8">
        <f t="shared" si="30"/>
        <v>131</v>
      </c>
      <c r="P366" s="8" t="str">
        <f t="shared" si="31"/>
        <v>500.25,131</v>
      </c>
      <c r="Q366" s="11" t="s">
        <v>10</v>
      </c>
      <c r="R366" s="8">
        <v>90</v>
      </c>
      <c r="S366" s="8">
        <v>2.5</v>
      </c>
      <c r="T366" s="8" t="str">
        <f t="shared" si="32"/>
        <v>-text 500.25,131 2.5 90 267.16</v>
      </c>
      <c r="U366" s="10"/>
    </row>
    <row r="367" spans="1:21" x14ac:dyDescent="0.25">
      <c r="A367" s="15">
        <v>289020</v>
      </c>
      <c r="B367" s="9">
        <v>1178427.6000000001</v>
      </c>
      <c r="C367" s="10">
        <v>268.68900000000002</v>
      </c>
      <c r="D367" s="17">
        <v>268.75400000000002</v>
      </c>
      <c r="E367" s="17">
        <v>6.5000000000000002E-2</v>
      </c>
      <c r="F367" s="10">
        <v>268.00099999999998</v>
      </c>
      <c r="G367" s="17">
        <v>268.041</v>
      </c>
      <c r="H367" s="17">
        <v>0.04</v>
      </c>
      <c r="I367" s="10">
        <v>266.25099999999998</v>
      </c>
      <c r="J367" s="10">
        <v>267.06099999999998</v>
      </c>
      <c r="K367" s="19">
        <v>0.98</v>
      </c>
      <c r="L367" s="17">
        <v>14.628</v>
      </c>
      <c r="N367" s="12">
        <f t="shared" si="29"/>
        <v>519.95000000018626</v>
      </c>
      <c r="O367" s="8">
        <f t="shared" si="30"/>
        <v>131</v>
      </c>
      <c r="P367" s="8" t="str">
        <f t="shared" si="31"/>
        <v>519.950000000186,131</v>
      </c>
      <c r="Q367" s="11" t="s">
        <v>10</v>
      </c>
      <c r="R367" s="8">
        <v>90</v>
      </c>
      <c r="S367" s="8">
        <v>2.5</v>
      </c>
      <c r="T367" s="8" t="str">
        <f t="shared" si="32"/>
        <v>-text 519.950000000186,131 2.5 90 267.061</v>
      </c>
      <c r="U367" s="10"/>
    </row>
    <row r="368" spans="1:21" x14ac:dyDescent="0.25">
      <c r="A368" s="15">
        <v>289037.90000000002</v>
      </c>
      <c r="B368" s="9">
        <v>1178447.6000000001</v>
      </c>
      <c r="C368" s="10">
        <v>268.738</v>
      </c>
      <c r="D368" s="17">
        <v>268.76</v>
      </c>
      <c r="E368" s="17">
        <v>2.1000000000000001E-2</v>
      </c>
      <c r="F368" s="10">
        <v>268.05</v>
      </c>
      <c r="G368" s="17">
        <v>268.04700000000003</v>
      </c>
      <c r="H368" s="17">
        <v>-4.0000000000000001E-3</v>
      </c>
      <c r="I368" s="10">
        <v>265.80599999999998</v>
      </c>
      <c r="J368" s="10">
        <v>266.34199999999998</v>
      </c>
      <c r="K368" s="19">
        <v>1.704</v>
      </c>
      <c r="L368" s="17">
        <v>14.236000000000001</v>
      </c>
      <c r="N368" s="12">
        <f t="shared" si="29"/>
        <v>539.95000000018626</v>
      </c>
      <c r="O368" s="8">
        <f t="shared" si="30"/>
        <v>131</v>
      </c>
      <c r="P368" s="8" t="str">
        <f t="shared" si="31"/>
        <v>539.950000000186,131</v>
      </c>
      <c r="Q368" s="11" t="s">
        <v>10</v>
      </c>
      <c r="R368" s="8">
        <v>90</v>
      </c>
      <c r="S368" s="8">
        <v>2.5</v>
      </c>
      <c r="T368" s="8" t="str">
        <f t="shared" si="32"/>
        <v>-text 539.950000000186,131 2.5 90 266.342</v>
      </c>
      <c r="U36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F2:X1476"/>
  <sheetViews>
    <sheetView workbookViewId="0">
      <selection sqref="A1:XFD1048576"/>
    </sheetView>
  </sheetViews>
  <sheetFormatPr defaultRowHeight="15" x14ac:dyDescent="0.25"/>
  <cols>
    <col min="1" max="4" width="12" style="1" bestFit="1" customWidth="1"/>
    <col min="5" max="5" width="12.7109375" style="1" bestFit="1" customWidth="1"/>
    <col min="6" max="7" width="12" style="1" bestFit="1" customWidth="1"/>
    <col min="8" max="8" width="12.7109375" style="1" bestFit="1" customWidth="1"/>
    <col min="9" max="10" width="12" style="1" bestFit="1" customWidth="1"/>
    <col min="11" max="11" width="12.7109375" style="1" bestFit="1" customWidth="1"/>
    <col min="12" max="12" width="11.7109375" style="1" bestFit="1" customWidth="1"/>
    <col min="13" max="13" width="9.5703125" style="1" bestFit="1" customWidth="1"/>
    <col min="14" max="15" width="9.28515625" style="1" bestFit="1" customWidth="1"/>
    <col min="16" max="16384" width="9.140625" style="1"/>
  </cols>
  <sheetData>
    <row r="2" spans="6:24" x14ac:dyDescent="0.25">
      <c r="F2" s="2"/>
      <c r="G2" s="3"/>
      <c r="H2" s="3"/>
      <c r="I2" s="3"/>
      <c r="J2" s="3"/>
      <c r="K2" s="3"/>
      <c r="L2" s="3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2"/>
    </row>
    <row r="3" spans="6:24" x14ac:dyDescent="0.25">
      <c r="F3" s="2"/>
      <c r="G3" s="3"/>
      <c r="H3" s="3"/>
      <c r="I3" s="3"/>
      <c r="J3" s="3"/>
      <c r="K3" s="3"/>
      <c r="L3" s="3"/>
      <c r="M3" s="2"/>
      <c r="N3" s="3"/>
      <c r="O3" s="3"/>
      <c r="P3" s="3"/>
      <c r="Q3" s="3"/>
      <c r="R3" s="3"/>
      <c r="S3" s="3"/>
      <c r="T3" s="3"/>
      <c r="U3" s="3"/>
      <c r="V3" s="3"/>
      <c r="W3" s="3"/>
    </row>
    <row r="4" spans="6:24" x14ac:dyDescent="0.25">
      <c r="F4" s="2"/>
      <c r="G4" s="3"/>
      <c r="H4" s="3"/>
      <c r="I4" s="3"/>
      <c r="J4" s="3"/>
      <c r="K4" s="3"/>
      <c r="L4" s="3"/>
      <c r="M4" s="2"/>
      <c r="N4" s="3"/>
      <c r="O4" s="3"/>
      <c r="P4" s="3"/>
      <c r="Q4" s="3"/>
      <c r="R4" s="3"/>
      <c r="S4" s="3"/>
      <c r="T4" s="3"/>
      <c r="U4" s="3"/>
      <c r="V4" s="3"/>
      <c r="W4" s="3"/>
    </row>
    <row r="5" spans="6:24" x14ac:dyDescent="0.25">
      <c r="F5" s="2"/>
      <c r="G5" s="3"/>
      <c r="H5" s="3"/>
      <c r="I5" s="3"/>
      <c r="J5" s="3"/>
      <c r="K5" s="3"/>
      <c r="L5" s="3"/>
      <c r="M5" s="2"/>
      <c r="N5" s="3"/>
      <c r="O5" s="3"/>
      <c r="P5" s="3"/>
      <c r="Q5" s="3"/>
      <c r="R5" s="3"/>
      <c r="S5" s="3"/>
      <c r="T5" s="3"/>
      <c r="U5" s="3"/>
      <c r="V5" s="3"/>
      <c r="W5" s="3"/>
    </row>
    <row r="6" spans="6:24" x14ac:dyDescent="0.25">
      <c r="F6" s="2"/>
      <c r="G6" s="3"/>
      <c r="H6" s="3"/>
      <c r="I6" s="3"/>
      <c r="J6" s="3"/>
      <c r="K6" s="3"/>
      <c r="L6" s="3"/>
      <c r="M6" s="2"/>
      <c r="N6" s="3"/>
      <c r="O6" s="3"/>
      <c r="P6" s="3"/>
      <c r="Q6" s="3"/>
      <c r="R6" s="3"/>
      <c r="S6" s="3"/>
      <c r="T6" s="3"/>
      <c r="U6" s="3"/>
      <c r="V6" s="3"/>
      <c r="W6" s="3"/>
    </row>
    <row r="7" spans="6:24" x14ac:dyDescent="0.25">
      <c r="F7" s="2"/>
      <c r="G7" s="3"/>
      <c r="H7" s="3"/>
      <c r="I7" s="3"/>
      <c r="J7" s="3"/>
      <c r="K7" s="3"/>
      <c r="L7" s="3"/>
      <c r="M7" s="2"/>
      <c r="N7" s="3"/>
      <c r="O7" s="3"/>
      <c r="P7" s="3"/>
      <c r="Q7" s="3"/>
      <c r="R7" s="3"/>
      <c r="S7" s="3"/>
      <c r="T7" s="3"/>
      <c r="U7" s="3"/>
      <c r="V7" s="3"/>
      <c r="W7" s="3"/>
    </row>
    <row r="8" spans="6:24" x14ac:dyDescent="0.25">
      <c r="F8" s="2"/>
      <c r="G8" s="3"/>
      <c r="H8" s="3"/>
      <c r="I8" s="3"/>
      <c r="J8" s="3"/>
      <c r="K8" s="3"/>
      <c r="L8" s="3"/>
      <c r="M8" s="2"/>
      <c r="N8" s="3"/>
      <c r="O8" s="3"/>
      <c r="P8" s="3"/>
      <c r="Q8" s="3"/>
      <c r="R8" s="3"/>
      <c r="S8" s="3"/>
      <c r="T8" s="3"/>
      <c r="U8" s="3"/>
      <c r="V8" s="3"/>
      <c r="W8" s="3"/>
    </row>
    <row r="9" spans="6:24" x14ac:dyDescent="0.25">
      <c r="F9" s="2"/>
      <c r="G9" s="3"/>
      <c r="H9" s="3"/>
      <c r="I9" s="3"/>
      <c r="J9" s="3"/>
      <c r="K9" s="3"/>
      <c r="L9" s="3"/>
      <c r="M9" s="2"/>
      <c r="N9" s="3"/>
      <c r="O9" s="3"/>
      <c r="P9" s="3"/>
      <c r="Q9" s="3"/>
      <c r="R9" s="3"/>
      <c r="S9" s="3"/>
      <c r="T9" s="3"/>
      <c r="U9" s="3"/>
      <c r="V9" s="3"/>
      <c r="W9" s="3"/>
    </row>
    <row r="10" spans="6:24" x14ac:dyDescent="0.25">
      <c r="F10" s="2"/>
      <c r="G10" s="3"/>
      <c r="H10" s="3"/>
      <c r="I10" s="3"/>
      <c r="J10" s="3"/>
      <c r="K10" s="3"/>
      <c r="L10" s="3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6:24" x14ac:dyDescent="0.25">
      <c r="F11" s="2"/>
      <c r="G11" s="3"/>
      <c r="H11" s="3"/>
      <c r="I11" s="3"/>
      <c r="J11" s="3"/>
      <c r="K11" s="3"/>
      <c r="L11" s="3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6:24" x14ac:dyDescent="0.25">
      <c r="F12" s="2"/>
      <c r="G12" s="3"/>
      <c r="H12" s="3"/>
      <c r="I12" s="3"/>
      <c r="J12" s="3"/>
      <c r="K12" s="3"/>
      <c r="L12" s="3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6:24" x14ac:dyDescent="0.25">
      <c r="F13" s="2"/>
      <c r="G13" s="3"/>
      <c r="H13" s="3"/>
      <c r="I13" s="3"/>
      <c r="J13" s="3"/>
      <c r="K13" s="3"/>
      <c r="L13" s="3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6:24" x14ac:dyDescent="0.25">
      <c r="F14" s="2"/>
      <c r="G14" s="3"/>
      <c r="H14" s="3"/>
      <c r="I14" s="3"/>
      <c r="J14" s="3"/>
      <c r="K14" s="3"/>
      <c r="L14" s="3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6:24" x14ac:dyDescent="0.25">
      <c r="F15" s="2"/>
      <c r="G15" s="3"/>
      <c r="H15" s="3"/>
      <c r="I15" s="3"/>
      <c r="J15" s="3"/>
      <c r="K15" s="3"/>
      <c r="L15" s="3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6:24" x14ac:dyDescent="0.25">
      <c r="F16" s="2"/>
      <c r="G16" s="3"/>
      <c r="H16" s="3"/>
      <c r="I16" s="3"/>
      <c r="J16" s="3"/>
      <c r="K16" s="3"/>
      <c r="L16" s="3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6:23" x14ac:dyDescent="0.25">
      <c r="F17" s="2"/>
      <c r="G17" s="3"/>
      <c r="H17" s="3"/>
      <c r="I17" s="3"/>
      <c r="J17" s="3"/>
      <c r="K17" s="3"/>
      <c r="L17" s="3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6:23" x14ac:dyDescent="0.25">
      <c r="F18" s="2"/>
      <c r="G18" s="3"/>
      <c r="H18" s="3"/>
      <c r="I18" s="3"/>
      <c r="J18" s="3"/>
      <c r="K18" s="3"/>
      <c r="L18" s="3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6:23" x14ac:dyDescent="0.25">
      <c r="F19" s="2"/>
      <c r="G19" s="3"/>
      <c r="H19" s="3"/>
      <c r="I19" s="3"/>
      <c r="J19" s="3"/>
      <c r="K19" s="3"/>
      <c r="L19" s="3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6:23" x14ac:dyDescent="0.25">
      <c r="F20" s="2"/>
      <c r="G20" s="3"/>
      <c r="H20" s="3"/>
      <c r="I20" s="3"/>
      <c r="J20" s="3"/>
      <c r="K20" s="3"/>
      <c r="L20" s="3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6:23" x14ac:dyDescent="0.25">
      <c r="F21" s="2"/>
      <c r="G21" s="3"/>
      <c r="H21" s="3"/>
      <c r="I21" s="3"/>
      <c r="J21" s="3"/>
      <c r="K21" s="3"/>
      <c r="L21" s="3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6:23" x14ac:dyDescent="0.25">
      <c r="F22" s="2"/>
      <c r="G22" s="3"/>
      <c r="H22" s="3"/>
      <c r="I22" s="3"/>
      <c r="J22" s="3"/>
      <c r="K22" s="3"/>
      <c r="L22" s="3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6:23" x14ac:dyDescent="0.25">
      <c r="F23" s="2"/>
      <c r="G23" s="3"/>
      <c r="H23" s="3"/>
      <c r="I23" s="3"/>
      <c r="J23" s="3"/>
      <c r="K23" s="3"/>
      <c r="L23" s="3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6:23" x14ac:dyDescent="0.25">
      <c r="F24" s="2"/>
      <c r="G24" s="3"/>
      <c r="H24" s="3"/>
      <c r="I24" s="3"/>
      <c r="J24" s="3"/>
      <c r="K24" s="3"/>
      <c r="L24" s="3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6:23" x14ac:dyDescent="0.25">
      <c r="F25" s="2"/>
      <c r="G25" s="3"/>
      <c r="H25" s="3"/>
      <c r="I25" s="3"/>
      <c r="J25" s="3"/>
      <c r="K25" s="3"/>
      <c r="L25" s="3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6:23" x14ac:dyDescent="0.25">
      <c r="F26" s="2"/>
      <c r="G26" s="3"/>
      <c r="H26" s="3"/>
      <c r="I26" s="3"/>
      <c r="J26" s="3"/>
      <c r="K26" s="3"/>
      <c r="L26" s="3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6:23" x14ac:dyDescent="0.25">
      <c r="F27" s="2"/>
      <c r="G27" s="3"/>
      <c r="H27" s="3"/>
      <c r="I27" s="3"/>
      <c r="J27" s="3"/>
      <c r="K27" s="3"/>
      <c r="L27" s="3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6:23" x14ac:dyDescent="0.25">
      <c r="F28" s="2"/>
      <c r="G28" s="3"/>
      <c r="H28" s="3"/>
      <c r="I28" s="3"/>
      <c r="J28" s="3"/>
      <c r="K28" s="3"/>
      <c r="L28" s="3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6:23" x14ac:dyDescent="0.25">
      <c r="F29" s="2"/>
      <c r="G29" s="3"/>
      <c r="H29" s="3"/>
      <c r="I29" s="3"/>
      <c r="J29" s="3"/>
      <c r="K29" s="3"/>
      <c r="L29" s="3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6:23" x14ac:dyDescent="0.25">
      <c r="F30" s="2"/>
      <c r="G30" s="3"/>
      <c r="H30" s="3"/>
      <c r="I30" s="3"/>
      <c r="J30" s="3"/>
      <c r="K30" s="3"/>
      <c r="L30" s="3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6:23" x14ac:dyDescent="0.25">
      <c r="F31" s="2"/>
      <c r="G31" s="3"/>
      <c r="H31" s="3"/>
      <c r="I31" s="3"/>
      <c r="J31" s="3"/>
      <c r="K31" s="3"/>
      <c r="L31" s="3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6:23" x14ac:dyDescent="0.25">
      <c r="F32" s="2"/>
      <c r="G32" s="3"/>
      <c r="H32" s="3"/>
      <c r="I32" s="3"/>
      <c r="J32" s="3"/>
      <c r="K32" s="3"/>
      <c r="L32" s="3"/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6:23" x14ac:dyDescent="0.25">
      <c r="F33" s="2"/>
      <c r="G33" s="3"/>
      <c r="H33" s="3"/>
      <c r="I33" s="3"/>
      <c r="J33" s="3"/>
      <c r="K33" s="3"/>
      <c r="L33" s="3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6:23" x14ac:dyDescent="0.25">
      <c r="F34" s="2"/>
      <c r="G34" s="3"/>
      <c r="H34" s="3"/>
      <c r="I34" s="3"/>
      <c r="J34" s="3"/>
      <c r="K34" s="3"/>
      <c r="L34" s="3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6:23" x14ac:dyDescent="0.25">
      <c r="F35" s="2"/>
      <c r="G35" s="3"/>
      <c r="H35" s="3"/>
      <c r="I35" s="3"/>
      <c r="J35" s="3"/>
      <c r="K35" s="3"/>
      <c r="L35" s="3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6:23" x14ac:dyDescent="0.25">
      <c r="F36" s="2"/>
      <c r="G36" s="3"/>
      <c r="H36" s="3"/>
      <c r="I36" s="3"/>
      <c r="J36" s="3"/>
      <c r="K36" s="3"/>
      <c r="L36" s="3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6:23" x14ac:dyDescent="0.25">
      <c r="F37" s="2"/>
      <c r="G37" s="3"/>
      <c r="H37" s="3"/>
      <c r="I37" s="3"/>
      <c r="J37" s="3"/>
      <c r="K37" s="3"/>
      <c r="L37" s="3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6:23" x14ac:dyDescent="0.25">
      <c r="F38" s="2"/>
      <c r="G38" s="3"/>
      <c r="H38" s="3"/>
      <c r="I38" s="3"/>
      <c r="J38" s="3"/>
      <c r="K38" s="3"/>
      <c r="L38" s="3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6:23" x14ac:dyDescent="0.25">
      <c r="F39" s="2"/>
      <c r="G39" s="3"/>
      <c r="H39" s="3"/>
      <c r="I39" s="3"/>
      <c r="J39" s="3"/>
      <c r="K39" s="3"/>
      <c r="L39" s="3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6:23" x14ac:dyDescent="0.25">
      <c r="F40" s="2"/>
      <c r="G40" s="3"/>
      <c r="H40" s="3"/>
      <c r="I40" s="3"/>
      <c r="J40" s="3"/>
      <c r="K40" s="3"/>
      <c r="L40" s="3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6:23" x14ac:dyDescent="0.25">
      <c r="F41" s="2"/>
      <c r="G41" s="3"/>
      <c r="H41" s="3"/>
      <c r="I41" s="3"/>
      <c r="J41" s="3"/>
      <c r="K41" s="3"/>
      <c r="L41" s="3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6:23" x14ac:dyDescent="0.25">
      <c r="F42" s="2"/>
      <c r="G42" s="3"/>
      <c r="H42" s="3"/>
      <c r="I42" s="3"/>
      <c r="J42" s="3"/>
      <c r="K42" s="3"/>
      <c r="L42" s="3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6:23" x14ac:dyDescent="0.25">
      <c r="F43" s="2"/>
      <c r="G43" s="3"/>
      <c r="H43" s="3"/>
      <c r="I43" s="3"/>
      <c r="J43" s="3"/>
      <c r="K43" s="3"/>
      <c r="L43" s="3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6:23" x14ac:dyDescent="0.25">
      <c r="F44" s="2"/>
      <c r="G44" s="3"/>
      <c r="H44" s="3"/>
      <c r="I44" s="3"/>
      <c r="J44" s="3"/>
      <c r="K44" s="3"/>
      <c r="L44" s="3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6:23" x14ac:dyDescent="0.25">
      <c r="F45" s="2"/>
      <c r="G45" s="3"/>
      <c r="H45" s="3"/>
      <c r="I45" s="3"/>
      <c r="J45" s="3"/>
      <c r="K45" s="3"/>
      <c r="L45" s="3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6:23" x14ac:dyDescent="0.25">
      <c r="F46" s="2"/>
      <c r="G46" s="3"/>
      <c r="H46" s="3"/>
      <c r="I46" s="3"/>
      <c r="J46" s="3"/>
      <c r="K46" s="3"/>
      <c r="L46" s="3"/>
      <c r="M46" s="2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6:23" x14ac:dyDescent="0.25">
      <c r="F47" s="2"/>
      <c r="G47" s="3"/>
      <c r="H47" s="3"/>
      <c r="I47" s="3"/>
      <c r="J47" s="3"/>
      <c r="K47" s="3"/>
      <c r="L47" s="3"/>
      <c r="M47" s="2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6:23" x14ac:dyDescent="0.25">
      <c r="F48" s="2"/>
      <c r="G48" s="3"/>
      <c r="H48" s="3"/>
      <c r="I48" s="3"/>
      <c r="J48" s="3"/>
      <c r="K48" s="3"/>
      <c r="L48" s="3"/>
      <c r="M48" s="2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6:23" x14ac:dyDescent="0.25">
      <c r="F49" s="2"/>
      <c r="G49" s="3"/>
      <c r="H49" s="3"/>
      <c r="I49" s="3"/>
      <c r="J49" s="3"/>
      <c r="K49" s="3"/>
      <c r="L49" s="3"/>
      <c r="M49" s="2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6:23" x14ac:dyDescent="0.25">
      <c r="F50" s="2"/>
      <c r="G50" s="3"/>
      <c r="H50" s="3"/>
      <c r="I50" s="3"/>
      <c r="J50" s="3"/>
      <c r="K50" s="3"/>
      <c r="L50" s="3"/>
      <c r="M50" s="2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6:23" x14ac:dyDescent="0.25">
      <c r="F51" s="2"/>
      <c r="G51" s="3"/>
      <c r="H51" s="3"/>
      <c r="I51" s="3"/>
      <c r="J51" s="3"/>
      <c r="K51" s="3"/>
      <c r="L51" s="3"/>
      <c r="M51" s="2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6:23" x14ac:dyDescent="0.25">
      <c r="F52" s="2"/>
      <c r="G52" s="3"/>
      <c r="H52" s="3"/>
      <c r="I52" s="3"/>
      <c r="J52" s="3"/>
      <c r="K52" s="3"/>
      <c r="L52" s="3"/>
      <c r="M52" s="2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6:23" x14ac:dyDescent="0.25">
      <c r="F53" s="2"/>
      <c r="G53" s="3"/>
      <c r="H53" s="3"/>
      <c r="I53" s="3"/>
      <c r="J53" s="3"/>
      <c r="K53" s="3"/>
      <c r="L53" s="3"/>
      <c r="M53" s="2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6:23" x14ac:dyDescent="0.25">
      <c r="F54" s="2"/>
      <c r="G54" s="3"/>
      <c r="H54" s="3"/>
      <c r="I54" s="3"/>
      <c r="J54" s="3"/>
      <c r="K54" s="3"/>
      <c r="L54" s="3"/>
      <c r="M54" s="2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6:23" x14ac:dyDescent="0.25">
      <c r="F55" s="2"/>
      <c r="G55" s="3"/>
      <c r="H55" s="3"/>
      <c r="I55" s="3"/>
      <c r="J55" s="3"/>
      <c r="K55" s="3"/>
      <c r="L55" s="3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6:23" x14ac:dyDescent="0.25">
      <c r="F56" s="2"/>
      <c r="G56" s="3"/>
      <c r="H56" s="3"/>
      <c r="I56" s="3"/>
      <c r="J56" s="3"/>
      <c r="K56" s="3"/>
      <c r="L56" s="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6:23" x14ac:dyDescent="0.25">
      <c r="F57" s="2"/>
      <c r="G57" s="3"/>
      <c r="H57" s="3"/>
      <c r="I57" s="3"/>
      <c r="J57" s="3"/>
      <c r="K57" s="3"/>
      <c r="L57" s="3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6:23" x14ac:dyDescent="0.25">
      <c r="F58" s="2"/>
      <c r="G58" s="3"/>
      <c r="H58" s="3"/>
      <c r="I58" s="3"/>
      <c r="J58" s="3"/>
      <c r="K58" s="3"/>
      <c r="L58" s="3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6:23" x14ac:dyDescent="0.25">
      <c r="F59" s="2"/>
      <c r="G59" s="3"/>
      <c r="H59" s="3"/>
      <c r="I59" s="3"/>
      <c r="J59" s="3"/>
      <c r="K59" s="3"/>
      <c r="L59" s="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6:23" x14ac:dyDescent="0.25">
      <c r="F60" s="2"/>
      <c r="G60" s="3"/>
      <c r="H60" s="3"/>
      <c r="I60" s="3"/>
      <c r="J60" s="3"/>
      <c r="K60" s="3"/>
      <c r="L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6:23" x14ac:dyDescent="0.25">
      <c r="F61" s="2"/>
      <c r="G61" s="3"/>
      <c r="H61" s="3"/>
      <c r="I61" s="3"/>
      <c r="J61" s="3"/>
      <c r="K61" s="3"/>
      <c r="L61" s="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6:23" x14ac:dyDescent="0.25">
      <c r="F62" s="2"/>
      <c r="G62" s="3"/>
      <c r="H62" s="3"/>
      <c r="I62" s="3"/>
      <c r="J62" s="3"/>
      <c r="K62" s="3"/>
      <c r="L62" s="3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6:23" x14ac:dyDescent="0.25">
      <c r="F63" s="2"/>
      <c r="G63" s="3"/>
      <c r="H63" s="3"/>
      <c r="I63" s="3"/>
      <c r="J63" s="3"/>
      <c r="K63" s="3"/>
      <c r="L63" s="3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6:23" x14ac:dyDescent="0.25">
      <c r="F64" s="2"/>
      <c r="G64" s="3"/>
      <c r="H64" s="3"/>
      <c r="I64" s="3"/>
      <c r="J64" s="3"/>
      <c r="K64" s="3"/>
      <c r="L64" s="3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6:23" x14ac:dyDescent="0.25">
      <c r="F65" s="2"/>
      <c r="G65" s="3"/>
      <c r="H65" s="3"/>
      <c r="I65" s="3"/>
      <c r="J65" s="3"/>
      <c r="K65" s="3"/>
      <c r="L65" s="3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6:23" x14ac:dyDescent="0.25">
      <c r="F66" s="2"/>
      <c r="G66" s="3"/>
      <c r="H66" s="3"/>
      <c r="I66" s="3"/>
      <c r="J66" s="3"/>
      <c r="K66" s="3"/>
      <c r="L66" s="3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6:23" x14ac:dyDescent="0.25">
      <c r="F67" s="2"/>
      <c r="G67" s="3"/>
      <c r="H67" s="3"/>
      <c r="I67" s="3"/>
      <c r="J67" s="3"/>
      <c r="K67" s="3"/>
      <c r="L67" s="3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6:23" x14ac:dyDescent="0.25">
      <c r="F68" s="2"/>
      <c r="G68" s="3"/>
      <c r="H68" s="3"/>
      <c r="I68" s="3"/>
      <c r="J68" s="3"/>
      <c r="K68" s="3"/>
      <c r="L68" s="3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6:23" x14ac:dyDescent="0.25">
      <c r="F69" s="2"/>
      <c r="G69" s="3"/>
      <c r="H69" s="3"/>
      <c r="I69" s="3"/>
      <c r="J69" s="3"/>
      <c r="K69" s="3"/>
      <c r="L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6:23" x14ac:dyDescent="0.25">
      <c r="F70" s="2"/>
      <c r="G70" s="3"/>
      <c r="H70" s="3"/>
      <c r="I70" s="3"/>
      <c r="J70" s="3"/>
      <c r="K70" s="3"/>
      <c r="L70" s="3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6:23" x14ac:dyDescent="0.25">
      <c r="F71" s="2"/>
      <c r="G71" s="3"/>
      <c r="H71" s="3"/>
      <c r="I71" s="3"/>
      <c r="J71" s="3"/>
      <c r="K71" s="3"/>
      <c r="L71" s="3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6:23" x14ac:dyDescent="0.25">
      <c r="F72" s="2"/>
      <c r="G72" s="3"/>
      <c r="H72" s="3"/>
      <c r="I72" s="3"/>
      <c r="J72" s="3"/>
      <c r="K72" s="3"/>
      <c r="L72" s="3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6:23" x14ac:dyDescent="0.25">
      <c r="F73" s="2"/>
      <c r="G73" s="3"/>
      <c r="H73" s="3"/>
      <c r="I73" s="3"/>
      <c r="J73" s="3"/>
      <c r="K73" s="3"/>
      <c r="L73" s="3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6:23" x14ac:dyDescent="0.25">
      <c r="F74" s="2"/>
      <c r="G74" s="3"/>
      <c r="H74" s="3"/>
      <c r="I74" s="3"/>
      <c r="J74" s="3"/>
      <c r="K74" s="3"/>
      <c r="L74" s="3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6:23" x14ac:dyDescent="0.25">
      <c r="F75" s="2"/>
      <c r="G75" s="3"/>
      <c r="H75" s="3"/>
      <c r="I75" s="3"/>
      <c r="J75" s="3"/>
      <c r="K75" s="3"/>
      <c r="L75" s="3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6:23" x14ac:dyDescent="0.25">
      <c r="F76" s="2"/>
      <c r="G76" s="3"/>
      <c r="H76" s="3"/>
      <c r="I76" s="3"/>
      <c r="J76" s="3"/>
      <c r="K76" s="3"/>
      <c r="L76" s="3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6:23" x14ac:dyDescent="0.25">
      <c r="F77" s="2"/>
      <c r="G77" s="3"/>
      <c r="H77" s="3"/>
      <c r="I77" s="3"/>
      <c r="J77" s="3"/>
      <c r="K77" s="3"/>
      <c r="L77" s="3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6:23" x14ac:dyDescent="0.25">
      <c r="F78" s="2"/>
      <c r="G78" s="3"/>
      <c r="H78" s="3"/>
      <c r="I78" s="3"/>
      <c r="J78" s="3"/>
      <c r="K78" s="3"/>
      <c r="L78" s="3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6:23" x14ac:dyDescent="0.25">
      <c r="F79" s="2"/>
      <c r="G79" s="3"/>
      <c r="H79" s="3"/>
      <c r="I79" s="3"/>
      <c r="J79" s="3"/>
      <c r="K79" s="3"/>
      <c r="L79" s="3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6:23" x14ac:dyDescent="0.25">
      <c r="F80" s="2"/>
      <c r="G80" s="3"/>
      <c r="H80" s="3"/>
      <c r="I80" s="3"/>
      <c r="J80" s="3"/>
      <c r="K80" s="3"/>
      <c r="L80" s="3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6:23" x14ac:dyDescent="0.25">
      <c r="F81" s="2"/>
      <c r="G81" s="3"/>
      <c r="H81" s="3"/>
      <c r="I81" s="3"/>
      <c r="J81" s="3"/>
      <c r="K81" s="3"/>
      <c r="L81" s="3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6:23" x14ac:dyDescent="0.25">
      <c r="F82" s="2"/>
      <c r="G82" s="3"/>
      <c r="H82" s="3"/>
      <c r="I82" s="3"/>
      <c r="J82" s="3"/>
      <c r="K82" s="3"/>
      <c r="L82" s="3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6:23" x14ac:dyDescent="0.25">
      <c r="F83" s="2"/>
      <c r="G83" s="3"/>
      <c r="H83" s="3"/>
      <c r="I83" s="3"/>
      <c r="J83" s="3"/>
      <c r="K83" s="3"/>
      <c r="L83" s="3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6:23" x14ac:dyDescent="0.25">
      <c r="F84" s="2"/>
      <c r="G84" s="3"/>
      <c r="H84" s="3"/>
      <c r="I84" s="3"/>
      <c r="J84" s="3"/>
      <c r="K84" s="3"/>
      <c r="L84" s="3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6:23" x14ac:dyDescent="0.25">
      <c r="F85" s="2"/>
      <c r="G85" s="3"/>
      <c r="H85" s="3"/>
      <c r="I85" s="3"/>
      <c r="J85" s="3"/>
      <c r="K85" s="3"/>
      <c r="L85" s="3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6:23" x14ac:dyDescent="0.25">
      <c r="F86" s="2"/>
      <c r="G86" s="3"/>
      <c r="H86" s="3"/>
      <c r="I86" s="3"/>
      <c r="J86" s="3"/>
      <c r="K86" s="3"/>
      <c r="L86" s="3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6:23" x14ac:dyDescent="0.25">
      <c r="F87" s="2"/>
      <c r="G87" s="3"/>
      <c r="H87" s="3"/>
      <c r="I87" s="3"/>
      <c r="J87" s="3"/>
      <c r="K87" s="3"/>
      <c r="L87" s="3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6:23" x14ac:dyDescent="0.25">
      <c r="F88" s="2"/>
      <c r="G88" s="3"/>
      <c r="H88" s="3"/>
      <c r="I88" s="3"/>
      <c r="J88" s="3"/>
      <c r="K88" s="3"/>
      <c r="L88" s="3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6:23" x14ac:dyDescent="0.25">
      <c r="F89" s="2"/>
      <c r="G89" s="3"/>
      <c r="H89" s="3"/>
      <c r="I89" s="3"/>
      <c r="J89" s="3"/>
      <c r="K89" s="3"/>
      <c r="L89" s="3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6:23" x14ac:dyDescent="0.25">
      <c r="F90" s="2"/>
      <c r="G90" s="3"/>
      <c r="H90" s="3"/>
      <c r="I90" s="3"/>
      <c r="J90" s="3"/>
      <c r="K90" s="3"/>
      <c r="L90" s="3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6:23" x14ac:dyDescent="0.25">
      <c r="F91" s="2"/>
      <c r="G91" s="3"/>
      <c r="H91" s="3"/>
      <c r="I91" s="3"/>
      <c r="J91" s="3"/>
      <c r="K91" s="3"/>
      <c r="L91" s="3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6:23" x14ac:dyDescent="0.25">
      <c r="F92" s="2"/>
      <c r="G92" s="3"/>
      <c r="H92" s="3"/>
      <c r="I92" s="3"/>
      <c r="J92" s="3"/>
      <c r="K92" s="3"/>
      <c r="L92" s="3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6:23" x14ac:dyDescent="0.25">
      <c r="F93" s="2"/>
      <c r="G93" s="3"/>
      <c r="H93" s="3"/>
      <c r="I93" s="3"/>
      <c r="J93" s="3"/>
      <c r="K93" s="3"/>
      <c r="L93" s="3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6:23" x14ac:dyDescent="0.25">
      <c r="F94" s="2"/>
      <c r="G94" s="3"/>
      <c r="H94" s="3"/>
      <c r="I94" s="3"/>
      <c r="J94" s="3"/>
      <c r="K94" s="3"/>
      <c r="L94" s="3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6:23" x14ac:dyDescent="0.25">
      <c r="F95" s="2"/>
      <c r="G95" s="3"/>
      <c r="H95" s="3"/>
      <c r="I95" s="3"/>
      <c r="J95" s="3"/>
      <c r="K95" s="3"/>
      <c r="L95" s="3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6:23" x14ac:dyDescent="0.25">
      <c r="F96" s="2"/>
      <c r="G96" s="3"/>
      <c r="H96" s="3"/>
      <c r="I96" s="3"/>
      <c r="J96" s="3"/>
      <c r="K96" s="3"/>
      <c r="L96" s="3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6:23" x14ac:dyDescent="0.25">
      <c r="F97" s="2"/>
      <c r="G97" s="3"/>
      <c r="H97" s="3"/>
      <c r="I97" s="3"/>
      <c r="J97" s="3"/>
      <c r="K97" s="3"/>
      <c r="L97" s="3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6:23" x14ac:dyDescent="0.25">
      <c r="F98" s="2"/>
      <c r="G98" s="3"/>
      <c r="H98" s="3"/>
      <c r="I98" s="3"/>
      <c r="J98" s="3"/>
      <c r="K98" s="3"/>
      <c r="L98" s="3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6:23" x14ac:dyDescent="0.25">
      <c r="F99" s="2"/>
      <c r="G99" s="3"/>
      <c r="H99" s="3"/>
      <c r="I99" s="3"/>
      <c r="J99" s="3"/>
      <c r="K99" s="3"/>
      <c r="L99" s="3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6:23" x14ac:dyDescent="0.25">
      <c r="F100" s="2"/>
      <c r="G100" s="3"/>
      <c r="H100" s="3"/>
      <c r="I100" s="3"/>
      <c r="J100" s="3"/>
      <c r="K100" s="3"/>
      <c r="L100" s="3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6:23" x14ac:dyDescent="0.25">
      <c r="F101" s="2"/>
      <c r="G101" s="3"/>
      <c r="H101" s="3"/>
      <c r="I101" s="3"/>
      <c r="J101" s="3"/>
      <c r="K101" s="3"/>
      <c r="L101" s="3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6:23" x14ac:dyDescent="0.25">
      <c r="F102" s="2"/>
      <c r="G102" s="3"/>
      <c r="H102" s="3"/>
      <c r="I102" s="3"/>
      <c r="J102" s="3"/>
      <c r="K102" s="3"/>
      <c r="L102" s="3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6:23" x14ac:dyDescent="0.25">
      <c r="F103" s="2"/>
      <c r="G103" s="3"/>
      <c r="H103" s="3"/>
      <c r="I103" s="3"/>
      <c r="J103" s="3"/>
      <c r="K103" s="3"/>
      <c r="L103" s="3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6:23" x14ac:dyDescent="0.25">
      <c r="F104" s="2"/>
      <c r="G104" s="3"/>
      <c r="H104" s="3"/>
      <c r="I104" s="3"/>
      <c r="J104" s="3"/>
      <c r="K104" s="3"/>
      <c r="L104" s="3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6:23" x14ac:dyDescent="0.25">
      <c r="F105" s="2"/>
      <c r="G105" s="3"/>
      <c r="H105" s="3"/>
      <c r="I105" s="3"/>
      <c r="J105" s="3"/>
      <c r="K105" s="3"/>
      <c r="L105" s="3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6:23" x14ac:dyDescent="0.25">
      <c r="F106" s="2"/>
      <c r="G106" s="3"/>
      <c r="H106" s="3"/>
      <c r="I106" s="3"/>
      <c r="J106" s="3"/>
      <c r="K106" s="3"/>
      <c r="L106" s="3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6:23" x14ac:dyDescent="0.25">
      <c r="F107" s="2"/>
      <c r="G107" s="3"/>
      <c r="H107" s="3"/>
      <c r="I107" s="3"/>
      <c r="J107" s="3"/>
      <c r="K107" s="3"/>
      <c r="L107" s="3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6:23" x14ac:dyDescent="0.25">
      <c r="F108" s="2"/>
      <c r="G108" s="3"/>
      <c r="H108" s="3"/>
      <c r="I108" s="3"/>
      <c r="J108" s="3"/>
      <c r="K108" s="3"/>
      <c r="L108" s="3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6:23" x14ac:dyDescent="0.25">
      <c r="F109" s="2"/>
      <c r="G109" s="3"/>
      <c r="H109" s="3"/>
      <c r="I109" s="3"/>
      <c r="J109" s="3"/>
      <c r="K109" s="3"/>
      <c r="L109" s="3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6:23" x14ac:dyDescent="0.25">
      <c r="F110" s="2"/>
      <c r="G110" s="3"/>
      <c r="H110" s="3"/>
      <c r="I110" s="3"/>
      <c r="J110" s="3"/>
      <c r="K110" s="3"/>
      <c r="L110" s="3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6:23" x14ac:dyDescent="0.25">
      <c r="F111" s="2"/>
      <c r="G111" s="3"/>
      <c r="H111" s="3"/>
      <c r="I111" s="3"/>
      <c r="J111" s="3"/>
      <c r="K111" s="3"/>
      <c r="L111" s="3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6:23" x14ac:dyDescent="0.25">
      <c r="F112" s="2"/>
      <c r="G112" s="3"/>
      <c r="H112" s="3"/>
      <c r="I112" s="3"/>
      <c r="J112" s="3"/>
      <c r="K112" s="3"/>
      <c r="L112" s="3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6:23" x14ac:dyDescent="0.25">
      <c r="F113" s="2"/>
      <c r="G113" s="3"/>
      <c r="H113" s="3"/>
      <c r="I113" s="3"/>
      <c r="J113" s="3"/>
      <c r="K113" s="3"/>
      <c r="L113" s="3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6:23" x14ac:dyDescent="0.25">
      <c r="F114" s="2"/>
      <c r="G114" s="3"/>
      <c r="H114" s="3"/>
      <c r="I114" s="3"/>
      <c r="J114" s="3"/>
      <c r="K114" s="3"/>
      <c r="L114" s="3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6:23" x14ac:dyDescent="0.25">
      <c r="F115" s="2"/>
      <c r="G115" s="3"/>
      <c r="H115" s="3"/>
      <c r="I115" s="3"/>
      <c r="J115" s="3"/>
      <c r="K115" s="3"/>
      <c r="L115" s="3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6:23" x14ac:dyDescent="0.25">
      <c r="F116" s="2"/>
      <c r="G116" s="3"/>
      <c r="H116" s="3"/>
      <c r="I116" s="3"/>
      <c r="J116" s="3"/>
      <c r="K116" s="3"/>
      <c r="L116" s="3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6:23" x14ac:dyDescent="0.25">
      <c r="F117" s="2"/>
      <c r="G117" s="3"/>
      <c r="H117" s="3"/>
      <c r="I117" s="3"/>
      <c r="J117" s="3"/>
      <c r="K117" s="3"/>
      <c r="L117" s="3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6:23" x14ac:dyDescent="0.25">
      <c r="F118" s="2"/>
      <c r="G118" s="3"/>
      <c r="H118" s="3"/>
      <c r="I118" s="3"/>
      <c r="J118" s="3"/>
      <c r="K118" s="3"/>
      <c r="L118" s="3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6:23" x14ac:dyDescent="0.25">
      <c r="F119" s="2"/>
      <c r="G119" s="3"/>
      <c r="H119" s="3"/>
      <c r="I119" s="3"/>
      <c r="J119" s="3"/>
      <c r="K119" s="3"/>
      <c r="L119" s="3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6:23" x14ac:dyDescent="0.25">
      <c r="F120" s="2"/>
      <c r="G120" s="3"/>
      <c r="H120" s="3"/>
      <c r="I120" s="3"/>
      <c r="J120" s="3"/>
      <c r="K120" s="3"/>
      <c r="L120" s="3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6:23" x14ac:dyDescent="0.25">
      <c r="F121" s="2"/>
      <c r="G121" s="3"/>
      <c r="H121" s="3"/>
      <c r="I121" s="3"/>
      <c r="J121" s="3"/>
      <c r="K121" s="3"/>
      <c r="L121" s="3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6:23" x14ac:dyDescent="0.25">
      <c r="F122" s="2"/>
      <c r="G122" s="3"/>
      <c r="H122" s="3"/>
      <c r="I122" s="3"/>
      <c r="J122" s="3"/>
      <c r="K122" s="3"/>
      <c r="L122" s="3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6:23" x14ac:dyDescent="0.25">
      <c r="F123" s="2"/>
      <c r="G123" s="3"/>
      <c r="H123" s="3"/>
      <c r="I123" s="3"/>
      <c r="J123" s="3"/>
      <c r="K123" s="3"/>
      <c r="L123" s="3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6:23" x14ac:dyDescent="0.25">
      <c r="F124" s="2"/>
      <c r="G124" s="3"/>
      <c r="H124" s="3"/>
      <c r="I124" s="3"/>
      <c r="J124" s="3"/>
      <c r="K124" s="3"/>
      <c r="L124" s="3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6:23" x14ac:dyDescent="0.25">
      <c r="F125" s="2"/>
      <c r="G125" s="3"/>
      <c r="H125" s="3"/>
      <c r="I125" s="3"/>
      <c r="J125" s="3"/>
      <c r="K125" s="3"/>
      <c r="L125" s="3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6:23" x14ac:dyDescent="0.25">
      <c r="F126" s="2"/>
      <c r="G126" s="3"/>
      <c r="H126" s="3"/>
      <c r="I126" s="3"/>
      <c r="J126" s="3"/>
      <c r="K126" s="3"/>
      <c r="L126" s="3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6:23" x14ac:dyDescent="0.25">
      <c r="F127" s="2"/>
      <c r="G127" s="3"/>
      <c r="H127" s="3"/>
      <c r="I127" s="3"/>
      <c r="J127" s="3"/>
      <c r="K127" s="3"/>
      <c r="L127" s="3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6:23" x14ac:dyDescent="0.25">
      <c r="F128" s="2"/>
      <c r="G128" s="3"/>
      <c r="H128" s="3"/>
      <c r="I128" s="3"/>
      <c r="J128" s="3"/>
      <c r="K128" s="3"/>
      <c r="L128" s="3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6:23" x14ac:dyDescent="0.25">
      <c r="F129" s="2"/>
      <c r="G129" s="3"/>
      <c r="H129" s="3"/>
      <c r="I129" s="3"/>
      <c r="J129" s="3"/>
      <c r="K129" s="3"/>
      <c r="L129" s="3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6:23" x14ac:dyDescent="0.25">
      <c r="F130" s="2"/>
      <c r="G130" s="3"/>
      <c r="H130" s="3"/>
      <c r="I130" s="3"/>
      <c r="J130" s="3"/>
      <c r="K130" s="3"/>
      <c r="L130" s="3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6:23" x14ac:dyDescent="0.25">
      <c r="F131" s="2"/>
      <c r="G131" s="3"/>
      <c r="H131" s="3"/>
      <c r="I131" s="3"/>
      <c r="J131" s="3"/>
      <c r="K131" s="3"/>
      <c r="L131" s="3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6:23" x14ac:dyDescent="0.25">
      <c r="F132" s="2"/>
      <c r="G132" s="3"/>
      <c r="H132" s="3"/>
      <c r="I132" s="3"/>
      <c r="J132" s="3"/>
      <c r="K132" s="3"/>
      <c r="L132" s="3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6:23" x14ac:dyDescent="0.25">
      <c r="F133" s="2"/>
      <c r="G133" s="3"/>
      <c r="H133" s="3"/>
      <c r="I133" s="3"/>
      <c r="J133" s="3"/>
      <c r="K133" s="3"/>
      <c r="L133" s="3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6:23" x14ac:dyDescent="0.25">
      <c r="F134" s="2"/>
      <c r="G134" s="3"/>
      <c r="H134" s="3"/>
      <c r="I134" s="3"/>
      <c r="J134" s="3"/>
      <c r="K134" s="3"/>
      <c r="L134" s="3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6:23" x14ac:dyDescent="0.25">
      <c r="F135" s="2"/>
      <c r="G135" s="3"/>
      <c r="H135" s="3"/>
      <c r="I135" s="3"/>
      <c r="J135" s="3"/>
      <c r="K135" s="3"/>
      <c r="L135" s="3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6:23" x14ac:dyDescent="0.25">
      <c r="F136" s="2"/>
      <c r="G136" s="3"/>
      <c r="H136" s="3"/>
      <c r="I136" s="3"/>
      <c r="J136" s="3"/>
      <c r="K136" s="3"/>
      <c r="L136" s="3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6:23" x14ac:dyDescent="0.25">
      <c r="F137" s="2"/>
      <c r="G137" s="3"/>
      <c r="H137" s="3"/>
      <c r="I137" s="3"/>
      <c r="J137" s="3"/>
      <c r="K137" s="3"/>
      <c r="L137" s="3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6:23" x14ac:dyDescent="0.25">
      <c r="F138" s="2"/>
      <c r="G138" s="3"/>
      <c r="H138" s="3"/>
      <c r="I138" s="3"/>
      <c r="J138" s="3"/>
      <c r="K138" s="3"/>
      <c r="L138" s="3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6:23" x14ac:dyDescent="0.25">
      <c r="F139" s="2"/>
      <c r="G139" s="3"/>
      <c r="H139" s="3"/>
      <c r="I139" s="3"/>
      <c r="J139" s="3"/>
      <c r="K139" s="3"/>
      <c r="L139" s="3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6:23" x14ac:dyDescent="0.25">
      <c r="F140" s="2"/>
      <c r="G140" s="3"/>
      <c r="H140" s="3"/>
      <c r="I140" s="3"/>
      <c r="J140" s="3"/>
      <c r="K140" s="3"/>
      <c r="L140" s="3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6:23" x14ac:dyDescent="0.25">
      <c r="F141" s="2"/>
      <c r="G141" s="3"/>
      <c r="H141" s="3"/>
      <c r="I141" s="3"/>
      <c r="J141" s="3"/>
      <c r="K141" s="3"/>
      <c r="L141" s="3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6:23" x14ac:dyDescent="0.25">
      <c r="F142" s="2"/>
      <c r="G142" s="3"/>
      <c r="H142" s="3"/>
      <c r="I142" s="3"/>
      <c r="J142" s="3"/>
      <c r="K142" s="3"/>
      <c r="L142" s="3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6:23" x14ac:dyDescent="0.25">
      <c r="F143" s="2"/>
      <c r="G143" s="3"/>
      <c r="H143" s="3"/>
      <c r="I143" s="3"/>
      <c r="J143" s="3"/>
      <c r="K143" s="3"/>
      <c r="L143" s="3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6:23" x14ac:dyDescent="0.25">
      <c r="F144" s="2"/>
      <c r="G144" s="3"/>
      <c r="H144" s="3"/>
      <c r="I144" s="3"/>
      <c r="J144" s="3"/>
      <c r="K144" s="3"/>
      <c r="L144" s="3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6:23" x14ac:dyDescent="0.25">
      <c r="F145" s="2"/>
      <c r="G145" s="3"/>
      <c r="H145" s="3"/>
      <c r="I145" s="3"/>
      <c r="J145" s="3"/>
      <c r="K145" s="3"/>
      <c r="L145" s="3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6:23" x14ac:dyDescent="0.25">
      <c r="F146" s="2"/>
      <c r="G146" s="3"/>
      <c r="H146" s="3"/>
      <c r="I146" s="3"/>
      <c r="J146" s="3"/>
      <c r="K146" s="3"/>
      <c r="L146" s="3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6:23" x14ac:dyDescent="0.25">
      <c r="F147" s="2"/>
      <c r="G147" s="3"/>
      <c r="H147" s="3"/>
      <c r="I147" s="3"/>
      <c r="J147" s="3"/>
      <c r="K147" s="3"/>
      <c r="L147" s="3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6:23" x14ac:dyDescent="0.25">
      <c r="F148" s="2"/>
      <c r="G148" s="3"/>
      <c r="H148" s="3"/>
      <c r="I148" s="3"/>
      <c r="J148" s="3"/>
      <c r="K148" s="3"/>
      <c r="L148" s="3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6:23" x14ac:dyDescent="0.25">
      <c r="F149" s="2"/>
      <c r="G149" s="3"/>
      <c r="H149" s="3"/>
      <c r="I149" s="3"/>
      <c r="J149" s="3"/>
      <c r="K149" s="3"/>
      <c r="L149" s="3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6:23" x14ac:dyDescent="0.25">
      <c r="F150" s="2"/>
      <c r="G150" s="3"/>
      <c r="H150" s="3"/>
      <c r="I150" s="3"/>
      <c r="J150" s="3"/>
      <c r="K150" s="3"/>
      <c r="L150" s="3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6:23" x14ac:dyDescent="0.25">
      <c r="F151" s="2"/>
      <c r="G151" s="3"/>
      <c r="H151" s="3"/>
      <c r="I151" s="3"/>
      <c r="J151" s="3"/>
      <c r="K151" s="3"/>
      <c r="L151" s="3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6:23" x14ac:dyDescent="0.25">
      <c r="F152" s="2"/>
      <c r="G152" s="3"/>
      <c r="H152" s="3"/>
      <c r="I152" s="3"/>
      <c r="J152" s="3"/>
      <c r="K152" s="3"/>
      <c r="L152" s="3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6:23" x14ac:dyDescent="0.25">
      <c r="F153" s="2"/>
      <c r="G153" s="3"/>
      <c r="H153" s="3"/>
      <c r="I153" s="3"/>
      <c r="J153" s="3"/>
      <c r="K153" s="3"/>
      <c r="L153" s="3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6:23" x14ac:dyDescent="0.25">
      <c r="F154" s="2"/>
      <c r="G154" s="3"/>
      <c r="H154" s="3"/>
      <c r="I154" s="3"/>
      <c r="J154" s="3"/>
      <c r="K154" s="3"/>
      <c r="L154" s="3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6:23" x14ac:dyDescent="0.25">
      <c r="F155" s="2"/>
      <c r="G155" s="3"/>
      <c r="H155" s="3"/>
      <c r="I155" s="3"/>
      <c r="J155" s="3"/>
      <c r="K155" s="3"/>
      <c r="L155" s="3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6:23" x14ac:dyDescent="0.25">
      <c r="F156" s="2"/>
      <c r="G156" s="3"/>
      <c r="H156" s="3"/>
      <c r="I156" s="3"/>
      <c r="J156" s="3"/>
      <c r="K156" s="3"/>
      <c r="L156" s="3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6:23" x14ac:dyDescent="0.25">
      <c r="F157" s="2"/>
      <c r="G157" s="3"/>
      <c r="H157" s="3"/>
      <c r="I157" s="3"/>
      <c r="J157" s="3"/>
      <c r="K157" s="3"/>
      <c r="L157" s="3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6:23" x14ac:dyDescent="0.25">
      <c r="F158" s="2"/>
      <c r="G158" s="3"/>
      <c r="H158" s="3"/>
      <c r="I158" s="3"/>
      <c r="J158" s="3"/>
      <c r="K158" s="3"/>
      <c r="L158" s="3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6:23" x14ac:dyDescent="0.25">
      <c r="F159" s="2"/>
      <c r="G159" s="3"/>
      <c r="H159" s="3"/>
      <c r="I159" s="3"/>
      <c r="J159" s="3"/>
      <c r="K159" s="3"/>
      <c r="L159" s="3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6:23" x14ac:dyDescent="0.25">
      <c r="F160" s="2"/>
      <c r="G160" s="3"/>
      <c r="H160" s="3"/>
      <c r="I160" s="3"/>
      <c r="J160" s="3"/>
      <c r="K160" s="3"/>
      <c r="L160" s="3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6:23" x14ac:dyDescent="0.25">
      <c r="F161" s="2"/>
      <c r="G161" s="3"/>
      <c r="H161" s="3"/>
      <c r="I161" s="3"/>
      <c r="J161" s="3"/>
      <c r="K161" s="3"/>
      <c r="L161" s="3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6:23" x14ac:dyDescent="0.25">
      <c r="F162" s="2"/>
      <c r="G162" s="3"/>
      <c r="H162" s="3"/>
      <c r="I162" s="3"/>
      <c r="J162" s="3"/>
      <c r="K162" s="3"/>
      <c r="L162" s="3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6:23" x14ac:dyDescent="0.25">
      <c r="F163" s="2"/>
      <c r="G163" s="3"/>
      <c r="H163" s="3"/>
      <c r="I163" s="3"/>
      <c r="J163" s="3"/>
      <c r="K163" s="3"/>
      <c r="L163" s="3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6:23" x14ac:dyDescent="0.25">
      <c r="F164" s="2"/>
      <c r="G164" s="3"/>
      <c r="H164" s="3"/>
      <c r="I164" s="3"/>
      <c r="J164" s="3"/>
      <c r="K164" s="3"/>
      <c r="L164" s="3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6:23" x14ac:dyDescent="0.25">
      <c r="F165" s="2"/>
      <c r="G165" s="3"/>
      <c r="H165" s="3"/>
      <c r="I165" s="3"/>
      <c r="J165" s="3"/>
      <c r="K165" s="3"/>
      <c r="L165" s="3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6:23" x14ac:dyDescent="0.25">
      <c r="F166" s="2"/>
      <c r="G166" s="3"/>
      <c r="H166" s="3"/>
      <c r="I166" s="3"/>
      <c r="J166" s="3"/>
      <c r="K166" s="3"/>
      <c r="L166" s="3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6:23" x14ac:dyDescent="0.25">
      <c r="F167" s="2"/>
      <c r="G167" s="3"/>
      <c r="H167" s="3"/>
      <c r="I167" s="3"/>
      <c r="J167" s="3"/>
      <c r="K167" s="3"/>
      <c r="L167" s="3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6:23" x14ac:dyDescent="0.25">
      <c r="F168" s="2"/>
      <c r="G168" s="3"/>
      <c r="H168" s="3"/>
      <c r="I168" s="3"/>
      <c r="J168" s="3"/>
      <c r="K168" s="3"/>
      <c r="L168" s="3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6:23" x14ac:dyDescent="0.25">
      <c r="F169" s="2"/>
      <c r="G169" s="3"/>
      <c r="H169" s="3"/>
      <c r="I169" s="3"/>
      <c r="J169" s="3"/>
      <c r="K169" s="3"/>
      <c r="L169" s="3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6:23" x14ac:dyDescent="0.25">
      <c r="F170" s="2"/>
      <c r="G170" s="3"/>
      <c r="H170" s="3"/>
      <c r="I170" s="3"/>
      <c r="J170" s="3"/>
      <c r="K170" s="3"/>
      <c r="L170" s="3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6:23" x14ac:dyDescent="0.25">
      <c r="F171" s="2"/>
      <c r="G171" s="3"/>
      <c r="H171" s="3"/>
      <c r="I171" s="3"/>
      <c r="J171" s="3"/>
      <c r="K171" s="3"/>
      <c r="L171" s="3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6:23" x14ac:dyDescent="0.25">
      <c r="F172" s="2"/>
      <c r="G172" s="3"/>
      <c r="H172" s="3"/>
      <c r="I172" s="3"/>
      <c r="J172" s="3"/>
      <c r="K172" s="3"/>
      <c r="L172" s="3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6:23" x14ac:dyDescent="0.25">
      <c r="F173" s="2"/>
      <c r="G173" s="3"/>
      <c r="H173" s="3"/>
      <c r="I173" s="3"/>
      <c r="J173" s="3"/>
      <c r="K173" s="3"/>
      <c r="L173" s="3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6:23" x14ac:dyDescent="0.25">
      <c r="F174" s="2"/>
      <c r="G174" s="3"/>
      <c r="H174" s="3"/>
      <c r="I174" s="3"/>
      <c r="J174" s="3"/>
      <c r="K174" s="3"/>
      <c r="L174" s="3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6:23" x14ac:dyDescent="0.25">
      <c r="F175" s="2"/>
      <c r="G175" s="3"/>
      <c r="H175" s="3"/>
      <c r="I175" s="3"/>
      <c r="J175" s="3"/>
      <c r="K175" s="3"/>
      <c r="L175" s="3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6:23" x14ac:dyDescent="0.25">
      <c r="F176" s="2"/>
      <c r="G176" s="3"/>
      <c r="H176" s="3"/>
      <c r="I176" s="3"/>
      <c r="J176" s="3"/>
      <c r="K176" s="3"/>
      <c r="L176" s="3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6:23" x14ac:dyDescent="0.25">
      <c r="F177" s="2"/>
      <c r="G177" s="3"/>
      <c r="H177" s="3"/>
      <c r="I177" s="3"/>
      <c r="J177" s="3"/>
      <c r="K177" s="3"/>
      <c r="L177" s="3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6:23" x14ac:dyDescent="0.25">
      <c r="F178" s="2"/>
      <c r="G178" s="3"/>
      <c r="H178" s="3"/>
      <c r="I178" s="3"/>
      <c r="J178" s="3"/>
      <c r="K178" s="3"/>
      <c r="L178" s="3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6:23" x14ac:dyDescent="0.25">
      <c r="F179" s="2"/>
      <c r="G179" s="3"/>
      <c r="H179" s="3"/>
      <c r="I179" s="3"/>
      <c r="J179" s="3"/>
      <c r="K179" s="3"/>
      <c r="L179" s="3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6:23" x14ac:dyDescent="0.25">
      <c r="F180" s="2"/>
      <c r="G180" s="3"/>
      <c r="H180" s="3"/>
      <c r="I180" s="3"/>
      <c r="J180" s="3"/>
      <c r="K180" s="3"/>
      <c r="L180" s="3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6:23" x14ac:dyDescent="0.25">
      <c r="F181" s="2"/>
      <c r="G181" s="3"/>
      <c r="H181" s="3"/>
      <c r="I181" s="3"/>
      <c r="J181" s="3"/>
      <c r="K181" s="3"/>
      <c r="L181" s="3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6:23" x14ac:dyDescent="0.25">
      <c r="F182" s="2"/>
      <c r="G182" s="3"/>
      <c r="H182" s="3"/>
      <c r="I182" s="3"/>
      <c r="J182" s="3"/>
      <c r="K182" s="3"/>
      <c r="L182" s="3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6:23" x14ac:dyDescent="0.25">
      <c r="F183" s="2"/>
      <c r="G183" s="3"/>
      <c r="H183" s="3"/>
      <c r="I183" s="3"/>
      <c r="J183" s="3"/>
      <c r="K183" s="3"/>
      <c r="L183" s="3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6:23" x14ac:dyDescent="0.25">
      <c r="F184" s="2"/>
      <c r="G184" s="3"/>
      <c r="H184" s="3"/>
      <c r="I184" s="3"/>
      <c r="J184" s="3"/>
      <c r="K184" s="3"/>
      <c r="L184" s="3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6:23" x14ac:dyDescent="0.25">
      <c r="F185" s="2"/>
      <c r="G185" s="3"/>
      <c r="H185" s="3"/>
      <c r="I185" s="3"/>
      <c r="J185" s="3"/>
      <c r="K185" s="3"/>
      <c r="L185" s="3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6:23" x14ac:dyDescent="0.25">
      <c r="F186" s="2"/>
      <c r="G186" s="3"/>
      <c r="H186" s="3"/>
      <c r="I186" s="3"/>
      <c r="J186" s="3"/>
      <c r="K186" s="3"/>
      <c r="L186" s="3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6:23" x14ac:dyDescent="0.25">
      <c r="F187" s="2"/>
      <c r="G187" s="3"/>
      <c r="H187" s="3"/>
      <c r="I187" s="3"/>
      <c r="J187" s="3"/>
      <c r="K187" s="3"/>
      <c r="L187" s="3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6:23" x14ac:dyDescent="0.25">
      <c r="F188" s="2"/>
      <c r="G188" s="3"/>
      <c r="H188" s="3"/>
      <c r="I188" s="3"/>
      <c r="J188" s="3"/>
      <c r="K188" s="3"/>
      <c r="L188" s="3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6:23" x14ac:dyDescent="0.25">
      <c r="F189" s="2"/>
      <c r="G189" s="3"/>
      <c r="H189" s="3"/>
      <c r="I189" s="3"/>
      <c r="J189" s="3"/>
      <c r="K189" s="3"/>
      <c r="L189" s="3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6:23" x14ac:dyDescent="0.25">
      <c r="F190" s="2"/>
      <c r="G190" s="3"/>
      <c r="H190" s="3"/>
      <c r="I190" s="3"/>
      <c r="J190" s="3"/>
      <c r="K190" s="3"/>
      <c r="L190" s="3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6:23" x14ac:dyDescent="0.25">
      <c r="F191" s="2"/>
      <c r="G191" s="3"/>
      <c r="H191" s="3"/>
      <c r="I191" s="3"/>
      <c r="J191" s="3"/>
      <c r="K191" s="3"/>
      <c r="L191" s="3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6:23" x14ac:dyDescent="0.25">
      <c r="F192" s="2"/>
      <c r="G192" s="3"/>
      <c r="H192" s="3"/>
      <c r="I192" s="3"/>
      <c r="J192" s="3"/>
      <c r="K192" s="3"/>
      <c r="L192" s="3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6:23" x14ac:dyDescent="0.25">
      <c r="F193" s="2"/>
      <c r="G193" s="3"/>
      <c r="H193" s="3"/>
      <c r="I193" s="3"/>
      <c r="J193" s="3"/>
      <c r="K193" s="3"/>
      <c r="L193" s="3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6:23" x14ac:dyDescent="0.25">
      <c r="F194" s="2"/>
      <c r="G194" s="3"/>
      <c r="H194" s="3"/>
      <c r="I194" s="3"/>
      <c r="J194" s="3"/>
      <c r="K194" s="3"/>
      <c r="L194" s="3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6:23" x14ac:dyDescent="0.25">
      <c r="F195" s="2"/>
      <c r="G195" s="3"/>
      <c r="H195" s="3"/>
      <c r="I195" s="3"/>
      <c r="J195" s="3"/>
      <c r="K195" s="3"/>
      <c r="L195" s="3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6:23" x14ac:dyDescent="0.25">
      <c r="F196" s="2"/>
      <c r="G196" s="3"/>
      <c r="H196" s="3"/>
      <c r="I196" s="3"/>
      <c r="J196" s="3"/>
      <c r="K196" s="3"/>
      <c r="L196" s="3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6:23" x14ac:dyDescent="0.25">
      <c r="F197" s="2"/>
      <c r="G197" s="3"/>
      <c r="H197" s="3"/>
      <c r="I197" s="3"/>
      <c r="J197" s="3"/>
      <c r="K197" s="3"/>
      <c r="L197" s="3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6:23" x14ac:dyDescent="0.25">
      <c r="F198" s="2"/>
      <c r="G198" s="3"/>
      <c r="H198" s="3"/>
      <c r="I198" s="3"/>
      <c r="J198" s="3"/>
      <c r="K198" s="3"/>
      <c r="L198" s="3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6:23" x14ac:dyDescent="0.25">
      <c r="F199" s="2"/>
      <c r="G199" s="3"/>
      <c r="H199" s="3"/>
      <c r="I199" s="3"/>
      <c r="J199" s="3"/>
      <c r="K199" s="3"/>
      <c r="L199" s="3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6:23" x14ac:dyDescent="0.25">
      <c r="F200" s="2"/>
      <c r="G200" s="3"/>
      <c r="H200" s="3"/>
      <c r="I200" s="3"/>
      <c r="J200" s="3"/>
      <c r="K200" s="3"/>
      <c r="L200" s="3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6:23" x14ac:dyDescent="0.25">
      <c r="F201" s="2"/>
      <c r="G201" s="3"/>
      <c r="H201" s="3"/>
      <c r="I201" s="3"/>
      <c r="J201" s="3"/>
      <c r="K201" s="3"/>
      <c r="L201" s="3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6:23" x14ac:dyDescent="0.25">
      <c r="F202" s="2"/>
      <c r="G202" s="3"/>
      <c r="H202" s="3"/>
      <c r="I202" s="3"/>
      <c r="J202" s="3"/>
      <c r="K202" s="3"/>
      <c r="L202" s="3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6:23" x14ac:dyDescent="0.25">
      <c r="F203" s="2"/>
      <c r="G203" s="3"/>
      <c r="H203" s="3"/>
      <c r="I203" s="3"/>
      <c r="J203" s="3"/>
      <c r="K203" s="3"/>
      <c r="L203" s="3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6:23" x14ac:dyDescent="0.25">
      <c r="F204" s="2"/>
      <c r="G204" s="3"/>
      <c r="H204" s="3"/>
      <c r="I204" s="3"/>
      <c r="J204" s="3"/>
      <c r="K204" s="3"/>
      <c r="L204" s="3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6:23" x14ac:dyDescent="0.25">
      <c r="F205" s="2"/>
      <c r="G205" s="3"/>
      <c r="H205" s="3"/>
      <c r="I205" s="3"/>
      <c r="J205" s="3"/>
      <c r="K205" s="3"/>
      <c r="L205" s="3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6:23" x14ac:dyDescent="0.25">
      <c r="F206" s="2"/>
      <c r="G206" s="3"/>
      <c r="H206" s="3"/>
      <c r="I206" s="3"/>
      <c r="J206" s="3"/>
      <c r="K206" s="3"/>
      <c r="L206" s="3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6:23" x14ac:dyDescent="0.25">
      <c r="F207" s="2"/>
      <c r="G207" s="3"/>
      <c r="H207" s="3"/>
      <c r="I207" s="3"/>
      <c r="J207" s="3"/>
      <c r="K207" s="3"/>
      <c r="L207" s="3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6:23" x14ac:dyDescent="0.25">
      <c r="F208" s="2"/>
      <c r="G208" s="3"/>
      <c r="H208" s="3"/>
      <c r="I208" s="3"/>
      <c r="J208" s="3"/>
      <c r="K208" s="3"/>
      <c r="L208" s="3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6:23" x14ac:dyDescent="0.25">
      <c r="F209" s="2"/>
      <c r="G209" s="3"/>
      <c r="H209" s="3"/>
      <c r="I209" s="3"/>
      <c r="J209" s="3"/>
      <c r="K209" s="3"/>
      <c r="L209" s="3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6:23" x14ac:dyDescent="0.25">
      <c r="F210" s="2"/>
      <c r="G210" s="3"/>
      <c r="H210" s="3"/>
      <c r="I210" s="3"/>
      <c r="J210" s="3"/>
      <c r="K210" s="3"/>
      <c r="L210" s="3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6:23" x14ac:dyDescent="0.25">
      <c r="F211" s="2"/>
      <c r="G211" s="3"/>
      <c r="H211" s="3"/>
      <c r="I211" s="3"/>
      <c r="J211" s="3"/>
      <c r="K211" s="3"/>
      <c r="L211" s="3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6:23" x14ac:dyDescent="0.25">
      <c r="F212" s="2"/>
      <c r="G212" s="3"/>
      <c r="H212" s="3"/>
      <c r="I212" s="3"/>
      <c r="J212" s="3"/>
      <c r="K212" s="3"/>
      <c r="L212" s="3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6:23" x14ac:dyDescent="0.25">
      <c r="F213" s="2"/>
      <c r="G213" s="3"/>
      <c r="H213" s="3"/>
      <c r="I213" s="3"/>
      <c r="J213" s="3"/>
      <c r="K213" s="3"/>
      <c r="L213" s="3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6:23" x14ac:dyDescent="0.25">
      <c r="F214" s="2"/>
      <c r="G214" s="3"/>
      <c r="H214" s="3"/>
      <c r="I214" s="3"/>
      <c r="J214" s="3"/>
      <c r="K214" s="3"/>
      <c r="L214" s="3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6:23" x14ac:dyDescent="0.25">
      <c r="F215" s="2"/>
      <c r="G215" s="3"/>
      <c r="H215" s="3"/>
      <c r="I215" s="3"/>
      <c r="J215" s="3"/>
      <c r="K215" s="3"/>
      <c r="L215" s="3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6:23" x14ac:dyDescent="0.25">
      <c r="F216" s="2"/>
      <c r="G216" s="3"/>
      <c r="H216" s="3"/>
      <c r="I216" s="3"/>
      <c r="J216" s="3"/>
      <c r="K216" s="3"/>
      <c r="L216" s="3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6:23" x14ac:dyDescent="0.25">
      <c r="F217" s="2"/>
      <c r="G217" s="3"/>
      <c r="H217" s="3"/>
      <c r="I217" s="3"/>
      <c r="J217" s="3"/>
      <c r="K217" s="3"/>
      <c r="L217" s="3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6:23" x14ac:dyDescent="0.25">
      <c r="F218" s="2"/>
      <c r="G218" s="3"/>
      <c r="H218" s="3"/>
      <c r="I218" s="3"/>
      <c r="J218" s="3"/>
      <c r="K218" s="3"/>
      <c r="L218" s="3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6:23" x14ac:dyDescent="0.25">
      <c r="F219" s="2"/>
      <c r="G219" s="3"/>
      <c r="H219" s="3"/>
      <c r="I219" s="3"/>
      <c r="J219" s="3"/>
      <c r="K219" s="3"/>
      <c r="L219" s="3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6:23" x14ac:dyDescent="0.25">
      <c r="F220" s="2"/>
      <c r="G220" s="3"/>
      <c r="H220" s="3"/>
      <c r="I220" s="3"/>
      <c r="J220" s="3"/>
      <c r="K220" s="3"/>
      <c r="L220" s="3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6:23" x14ac:dyDescent="0.25">
      <c r="F221" s="2"/>
      <c r="G221" s="3"/>
      <c r="H221" s="3"/>
      <c r="I221" s="3"/>
      <c r="J221" s="3"/>
      <c r="K221" s="3"/>
      <c r="L221" s="3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6:23" x14ac:dyDescent="0.25">
      <c r="F222" s="2"/>
      <c r="G222" s="3"/>
      <c r="H222" s="3"/>
      <c r="I222" s="3"/>
      <c r="J222" s="3"/>
      <c r="K222" s="3"/>
      <c r="L222" s="3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6:23" x14ac:dyDescent="0.25">
      <c r="F223" s="2"/>
      <c r="G223" s="3"/>
      <c r="H223" s="3"/>
      <c r="I223" s="3"/>
      <c r="J223" s="3"/>
      <c r="K223" s="3"/>
      <c r="L223" s="3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6:23" x14ac:dyDescent="0.25">
      <c r="F224" s="2"/>
      <c r="G224" s="3"/>
      <c r="H224" s="3"/>
      <c r="I224" s="3"/>
      <c r="J224" s="3"/>
      <c r="K224" s="3"/>
      <c r="L224" s="3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6:23" x14ac:dyDescent="0.25">
      <c r="F225" s="2"/>
      <c r="G225" s="3"/>
      <c r="H225" s="3"/>
      <c r="I225" s="3"/>
      <c r="J225" s="3"/>
      <c r="K225" s="3"/>
      <c r="L225" s="3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6:23" x14ac:dyDescent="0.25">
      <c r="F226" s="2"/>
      <c r="G226" s="3"/>
      <c r="H226" s="3"/>
      <c r="I226" s="3"/>
      <c r="J226" s="3"/>
      <c r="K226" s="3"/>
      <c r="L226" s="3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6:23" x14ac:dyDescent="0.25">
      <c r="F227" s="2"/>
      <c r="G227" s="3"/>
      <c r="H227" s="3"/>
      <c r="I227" s="3"/>
      <c r="J227" s="3"/>
      <c r="K227" s="3"/>
      <c r="L227" s="3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6:23" x14ac:dyDescent="0.25">
      <c r="F228" s="2"/>
      <c r="G228" s="3"/>
      <c r="H228" s="3"/>
      <c r="I228" s="3"/>
      <c r="J228" s="3"/>
      <c r="K228" s="3"/>
      <c r="L228" s="3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6:23" x14ac:dyDescent="0.25">
      <c r="F229" s="2"/>
      <c r="G229" s="3"/>
      <c r="H229" s="3"/>
      <c r="I229" s="3"/>
      <c r="J229" s="3"/>
      <c r="K229" s="3"/>
      <c r="L229" s="3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6:23" x14ac:dyDescent="0.25">
      <c r="F230" s="2"/>
      <c r="G230" s="3"/>
      <c r="H230" s="3"/>
      <c r="I230" s="3"/>
      <c r="J230" s="3"/>
      <c r="K230" s="3"/>
      <c r="L230" s="3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6:23" x14ac:dyDescent="0.25">
      <c r="F231" s="2"/>
      <c r="G231" s="3"/>
      <c r="H231" s="3"/>
      <c r="I231" s="3"/>
      <c r="J231" s="3"/>
      <c r="K231" s="3"/>
      <c r="L231" s="3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6:23" x14ac:dyDescent="0.25">
      <c r="F232" s="2"/>
      <c r="G232" s="3"/>
      <c r="H232" s="3"/>
      <c r="I232" s="3"/>
      <c r="J232" s="3"/>
      <c r="K232" s="3"/>
      <c r="L232" s="3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6:23" x14ac:dyDescent="0.25">
      <c r="F233" s="2"/>
      <c r="G233" s="3"/>
      <c r="H233" s="3"/>
      <c r="I233" s="3"/>
      <c r="J233" s="3"/>
      <c r="K233" s="3"/>
      <c r="L233" s="3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6:23" x14ac:dyDescent="0.25">
      <c r="F234" s="2"/>
      <c r="G234" s="3"/>
      <c r="H234" s="3"/>
      <c r="I234" s="3"/>
      <c r="J234" s="3"/>
      <c r="K234" s="3"/>
      <c r="L234" s="3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6:23" x14ac:dyDescent="0.25">
      <c r="F235" s="2"/>
      <c r="G235" s="3"/>
      <c r="H235" s="3"/>
      <c r="I235" s="3"/>
      <c r="J235" s="3"/>
      <c r="K235" s="3"/>
      <c r="L235" s="3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6:23" x14ac:dyDescent="0.25">
      <c r="F236" s="2"/>
      <c r="G236" s="3"/>
      <c r="H236" s="3"/>
      <c r="I236" s="3"/>
      <c r="J236" s="3"/>
      <c r="K236" s="3"/>
      <c r="L236" s="3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6:23" x14ac:dyDescent="0.25">
      <c r="F237" s="2"/>
      <c r="G237" s="3"/>
      <c r="H237" s="3"/>
      <c r="I237" s="3"/>
      <c r="J237" s="3"/>
      <c r="K237" s="3"/>
      <c r="L237" s="3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6:23" x14ac:dyDescent="0.25">
      <c r="F238" s="2"/>
      <c r="G238" s="3"/>
      <c r="H238" s="3"/>
      <c r="I238" s="3"/>
      <c r="J238" s="3"/>
      <c r="K238" s="3"/>
      <c r="L238" s="3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6:23" x14ac:dyDescent="0.25">
      <c r="F239" s="2"/>
      <c r="G239" s="3"/>
      <c r="H239" s="3"/>
      <c r="I239" s="3"/>
      <c r="J239" s="3"/>
      <c r="K239" s="3"/>
      <c r="L239" s="3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6:23" x14ac:dyDescent="0.25">
      <c r="F240" s="2"/>
      <c r="G240" s="3"/>
      <c r="H240" s="3"/>
      <c r="I240" s="3"/>
      <c r="J240" s="3"/>
      <c r="K240" s="3"/>
      <c r="L240" s="3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6:23" x14ac:dyDescent="0.25">
      <c r="F241" s="2"/>
      <c r="G241" s="3"/>
      <c r="H241" s="3"/>
      <c r="I241" s="3"/>
      <c r="J241" s="3"/>
      <c r="K241" s="3"/>
      <c r="L241" s="3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6:23" x14ac:dyDescent="0.25">
      <c r="F242" s="2"/>
      <c r="G242" s="3"/>
      <c r="H242" s="3"/>
      <c r="I242" s="3"/>
      <c r="J242" s="3"/>
      <c r="K242" s="3"/>
      <c r="L242" s="3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6:23" x14ac:dyDescent="0.25">
      <c r="F243" s="2"/>
      <c r="G243" s="3"/>
      <c r="H243" s="3"/>
      <c r="I243" s="3"/>
      <c r="J243" s="3"/>
      <c r="K243" s="3"/>
      <c r="L243" s="3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6:23" x14ac:dyDescent="0.25">
      <c r="F244" s="2"/>
      <c r="G244" s="3"/>
      <c r="H244" s="3"/>
      <c r="I244" s="3"/>
      <c r="J244" s="3"/>
      <c r="K244" s="3"/>
      <c r="L244" s="3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6:23" x14ac:dyDescent="0.25">
      <c r="F245" s="2"/>
      <c r="G245" s="3"/>
      <c r="H245" s="3"/>
      <c r="I245" s="3"/>
      <c r="J245" s="3"/>
      <c r="K245" s="3"/>
      <c r="L245" s="3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6:23" x14ac:dyDescent="0.25">
      <c r="F246" s="2"/>
      <c r="G246" s="3"/>
      <c r="H246" s="3"/>
      <c r="I246" s="3"/>
      <c r="J246" s="3"/>
      <c r="K246" s="3"/>
      <c r="L246" s="3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6:23" x14ac:dyDescent="0.25">
      <c r="F247" s="2"/>
      <c r="G247" s="3"/>
      <c r="H247" s="3"/>
      <c r="I247" s="3"/>
      <c r="J247" s="3"/>
      <c r="K247" s="3"/>
      <c r="L247" s="3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6:23" x14ac:dyDescent="0.25">
      <c r="F248" s="2"/>
      <c r="G248" s="3"/>
      <c r="H248" s="3"/>
      <c r="I248" s="3"/>
      <c r="J248" s="3"/>
      <c r="K248" s="3"/>
      <c r="L248" s="3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6:23" x14ac:dyDescent="0.25">
      <c r="F249" s="2"/>
      <c r="G249" s="3"/>
      <c r="H249" s="3"/>
      <c r="I249" s="3"/>
      <c r="J249" s="3"/>
      <c r="K249" s="3"/>
      <c r="L249" s="3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6:23" x14ac:dyDescent="0.25">
      <c r="F250" s="2"/>
      <c r="G250" s="3"/>
      <c r="H250" s="3"/>
      <c r="I250" s="3"/>
      <c r="J250" s="3"/>
      <c r="K250" s="3"/>
      <c r="L250" s="3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6:23" x14ac:dyDescent="0.25">
      <c r="F251" s="2"/>
      <c r="G251" s="3"/>
      <c r="H251" s="3"/>
      <c r="I251" s="3"/>
      <c r="J251" s="3"/>
      <c r="K251" s="3"/>
      <c r="L251" s="3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6:23" x14ac:dyDescent="0.25">
      <c r="F252" s="2"/>
      <c r="G252" s="3"/>
      <c r="H252" s="3"/>
      <c r="I252" s="3"/>
      <c r="J252" s="3"/>
      <c r="K252" s="3"/>
      <c r="L252" s="3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6:23" x14ac:dyDescent="0.25">
      <c r="F253" s="2"/>
      <c r="G253" s="3"/>
      <c r="H253" s="3"/>
      <c r="I253" s="3"/>
      <c r="J253" s="3"/>
      <c r="K253" s="3"/>
      <c r="L253" s="3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6:23" x14ac:dyDescent="0.25">
      <c r="F254" s="2"/>
      <c r="G254" s="3"/>
      <c r="H254" s="3"/>
      <c r="I254" s="3"/>
      <c r="J254" s="3"/>
      <c r="K254" s="3"/>
      <c r="L254" s="3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6:23" x14ac:dyDescent="0.25">
      <c r="F255" s="2"/>
      <c r="G255" s="3"/>
      <c r="H255" s="3"/>
      <c r="I255" s="3"/>
      <c r="J255" s="3"/>
      <c r="K255" s="3"/>
      <c r="L255" s="3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6:23" x14ac:dyDescent="0.25">
      <c r="F256" s="2"/>
      <c r="G256" s="3"/>
      <c r="H256" s="3"/>
      <c r="I256" s="3"/>
      <c r="J256" s="3"/>
      <c r="K256" s="3"/>
      <c r="L256" s="3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6:23" x14ac:dyDescent="0.25">
      <c r="F257" s="2"/>
      <c r="G257" s="3"/>
      <c r="H257" s="3"/>
      <c r="I257" s="3"/>
      <c r="J257" s="3"/>
      <c r="K257" s="3"/>
      <c r="L257" s="3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6:23" x14ac:dyDescent="0.25">
      <c r="F258" s="2"/>
      <c r="G258" s="3"/>
      <c r="H258" s="3"/>
      <c r="I258" s="3"/>
      <c r="J258" s="3"/>
      <c r="K258" s="3"/>
      <c r="L258" s="3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6:23" x14ac:dyDescent="0.25">
      <c r="F259" s="2"/>
      <c r="G259" s="3"/>
      <c r="H259" s="3"/>
      <c r="I259" s="3"/>
      <c r="J259" s="3"/>
      <c r="K259" s="3"/>
      <c r="L259" s="3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6:23" x14ac:dyDescent="0.25">
      <c r="F260" s="2"/>
      <c r="G260" s="3"/>
      <c r="H260" s="3"/>
      <c r="I260" s="3"/>
      <c r="J260" s="3"/>
      <c r="K260" s="3"/>
      <c r="L260" s="3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6:23" x14ac:dyDescent="0.25">
      <c r="F261" s="2"/>
      <c r="G261" s="3"/>
      <c r="H261" s="3"/>
      <c r="I261" s="3"/>
      <c r="J261" s="3"/>
      <c r="K261" s="3"/>
      <c r="L261" s="3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6:23" x14ac:dyDescent="0.25">
      <c r="F262" s="2"/>
      <c r="G262" s="3"/>
      <c r="H262" s="3"/>
      <c r="I262" s="3"/>
      <c r="J262" s="3"/>
      <c r="K262" s="3"/>
      <c r="L262" s="3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6:23" x14ac:dyDescent="0.25">
      <c r="F263" s="2"/>
      <c r="G263" s="3"/>
      <c r="H263" s="3"/>
      <c r="I263" s="3"/>
      <c r="J263" s="3"/>
      <c r="K263" s="3"/>
      <c r="L263" s="3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6:23" x14ac:dyDescent="0.25">
      <c r="F264" s="2"/>
      <c r="G264" s="3"/>
      <c r="H264" s="3"/>
      <c r="I264" s="3"/>
      <c r="J264" s="3"/>
      <c r="K264" s="3"/>
      <c r="L264" s="3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6:23" x14ac:dyDescent="0.25">
      <c r="F265" s="2"/>
      <c r="G265" s="3"/>
      <c r="H265" s="3"/>
      <c r="I265" s="3"/>
      <c r="J265" s="3"/>
      <c r="K265" s="3"/>
      <c r="L265" s="3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6:23" x14ac:dyDescent="0.25">
      <c r="F266" s="2"/>
      <c r="G266" s="3"/>
      <c r="H266" s="3"/>
      <c r="I266" s="3"/>
      <c r="J266" s="3"/>
      <c r="K266" s="3"/>
      <c r="L266" s="3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6:23" x14ac:dyDescent="0.25">
      <c r="F267" s="2"/>
      <c r="G267" s="3"/>
      <c r="H267" s="3"/>
      <c r="I267" s="3"/>
      <c r="J267" s="3"/>
      <c r="K267" s="3"/>
      <c r="L267" s="3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6:23" x14ac:dyDescent="0.25">
      <c r="F268" s="2"/>
      <c r="G268" s="3"/>
      <c r="H268" s="3"/>
      <c r="I268" s="3"/>
      <c r="J268" s="3"/>
      <c r="K268" s="3"/>
      <c r="L268" s="3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6:23" x14ac:dyDescent="0.25">
      <c r="F269" s="2"/>
      <c r="G269" s="3"/>
      <c r="H269" s="3"/>
      <c r="I269" s="3"/>
      <c r="J269" s="3"/>
      <c r="K269" s="3"/>
      <c r="L269" s="3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6:23" x14ac:dyDescent="0.25">
      <c r="F270" s="2"/>
      <c r="G270" s="3"/>
      <c r="H270" s="3"/>
      <c r="I270" s="3"/>
      <c r="J270" s="3"/>
      <c r="K270" s="3"/>
      <c r="L270" s="3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6:23" x14ac:dyDescent="0.25">
      <c r="F271" s="2"/>
      <c r="G271" s="3"/>
      <c r="H271" s="3"/>
      <c r="I271" s="3"/>
      <c r="J271" s="3"/>
      <c r="K271" s="3"/>
      <c r="L271" s="3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6:23" x14ac:dyDescent="0.25">
      <c r="F272" s="2"/>
      <c r="G272" s="3"/>
      <c r="H272" s="3"/>
      <c r="I272" s="3"/>
      <c r="J272" s="3"/>
      <c r="K272" s="3"/>
      <c r="L272" s="3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6:23" x14ac:dyDescent="0.25">
      <c r="F273" s="2"/>
      <c r="G273" s="3"/>
      <c r="H273" s="3"/>
      <c r="I273" s="3"/>
      <c r="J273" s="3"/>
      <c r="K273" s="3"/>
      <c r="L273" s="3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6:23" x14ac:dyDescent="0.25">
      <c r="F274" s="2"/>
      <c r="G274" s="3"/>
      <c r="H274" s="3"/>
      <c r="I274" s="3"/>
      <c r="J274" s="3"/>
      <c r="K274" s="3"/>
      <c r="L274" s="3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6:23" x14ac:dyDescent="0.25">
      <c r="F275" s="2"/>
      <c r="G275" s="3"/>
      <c r="H275" s="3"/>
      <c r="I275" s="3"/>
      <c r="J275" s="3"/>
      <c r="K275" s="3"/>
      <c r="L275" s="3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6:23" x14ac:dyDescent="0.25">
      <c r="F276" s="2"/>
      <c r="G276" s="3"/>
      <c r="H276" s="3"/>
      <c r="I276" s="3"/>
      <c r="J276" s="3"/>
      <c r="K276" s="3"/>
      <c r="L276" s="3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6:23" x14ac:dyDescent="0.25">
      <c r="F277" s="2"/>
      <c r="G277" s="3"/>
      <c r="H277" s="3"/>
      <c r="I277" s="3"/>
      <c r="J277" s="3"/>
      <c r="K277" s="3"/>
      <c r="L277" s="3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6:23" x14ac:dyDescent="0.25">
      <c r="F278" s="2"/>
      <c r="G278" s="3"/>
      <c r="H278" s="3"/>
      <c r="I278" s="3"/>
      <c r="J278" s="3"/>
      <c r="K278" s="3"/>
      <c r="L278" s="3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6:23" x14ac:dyDescent="0.25">
      <c r="F279" s="2"/>
      <c r="G279" s="3"/>
      <c r="H279" s="3"/>
      <c r="I279" s="3"/>
      <c r="J279" s="3"/>
      <c r="K279" s="3"/>
      <c r="L279" s="3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6:23" x14ac:dyDescent="0.25">
      <c r="F280" s="2"/>
      <c r="G280" s="3"/>
      <c r="H280" s="3"/>
      <c r="I280" s="3"/>
      <c r="J280" s="3"/>
      <c r="K280" s="3"/>
      <c r="L280" s="3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6:23" x14ac:dyDescent="0.25">
      <c r="F281" s="2"/>
      <c r="G281" s="3"/>
      <c r="H281" s="3"/>
      <c r="I281" s="3"/>
      <c r="J281" s="3"/>
      <c r="K281" s="3"/>
      <c r="L281" s="3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6:23" x14ac:dyDescent="0.25">
      <c r="F282" s="2"/>
      <c r="G282" s="3"/>
      <c r="H282" s="3"/>
      <c r="I282" s="3"/>
      <c r="J282" s="3"/>
      <c r="K282" s="3"/>
      <c r="L282" s="3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6:23" x14ac:dyDescent="0.25">
      <c r="F283" s="2"/>
      <c r="G283" s="3"/>
      <c r="H283" s="3"/>
      <c r="I283" s="3"/>
      <c r="J283" s="3"/>
      <c r="K283" s="3"/>
      <c r="L283" s="3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6:23" x14ac:dyDescent="0.25">
      <c r="F284" s="2"/>
      <c r="G284" s="3"/>
      <c r="H284" s="3"/>
      <c r="I284" s="3"/>
      <c r="J284" s="3"/>
      <c r="K284" s="3"/>
      <c r="L284" s="3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6:23" x14ac:dyDescent="0.25">
      <c r="F285" s="2"/>
      <c r="G285" s="3"/>
      <c r="H285" s="3"/>
      <c r="I285" s="3"/>
      <c r="J285" s="3"/>
      <c r="K285" s="3"/>
      <c r="L285" s="3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6:23" x14ac:dyDescent="0.25">
      <c r="F286" s="2"/>
      <c r="G286" s="3"/>
      <c r="H286" s="3"/>
      <c r="I286" s="3"/>
      <c r="J286" s="3"/>
      <c r="K286" s="3"/>
      <c r="L286" s="3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6:23" x14ac:dyDescent="0.25">
      <c r="F287" s="2"/>
      <c r="G287" s="3"/>
      <c r="H287" s="3"/>
      <c r="I287" s="3"/>
      <c r="J287" s="3"/>
      <c r="K287" s="3"/>
      <c r="L287" s="3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6:23" x14ac:dyDescent="0.25">
      <c r="F288" s="2"/>
      <c r="G288" s="3"/>
      <c r="H288" s="3"/>
      <c r="I288" s="3"/>
      <c r="J288" s="3"/>
      <c r="K288" s="3"/>
      <c r="L288" s="3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6:23" x14ac:dyDescent="0.25">
      <c r="F289" s="2"/>
      <c r="G289" s="3"/>
      <c r="H289" s="3"/>
      <c r="I289" s="3"/>
      <c r="J289" s="3"/>
      <c r="K289" s="3"/>
      <c r="L289" s="3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6:23" x14ac:dyDescent="0.25">
      <c r="F290" s="2"/>
      <c r="G290" s="3"/>
      <c r="H290" s="3"/>
      <c r="I290" s="3"/>
      <c r="J290" s="3"/>
      <c r="K290" s="3"/>
      <c r="L290" s="3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6:23" x14ac:dyDescent="0.25">
      <c r="F291" s="2"/>
      <c r="G291" s="3"/>
      <c r="H291" s="3"/>
      <c r="I291" s="3"/>
      <c r="J291" s="3"/>
      <c r="K291" s="3"/>
      <c r="L291" s="3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6:23" x14ac:dyDescent="0.25">
      <c r="F292" s="2"/>
      <c r="G292" s="3"/>
      <c r="H292" s="3"/>
      <c r="I292" s="3"/>
      <c r="J292" s="3"/>
      <c r="K292" s="3"/>
      <c r="L292" s="3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6:23" x14ac:dyDescent="0.25">
      <c r="F293" s="2"/>
      <c r="G293" s="3"/>
      <c r="H293" s="3"/>
      <c r="I293" s="3"/>
      <c r="J293" s="3"/>
      <c r="K293" s="3"/>
      <c r="L293" s="3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6:23" x14ac:dyDescent="0.25">
      <c r="F294" s="2"/>
      <c r="G294" s="3"/>
      <c r="H294" s="3"/>
      <c r="I294" s="3"/>
      <c r="J294" s="3"/>
      <c r="K294" s="3"/>
      <c r="L294" s="3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6:23" x14ac:dyDescent="0.25">
      <c r="F295" s="2"/>
      <c r="G295" s="3"/>
      <c r="H295" s="3"/>
      <c r="I295" s="3"/>
      <c r="J295" s="3"/>
      <c r="K295" s="3"/>
      <c r="L295" s="3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6:23" x14ac:dyDescent="0.25">
      <c r="F296" s="2"/>
      <c r="G296" s="3"/>
      <c r="H296" s="3"/>
      <c r="I296" s="3"/>
      <c r="J296" s="3"/>
      <c r="K296" s="3"/>
      <c r="L296" s="3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6:23" x14ac:dyDescent="0.25">
      <c r="F297" s="2"/>
      <c r="G297" s="3"/>
      <c r="H297" s="3"/>
      <c r="I297" s="3"/>
      <c r="J297" s="3"/>
      <c r="K297" s="3"/>
      <c r="L297" s="3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6:23" x14ac:dyDescent="0.25">
      <c r="F298" s="2"/>
      <c r="G298" s="3"/>
      <c r="H298" s="3"/>
      <c r="I298" s="3"/>
      <c r="J298" s="3"/>
      <c r="K298" s="3"/>
      <c r="L298" s="3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6:23" x14ac:dyDescent="0.25">
      <c r="F299" s="2"/>
      <c r="G299" s="3"/>
      <c r="H299" s="3"/>
      <c r="I299" s="3"/>
      <c r="J299" s="3"/>
      <c r="K299" s="3"/>
      <c r="L299" s="3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6:23" x14ac:dyDescent="0.25">
      <c r="F300" s="2"/>
      <c r="G300" s="3"/>
      <c r="H300" s="3"/>
      <c r="I300" s="3"/>
      <c r="J300" s="3"/>
      <c r="K300" s="3"/>
      <c r="L300" s="3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6:23" x14ac:dyDescent="0.25">
      <c r="F301" s="2"/>
      <c r="G301" s="3"/>
      <c r="H301" s="3"/>
      <c r="I301" s="3"/>
      <c r="J301" s="3"/>
      <c r="K301" s="3"/>
      <c r="L301" s="3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6:23" x14ac:dyDescent="0.25">
      <c r="F302" s="2"/>
      <c r="G302" s="3"/>
      <c r="H302" s="3"/>
      <c r="I302" s="3"/>
      <c r="J302" s="3"/>
      <c r="K302" s="3"/>
      <c r="L302" s="3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6:23" x14ac:dyDescent="0.25">
      <c r="F303" s="2"/>
      <c r="G303" s="3"/>
      <c r="H303" s="3"/>
      <c r="I303" s="3"/>
      <c r="J303" s="3"/>
      <c r="K303" s="3"/>
      <c r="L303" s="3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6:23" x14ac:dyDescent="0.25">
      <c r="F304" s="2"/>
      <c r="G304" s="3"/>
      <c r="H304" s="3"/>
      <c r="I304" s="3"/>
      <c r="J304" s="3"/>
      <c r="K304" s="3"/>
      <c r="L304" s="3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6:23" x14ac:dyDescent="0.25">
      <c r="F305" s="2"/>
      <c r="G305" s="3"/>
      <c r="H305" s="3"/>
      <c r="I305" s="3"/>
      <c r="J305" s="3"/>
      <c r="K305" s="3"/>
      <c r="L305" s="3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6:23" x14ac:dyDescent="0.25">
      <c r="F306" s="2"/>
      <c r="G306" s="3"/>
      <c r="H306" s="3"/>
      <c r="I306" s="3"/>
      <c r="J306" s="3"/>
      <c r="K306" s="3"/>
      <c r="L306" s="3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6:23" x14ac:dyDescent="0.25">
      <c r="F307" s="2"/>
      <c r="G307" s="3"/>
      <c r="H307" s="3"/>
      <c r="I307" s="3"/>
      <c r="J307" s="3"/>
      <c r="K307" s="3"/>
      <c r="L307" s="3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6:23" x14ac:dyDescent="0.25">
      <c r="F308" s="2"/>
      <c r="G308" s="3"/>
      <c r="H308" s="3"/>
      <c r="I308" s="3"/>
      <c r="J308" s="3"/>
      <c r="K308" s="3"/>
      <c r="L308" s="3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6:23" x14ac:dyDescent="0.25">
      <c r="F309" s="2"/>
      <c r="G309" s="3"/>
      <c r="H309" s="3"/>
      <c r="I309" s="3"/>
      <c r="J309" s="3"/>
      <c r="K309" s="3"/>
      <c r="L309" s="3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6:23" x14ac:dyDescent="0.25">
      <c r="F310" s="2"/>
      <c r="G310" s="3"/>
      <c r="H310" s="3"/>
      <c r="I310" s="3"/>
      <c r="J310" s="3"/>
      <c r="K310" s="3"/>
      <c r="L310" s="3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6:23" x14ac:dyDescent="0.25">
      <c r="F311" s="2"/>
      <c r="G311" s="3"/>
      <c r="H311" s="3"/>
      <c r="I311" s="3"/>
      <c r="J311" s="3"/>
      <c r="K311" s="3"/>
      <c r="L311" s="3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6:23" x14ac:dyDescent="0.25">
      <c r="F312" s="2"/>
      <c r="G312" s="3"/>
      <c r="H312" s="3"/>
      <c r="I312" s="3"/>
      <c r="J312" s="3"/>
      <c r="K312" s="3"/>
      <c r="L312" s="3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6:23" x14ac:dyDescent="0.25">
      <c r="F313" s="2"/>
      <c r="G313" s="3"/>
      <c r="H313" s="3"/>
      <c r="I313" s="3"/>
      <c r="J313" s="3"/>
      <c r="K313" s="3"/>
      <c r="L313" s="3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6:23" x14ac:dyDescent="0.25">
      <c r="F314" s="2"/>
      <c r="G314" s="3"/>
      <c r="H314" s="3"/>
      <c r="I314" s="3"/>
      <c r="J314" s="3"/>
      <c r="K314" s="3"/>
      <c r="L314" s="3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6:23" x14ac:dyDescent="0.25">
      <c r="F315" s="2"/>
      <c r="G315" s="3"/>
      <c r="H315" s="3"/>
      <c r="I315" s="3"/>
      <c r="J315" s="3"/>
      <c r="K315" s="3"/>
      <c r="L315" s="3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6:23" x14ac:dyDescent="0.25">
      <c r="F316" s="2"/>
      <c r="G316" s="3"/>
      <c r="H316" s="3"/>
      <c r="I316" s="3"/>
      <c r="J316" s="3"/>
      <c r="K316" s="3"/>
      <c r="L316" s="3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6:23" x14ac:dyDescent="0.25">
      <c r="F317" s="2"/>
      <c r="G317" s="3"/>
      <c r="H317" s="3"/>
      <c r="I317" s="3"/>
      <c r="J317" s="3"/>
      <c r="K317" s="3"/>
      <c r="L317" s="3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6:23" x14ac:dyDescent="0.25">
      <c r="F318" s="2"/>
      <c r="G318" s="3"/>
      <c r="H318" s="3"/>
      <c r="I318" s="3"/>
      <c r="J318" s="3"/>
      <c r="K318" s="3"/>
      <c r="L318" s="3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6:23" x14ac:dyDescent="0.25">
      <c r="F319" s="2"/>
      <c r="G319" s="3"/>
      <c r="H319" s="3"/>
      <c r="I319" s="3"/>
      <c r="J319" s="3"/>
      <c r="K319" s="3"/>
      <c r="L319" s="3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6:23" x14ac:dyDescent="0.25">
      <c r="F320" s="2"/>
      <c r="G320" s="3"/>
      <c r="H320" s="3"/>
      <c r="I320" s="3"/>
      <c r="J320" s="3"/>
      <c r="K320" s="3"/>
      <c r="L320" s="3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6:23" x14ac:dyDescent="0.25">
      <c r="F321" s="2"/>
      <c r="G321" s="3"/>
      <c r="H321" s="3"/>
      <c r="I321" s="3"/>
      <c r="J321" s="3"/>
      <c r="K321" s="3"/>
      <c r="L321" s="3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6:23" x14ac:dyDescent="0.25">
      <c r="F322" s="2"/>
      <c r="G322" s="3"/>
      <c r="H322" s="3"/>
      <c r="I322" s="3"/>
      <c r="J322" s="3"/>
      <c r="K322" s="3"/>
      <c r="L322" s="3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6:23" x14ac:dyDescent="0.25">
      <c r="F323" s="2"/>
      <c r="G323" s="3"/>
      <c r="H323" s="3"/>
      <c r="I323" s="3"/>
      <c r="J323" s="3"/>
      <c r="K323" s="3"/>
      <c r="L323" s="3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6:23" x14ac:dyDescent="0.25">
      <c r="F324" s="2"/>
      <c r="G324" s="3"/>
      <c r="H324" s="3"/>
      <c r="I324" s="3"/>
      <c r="J324" s="3"/>
      <c r="K324" s="3"/>
      <c r="L324" s="3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6:23" x14ac:dyDescent="0.25">
      <c r="F325" s="2"/>
      <c r="G325" s="3"/>
      <c r="H325" s="3"/>
      <c r="I325" s="3"/>
      <c r="J325" s="3"/>
      <c r="K325" s="3"/>
      <c r="L325" s="3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6:23" x14ac:dyDescent="0.25">
      <c r="F326" s="2"/>
      <c r="G326" s="3"/>
      <c r="H326" s="3"/>
      <c r="I326" s="3"/>
      <c r="J326" s="3"/>
      <c r="K326" s="3"/>
      <c r="L326" s="3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6:23" x14ac:dyDescent="0.25">
      <c r="F327" s="2"/>
      <c r="G327" s="3"/>
      <c r="H327" s="3"/>
      <c r="I327" s="3"/>
      <c r="J327" s="3"/>
      <c r="K327" s="3"/>
      <c r="L327" s="3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6:23" x14ac:dyDescent="0.25">
      <c r="F328" s="2"/>
      <c r="G328" s="3"/>
      <c r="H328" s="3"/>
      <c r="I328" s="3"/>
      <c r="J328" s="3"/>
      <c r="K328" s="3"/>
      <c r="L328" s="3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6:23" x14ac:dyDescent="0.25">
      <c r="F329" s="2"/>
      <c r="G329" s="3"/>
      <c r="H329" s="3"/>
      <c r="I329" s="3"/>
      <c r="J329" s="3"/>
      <c r="K329" s="3"/>
      <c r="L329" s="3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6:23" x14ac:dyDescent="0.25">
      <c r="F330" s="2"/>
      <c r="G330" s="3"/>
      <c r="H330" s="3"/>
      <c r="I330" s="3"/>
      <c r="J330" s="3"/>
      <c r="K330" s="3"/>
      <c r="L330" s="3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6:23" x14ac:dyDescent="0.25">
      <c r="F331" s="2"/>
      <c r="G331" s="3"/>
      <c r="H331" s="3"/>
      <c r="I331" s="3"/>
      <c r="J331" s="3"/>
      <c r="K331" s="3"/>
      <c r="L331" s="3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6:23" x14ac:dyDescent="0.25">
      <c r="F332" s="2"/>
      <c r="G332" s="3"/>
      <c r="H332" s="3"/>
      <c r="I332" s="3"/>
      <c r="J332" s="3"/>
      <c r="K332" s="3"/>
      <c r="L332" s="3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6:23" x14ac:dyDescent="0.25">
      <c r="F333" s="2"/>
      <c r="G333" s="3"/>
      <c r="H333" s="3"/>
      <c r="I333" s="3"/>
      <c r="J333" s="3"/>
      <c r="K333" s="3"/>
      <c r="L333" s="3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6:23" x14ac:dyDescent="0.25">
      <c r="F334" s="2"/>
      <c r="G334" s="3"/>
      <c r="H334" s="3"/>
      <c r="I334" s="3"/>
      <c r="J334" s="3"/>
      <c r="K334" s="3"/>
      <c r="L334" s="3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6:23" x14ac:dyDescent="0.25">
      <c r="F335" s="2"/>
      <c r="G335" s="3"/>
      <c r="H335" s="3"/>
      <c r="I335" s="3"/>
      <c r="J335" s="3"/>
      <c r="K335" s="3"/>
      <c r="L335" s="3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6:23" x14ac:dyDescent="0.25">
      <c r="F336" s="2"/>
      <c r="G336" s="3"/>
      <c r="H336" s="3"/>
      <c r="I336" s="3"/>
      <c r="J336" s="3"/>
      <c r="K336" s="3"/>
      <c r="L336" s="3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6:23" x14ac:dyDescent="0.25">
      <c r="F337" s="2"/>
      <c r="G337" s="3"/>
      <c r="H337" s="3"/>
      <c r="I337" s="3"/>
      <c r="J337" s="3"/>
      <c r="K337" s="3"/>
      <c r="L337" s="3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6:23" x14ac:dyDescent="0.25">
      <c r="F338" s="2"/>
      <c r="G338" s="3"/>
      <c r="H338" s="3"/>
      <c r="I338" s="3"/>
      <c r="J338" s="3"/>
      <c r="K338" s="3"/>
      <c r="L338" s="3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6:23" x14ac:dyDescent="0.25">
      <c r="F339" s="2"/>
      <c r="G339" s="3"/>
      <c r="H339" s="3"/>
      <c r="I339" s="3"/>
      <c r="J339" s="3"/>
      <c r="K339" s="3"/>
      <c r="L339" s="3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6:23" x14ac:dyDescent="0.25">
      <c r="F340" s="2"/>
      <c r="G340" s="3"/>
      <c r="H340" s="3"/>
      <c r="I340" s="3"/>
      <c r="J340" s="3"/>
      <c r="K340" s="3"/>
      <c r="L340" s="3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6:23" x14ac:dyDescent="0.25">
      <c r="F341" s="2"/>
      <c r="G341" s="3"/>
      <c r="H341" s="3"/>
      <c r="I341" s="3"/>
      <c r="J341" s="3"/>
      <c r="K341" s="3"/>
      <c r="L341" s="3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6:23" x14ac:dyDescent="0.25">
      <c r="F342" s="2"/>
      <c r="G342" s="3"/>
      <c r="H342" s="3"/>
      <c r="I342" s="3"/>
      <c r="J342" s="3"/>
      <c r="K342" s="3"/>
      <c r="L342" s="3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6:23" x14ac:dyDescent="0.25">
      <c r="F343" s="2"/>
      <c r="G343" s="3"/>
      <c r="H343" s="3"/>
      <c r="I343" s="3"/>
      <c r="J343" s="3"/>
      <c r="K343" s="3"/>
      <c r="L343" s="3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6:23" x14ac:dyDescent="0.25">
      <c r="F344" s="2"/>
      <c r="G344" s="3"/>
      <c r="H344" s="3"/>
      <c r="I344" s="3"/>
      <c r="J344" s="3"/>
      <c r="K344" s="3"/>
      <c r="L344" s="3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6:23" x14ac:dyDescent="0.25">
      <c r="F345" s="2"/>
      <c r="G345" s="3"/>
      <c r="H345" s="3"/>
      <c r="I345" s="3"/>
      <c r="J345" s="3"/>
      <c r="K345" s="3"/>
      <c r="L345" s="3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6:23" x14ac:dyDescent="0.25">
      <c r="F346" s="2"/>
      <c r="G346" s="3"/>
      <c r="H346" s="3"/>
      <c r="I346" s="3"/>
      <c r="J346" s="3"/>
      <c r="K346" s="3"/>
      <c r="L346" s="3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6:23" x14ac:dyDescent="0.25">
      <c r="F347" s="2"/>
      <c r="G347" s="3"/>
      <c r="H347" s="3"/>
      <c r="I347" s="3"/>
      <c r="J347" s="3"/>
      <c r="K347" s="3"/>
      <c r="L347" s="3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6:23" x14ac:dyDescent="0.25">
      <c r="F348" s="2"/>
      <c r="G348" s="3"/>
      <c r="H348" s="3"/>
      <c r="I348" s="3"/>
      <c r="J348" s="3"/>
      <c r="K348" s="3"/>
      <c r="L348" s="3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6:23" x14ac:dyDescent="0.25"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6:23" x14ac:dyDescent="0.25"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6:23" x14ac:dyDescent="0.25"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6:23" x14ac:dyDescent="0.25"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3:23" x14ac:dyDescent="0.25"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3:23" x14ac:dyDescent="0.25"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3:23" x14ac:dyDescent="0.25"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3:23" x14ac:dyDescent="0.25"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3:23" x14ac:dyDescent="0.25"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3:23" x14ac:dyDescent="0.25"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3:23" x14ac:dyDescent="0.25"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3:23" x14ac:dyDescent="0.25"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3:23" x14ac:dyDescent="0.25"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3:23" x14ac:dyDescent="0.25"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3:23" x14ac:dyDescent="0.25"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3:23" x14ac:dyDescent="0.25"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3:23" x14ac:dyDescent="0.25"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3:23" x14ac:dyDescent="0.25"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3:23" x14ac:dyDescent="0.25"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3:23" x14ac:dyDescent="0.25"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3:23" x14ac:dyDescent="0.25"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3:23" x14ac:dyDescent="0.25"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3:23" x14ac:dyDescent="0.25"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3:23" x14ac:dyDescent="0.25"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3:23" x14ac:dyDescent="0.25"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3:23" x14ac:dyDescent="0.25"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3:23" x14ac:dyDescent="0.25"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3:23" x14ac:dyDescent="0.25"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3:23" x14ac:dyDescent="0.25"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3:23" x14ac:dyDescent="0.25"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3:23" x14ac:dyDescent="0.25"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3:23" x14ac:dyDescent="0.25"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3:23" x14ac:dyDescent="0.25"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3:23" x14ac:dyDescent="0.25"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3:23" x14ac:dyDescent="0.25"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3:23" x14ac:dyDescent="0.25"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3:23" x14ac:dyDescent="0.25"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3:23" x14ac:dyDescent="0.25"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3:23" x14ac:dyDescent="0.25"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3:23" x14ac:dyDescent="0.25"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3:23" x14ac:dyDescent="0.25"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3:23" x14ac:dyDescent="0.25"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3:23" x14ac:dyDescent="0.25"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3:23" x14ac:dyDescent="0.25"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3:23" x14ac:dyDescent="0.25"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3:23" x14ac:dyDescent="0.25"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3:23" x14ac:dyDescent="0.25"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3:23" x14ac:dyDescent="0.25"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3:23" x14ac:dyDescent="0.25"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3:23" x14ac:dyDescent="0.25"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3:23" x14ac:dyDescent="0.25"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3:23" x14ac:dyDescent="0.25"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3:23" x14ac:dyDescent="0.25"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3:23" x14ac:dyDescent="0.25"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3:23" x14ac:dyDescent="0.25"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3:23" x14ac:dyDescent="0.25"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3:23" x14ac:dyDescent="0.25"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3:23" x14ac:dyDescent="0.25"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3:23" x14ac:dyDescent="0.25"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3:23" x14ac:dyDescent="0.25"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3:23" x14ac:dyDescent="0.25"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3:23" x14ac:dyDescent="0.25"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3:23" x14ac:dyDescent="0.25"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3:23" x14ac:dyDescent="0.25"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3:23" x14ac:dyDescent="0.25"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3:23" x14ac:dyDescent="0.25"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3:23" x14ac:dyDescent="0.25"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3:23" x14ac:dyDescent="0.25"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3:23" x14ac:dyDescent="0.25"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3:23" x14ac:dyDescent="0.25"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3:23" x14ac:dyDescent="0.25"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3:23" x14ac:dyDescent="0.25"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3:23" x14ac:dyDescent="0.25"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3:23" x14ac:dyDescent="0.25"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3:23" x14ac:dyDescent="0.25"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3:23" x14ac:dyDescent="0.25"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3:23" x14ac:dyDescent="0.25"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3:23" x14ac:dyDescent="0.25"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3:23" x14ac:dyDescent="0.25"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3:23" x14ac:dyDescent="0.25"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3:23" x14ac:dyDescent="0.25"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3:23" x14ac:dyDescent="0.25"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3:23" x14ac:dyDescent="0.25"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3:23" x14ac:dyDescent="0.25"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3:23" x14ac:dyDescent="0.25"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3:23" x14ac:dyDescent="0.25"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3:23" x14ac:dyDescent="0.25"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3:23" x14ac:dyDescent="0.25"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3:23" x14ac:dyDescent="0.25"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3:23" x14ac:dyDescent="0.25"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3:23" x14ac:dyDescent="0.25"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3:23" x14ac:dyDescent="0.25"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3:23" x14ac:dyDescent="0.25"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3:23" x14ac:dyDescent="0.25"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3:23" x14ac:dyDescent="0.25"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3:23" x14ac:dyDescent="0.25"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3:23" x14ac:dyDescent="0.25"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3:23" x14ac:dyDescent="0.25"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3:23" x14ac:dyDescent="0.25"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3:23" x14ac:dyDescent="0.25"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3:23" x14ac:dyDescent="0.25"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3:23" x14ac:dyDescent="0.25"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3:23" x14ac:dyDescent="0.25"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3:23" x14ac:dyDescent="0.25"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3:23" x14ac:dyDescent="0.25"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3:23" x14ac:dyDescent="0.25"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3:23" x14ac:dyDescent="0.25"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3:23" x14ac:dyDescent="0.25"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3:23" x14ac:dyDescent="0.25"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3:23" x14ac:dyDescent="0.25"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3:23" x14ac:dyDescent="0.25"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3:23" x14ac:dyDescent="0.25"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3:23" x14ac:dyDescent="0.25"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3:23" x14ac:dyDescent="0.25"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3:23" x14ac:dyDescent="0.25"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3:23" x14ac:dyDescent="0.25"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3:23" x14ac:dyDescent="0.25"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3:23" x14ac:dyDescent="0.25"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3:23" x14ac:dyDescent="0.25"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3:23" x14ac:dyDescent="0.25"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3:23" x14ac:dyDescent="0.25"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3:23" x14ac:dyDescent="0.25"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3:23" x14ac:dyDescent="0.25"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3:23" x14ac:dyDescent="0.25"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3:23" x14ac:dyDescent="0.25"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3:23" x14ac:dyDescent="0.25"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3:23" x14ac:dyDescent="0.25"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3:23" x14ac:dyDescent="0.25"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3:23" x14ac:dyDescent="0.25"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3:23" x14ac:dyDescent="0.25"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3:23" x14ac:dyDescent="0.25"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3:23" x14ac:dyDescent="0.25"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3:23" x14ac:dyDescent="0.25"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3:23" x14ac:dyDescent="0.25"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3:23" x14ac:dyDescent="0.25"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3:23" x14ac:dyDescent="0.25"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3:23" x14ac:dyDescent="0.25"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3:23" x14ac:dyDescent="0.25"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3:23" x14ac:dyDescent="0.25"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3:23" x14ac:dyDescent="0.25"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3:23" x14ac:dyDescent="0.25"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3:23" x14ac:dyDescent="0.25"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3:23" x14ac:dyDescent="0.25"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3:23" x14ac:dyDescent="0.25"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3:23" x14ac:dyDescent="0.25"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3:23" x14ac:dyDescent="0.25"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3:23" x14ac:dyDescent="0.25"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3:23" x14ac:dyDescent="0.25"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3:23" x14ac:dyDescent="0.25"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3:23" x14ac:dyDescent="0.25"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3:23" x14ac:dyDescent="0.25"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3:23" x14ac:dyDescent="0.25"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3:23" x14ac:dyDescent="0.25"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3:23" x14ac:dyDescent="0.25"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3:23" x14ac:dyDescent="0.25"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3:23" x14ac:dyDescent="0.25"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3:23" x14ac:dyDescent="0.25"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3:23" x14ac:dyDescent="0.25"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3:23" x14ac:dyDescent="0.25"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3:23" x14ac:dyDescent="0.25"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3:23" x14ac:dyDescent="0.25"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3:23" x14ac:dyDescent="0.25"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3:23" x14ac:dyDescent="0.25"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3:23" x14ac:dyDescent="0.25"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3:23" x14ac:dyDescent="0.25"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3:23" x14ac:dyDescent="0.25"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3:23" x14ac:dyDescent="0.25"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3:23" x14ac:dyDescent="0.25"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3:23" x14ac:dyDescent="0.25"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3:23" x14ac:dyDescent="0.25"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3:23" x14ac:dyDescent="0.25"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3:23" x14ac:dyDescent="0.25"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3:23" x14ac:dyDescent="0.25"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3:23" x14ac:dyDescent="0.25"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3:23" x14ac:dyDescent="0.25"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3:23" x14ac:dyDescent="0.25"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3:23" x14ac:dyDescent="0.25"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3:23" x14ac:dyDescent="0.25"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3:23" x14ac:dyDescent="0.25"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3:23" x14ac:dyDescent="0.25"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3:23" x14ac:dyDescent="0.25"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3:23" x14ac:dyDescent="0.25"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3:23" x14ac:dyDescent="0.25"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3:23" x14ac:dyDescent="0.25"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3:23" x14ac:dyDescent="0.25"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3:23" x14ac:dyDescent="0.25"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3:23" x14ac:dyDescent="0.25"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3:23" x14ac:dyDescent="0.25"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3:23" x14ac:dyDescent="0.25"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3:23" x14ac:dyDescent="0.25"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3:23" x14ac:dyDescent="0.25"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3:23" x14ac:dyDescent="0.25"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3:23" x14ac:dyDescent="0.25"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3:23" x14ac:dyDescent="0.25"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3:23" x14ac:dyDescent="0.25"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3:23" x14ac:dyDescent="0.25"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3:23" x14ac:dyDescent="0.25"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3:23" x14ac:dyDescent="0.25"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3:23" x14ac:dyDescent="0.25"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3:23" x14ac:dyDescent="0.25"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3:23" x14ac:dyDescent="0.25"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3:23" x14ac:dyDescent="0.25"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3:23" x14ac:dyDescent="0.25"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3:23" x14ac:dyDescent="0.25"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3:23" x14ac:dyDescent="0.25"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3:23" x14ac:dyDescent="0.25"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3:23" x14ac:dyDescent="0.25"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3:23" x14ac:dyDescent="0.25"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3:23" x14ac:dyDescent="0.25"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3:23" x14ac:dyDescent="0.25"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3:23" x14ac:dyDescent="0.25"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3:23" x14ac:dyDescent="0.25"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3:23" x14ac:dyDescent="0.25"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3:23" x14ac:dyDescent="0.25"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3:23" x14ac:dyDescent="0.25"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3:23" x14ac:dyDescent="0.25"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3:23" x14ac:dyDescent="0.25"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3:23" x14ac:dyDescent="0.25"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3:23" x14ac:dyDescent="0.25"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3:23" x14ac:dyDescent="0.25"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3:23" x14ac:dyDescent="0.25"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3:23" x14ac:dyDescent="0.25"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3:23" x14ac:dyDescent="0.25"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3:23" x14ac:dyDescent="0.25"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3:23" x14ac:dyDescent="0.25"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3:23" x14ac:dyDescent="0.25"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3:23" x14ac:dyDescent="0.25"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3:23" x14ac:dyDescent="0.25"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3:23" x14ac:dyDescent="0.25"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3:23" x14ac:dyDescent="0.25"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3:23" x14ac:dyDescent="0.25"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3:23" x14ac:dyDescent="0.25"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3:23" x14ac:dyDescent="0.25"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3:23" x14ac:dyDescent="0.25"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3:23" x14ac:dyDescent="0.25"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3:23" x14ac:dyDescent="0.25"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3:23" x14ac:dyDescent="0.25"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3:23" x14ac:dyDescent="0.25"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3:23" x14ac:dyDescent="0.25"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3:23" x14ac:dyDescent="0.25"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3:23" x14ac:dyDescent="0.25"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3:23" x14ac:dyDescent="0.25"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3:23" x14ac:dyDescent="0.25"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3:23" x14ac:dyDescent="0.25"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3:23" x14ac:dyDescent="0.25"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3:23" x14ac:dyDescent="0.25"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3:23" x14ac:dyDescent="0.25"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3:23" x14ac:dyDescent="0.25"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3:23" x14ac:dyDescent="0.25"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3:23" x14ac:dyDescent="0.25"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3:23" x14ac:dyDescent="0.25"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3:23" x14ac:dyDescent="0.25"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3:23" x14ac:dyDescent="0.25"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3:23" x14ac:dyDescent="0.25"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3:23" x14ac:dyDescent="0.25"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3:23" x14ac:dyDescent="0.25"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3:23" x14ac:dyDescent="0.25"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3:23" x14ac:dyDescent="0.25"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3:23" x14ac:dyDescent="0.25"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3:23" x14ac:dyDescent="0.25"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3:23" x14ac:dyDescent="0.25"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3:23" x14ac:dyDescent="0.25"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3:23" x14ac:dyDescent="0.25"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3:23" x14ac:dyDescent="0.25"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3:23" x14ac:dyDescent="0.25"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3:23" x14ac:dyDescent="0.25"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3:23" x14ac:dyDescent="0.25"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3:23" x14ac:dyDescent="0.25"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3:23" x14ac:dyDescent="0.25"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3:23" x14ac:dyDescent="0.25"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3:23" x14ac:dyDescent="0.25"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3:23" x14ac:dyDescent="0.25"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3:23" x14ac:dyDescent="0.25"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3:23" x14ac:dyDescent="0.25"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3:23" x14ac:dyDescent="0.25"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3:23" x14ac:dyDescent="0.25"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3:23" x14ac:dyDescent="0.25"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3:23" x14ac:dyDescent="0.25"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3:23" x14ac:dyDescent="0.25"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3:23" x14ac:dyDescent="0.25"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3:23" x14ac:dyDescent="0.25"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3:23" x14ac:dyDescent="0.25"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3:23" x14ac:dyDescent="0.25"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3:23" x14ac:dyDescent="0.25"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3:23" x14ac:dyDescent="0.25"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3:23" x14ac:dyDescent="0.25"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3:23" x14ac:dyDescent="0.25"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3:23" x14ac:dyDescent="0.25"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3:23" x14ac:dyDescent="0.25"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3:23" x14ac:dyDescent="0.25"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3:23" x14ac:dyDescent="0.25"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3:23" x14ac:dyDescent="0.25"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3:23" x14ac:dyDescent="0.25"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3:23" x14ac:dyDescent="0.25"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3:23" x14ac:dyDescent="0.25"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3:23" x14ac:dyDescent="0.25"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3:23" x14ac:dyDescent="0.25"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3:23" x14ac:dyDescent="0.25"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3:23" x14ac:dyDescent="0.25"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3:23" x14ac:dyDescent="0.25"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3:23" x14ac:dyDescent="0.25"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3:23" x14ac:dyDescent="0.25"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3:23" x14ac:dyDescent="0.25"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3:23" x14ac:dyDescent="0.25"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3:23" x14ac:dyDescent="0.25"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3:23" x14ac:dyDescent="0.25"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3:23" x14ac:dyDescent="0.25"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3:23" x14ac:dyDescent="0.25"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3:23" x14ac:dyDescent="0.25"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3:23" x14ac:dyDescent="0.25"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3:23" x14ac:dyDescent="0.25"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3:23" x14ac:dyDescent="0.25"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3:23" x14ac:dyDescent="0.25"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3:23" x14ac:dyDescent="0.25"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3:23" x14ac:dyDescent="0.25"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3:23" x14ac:dyDescent="0.25"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3:23" x14ac:dyDescent="0.25"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3:23" x14ac:dyDescent="0.25"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3:23" x14ac:dyDescent="0.25"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3:23" x14ac:dyDescent="0.25"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3:23" x14ac:dyDescent="0.25"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3:23" x14ac:dyDescent="0.25"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3:23" x14ac:dyDescent="0.25"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3:23" x14ac:dyDescent="0.25"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3:23" x14ac:dyDescent="0.25"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3:23" x14ac:dyDescent="0.25"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3:23" x14ac:dyDescent="0.25"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3:23" x14ac:dyDescent="0.25"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3:23" x14ac:dyDescent="0.25"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3:23" x14ac:dyDescent="0.25"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3:23" x14ac:dyDescent="0.25"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3:23" x14ac:dyDescent="0.25"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3:23" x14ac:dyDescent="0.25"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3:23" x14ac:dyDescent="0.25"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3:23" x14ac:dyDescent="0.25"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3:23" x14ac:dyDescent="0.25"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3:23" x14ac:dyDescent="0.25"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3:23" x14ac:dyDescent="0.25"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3:23" x14ac:dyDescent="0.25"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3:23" x14ac:dyDescent="0.25"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3:23" x14ac:dyDescent="0.25"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3:23" x14ac:dyDescent="0.25"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3:23" x14ac:dyDescent="0.25"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3:23" x14ac:dyDescent="0.25"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3:23" x14ac:dyDescent="0.25"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3:23" x14ac:dyDescent="0.25"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3:23" x14ac:dyDescent="0.25"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3:23" x14ac:dyDescent="0.25"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3:23" x14ac:dyDescent="0.25"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3:23" x14ac:dyDescent="0.25"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3:23" x14ac:dyDescent="0.25"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3:23" x14ac:dyDescent="0.25"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3:23" x14ac:dyDescent="0.25"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3:23" x14ac:dyDescent="0.25"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3:23" x14ac:dyDescent="0.25"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3:23" x14ac:dyDescent="0.25"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3:23" x14ac:dyDescent="0.25"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3:23" x14ac:dyDescent="0.25"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3:23" x14ac:dyDescent="0.25"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3:23" x14ac:dyDescent="0.25"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3:23" x14ac:dyDescent="0.25"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3:23" x14ac:dyDescent="0.25"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3:23" x14ac:dyDescent="0.25"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3:23" x14ac:dyDescent="0.25"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3:23" x14ac:dyDescent="0.25"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3:23" x14ac:dyDescent="0.25"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3:23" x14ac:dyDescent="0.25"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3:23" x14ac:dyDescent="0.25"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3:23" x14ac:dyDescent="0.25"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3:23" x14ac:dyDescent="0.25"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3:23" x14ac:dyDescent="0.25"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3:23" x14ac:dyDescent="0.25"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3:23" x14ac:dyDescent="0.25"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3:23" x14ac:dyDescent="0.25"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3:23" x14ac:dyDescent="0.25"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3:23" x14ac:dyDescent="0.25"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3:23" x14ac:dyDescent="0.25"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3:23" x14ac:dyDescent="0.25"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3:23" x14ac:dyDescent="0.25"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3:23" x14ac:dyDescent="0.25"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3:23" x14ac:dyDescent="0.25"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3:23" x14ac:dyDescent="0.25"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3:23" x14ac:dyDescent="0.25"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3:23" x14ac:dyDescent="0.25"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3:23" x14ac:dyDescent="0.25"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3:23" x14ac:dyDescent="0.25"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3:23" x14ac:dyDescent="0.25"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3:23" x14ac:dyDescent="0.25"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3:23" x14ac:dyDescent="0.25"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3:23" x14ac:dyDescent="0.25"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3:23" x14ac:dyDescent="0.25"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3:23" x14ac:dyDescent="0.25"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3:23" x14ac:dyDescent="0.25"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3:23" x14ac:dyDescent="0.25"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3:23" x14ac:dyDescent="0.25"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3:23" x14ac:dyDescent="0.25"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3:23" x14ac:dyDescent="0.25"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3:23" x14ac:dyDescent="0.25"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3:23" x14ac:dyDescent="0.25"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3:23" x14ac:dyDescent="0.25"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3:23" x14ac:dyDescent="0.25"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3:23" x14ac:dyDescent="0.25"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3:23" x14ac:dyDescent="0.25"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3:23" x14ac:dyDescent="0.25"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3:23" x14ac:dyDescent="0.25"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3:23" x14ac:dyDescent="0.25"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3:23" x14ac:dyDescent="0.25"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3:23" x14ac:dyDescent="0.25"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3:23" x14ac:dyDescent="0.25"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3:23" x14ac:dyDescent="0.25"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3:23" x14ac:dyDescent="0.25"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3:23" x14ac:dyDescent="0.25"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3:23" x14ac:dyDescent="0.25"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3:23" x14ac:dyDescent="0.25"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3:23" x14ac:dyDescent="0.25"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3:23" x14ac:dyDescent="0.25"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3:23" x14ac:dyDescent="0.25"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3:23" x14ac:dyDescent="0.25"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3:23" x14ac:dyDescent="0.25"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3:23" x14ac:dyDescent="0.25"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3:23" x14ac:dyDescent="0.25"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3:23" x14ac:dyDescent="0.25"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3:23" x14ac:dyDescent="0.25"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3:23" x14ac:dyDescent="0.25"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3:23" x14ac:dyDescent="0.25"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3:23" x14ac:dyDescent="0.25"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3:23" x14ac:dyDescent="0.25"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3:23" x14ac:dyDescent="0.25"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3:23" x14ac:dyDescent="0.25"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3:23" x14ac:dyDescent="0.25"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3:23" x14ac:dyDescent="0.25"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3:23" x14ac:dyDescent="0.25"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3:23" x14ac:dyDescent="0.25"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3:23" x14ac:dyDescent="0.25"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3:23" x14ac:dyDescent="0.25"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3:23" x14ac:dyDescent="0.25"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3:23" x14ac:dyDescent="0.25"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3:23" x14ac:dyDescent="0.25"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3:23" x14ac:dyDescent="0.25"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3:23" x14ac:dyDescent="0.25"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3:23" x14ac:dyDescent="0.25"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3:23" x14ac:dyDescent="0.25"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3:23" x14ac:dyDescent="0.25"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3:23" x14ac:dyDescent="0.25"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3:23" x14ac:dyDescent="0.25"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3:23" x14ac:dyDescent="0.25"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3:23" x14ac:dyDescent="0.25"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3:23" x14ac:dyDescent="0.25"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3:23" x14ac:dyDescent="0.25"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3:23" x14ac:dyDescent="0.25"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3:23" x14ac:dyDescent="0.25"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3:23" x14ac:dyDescent="0.25"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3:23" x14ac:dyDescent="0.25"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3:23" x14ac:dyDescent="0.25"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3:23" x14ac:dyDescent="0.25"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3:23" x14ac:dyDescent="0.25"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3:23" x14ac:dyDescent="0.25"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3:23" x14ac:dyDescent="0.25"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3:23" x14ac:dyDescent="0.25"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3:23" x14ac:dyDescent="0.25"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3:23" x14ac:dyDescent="0.25"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3:23" x14ac:dyDescent="0.25"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3:23" x14ac:dyDescent="0.25"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3:23" x14ac:dyDescent="0.25"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3:23" x14ac:dyDescent="0.25"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3:23" x14ac:dyDescent="0.25"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3:23" x14ac:dyDescent="0.25"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3:23" x14ac:dyDescent="0.25"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3:23" x14ac:dyDescent="0.25"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3:23" x14ac:dyDescent="0.25"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3:23" x14ac:dyDescent="0.25"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3:23" x14ac:dyDescent="0.25"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3:23" x14ac:dyDescent="0.25"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3:23" x14ac:dyDescent="0.25"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3:23" x14ac:dyDescent="0.25"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3:23" x14ac:dyDescent="0.25"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3:23" x14ac:dyDescent="0.25"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3:23" x14ac:dyDescent="0.25"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3:23" x14ac:dyDescent="0.25"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3:23" x14ac:dyDescent="0.25"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3:23" x14ac:dyDescent="0.25"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3:23" x14ac:dyDescent="0.25"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3:23" x14ac:dyDescent="0.25"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3:23" x14ac:dyDescent="0.25"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3:23" x14ac:dyDescent="0.25"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3:23" x14ac:dyDescent="0.25"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3:23" x14ac:dyDescent="0.25"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3:23" x14ac:dyDescent="0.25"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3:23" x14ac:dyDescent="0.25"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3:23" x14ac:dyDescent="0.25"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3:23" x14ac:dyDescent="0.25"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3:23" x14ac:dyDescent="0.25"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3:23" x14ac:dyDescent="0.25"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3:23" x14ac:dyDescent="0.25"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3:23" x14ac:dyDescent="0.25"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3:23" x14ac:dyDescent="0.25"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3:23" x14ac:dyDescent="0.25"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3:23" x14ac:dyDescent="0.25"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3:23" x14ac:dyDescent="0.25"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3:23" x14ac:dyDescent="0.25"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3:23" x14ac:dyDescent="0.25"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3:23" x14ac:dyDescent="0.25"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3:23" x14ac:dyDescent="0.25"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3:23" x14ac:dyDescent="0.25"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3:23" x14ac:dyDescent="0.25"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3:23" x14ac:dyDescent="0.25"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3:23" x14ac:dyDescent="0.25"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3:23" x14ac:dyDescent="0.25"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3:23" x14ac:dyDescent="0.25"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3:23" x14ac:dyDescent="0.25"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3:23" x14ac:dyDescent="0.25"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3:23" x14ac:dyDescent="0.25"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3:23" x14ac:dyDescent="0.25"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3:23" x14ac:dyDescent="0.25"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3:23" x14ac:dyDescent="0.25"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3:23" x14ac:dyDescent="0.25"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3:23" x14ac:dyDescent="0.25"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3:23" x14ac:dyDescent="0.25"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3:23" x14ac:dyDescent="0.25"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3:23" x14ac:dyDescent="0.25"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3:23" x14ac:dyDescent="0.25"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3:23" x14ac:dyDescent="0.25"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3:23" x14ac:dyDescent="0.25"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3:23" x14ac:dyDescent="0.25"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3:23" x14ac:dyDescent="0.25"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3:23" x14ac:dyDescent="0.25"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3:23" x14ac:dyDescent="0.25"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3:23" x14ac:dyDescent="0.25"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3:23" x14ac:dyDescent="0.25"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3:23" x14ac:dyDescent="0.25"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3:23" x14ac:dyDescent="0.25"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3:23" x14ac:dyDescent="0.25"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3:23" x14ac:dyDescent="0.25"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3:23" x14ac:dyDescent="0.25"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3:23" x14ac:dyDescent="0.25"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3:23" x14ac:dyDescent="0.25"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3:23" x14ac:dyDescent="0.25"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3:23" x14ac:dyDescent="0.25"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3:23" x14ac:dyDescent="0.25"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3:23" x14ac:dyDescent="0.25"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3:23" x14ac:dyDescent="0.25"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3:23" x14ac:dyDescent="0.25"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3:23" x14ac:dyDescent="0.25"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3:23" x14ac:dyDescent="0.25"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3:23" x14ac:dyDescent="0.25"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3:23" x14ac:dyDescent="0.25"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3:23" x14ac:dyDescent="0.25"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3:23" x14ac:dyDescent="0.25"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3:23" x14ac:dyDescent="0.25"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3:23" x14ac:dyDescent="0.25"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3:23" x14ac:dyDescent="0.25"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3:23" x14ac:dyDescent="0.25"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3:23" x14ac:dyDescent="0.25"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3:23" x14ac:dyDescent="0.25"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3:23" x14ac:dyDescent="0.25"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3:23" x14ac:dyDescent="0.25"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3:23" x14ac:dyDescent="0.25"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3:23" x14ac:dyDescent="0.25"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3:23" x14ac:dyDescent="0.25"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3:23" x14ac:dyDescent="0.25"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3:23" x14ac:dyDescent="0.25"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3:23" x14ac:dyDescent="0.25"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3:23" x14ac:dyDescent="0.25"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3:23" x14ac:dyDescent="0.25"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3:23" x14ac:dyDescent="0.25"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3:23" x14ac:dyDescent="0.25"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3:23" x14ac:dyDescent="0.25"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3:23" x14ac:dyDescent="0.25"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3:23" x14ac:dyDescent="0.25"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3:23" x14ac:dyDescent="0.25"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3:23" x14ac:dyDescent="0.25"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3:23" x14ac:dyDescent="0.25"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3:23" x14ac:dyDescent="0.25"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3:23" x14ac:dyDescent="0.25"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3:23" x14ac:dyDescent="0.25"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3:23" x14ac:dyDescent="0.25"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3:23" x14ac:dyDescent="0.25"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3:23" x14ac:dyDescent="0.25"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3:23" x14ac:dyDescent="0.25"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3:23" x14ac:dyDescent="0.25"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3:23" x14ac:dyDescent="0.25"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3:23" x14ac:dyDescent="0.25"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3:23" x14ac:dyDescent="0.25"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3:23" x14ac:dyDescent="0.25"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3:23" x14ac:dyDescent="0.25"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3:23" x14ac:dyDescent="0.25"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3:23" x14ac:dyDescent="0.25"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3:23" x14ac:dyDescent="0.25"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3:23" x14ac:dyDescent="0.25"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3:23" x14ac:dyDescent="0.25"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3:23" x14ac:dyDescent="0.25"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3:23" x14ac:dyDescent="0.25"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3:23" x14ac:dyDescent="0.25"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3:23" x14ac:dyDescent="0.25"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3:23" x14ac:dyDescent="0.25"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3:23" x14ac:dyDescent="0.25"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3:23" x14ac:dyDescent="0.25"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3:23" x14ac:dyDescent="0.25"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3:23" x14ac:dyDescent="0.25"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3:23" x14ac:dyDescent="0.25"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3:23" x14ac:dyDescent="0.25"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3:23" x14ac:dyDescent="0.25"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3:23" x14ac:dyDescent="0.25"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3:23" x14ac:dyDescent="0.25"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3:23" x14ac:dyDescent="0.25"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3:23" x14ac:dyDescent="0.25"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3:23" x14ac:dyDescent="0.25"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3:23" x14ac:dyDescent="0.25"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3:23" x14ac:dyDescent="0.25"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3:23" x14ac:dyDescent="0.25"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3:23" x14ac:dyDescent="0.25"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3:23" x14ac:dyDescent="0.25"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3:23" x14ac:dyDescent="0.25"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3:23" x14ac:dyDescent="0.25"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3:23" x14ac:dyDescent="0.25"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3:23" x14ac:dyDescent="0.25"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3:23" x14ac:dyDescent="0.25"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3:23" x14ac:dyDescent="0.25"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3:23" x14ac:dyDescent="0.25"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3:23" x14ac:dyDescent="0.25"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3:23" x14ac:dyDescent="0.25"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3:23" x14ac:dyDescent="0.25"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3:23" x14ac:dyDescent="0.25"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3:23" x14ac:dyDescent="0.25"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3:23" x14ac:dyDescent="0.25"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3:23" x14ac:dyDescent="0.25"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3:23" x14ac:dyDescent="0.25"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3:23" x14ac:dyDescent="0.25"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3:23" x14ac:dyDescent="0.25"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3:23" x14ac:dyDescent="0.25"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3:23" x14ac:dyDescent="0.25"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3:23" x14ac:dyDescent="0.25"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3:23" x14ac:dyDescent="0.25"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3:23" x14ac:dyDescent="0.25"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3:23" x14ac:dyDescent="0.25"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3:23" x14ac:dyDescent="0.25"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3:23" x14ac:dyDescent="0.25"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3:23" x14ac:dyDescent="0.25"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3:23" x14ac:dyDescent="0.25"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3:23" x14ac:dyDescent="0.25"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3:23" x14ac:dyDescent="0.25"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3:23" x14ac:dyDescent="0.25"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3:23" x14ac:dyDescent="0.25"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3:23" x14ac:dyDescent="0.25"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3:23" x14ac:dyDescent="0.25"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3:23" x14ac:dyDescent="0.25"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3:23" x14ac:dyDescent="0.25"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3:23" x14ac:dyDescent="0.25"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3:23" x14ac:dyDescent="0.25"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3:23" x14ac:dyDescent="0.25"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3:23" x14ac:dyDescent="0.25"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3:23" x14ac:dyDescent="0.25"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3:23" x14ac:dyDescent="0.25">
      <c r="M1001" s="2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3:23" x14ac:dyDescent="0.25">
      <c r="M1002" s="2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3:23" x14ac:dyDescent="0.25">
      <c r="M1003" s="2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3:23" x14ac:dyDescent="0.25">
      <c r="M1004" s="2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3:23" x14ac:dyDescent="0.25">
      <c r="M1005" s="2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3:23" x14ac:dyDescent="0.25">
      <c r="M1006" s="2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3:23" x14ac:dyDescent="0.25">
      <c r="M1007" s="2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3:23" x14ac:dyDescent="0.25">
      <c r="M1008" s="2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3:23" x14ac:dyDescent="0.25">
      <c r="M1009" s="2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3:23" x14ac:dyDescent="0.25">
      <c r="M1010" s="2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3:23" x14ac:dyDescent="0.25">
      <c r="M1011" s="2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3:23" x14ac:dyDescent="0.25">
      <c r="M1012" s="2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3:23" x14ac:dyDescent="0.25">
      <c r="M1013" s="2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3:23" x14ac:dyDescent="0.25">
      <c r="M1014" s="2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3:23" x14ac:dyDescent="0.25">
      <c r="M1015" s="2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3:23" x14ac:dyDescent="0.25">
      <c r="M1016" s="2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3:23" x14ac:dyDescent="0.25">
      <c r="M1017" s="2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3:23" x14ac:dyDescent="0.25">
      <c r="M1018" s="2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3:23" x14ac:dyDescent="0.25">
      <c r="M1019" s="2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3:23" x14ac:dyDescent="0.25">
      <c r="M1020" s="2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3:23" x14ac:dyDescent="0.25">
      <c r="M1021" s="2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3:23" x14ac:dyDescent="0.25">
      <c r="M1022" s="2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3:23" x14ac:dyDescent="0.25">
      <c r="M1023" s="2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3:23" x14ac:dyDescent="0.25">
      <c r="M1024" s="2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3:23" x14ac:dyDescent="0.25">
      <c r="M1025" s="2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3:23" x14ac:dyDescent="0.25">
      <c r="M1026" s="2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3:23" x14ac:dyDescent="0.25">
      <c r="M1027" s="2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3:23" x14ac:dyDescent="0.25">
      <c r="M1028" s="2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3:23" x14ac:dyDescent="0.25">
      <c r="M1029" s="2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3:23" x14ac:dyDescent="0.25">
      <c r="M1030" s="2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3:23" x14ac:dyDescent="0.25">
      <c r="M1031" s="2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3:23" x14ac:dyDescent="0.25">
      <c r="M1032" s="2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3:23" x14ac:dyDescent="0.25">
      <c r="M1033" s="2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3:23" x14ac:dyDescent="0.25">
      <c r="M1034" s="2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3:23" x14ac:dyDescent="0.25">
      <c r="M1035" s="2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3:23" x14ac:dyDescent="0.25">
      <c r="M1036" s="2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3:23" x14ac:dyDescent="0.25">
      <c r="M1037" s="2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3:23" x14ac:dyDescent="0.25">
      <c r="M1038" s="2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3:23" x14ac:dyDescent="0.25">
      <c r="M1039" s="2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3:23" x14ac:dyDescent="0.25">
      <c r="M1040" s="2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3:23" x14ac:dyDescent="0.25">
      <c r="M1041" s="2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3:23" x14ac:dyDescent="0.25">
      <c r="M1042" s="2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3:23" x14ac:dyDescent="0.25">
      <c r="M1043" s="2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3:23" x14ac:dyDescent="0.25">
      <c r="M1044" s="2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3:23" x14ac:dyDescent="0.25">
      <c r="M1045" s="2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3:23" x14ac:dyDescent="0.25">
      <c r="M1046" s="2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3:23" x14ac:dyDescent="0.25">
      <c r="M1047" s="2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3:23" x14ac:dyDescent="0.25">
      <c r="M1048" s="2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3:23" x14ac:dyDescent="0.25">
      <c r="M1049" s="2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3:23" x14ac:dyDescent="0.25">
      <c r="M1050" s="2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3:23" x14ac:dyDescent="0.25">
      <c r="M1051" s="2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3:23" x14ac:dyDescent="0.25">
      <c r="M1052" s="2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3:23" x14ac:dyDescent="0.25">
      <c r="M1053" s="2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3:23" x14ac:dyDescent="0.25">
      <c r="M1054" s="2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3:23" x14ac:dyDescent="0.25">
      <c r="M1055" s="2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3:23" x14ac:dyDescent="0.25">
      <c r="M1056" s="2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3:23" x14ac:dyDescent="0.25">
      <c r="M1057" s="2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3:23" x14ac:dyDescent="0.25">
      <c r="M1058" s="2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3:23" x14ac:dyDescent="0.25">
      <c r="M1059" s="2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3:23" x14ac:dyDescent="0.25">
      <c r="M1060" s="2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3:23" x14ac:dyDescent="0.25">
      <c r="M1061" s="2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3:23" x14ac:dyDescent="0.25">
      <c r="M1062" s="2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3:23" x14ac:dyDescent="0.25">
      <c r="M1063" s="2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3:23" x14ac:dyDescent="0.25">
      <c r="M1064" s="2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3:23" x14ac:dyDescent="0.25">
      <c r="M1065" s="2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3:23" x14ac:dyDescent="0.25">
      <c r="M1066" s="2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3:23" x14ac:dyDescent="0.25">
      <c r="M1067" s="2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3:23" x14ac:dyDescent="0.25">
      <c r="M1068" s="2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3:23" x14ac:dyDescent="0.25">
      <c r="M1069" s="2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3:23" x14ac:dyDescent="0.25">
      <c r="M1070" s="2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3:23" x14ac:dyDescent="0.25">
      <c r="M1071" s="2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13:23" x14ac:dyDescent="0.25">
      <c r="M1072" s="2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3:23" x14ac:dyDescent="0.25">
      <c r="M1073" s="2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3:23" x14ac:dyDescent="0.25">
      <c r="M1074" s="2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3:23" x14ac:dyDescent="0.25">
      <c r="M1075" s="2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13:23" x14ac:dyDescent="0.25">
      <c r="M1076" s="2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3:23" x14ac:dyDescent="0.25">
      <c r="M1077" s="2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3:23" x14ac:dyDescent="0.25">
      <c r="M1078" s="2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3:23" x14ac:dyDescent="0.25">
      <c r="M1079" s="2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3:23" x14ac:dyDescent="0.25">
      <c r="M1080" s="2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3:23" x14ac:dyDescent="0.25">
      <c r="M1081" s="2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3:23" x14ac:dyDescent="0.25">
      <c r="M1082" s="2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3:23" x14ac:dyDescent="0.25">
      <c r="M1083" s="2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3:23" x14ac:dyDescent="0.25">
      <c r="M1084" s="2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3:23" x14ac:dyDescent="0.25">
      <c r="M1085" s="2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3:23" x14ac:dyDescent="0.25">
      <c r="M1086" s="2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3:23" x14ac:dyDescent="0.25">
      <c r="M1087" s="2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3:23" x14ac:dyDescent="0.25">
      <c r="M1088" s="2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3:23" x14ac:dyDescent="0.25">
      <c r="M1089" s="2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3:23" x14ac:dyDescent="0.25">
      <c r="M1090" s="2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3:23" x14ac:dyDescent="0.25">
      <c r="M1091" s="2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3:23" x14ac:dyDescent="0.25">
      <c r="M1092" s="2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3:23" x14ac:dyDescent="0.25">
      <c r="M1093" s="2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3:23" x14ac:dyDescent="0.25">
      <c r="M1094" s="2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3:23" x14ac:dyDescent="0.25">
      <c r="M1095" s="2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3:23" x14ac:dyDescent="0.25">
      <c r="M1096" s="2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3:23" x14ac:dyDescent="0.25">
      <c r="M1097" s="2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3:23" x14ac:dyDescent="0.25">
      <c r="M1098" s="2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3:23" x14ac:dyDescent="0.25">
      <c r="M1099" s="2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3:23" x14ac:dyDescent="0.25">
      <c r="M1100" s="2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3:23" x14ac:dyDescent="0.25">
      <c r="M1101" s="2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3:23" x14ac:dyDescent="0.25">
      <c r="M1102" s="2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3:23" x14ac:dyDescent="0.25">
      <c r="M1103" s="2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3:23" x14ac:dyDescent="0.25">
      <c r="M1104" s="2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3:23" x14ac:dyDescent="0.25">
      <c r="M1105" s="2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3:23" x14ac:dyDescent="0.25">
      <c r="M1106" s="2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3:23" x14ac:dyDescent="0.25">
      <c r="M1107" s="2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3:23" x14ac:dyDescent="0.25">
      <c r="M1108" s="2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3:23" x14ac:dyDescent="0.25">
      <c r="M1109" s="2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3:23" x14ac:dyDescent="0.25">
      <c r="M1110" s="2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3:23" x14ac:dyDescent="0.25">
      <c r="M1111" s="2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3:23" x14ac:dyDescent="0.25">
      <c r="M1112" s="2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3:23" x14ac:dyDescent="0.25">
      <c r="M1113" s="2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3:23" x14ac:dyDescent="0.25">
      <c r="M1114" s="2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3:23" x14ac:dyDescent="0.25">
      <c r="M1115" s="2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3:23" x14ac:dyDescent="0.25">
      <c r="M1116" s="2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3:23" x14ac:dyDescent="0.25">
      <c r="M1117" s="2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3:23" x14ac:dyDescent="0.25">
      <c r="M1118" s="2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3:23" x14ac:dyDescent="0.25">
      <c r="M1119" s="2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3:23" x14ac:dyDescent="0.25">
      <c r="M1120" s="2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spans="13:23" x14ac:dyDescent="0.25">
      <c r="M1121" s="2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3:23" x14ac:dyDescent="0.25">
      <c r="M1122" s="2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3:23" x14ac:dyDescent="0.25">
      <c r="M1123" s="2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3:23" x14ac:dyDescent="0.25">
      <c r="M1124" s="2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3:23" x14ac:dyDescent="0.25">
      <c r="M1125" s="2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3:23" x14ac:dyDescent="0.25">
      <c r="M1126" s="2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3:23" x14ac:dyDescent="0.25">
      <c r="M1127" s="2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3:23" x14ac:dyDescent="0.25">
      <c r="M1128" s="2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3:23" x14ac:dyDescent="0.25">
      <c r="M1129" s="2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3:23" x14ac:dyDescent="0.25">
      <c r="M1130" s="2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3:23" x14ac:dyDescent="0.25">
      <c r="M1131" s="2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3:23" x14ac:dyDescent="0.25">
      <c r="M1132" s="2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3:23" x14ac:dyDescent="0.25">
      <c r="M1133" s="2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spans="13:23" x14ac:dyDescent="0.25">
      <c r="M1134" s="2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3:23" x14ac:dyDescent="0.25">
      <c r="M1135" s="2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3:23" x14ac:dyDescent="0.25">
      <c r="M1136" s="2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3:23" x14ac:dyDescent="0.25">
      <c r="M1137" s="2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3:23" x14ac:dyDescent="0.25">
      <c r="M1138" s="2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3:23" x14ac:dyDescent="0.25">
      <c r="M1139" s="2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3:23" x14ac:dyDescent="0.25">
      <c r="M1140" s="2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spans="13:23" x14ac:dyDescent="0.25">
      <c r="M1141" s="2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spans="13:23" x14ac:dyDescent="0.25">
      <c r="M1142" s="2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spans="13:23" x14ac:dyDescent="0.25">
      <c r="M1143" s="2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spans="13:23" x14ac:dyDescent="0.25">
      <c r="M1144" s="2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spans="13:23" x14ac:dyDescent="0.25">
      <c r="M1145" s="2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13:23" x14ac:dyDescent="0.25">
      <c r="M1146" s="2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spans="13:23" x14ac:dyDescent="0.25">
      <c r="M1147" s="2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spans="13:23" x14ac:dyDescent="0.25">
      <c r="M1148" s="2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spans="13:23" x14ac:dyDescent="0.25">
      <c r="M1149" s="2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spans="13:23" x14ac:dyDescent="0.25">
      <c r="M1150" s="2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spans="13:23" x14ac:dyDescent="0.25">
      <c r="M1151" s="2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spans="13:23" x14ac:dyDescent="0.25">
      <c r="M1152" s="2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spans="13:23" x14ac:dyDescent="0.25">
      <c r="M1153" s="2"/>
      <c r="N1153" s="3"/>
      <c r="O1153" s="3"/>
      <c r="P1153" s="3"/>
      <c r="Q1153" s="3"/>
      <c r="R1153" s="3"/>
      <c r="S1153" s="3"/>
      <c r="T1153" s="3"/>
      <c r="U1153" s="3"/>
      <c r="V1153" s="3"/>
      <c r="W1153" s="3"/>
    </row>
    <row r="1154" spans="13:23" x14ac:dyDescent="0.25">
      <c r="M1154" s="2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spans="13:23" x14ac:dyDescent="0.25">
      <c r="M1155" s="2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spans="13:23" x14ac:dyDescent="0.25">
      <c r="M1156" s="2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spans="13:23" x14ac:dyDescent="0.25">
      <c r="M1157" s="2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spans="13:23" x14ac:dyDescent="0.25">
      <c r="M1158" s="2"/>
      <c r="N1158" s="3"/>
      <c r="O1158" s="3"/>
      <c r="P1158" s="3"/>
      <c r="Q1158" s="3"/>
      <c r="R1158" s="3"/>
      <c r="S1158" s="3"/>
      <c r="T1158" s="3"/>
      <c r="U1158" s="3"/>
      <c r="V1158" s="3"/>
      <c r="W1158" s="3"/>
    </row>
    <row r="1159" spans="13:23" x14ac:dyDescent="0.25">
      <c r="M1159" s="2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3:23" x14ac:dyDescent="0.25">
      <c r="M1160" s="2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13:23" x14ac:dyDescent="0.25">
      <c r="M1161" s="2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spans="13:23" x14ac:dyDescent="0.25">
      <c r="M1162" s="2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3:23" x14ac:dyDescent="0.25">
      <c r="M1163" s="2"/>
      <c r="N1163" s="3"/>
      <c r="O1163" s="3"/>
      <c r="P1163" s="3"/>
      <c r="Q1163" s="3"/>
      <c r="R1163" s="3"/>
      <c r="S1163" s="3"/>
      <c r="T1163" s="3"/>
      <c r="U1163" s="3"/>
      <c r="V1163" s="3"/>
      <c r="W1163" s="3"/>
    </row>
    <row r="1164" spans="13:23" x14ac:dyDescent="0.25">
      <c r="M1164" s="2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spans="13:23" x14ac:dyDescent="0.25">
      <c r="M1165" s="2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spans="13:23" x14ac:dyDescent="0.25">
      <c r="M1166" s="2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spans="13:23" x14ac:dyDescent="0.25">
      <c r="M1167" s="2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spans="13:23" x14ac:dyDescent="0.25">
      <c r="M1168" s="2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spans="13:23" x14ac:dyDescent="0.25">
      <c r="M1169" s="2"/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spans="13:23" x14ac:dyDescent="0.25">
      <c r="M1170" s="2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spans="13:23" x14ac:dyDescent="0.25">
      <c r="M1171" s="2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spans="13:23" x14ac:dyDescent="0.25">
      <c r="M1172" s="2"/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spans="13:23" x14ac:dyDescent="0.25">
      <c r="M1173" s="2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spans="13:23" x14ac:dyDescent="0.25">
      <c r="M1174" s="2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spans="13:23" x14ac:dyDescent="0.25">
      <c r="M1175" s="2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spans="13:23" x14ac:dyDescent="0.25">
      <c r="M1176" s="2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spans="13:23" x14ac:dyDescent="0.25">
      <c r="M1177" s="2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3:23" x14ac:dyDescent="0.25">
      <c r="M1178" s="2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spans="13:23" x14ac:dyDescent="0.25">
      <c r="M1179" s="2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3:23" x14ac:dyDescent="0.25">
      <c r="M1180" s="2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spans="13:23" x14ac:dyDescent="0.25">
      <c r="M1181" s="2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spans="13:23" x14ac:dyDescent="0.25">
      <c r="M1182" s="2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3:23" x14ac:dyDescent="0.25">
      <c r="M1183" s="2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spans="13:23" x14ac:dyDescent="0.25">
      <c r="M1184" s="2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spans="13:23" x14ac:dyDescent="0.25">
      <c r="M1185" s="2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spans="13:23" x14ac:dyDescent="0.25">
      <c r="M1186" s="2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spans="13:23" x14ac:dyDescent="0.25">
      <c r="M1187" s="2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spans="13:23" x14ac:dyDescent="0.25">
      <c r="M1188" s="2"/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spans="13:23" x14ac:dyDescent="0.25">
      <c r="M1189" s="2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spans="13:23" x14ac:dyDescent="0.25">
      <c r="M1190" s="2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spans="13:23" x14ac:dyDescent="0.25">
      <c r="M1191" s="2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spans="13:23" x14ac:dyDescent="0.25">
      <c r="M1192" s="2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spans="13:23" x14ac:dyDescent="0.25">
      <c r="M1193" s="2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spans="13:23" x14ac:dyDescent="0.25">
      <c r="M1194" s="2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13:23" x14ac:dyDescent="0.25">
      <c r="M1195" s="2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spans="13:23" x14ac:dyDescent="0.25">
      <c r="M1196" s="2"/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spans="13:23" x14ac:dyDescent="0.25">
      <c r="M1197" s="2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spans="13:23" x14ac:dyDescent="0.25">
      <c r="M1198" s="2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spans="13:23" x14ac:dyDescent="0.25">
      <c r="M1199" s="2"/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spans="13:23" x14ac:dyDescent="0.25">
      <c r="M1200" s="2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spans="13:23" x14ac:dyDescent="0.25">
      <c r="M1201" s="2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spans="13:23" x14ac:dyDescent="0.25">
      <c r="M1202" s="2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spans="13:23" x14ac:dyDescent="0.25">
      <c r="M1203" s="2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spans="13:23" x14ac:dyDescent="0.25">
      <c r="M1204" s="2"/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spans="13:23" x14ac:dyDescent="0.25">
      <c r="M1205" s="2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spans="13:23" x14ac:dyDescent="0.25">
      <c r="M1206" s="2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spans="13:23" x14ac:dyDescent="0.25">
      <c r="M1207" s="2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spans="13:23" x14ac:dyDescent="0.25">
      <c r="M1208" s="2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spans="13:23" x14ac:dyDescent="0.25">
      <c r="M1209" s="2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13:23" x14ac:dyDescent="0.25">
      <c r="M1210" s="2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spans="13:23" x14ac:dyDescent="0.25">
      <c r="M1211" s="2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spans="13:23" x14ac:dyDescent="0.25">
      <c r="M1212" s="2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spans="13:23" x14ac:dyDescent="0.25">
      <c r="M1213" s="2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spans="13:23" x14ac:dyDescent="0.25">
      <c r="M1214" s="2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spans="13:23" x14ac:dyDescent="0.25">
      <c r="M1215" s="2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spans="13:23" x14ac:dyDescent="0.25">
      <c r="M1216" s="2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spans="13:23" x14ac:dyDescent="0.25">
      <c r="M1217" s="2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spans="13:23" x14ac:dyDescent="0.25">
      <c r="M1218" s="2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spans="13:23" x14ac:dyDescent="0.25">
      <c r="M1219" s="2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spans="13:23" x14ac:dyDescent="0.25">
      <c r="M1220" s="2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spans="13:23" x14ac:dyDescent="0.25">
      <c r="M1221" s="2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spans="13:23" x14ac:dyDescent="0.25">
      <c r="M1222" s="2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spans="13:23" x14ac:dyDescent="0.25">
      <c r="M1223" s="2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spans="13:23" x14ac:dyDescent="0.25">
      <c r="M1224" s="2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13:23" x14ac:dyDescent="0.25">
      <c r="M1225" s="2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3:23" x14ac:dyDescent="0.25">
      <c r="M1226" s="2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spans="13:23" x14ac:dyDescent="0.25">
      <c r="M1227" s="2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spans="13:23" x14ac:dyDescent="0.25">
      <c r="M1228" s="2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spans="13:23" x14ac:dyDescent="0.25">
      <c r="M1229" s="2"/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spans="13:23" x14ac:dyDescent="0.25">
      <c r="M1230" s="2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spans="13:23" x14ac:dyDescent="0.25">
      <c r="M1231" s="2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spans="13:23" x14ac:dyDescent="0.25">
      <c r="M1232" s="2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spans="13:23" x14ac:dyDescent="0.25">
      <c r="M1233" s="2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spans="13:23" x14ac:dyDescent="0.25">
      <c r="M1234" s="2"/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spans="13:23" x14ac:dyDescent="0.25">
      <c r="M1235" s="2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spans="13:23" x14ac:dyDescent="0.25">
      <c r="M1236" s="2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spans="13:23" x14ac:dyDescent="0.25">
      <c r="M1237" s="2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spans="13:23" x14ac:dyDescent="0.25">
      <c r="M1238" s="2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spans="13:23" x14ac:dyDescent="0.25">
      <c r="M1239" s="2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13:23" x14ac:dyDescent="0.25">
      <c r="M1240" s="2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spans="13:23" x14ac:dyDescent="0.25">
      <c r="M1241" s="2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spans="13:23" x14ac:dyDescent="0.25">
      <c r="M1242" s="2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spans="13:23" x14ac:dyDescent="0.25">
      <c r="M1243" s="2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spans="13:23" x14ac:dyDescent="0.25">
      <c r="M1244" s="2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spans="13:23" x14ac:dyDescent="0.25">
      <c r="M1245" s="2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spans="13:23" x14ac:dyDescent="0.25">
      <c r="M1246" s="2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spans="13:23" x14ac:dyDescent="0.25">
      <c r="M1247" s="2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spans="13:23" x14ac:dyDescent="0.25">
      <c r="M1248" s="2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spans="13:23" x14ac:dyDescent="0.25">
      <c r="M1249" s="2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spans="13:23" x14ac:dyDescent="0.25">
      <c r="M1250" s="2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spans="13:23" x14ac:dyDescent="0.25">
      <c r="M1251" s="2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spans="13:23" x14ac:dyDescent="0.25">
      <c r="M1252" s="2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spans="13:23" x14ac:dyDescent="0.25">
      <c r="M1253" s="2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spans="13:23" x14ac:dyDescent="0.25">
      <c r="M1254" s="2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13:23" x14ac:dyDescent="0.25">
      <c r="M1255" s="2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spans="13:23" x14ac:dyDescent="0.25">
      <c r="M1256" s="2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3:23" x14ac:dyDescent="0.25">
      <c r="M1257" s="2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spans="13:23" x14ac:dyDescent="0.25">
      <c r="M1258" s="2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spans="13:23" x14ac:dyDescent="0.25">
      <c r="M1259" s="2"/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spans="13:23" x14ac:dyDescent="0.25">
      <c r="M1260" s="2"/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spans="13:23" x14ac:dyDescent="0.25">
      <c r="M1261" s="2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spans="13:23" x14ac:dyDescent="0.25">
      <c r="M1262" s="2"/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spans="13:23" x14ac:dyDescent="0.25">
      <c r="M1263" s="2"/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spans="13:23" x14ac:dyDescent="0.25">
      <c r="M1264" s="2"/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spans="13:23" x14ac:dyDescent="0.25">
      <c r="M1265" s="2"/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spans="13:23" x14ac:dyDescent="0.25">
      <c r="M1266" s="2"/>
      <c r="N1266" s="3"/>
      <c r="O1266" s="3"/>
      <c r="P1266" s="3"/>
      <c r="Q1266" s="3"/>
      <c r="R1266" s="3"/>
      <c r="S1266" s="3"/>
      <c r="T1266" s="3"/>
      <c r="U1266" s="3"/>
      <c r="V1266" s="3"/>
      <c r="W1266" s="3"/>
    </row>
    <row r="1267" spans="13:23" x14ac:dyDescent="0.25">
      <c r="M1267" s="2"/>
      <c r="N1267" s="3"/>
      <c r="O1267" s="3"/>
      <c r="P1267" s="3"/>
      <c r="Q1267" s="3"/>
      <c r="R1267" s="3"/>
      <c r="S1267" s="3"/>
      <c r="T1267" s="3"/>
      <c r="U1267" s="3"/>
      <c r="V1267" s="3"/>
      <c r="W1267" s="3"/>
    </row>
    <row r="1268" spans="13:23" x14ac:dyDescent="0.25">
      <c r="M1268" s="2"/>
      <c r="N1268" s="3"/>
      <c r="O1268" s="3"/>
      <c r="P1268" s="3"/>
      <c r="Q1268" s="3"/>
      <c r="R1268" s="3"/>
      <c r="S1268" s="3"/>
      <c r="T1268" s="3"/>
      <c r="U1268" s="3"/>
      <c r="V1268" s="3"/>
      <c r="W1268" s="3"/>
    </row>
    <row r="1269" spans="13:23" x14ac:dyDescent="0.25">
      <c r="M1269" s="2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spans="13:23" x14ac:dyDescent="0.25">
      <c r="M1270" s="2"/>
      <c r="N1270" s="3"/>
      <c r="O1270" s="3"/>
      <c r="P1270" s="3"/>
      <c r="Q1270" s="3"/>
      <c r="R1270" s="3"/>
      <c r="S1270" s="3"/>
      <c r="T1270" s="3"/>
      <c r="U1270" s="3"/>
      <c r="V1270" s="3"/>
      <c r="W1270" s="3"/>
    </row>
    <row r="1271" spans="13:23" x14ac:dyDescent="0.25">
      <c r="M1271" s="2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spans="13:23" x14ac:dyDescent="0.25">
      <c r="M1272" s="2"/>
      <c r="N1272" s="3"/>
      <c r="O1272" s="3"/>
      <c r="P1272" s="3"/>
      <c r="Q1272" s="3"/>
      <c r="R1272" s="3"/>
      <c r="S1272" s="3"/>
      <c r="T1272" s="3"/>
      <c r="U1272" s="3"/>
      <c r="V1272" s="3"/>
      <c r="W1272" s="3"/>
    </row>
    <row r="1273" spans="13:23" x14ac:dyDescent="0.25">
      <c r="M1273" s="2"/>
      <c r="N1273" s="3"/>
      <c r="O1273" s="3"/>
      <c r="P1273" s="3"/>
      <c r="Q1273" s="3"/>
      <c r="R1273" s="3"/>
      <c r="S1273" s="3"/>
      <c r="T1273" s="3"/>
      <c r="U1273" s="3"/>
      <c r="V1273" s="3"/>
      <c r="W1273" s="3"/>
    </row>
    <row r="1274" spans="13:23" x14ac:dyDescent="0.25">
      <c r="M1274" s="2"/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spans="13:23" x14ac:dyDescent="0.25">
      <c r="M1275" s="2"/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spans="13:23" x14ac:dyDescent="0.25">
      <c r="M1276" s="2"/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spans="13:23" x14ac:dyDescent="0.25">
      <c r="M1277" s="2"/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spans="13:23" x14ac:dyDescent="0.25">
      <c r="M1278" s="2"/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spans="13:23" x14ac:dyDescent="0.25">
      <c r="M1279" s="2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spans="13:23" x14ac:dyDescent="0.25">
      <c r="M1280" s="2"/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spans="13:23" x14ac:dyDescent="0.25">
      <c r="M1281" s="2"/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spans="13:23" x14ac:dyDescent="0.25">
      <c r="M1282" s="2"/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spans="13:23" x14ac:dyDescent="0.25">
      <c r="M1283" s="2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spans="13:23" x14ac:dyDescent="0.25">
      <c r="M1284" s="2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spans="13:23" x14ac:dyDescent="0.25">
      <c r="M1285" s="2"/>
      <c r="N1285" s="3"/>
      <c r="O1285" s="3"/>
      <c r="P1285" s="3"/>
      <c r="Q1285" s="3"/>
      <c r="R1285" s="3"/>
      <c r="S1285" s="3"/>
      <c r="T1285" s="3"/>
      <c r="U1285" s="3"/>
      <c r="V1285" s="3"/>
      <c r="W1285" s="3"/>
    </row>
    <row r="1286" spans="13:23" x14ac:dyDescent="0.25">
      <c r="M1286" s="2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spans="13:23" x14ac:dyDescent="0.25">
      <c r="M1287" s="2"/>
      <c r="N1287" s="3"/>
      <c r="O1287" s="3"/>
      <c r="P1287" s="3"/>
      <c r="Q1287" s="3"/>
      <c r="R1287" s="3"/>
      <c r="S1287" s="3"/>
      <c r="T1287" s="3"/>
      <c r="U1287" s="3"/>
      <c r="V1287" s="3"/>
      <c r="W1287" s="3"/>
    </row>
    <row r="1288" spans="13:23" x14ac:dyDescent="0.25">
      <c r="M1288" s="2"/>
      <c r="N1288" s="3"/>
      <c r="O1288" s="3"/>
      <c r="P1288" s="3"/>
      <c r="Q1288" s="3"/>
      <c r="R1288" s="3"/>
      <c r="S1288" s="3"/>
      <c r="T1288" s="3"/>
      <c r="U1288" s="3"/>
      <c r="V1288" s="3"/>
      <c r="W1288" s="3"/>
    </row>
    <row r="1289" spans="13:23" x14ac:dyDescent="0.25">
      <c r="M1289" s="2"/>
      <c r="N1289" s="3"/>
      <c r="O1289" s="3"/>
      <c r="P1289" s="3"/>
      <c r="Q1289" s="3"/>
      <c r="R1289" s="3"/>
      <c r="S1289" s="3"/>
      <c r="T1289" s="3"/>
      <c r="U1289" s="3"/>
      <c r="V1289" s="3"/>
      <c r="W1289" s="3"/>
    </row>
    <row r="1290" spans="13:23" x14ac:dyDescent="0.25">
      <c r="M1290" s="2"/>
      <c r="N1290" s="3"/>
      <c r="O1290" s="3"/>
      <c r="P1290" s="3"/>
      <c r="Q1290" s="3"/>
      <c r="R1290" s="3"/>
      <c r="S1290" s="3"/>
      <c r="T1290" s="3"/>
      <c r="U1290" s="3"/>
      <c r="V1290" s="3"/>
      <c r="W1290" s="3"/>
    </row>
    <row r="1291" spans="13:23" x14ac:dyDescent="0.25">
      <c r="M1291" s="2"/>
      <c r="N1291" s="3"/>
      <c r="O1291" s="3"/>
      <c r="P1291" s="3"/>
      <c r="Q1291" s="3"/>
      <c r="R1291" s="3"/>
      <c r="S1291" s="3"/>
      <c r="T1291" s="3"/>
      <c r="U1291" s="3"/>
      <c r="V1291" s="3"/>
      <c r="W1291" s="3"/>
    </row>
    <row r="1292" spans="13:23" x14ac:dyDescent="0.25">
      <c r="M1292" s="2"/>
      <c r="N1292" s="3"/>
      <c r="O1292" s="3"/>
      <c r="P1292" s="3"/>
      <c r="Q1292" s="3"/>
      <c r="R1292" s="3"/>
      <c r="S1292" s="3"/>
      <c r="T1292" s="3"/>
      <c r="U1292" s="3"/>
      <c r="V1292" s="3"/>
      <c r="W1292" s="3"/>
    </row>
    <row r="1293" spans="13:23" x14ac:dyDescent="0.25">
      <c r="M1293" s="2"/>
      <c r="N1293" s="3"/>
      <c r="O1293" s="3"/>
      <c r="P1293" s="3"/>
      <c r="Q1293" s="3"/>
      <c r="R1293" s="3"/>
      <c r="S1293" s="3"/>
      <c r="T1293" s="3"/>
      <c r="U1293" s="3"/>
      <c r="V1293" s="3"/>
      <c r="W1293" s="3"/>
    </row>
    <row r="1294" spans="13:23" x14ac:dyDescent="0.25">
      <c r="M1294" s="2"/>
      <c r="N1294" s="3"/>
      <c r="O1294" s="3"/>
      <c r="P1294" s="3"/>
      <c r="Q1294" s="3"/>
      <c r="R1294" s="3"/>
      <c r="S1294" s="3"/>
      <c r="T1294" s="3"/>
      <c r="U1294" s="3"/>
      <c r="V1294" s="3"/>
      <c r="W1294" s="3"/>
    </row>
    <row r="1295" spans="13:23" x14ac:dyDescent="0.25">
      <c r="M1295" s="2"/>
      <c r="N1295" s="3"/>
      <c r="O1295" s="3"/>
      <c r="P1295" s="3"/>
      <c r="Q1295" s="3"/>
      <c r="R1295" s="3"/>
      <c r="S1295" s="3"/>
      <c r="T1295" s="3"/>
      <c r="U1295" s="3"/>
      <c r="V1295" s="3"/>
      <c r="W1295" s="3"/>
    </row>
    <row r="1296" spans="13:23" x14ac:dyDescent="0.25">
      <c r="M1296" s="2"/>
      <c r="N1296" s="3"/>
      <c r="O1296" s="3"/>
      <c r="P1296" s="3"/>
      <c r="Q1296" s="3"/>
      <c r="R1296" s="3"/>
      <c r="S1296" s="3"/>
      <c r="T1296" s="3"/>
      <c r="U1296" s="3"/>
      <c r="V1296" s="3"/>
      <c r="W1296" s="3"/>
    </row>
    <row r="1297" spans="13:23" x14ac:dyDescent="0.25">
      <c r="M1297" s="2"/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spans="13:23" x14ac:dyDescent="0.25">
      <c r="M1298" s="2"/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spans="13:23" x14ac:dyDescent="0.25">
      <c r="M1299" s="2"/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spans="13:23" x14ac:dyDescent="0.25">
      <c r="M1300" s="2"/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spans="13:23" x14ac:dyDescent="0.25">
      <c r="M1301" s="2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spans="13:23" x14ac:dyDescent="0.25">
      <c r="M1302" s="2"/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spans="13:23" x14ac:dyDescent="0.25">
      <c r="M1303" s="2"/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spans="13:23" x14ac:dyDescent="0.25">
      <c r="M1304" s="2"/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spans="13:23" x14ac:dyDescent="0.25">
      <c r="M1305" s="2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spans="13:23" x14ac:dyDescent="0.25">
      <c r="M1306" s="2"/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spans="13:23" x14ac:dyDescent="0.25">
      <c r="M1307" s="2"/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spans="13:23" x14ac:dyDescent="0.25">
      <c r="M1308" s="2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spans="13:23" x14ac:dyDescent="0.25">
      <c r="M1309" s="2"/>
      <c r="N1309" s="3"/>
      <c r="O1309" s="3"/>
      <c r="P1309" s="3"/>
      <c r="Q1309" s="3"/>
      <c r="R1309" s="3"/>
      <c r="S1309" s="3"/>
      <c r="T1309" s="3"/>
      <c r="U1309" s="3"/>
      <c r="V1309" s="3"/>
      <c r="W1309" s="3"/>
    </row>
    <row r="1310" spans="13:23" x14ac:dyDescent="0.25">
      <c r="M1310" s="2"/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spans="13:23" x14ac:dyDescent="0.25">
      <c r="M1311" s="2"/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spans="13:23" x14ac:dyDescent="0.25">
      <c r="M1312" s="2"/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spans="13:23" x14ac:dyDescent="0.25">
      <c r="M1313" s="2"/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spans="13:23" x14ac:dyDescent="0.25">
      <c r="M1314" s="2"/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spans="13:23" x14ac:dyDescent="0.25">
      <c r="M1315" s="2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spans="13:23" x14ac:dyDescent="0.25">
      <c r="M1316" s="2"/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spans="13:23" x14ac:dyDescent="0.25">
      <c r="M1317" s="2"/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spans="13:23" x14ac:dyDescent="0.25">
      <c r="M1318" s="2"/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spans="13:23" x14ac:dyDescent="0.25">
      <c r="M1319" s="2"/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spans="13:23" x14ac:dyDescent="0.25">
      <c r="M1320" s="2"/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spans="13:23" x14ac:dyDescent="0.25">
      <c r="M1321" s="2"/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spans="13:23" x14ac:dyDescent="0.25">
      <c r="M1322" s="2"/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spans="13:23" x14ac:dyDescent="0.25">
      <c r="M1323" s="2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spans="13:23" x14ac:dyDescent="0.25">
      <c r="M1324" s="2"/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spans="13:23" x14ac:dyDescent="0.25">
      <c r="M1325" s="2"/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spans="13:23" x14ac:dyDescent="0.25">
      <c r="M1326" s="2"/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spans="13:23" x14ac:dyDescent="0.25">
      <c r="M1327" s="2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spans="13:23" x14ac:dyDescent="0.25">
      <c r="M1328" s="2"/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spans="13:23" x14ac:dyDescent="0.25">
      <c r="M1329" s="2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spans="13:23" x14ac:dyDescent="0.25">
      <c r="M1330" s="2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spans="13:23" x14ac:dyDescent="0.25">
      <c r="M1331" s="2"/>
      <c r="N1331" s="3"/>
      <c r="O1331" s="3"/>
      <c r="P1331" s="3"/>
      <c r="Q1331" s="3"/>
      <c r="R1331" s="3"/>
      <c r="S1331" s="3"/>
      <c r="T1331" s="3"/>
      <c r="U1331" s="3"/>
      <c r="V1331" s="3"/>
      <c r="W1331" s="3"/>
    </row>
    <row r="1332" spans="13:23" x14ac:dyDescent="0.25">
      <c r="M1332" s="2"/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spans="13:23" x14ac:dyDescent="0.25">
      <c r="M1333" s="2"/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spans="13:23" x14ac:dyDescent="0.25">
      <c r="M1334" s="2"/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spans="13:23" x14ac:dyDescent="0.25">
      <c r="M1335" s="2"/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spans="13:23" x14ac:dyDescent="0.25">
      <c r="M1336" s="2"/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spans="13:23" x14ac:dyDescent="0.25">
      <c r="M1337" s="2"/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spans="13:23" x14ac:dyDescent="0.25">
      <c r="M1338" s="2"/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spans="13:23" x14ac:dyDescent="0.25">
      <c r="M1339" s="2"/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spans="13:23" x14ac:dyDescent="0.25">
      <c r="M1340" s="2"/>
      <c r="N1340" s="3"/>
      <c r="O1340" s="3"/>
      <c r="P1340" s="3"/>
      <c r="Q1340" s="3"/>
      <c r="R1340" s="3"/>
      <c r="S1340" s="3"/>
      <c r="T1340" s="3"/>
      <c r="U1340" s="3"/>
      <c r="V1340" s="3"/>
      <c r="W1340" s="3"/>
    </row>
    <row r="1341" spans="13:23" x14ac:dyDescent="0.25">
      <c r="M1341" s="2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spans="13:23" x14ac:dyDescent="0.25">
      <c r="M1342" s="2"/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spans="13:23" x14ac:dyDescent="0.25">
      <c r="M1343" s="2"/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spans="13:23" x14ac:dyDescent="0.25">
      <c r="M1344" s="2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spans="13:23" x14ac:dyDescent="0.25">
      <c r="M1345" s="2"/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spans="13:23" x14ac:dyDescent="0.25">
      <c r="M1346" s="2"/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spans="13:23" x14ac:dyDescent="0.25">
      <c r="M1347" s="2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spans="13:23" x14ac:dyDescent="0.25">
      <c r="M1348" s="2"/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spans="13:23" x14ac:dyDescent="0.25">
      <c r="M1349" s="2"/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spans="13:23" x14ac:dyDescent="0.25">
      <c r="M1350" s="2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spans="13:23" x14ac:dyDescent="0.25">
      <c r="M1351" s="2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spans="13:23" x14ac:dyDescent="0.25">
      <c r="M1352" s="2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spans="13:23" x14ac:dyDescent="0.25">
      <c r="M1353" s="2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spans="13:23" x14ac:dyDescent="0.25">
      <c r="M1354" s="2"/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spans="13:23" x14ac:dyDescent="0.25">
      <c r="M1355" s="2"/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spans="13:23" x14ac:dyDescent="0.25">
      <c r="M1356" s="2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spans="13:23" x14ac:dyDescent="0.25">
      <c r="M1357" s="2"/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spans="13:23" x14ac:dyDescent="0.25">
      <c r="M1358" s="2"/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spans="13:23" x14ac:dyDescent="0.25">
      <c r="M1359" s="2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spans="13:23" x14ac:dyDescent="0.25">
      <c r="M1360" s="2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spans="13:23" x14ac:dyDescent="0.25">
      <c r="M1361" s="2"/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spans="13:23" x14ac:dyDescent="0.25">
      <c r="M1362" s="2"/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spans="13:23" x14ac:dyDescent="0.25">
      <c r="M1363" s="2"/>
      <c r="N1363" s="3"/>
      <c r="O1363" s="3"/>
      <c r="P1363" s="3"/>
      <c r="Q1363" s="3"/>
      <c r="R1363" s="3"/>
      <c r="S1363" s="3"/>
      <c r="T1363" s="3"/>
      <c r="U1363" s="3"/>
      <c r="V1363" s="3"/>
      <c r="W1363" s="3"/>
    </row>
    <row r="1364" spans="13:23" x14ac:dyDescent="0.25">
      <c r="M1364" s="2"/>
      <c r="N1364" s="3"/>
      <c r="O1364" s="3"/>
      <c r="P1364" s="3"/>
      <c r="Q1364" s="3"/>
      <c r="R1364" s="3"/>
      <c r="S1364" s="3"/>
      <c r="T1364" s="3"/>
      <c r="U1364" s="3"/>
      <c r="V1364" s="3"/>
      <c r="W1364" s="3"/>
    </row>
    <row r="1365" spans="13:23" x14ac:dyDescent="0.25">
      <c r="M1365" s="2"/>
      <c r="N1365" s="3"/>
      <c r="O1365" s="3"/>
      <c r="P1365" s="3"/>
      <c r="Q1365" s="3"/>
      <c r="R1365" s="3"/>
      <c r="S1365" s="3"/>
      <c r="T1365" s="3"/>
      <c r="U1365" s="3"/>
      <c r="V1365" s="3"/>
      <c r="W1365" s="3"/>
    </row>
    <row r="1366" spans="13:23" x14ac:dyDescent="0.25">
      <c r="M1366" s="2"/>
      <c r="N1366" s="3"/>
      <c r="O1366" s="3"/>
      <c r="P1366" s="3"/>
      <c r="Q1366" s="3"/>
      <c r="R1366" s="3"/>
      <c r="S1366" s="3"/>
      <c r="T1366" s="3"/>
      <c r="U1366" s="3"/>
      <c r="V1366" s="3"/>
      <c r="W1366" s="3"/>
    </row>
    <row r="1367" spans="13:23" x14ac:dyDescent="0.25">
      <c r="M1367" s="2"/>
      <c r="N1367" s="3"/>
      <c r="O1367" s="3"/>
      <c r="P1367" s="3"/>
      <c r="Q1367" s="3"/>
      <c r="R1367" s="3"/>
      <c r="S1367" s="3"/>
      <c r="T1367" s="3"/>
      <c r="U1367" s="3"/>
      <c r="V1367" s="3"/>
      <c r="W1367" s="3"/>
    </row>
    <row r="1368" spans="13:23" x14ac:dyDescent="0.25">
      <c r="M1368" s="2"/>
      <c r="N1368" s="3"/>
      <c r="O1368" s="3"/>
      <c r="P1368" s="3"/>
      <c r="Q1368" s="3"/>
      <c r="R1368" s="3"/>
      <c r="S1368" s="3"/>
      <c r="T1368" s="3"/>
      <c r="U1368" s="3"/>
      <c r="V1368" s="3"/>
      <c r="W1368" s="3"/>
    </row>
    <row r="1369" spans="13:23" x14ac:dyDescent="0.25">
      <c r="M1369" s="2"/>
      <c r="N1369" s="3"/>
      <c r="O1369" s="3"/>
      <c r="P1369" s="3"/>
      <c r="Q1369" s="3"/>
      <c r="R1369" s="3"/>
      <c r="S1369" s="3"/>
      <c r="T1369" s="3"/>
      <c r="U1369" s="3"/>
      <c r="V1369" s="3"/>
      <c r="W1369" s="3"/>
    </row>
    <row r="1370" spans="13:23" x14ac:dyDescent="0.25">
      <c r="M1370" s="2"/>
      <c r="N1370" s="3"/>
      <c r="O1370" s="3"/>
      <c r="P1370" s="3"/>
      <c r="Q1370" s="3"/>
      <c r="R1370" s="3"/>
      <c r="S1370" s="3"/>
      <c r="T1370" s="3"/>
      <c r="U1370" s="3"/>
      <c r="V1370" s="3"/>
      <c r="W1370" s="3"/>
    </row>
    <row r="1371" spans="13:23" x14ac:dyDescent="0.25">
      <c r="M1371" s="2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spans="13:23" x14ac:dyDescent="0.25">
      <c r="M1372" s="2"/>
      <c r="N1372" s="3"/>
      <c r="O1372" s="3"/>
      <c r="P1372" s="3"/>
      <c r="Q1372" s="3"/>
      <c r="R1372" s="3"/>
      <c r="S1372" s="3"/>
      <c r="T1372" s="3"/>
      <c r="U1372" s="3"/>
      <c r="V1372" s="3"/>
      <c r="W1372" s="3"/>
    </row>
    <row r="1373" spans="13:23" x14ac:dyDescent="0.25">
      <c r="M1373" s="2"/>
      <c r="N1373" s="3"/>
      <c r="O1373" s="3"/>
      <c r="P1373" s="3"/>
      <c r="Q1373" s="3"/>
      <c r="R1373" s="3"/>
      <c r="S1373" s="3"/>
      <c r="T1373" s="3"/>
      <c r="U1373" s="3"/>
      <c r="V1373" s="3"/>
      <c r="W1373" s="3"/>
    </row>
    <row r="1374" spans="13:23" x14ac:dyDescent="0.25">
      <c r="M1374" s="2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spans="13:23" x14ac:dyDescent="0.25">
      <c r="M1375" s="2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spans="13:23" x14ac:dyDescent="0.25">
      <c r="M1376" s="2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spans="13:23" x14ac:dyDescent="0.25">
      <c r="M1377" s="2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spans="13:23" x14ac:dyDescent="0.25">
      <c r="M1378" s="2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spans="13:23" x14ac:dyDescent="0.25">
      <c r="M1379" s="2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0" spans="13:23" x14ac:dyDescent="0.25">
      <c r="M1380" s="2"/>
      <c r="N1380" s="3"/>
      <c r="O1380" s="3"/>
      <c r="P1380" s="3"/>
      <c r="Q1380" s="3"/>
      <c r="R1380" s="3"/>
      <c r="S1380" s="3"/>
      <c r="T1380" s="3"/>
      <c r="U1380" s="3"/>
      <c r="V1380" s="3"/>
      <c r="W1380" s="3"/>
    </row>
    <row r="1381" spans="13:23" x14ac:dyDescent="0.25">
      <c r="M1381" s="2"/>
      <c r="N1381" s="3"/>
      <c r="O1381" s="3"/>
      <c r="P1381" s="3"/>
      <c r="Q1381" s="3"/>
      <c r="R1381" s="3"/>
      <c r="S1381" s="3"/>
      <c r="T1381" s="3"/>
      <c r="U1381" s="3"/>
      <c r="V1381" s="3"/>
      <c r="W1381" s="3"/>
    </row>
    <row r="1382" spans="13:23" x14ac:dyDescent="0.25">
      <c r="M1382" s="2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383" spans="13:23" x14ac:dyDescent="0.25">
      <c r="M1383" s="2"/>
      <c r="N1383" s="3"/>
      <c r="O1383" s="3"/>
      <c r="P1383" s="3"/>
      <c r="Q1383" s="3"/>
      <c r="R1383" s="3"/>
      <c r="S1383" s="3"/>
      <c r="T1383" s="3"/>
      <c r="U1383" s="3"/>
      <c r="V1383" s="3"/>
      <c r="W1383" s="3"/>
    </row>
    <row r="1384" spans="13:23" x14ac:dyDescent="0.25">
      <c r="M1384" s="2"/>
      <c r="N1384" s="3"/>
      <c r="O1384" s="3"/>
      <c r="P1384" s="3"/>
      <c r="Q1384" s="3"/>
      <c r="R1384" s="3"/>
      <c r="S1384" s="3"/>
      <c r="T1384" s="3"/>
      <c r="U1384" s="3"/>
      <c r="V1384" s="3"/>
      <c r="W1384" s="3"/>
    </row>
    <row r="1385" spans="13:23" x14ac:dyDescent="0.25">
      <c r="M1385" s="2"/>
      <c r="N1385" s="3"/>
      <c r="O1385" s="3"/>
      <c r="P1385" s="3"/>
      <c r="Q1385" s="3"/>
      <c r="R1385" s="3"/>
      <c r="S1385" s="3"/>
      <c r="T1385" s="3"/>
      <c r="U1385" s="3"/>
      <c r="V1385" s="3"/>
      <c r="W1385" s="3"/>
    </row>
    <row r="1386" spans="13:23" x14ac:dyDescent="0.25">
      <c r="M1386" s="2"/>
      <c r="N1386" s="3"/>
      <c r="O1386" s="3"/>
      <c r="P1386" s="3"/>
      <c r="Q1386" s="3"/>
      <c r="R1386" s="3"/>
      <c r="S1386" s="3"/>
      <c r="T1386" s="3"/>
      <c r="U1386" s="3"/>
      <c r="V1386" s="3"/>
      <c r="W1386" s="3"/>
    </row>
    <row r="1387" spans="13:23" x14ac:dyDescent="0.25">
      <c r="M1387" s="2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spans="13:23" x14ac:dyDescent="0.25">
      <c r="M1388" s="2"/>
      <c r="N1388" s="3"/>
      <c r="O1388" s="3"/>
      <c r="P1388" s="3"/>
      <c r="Q1388" s="3"/>
      <c r="R1388" s="3"/>
      <c r="S1388" s="3"/>
      <c r="T1388" s="3"/>
      <c r="U1388" s="3"/>
      <c r="V1388" s="3"/>
      <c r="W1388" s="3"/>
    </row>
    <row r="1389" spans="13:23" x14ac:dyDescent="0.25">
      <c r="M1389" s="2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spans="13:23" x14ac:dyDescent="0.25">
      <c r="M1390" s="2"/>
      <c r="N1390" s="3"/>
      <c r="O1390" s="3"/>
      <c r="P1390" s="3"/>
      <c r="Q1390" s="3"/>
      <c r="R1390" s="3"/>
      <c r="S1390" s="3"/>
      <c r="T1390" s="3"/>
      <c r="U1390" s="3"/>
      <c r="V1390" s="3"/>
      <c r="W1390" s="3"/>
    </row>
    <row r="1391" spans="13:23" x14ac:dyDescent="0.25">
      <c r="M1391" s="2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spans="13:23" x14ac:dyDescent="0.25">
      <c r="M1392" s="2"/>
      <c r="N1392" s="3"/>
      <c r="O1392" s="3"/>
      <c r="P1392" s="3"/>
      <c r="Q1392" s="3"/>
      <c r="R1392" s="3"/>
      <c r="S1392" s="3"/>
      <c r="T1392" s="3"/>
      <c r="U1392" s="3"/>
      <c r="V1392" s="3"/>
      <c r="W1392" s="3"/>
    </row>
    <row r="1393" spans="13:23" x14ac:dyDescent="0.25">
      <c r="M1393" s="2"/>
      <c r="N1393" s="3"/>
      <c r="O1393" s="3"/>
      <c r="P1393" s="3"/>
      <c r="Q1393" s="3"/>
      <c r="R1393" s="3"/>
      <c r="S1393" s="3"/>
      <c r="T1393" s="3"/>
      <c r="U1393" s="3"/>
      <c r="V1393" s="3"/>
      <c r="W1393" s="3"/>
    </row>
    <row r="1394" spans="13:23" x14ac:dyDescent="0.25">
      <c r="M1394" s="2"/>
      <c r="N1394" s="3"/>
      <c r="O1394" s="3"/>
      <c r="P1394" s="3"/>
      <c r="Q1394" s="3"/>
      <c r="R1394" s="3"/>
      <c r="S1394" s="3"/>
      <c r="T1394" s="3"/>
      <c r="U1394" s="3"/>
      <c r="V1394" s="3"/>
      <c r="W1394" s="3"/>
    </row>
    <row r="1395" spans="13:23" x14ac:dyDescent="0.25">
      <c r="M1395" s="2"/>
      <c r="N1395" s="3"/>
      <c r="O1395" s="3"/>
      <c r="P1395" s="3"/>
      <c r="Q1395" s="3"/>
      <c r="R1395" s="3"/>
      <c r="S1395" s="3"/>
      <c r="T1395" s="3"/>
      <c r="U1395" s="3"/>
      <c r="V1395" s="3"/>
      <c r="W1395" s="3"/>
    </row>
    <row r="1396" spans="13:23" x14ac:dyDescent="0.25">
      <c r="M1396" s="2"/>
      <c r="N1396" s="3"/>
      <c r="O1396" s="3"/>
      <c r="P1396" s="3"/>
      <c r="Q1396" s="3"/>
      <c r="R1396" s="3"/>
      <c r="S1396" s="3"/>
      <c r="T1396" s="3"/>
      <c r="U1396" s="3"/>
      <c r="V1396" s="3"/>
      <c r="W1396" s="3"/>
    </row>
    <row r="1397" spans="13:23" x14ac:dyDescent="0.25">
      <c r="M1397" s="2"/>
      <c r="N1397" s="3"/>
      <c r="O1397" s="3"/>
      <c r="P1397" s="3"/>
      <c r="Q1397" s="3"/>
      <c r="R1397" s="3"/>
      <c r="S1397" s="3"/>
      <c r="T1397" s="3"/>
      <c r="U1397" s="3"/>
      <c r="V1397" s="3"/>
      <c r="W1397" s="3"/>
    </row>
    <row r="1398" spans="13:23" x14ac:dyDescent="0.25">
      <c r="M1398" s="2"/>
      <c r="N1398" s="3"/>
      <c r="O1398" s="3"/>
      <c r="P1398" s="3"/>
      <c r="Q1398" s="3"/>
      <c r="R1398" s="3"/>
      <c r="S1398" s="3"/>
      <c r="T1398" s="3"/>
      <c r="U1398" s="3"/>
      <c r="V1398" s="3"/>
      <c r="W1398" s="3"/>
    </row>
    <row r="1399" spans="13:23" x14ac:dyDescent="0.25">
      <c r="M1399" s="2"/>
      <c r="N1399" s="3"/>
      <c r="O1399" s="3"/>
      <c r="P1399" s="3"/>
      <c r="Q1399" s="3"/>
      <c r="R1399" s="3"/>
      <c r="S1399" s="3"/>
      <c r="T1399" s="3"/>
      <c r="U1399" s="3"/>
      <c r="V1399" s="3"/>
      <c r="W1399" s="3"/>
    </row>
    <row r="1400" spans="13:23" x14ac:dyDescent="0.25">
      <c r="M1400" s="2"/>
      <c r="N1400" s="3"/>
      <c r="O1400" s="3"/>
      <c r="P1400" s="3"/>
      <c r="Q1400" s="3"/>
      <c r="R1400" s="3"/>
      <c r="S1400" s="3"/>
      <c r="T1400" s="3"/>
      <c r="U1400" s="3"/>
      <c r="V1400" s="3"/>
      <c r="W1400" s="3"/>
    </row>
    <row r="1401" spans="13:23" x14ac:dyDescent="0.25">
      <c r="M1401" s="2"/>
      <c r="N1401" s="3"/>
      <c r="O1401" s="3"/>
      <c r="P1401" s="3"/>
      <c r="Q1401" s="3"/>
      <c r="R1401" s="3"/>
      <c r="S1401" s="3"/>
      <c r="T1401" s="3"/>
      <c r="U1401" s="3"/>
      <c r="V1401" s="3"/>
      <c r="W1401" s="3"/>
    </row>
    <row r="1402" spans="13:23" x14ac:dyDescent="0.25">
      <c r="M1402" s="2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spans="13:23" x14ac:dyDescent="0.25">
      <c r="M1403" s="2"/>
      <c r="N1403" s="3"/>
      <c r="O1403" s="3"/>
      <c r="P1403" s="3"/>
      <c r="Q1403" s="3"/>
      <c r="R1403" s="3"/>
      <c r="S1403" s="3"/>
      <c r="T1403" s="3"/>
      <c r="U1403" s="3"/>
      <c r="V1403" s="3"/>
      <c r="W1403" s="3"/>
    </row>
    <row r="1404" spans="13:23" x14ac:dyDescent="0.25">
      <c r="M1404" s="2"/>
      <c r="N1404" s="3"/>
      <c r="O1404" s="3"/>
      <c r="P1404" s="3"/>
      <c r="Q1404" s="3"/>
      <c r="R1404" s="3"/>
      <c r="S1404" s="3"/>
      <c r="T1404" s="3"/>
      <c r="U1404" s="3"/>
      <c r="V1404" s="3"/>
      <c r="W1404" s="3"/>
    </row>
    <row r="1405" spans="13:23" x14ac:dyDescent="0.25">
      <c r="M1405" s="2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spans="13:23" x14ac:dyDescent="0.25">
      <c r="M1406" s="2"/>
      <c r="N1406" s="3"/>
      <c r="O1406" s="3"/>
      <c r="P1406" s="3"/>
      <c r="Q1406" s="3"/>
      <c r="R1406" s="3"/>
      <c r="S1406" s="3"/>
      <c r="T1406" s="3"/>
      <c r="U1406" s="3"/>
      <c r="V1406" s="3"/>
      <c r="W1406" s="3"/>
    </row>
    <row r="1407" spans="13:23" x14ac:dyDescent="0.25">
      <c r="M1407" s="2"/>
      <c r="N1407" s="3"/>
      <c r="O1407" s="3"/>
      <c r="P1407" s="3"/>
      <c r="Q1407" s="3"/>
      <c r="R1407" s="3"/>
      <c r="S1407" s="3"/>
      <c r="T1407" s="3"/>
      <c r="U1407" s="3"/>
      <c r="V1407" s="3"/>
      <c r="W1407" s="3"/>
    </row>
    <row r="1408" spans="13:23" x14ac:dyDescent="0.25">
      <c r="M1408" s="2"/>
      <c r="N1408" s="3"/>
      <c r="O1408" s="3"/>
      <c r="P1408" s="3"/>
      <c r="Q1408" s="3"/>
      <c r="R1408" s="3"/>
      <c r="S1408" s="3"/>
      <c r="T1408" s="3"/>
      <c r="U1408" s="3"/>
      <c r="V1408" s="3"/>
      <c r="W1408" s="3"/>
    </row>
    <row r="1409" spans="13:23" x14ac:dyDescent="0.25">
      <c r="M1409" s="2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spans="13:23" x14ac:dyDescent="0.25">
      <c r="M1410" s="2"/>
      <c r="N1410" s="3"/>
      <c r="O1410" s="3"/>
      <c r="P1410" s="3"/>
      <c r="Q1410" s="3"/>
      <c r="R1410" s="3"/>
      <c r="S1410" s="3"/>
      <c r="T1410" s="3"/>
      <c r="U1410" s="3"/>
      <c r="V1410" s="3"/>
      <c r="W1410" s="3"/>
    </row>
    <row r="1411" spans="13:23" x14ac:dyDescent="0.25">
      <c r="M1411" s="2"/>
      <c r="N1411" s="3"/>
      <c r="O1411" s="3"/>
      <c r="P1411" s="3"/>
      <c r="Q1411" s="3"/>
      <c r="R1411" s="3"/>
      <c r="S1411" s="3"/>
      <c r="T1411" s="3"/>
      <c r="U1411" s="3"/>
      <c r="V1411" s="3"/>
      <c r="W1411" s="3"/>
    </row>
    <row r="1412" spans="13:23" x14ac:dyDescent="0.25">
      <c r="M1412" s="2"/>
      <c r="N1412" s="3"/>
      <c r="O1412" s="3"/>
      <c r="P1412" s="3"/>
      <c r="Q1412" s="3"/>
      <c r="R1412" s="3"/>
      <c r="S1412" s="3"/>
      <c r="T1412" s="3"/>
      <c r="U1412" s="3"/>
      <c r="V1412" s="3"/>
      <c r="W1412" s="3"/>
    </row>
    <row r="1413" spans="13:23" x14ac:dyDescent="0.25">
      <c r="M1413" s="2"/>
      <c r="N1413" s="3"/>
      <c r="O1413" s="3"/>
      <c r="P1413" s="3"/>
      <c r="Q1413" s="3"/>
      <c r="R1413" s="3"/>
      <c r="S1413" s="3"/>
      <c r="T1413" s="3"/>
      <c r="U1413" s="3"/>
      <c r="V1413" s="3"/>
      <c r="W1413" s="3"/>
    </row>
    <row r="1414" spans="13:23" x14ac:dyDescent="0.25">
      <c r="M1414" s="2"/>
      <c r="N1414" s="3"/>
      <c r="O1414" s="3"/>
      <c r="P1414" s="3"/>
      <c r="Q1414" s="3"/>
      <c r="R1414" s="3"/>
      <c r="S1414" s="3"/>
      <c r="T1414" s="3"/>
      <c r="U1414" s="3"/>
      <c r="V1414" s="3"/>
      <c r="W1414" s="3"/>
    </row>
    <row r="1415" spans="13:23" x14ac:dyDescent="0.25">
      <c r="M1415" s="2"/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spans="13:23" x14ac:dyDescent="0.25">
      <c r="M1416" s="2"/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spans="13:23" x14ac:dyDescent="0.25">
      <c r="M1417" s="2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spans="13:23" x14ac:dyDescent="0.25">
      <c r="M1418" s="2"/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spans="13:23" x14ac:dyDescent="0.25">
      <c r="M1419" s="2"/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spans="13:23" x14ac:dyDescent="0.25">
      <c r="M1420" s="2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spans="13:23" x14ac:dyDescent="0.25">
      <c r="M1421" s="2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spans="13:23" x14ac:dyDescent="0.25">
      <c r="M1422" s="2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spans="13:23" x14ac:dyDescent="0.25">
      <c r="M1423" s="2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spans="13:23" x14ac:dyDescent="0.25">
      <c r="M1424" s="2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spans="13:23" x14ac:dyDescent="0.25">
      <c r="M1425" s="2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spans="13:23" x14ac:dyDescent="0.25">
      <c r="M1426" s="2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spans="13:23" x14ac:dyDescent="0.25">
      <c r="M1427" s="2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spans="13:23" x14ac:dyDescent="0.25">
      <c r="M1428" s="2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spans="13:23" x14ac:dyDescent="0.25">
      <c r="M1429" s="2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spans="13:23" x14ac:dyDescent="0.25">
      <c r="M1430" s="2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spans="13:23" x14ac:dyDescent="0.25">
      <c r="M1431" s="2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spans="13:23" x14ac:dyDescent="0.25">
      <c r="M1432" s="2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spans="13:23" x14ac:dyDescent="0.25">
      <c r="M1433" s="2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spans="13:23" x14ac:dyDescent="0.25">
      <c r="M1434" s="2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spans="13:23" x14ac:dyDescent="0.25">
      <c r="M1435" s="2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spans="13:23" x14ac:dyDescent="0.25">
      <c r="M1436" s="2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spans="13:23" x14ac:dyDescent="0.25">
      <c r="M1437" s="2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spans="13:23" x14ac:dyDescent="0.25">
      <c r="M1438" s="2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spans="13:23" x14ac:dyDescent="0.25">
      <c r="M1439" s="2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spans="13:23" x14ac:dyDescent="0.25">
      <c r="M1440" s="2"/>
      <c r="N1440" s="3"/>
      <c r="O1440" s="3"/>
      <c r="P1440" s="3"/>
      <c r="Q1440" s="3"/>
      <c r="R1440" s="3"/>
      <c r="S1440" s="3"/>
      <c r="T1440" s="3"/>
      <c r="U1440" s="3"/>
      <c r="V1440" s="3"/>
      <c r="W1440" s="3"/>
    </row>
    <row r="1441" spans="13:23" x14ac:dyDescent="0.25">
      <c r="M1441" s="2"/>
      <c r="N1441" s="3"/>
      <c r="O1441" s="3"/>
      <c r="P1441" s="3"/>
      <c r="Q1441" s="3"/>
      <c r="R1441" s="3"/>
      <c r="S1441" s="3"/>
      <c r="T1441" s="3"/>
      <c r="U1441" s="3"/>
      <c r="V1441" s="3"/>
      <c r="W1441" s="3"/>
    </row>
    <row r="1442" spans="13:23" x14ac:dyDescent="0.25">
      <c r="M1442" s="2"/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spans="13:23" x14ac:dyDescent="0.25">
      <c r="M1443" s="2"/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spans="13:23" x14ac:dyDescent="0.25">
      <c r="M1444" s="2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spans="13:23" x14ac:dyDescent="0.25">
      <c r="M1445" s="2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spans="13:23" x14ac:dyDescent="0.25">
      <c r="M1446" s="2"/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spans="13:23" x14ac:dyDescent="0.25">
      <c r="M1447" s="2"/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spans="13:23" x14ac:dyDescent="0.25">
      <c r="M1448" s="2"/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spans="13:23" x14ac:dyDescent="0.25">
      <c r="M1449" s="2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spans="13:23" x14ac:dyDescent="0.25">
      <c r="M1450" s="2"/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spans="13:23" x14ac:dyDescent="0.25">
      <c r="M1451" s="2"/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spans="13:23" x14ac:dyDescent="0.25">
      <c r="M1452" s="2"/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spans="13:23" x14ac:dyDescent="0.25">
      <c r="M1453" s="2"/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spans="13:23" x14ac:dyDescent="0.25">
      <c r="M1454" s="2"/>
      <c r="N1454" s="3"/>
      <c r="O1454" s="3"/>
      <c r="P1454" s="3"/>
      <c r="Q1454" s="3"/>
      <c r="R1454" s="3"/>
      <c r="S1454" s="3"/>
      <c r="T1454" s="3"/>
      <c r="U1454" s="3"/>
      <c r="V1454" s="3"/>
      <c r="W1454" s="3"/>
    </row>
    <row r="1455" spans="13:23" x14ac:dyDescent="0.25">
      <c r="M1455" s="2"/>
      <c r="N1455" s="3"/>
      <c r="O1455" s="3"/>
      <c r="P1455" s="3"/>
      <c r="Q1455" s="3"/>
      <c r="R1455" s="3"/>
      <c r="S1455" s="3"/>
      <c r="T1455" s="3"/>
      <c r="U1455" s="3"/>
      <c r="V1455" s="3"/>
      <c r="W1455" s="3"/>
    </row>
    <row r="1456" spans="13:23" x14ac:dyDescent="0.25">
      <c r="M1456" s="2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spans="13:23" x14ac:dyDescent="0.25">
      <c r="M1457" s="2"/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spans="13:23" x14ac:dyDescent="0.25">
      <c r="M1458" s="2"/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spans="13:23" x14ac:dyDescent="0.25">
      <c r="M1459" s="2"/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spans="13:23" x14ac:dyDescent="0.25">
      <c r="M1460" s="2"/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spans="13:23" x14ac:dyDescent="0.25">
      <c r="M1461" s="2"/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spans="13:23" x14ac:dyDescent="0.25">
      <c r="M1462" s="2"/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spans="13:23" x14ac:dyDescent="0.25">
      <c r="M1463" s="2"/>
      <c r="N1463" s="3"/>
      <c r="O1463" s="3"/>
      <c r="P1463" s="3"/>
      <c r="Q1463" s="3"/>
      <c r="R1463" s="3"/>
      <c r="S1463" s="3"/>
      <c r="T1463" s="3"/>
      <c r="U1463" s="3"/>
      <c r="V1463" s="3"/>
      <c r="W1463" s="3"/>
    </row>
    <row r="1464" spans="13:23" x14ac:dyDescent="0.25">
      <c r="M1464" s="2"/>
      <c r="N1464" s="3"/>
      <c r="O1464" s="3"/>
      <c r="P1464" s="3"/>
      <c r="Q1464" s="3"/>
      <c r="R1464" s="3"/>
      <c r="S1464" s="3"/>
      <c r="T1464" s="3"/>
      <c r="U1464" s="3"/>
      <c r="V1464" s="3"/>
      <c r="W1464" s="3"/>
    </row>
    <row r="1465" spans="13:23" x14ac:dyDescent="0.25">
      <c r="M1465" s="2"/>
      <c r="N1465" s="3"/>
      <c r="O1465" s="3"/>
      <c r="P1465" s="3"/>
      <c r="Q1465" s="3"/>
      <c r="R1465" s="3"/>
      <c r="S1465" s="3"/>
      <c r="T1465" s="3"/>
      <c r="U1465" s="3"/>
      <c r="V1465" s="3"/>
      <c r="W1465" s="3"/>
    </row>
    <row r="1466" spans="13:23" x14ac:dyDescent="0.25">
      <c r="M1466" s="2"/>
      <c r="N1466" s="3"/>
      <c r="O1466" s="3"/>
      <c r="P1466" s="3"/>
      <c r="Q1466" s="3"/>
      <c r="R1466" s="3"/>
      <c r="S1466" s="3"/>
      <c r="T1466" s="3"/>
      <c r="U1466" s="3"/>
      <c r="V1466" s="3"/>
      <c r="W1466" s="3"/>
    </row>
    <row r="1467" spans="13:23" x14ac:dyDescent="0.25">
      <c r="M1467" s="2"/>
      <c r="N1467" s="3"/>
      <c r="O1467" s="3"/>
      <c r="P1467" s="3"/>
      <c r="Q1467" s="3"/>
      <c r="R1467" s="3"/>
      <c r="S1467" s="3"/>
      <c r="T1467" s="3"/>
      <c r="U1467" s="3"/>
      <c r="V1467" s="3"/>
      <c r="W1467" s="3"/>
    </row>
    <row r="1468" spans="13:23" x14ac:dyDescent="0.25">
      <c r="M1468" s="2"/>
      <c r="N1468" s="3"/>
      <c r="O1468" s="3"/>
      <c r="P1468" s="3"/>
      <c r="Q1468" s="3"/>
      <c r="R1468" s="3"/>
      <c r="S1468" s="3"/>
      <c r="T1468" s="3"/>
      <c r="U1468" s="3"/>
      <c r="V1468" s="3"/>
      <c r="W1468" s="3"/>
    </row>
    <row r="1469" spans="13:23" x14ac:dyDescent="0.25">
      <c r="M1469" s="2"/>
      <c r="N1469" s="3"/>
      <c r="O1469" s="3"/>
      <c r="P1469" s="3"/>
      <c r="Q1469" s="3"/>
      <c r="R1469" s="3"/>
      <c r="S1469" s="3"/>
      <c r="T1469" s="3"/>
      <c r="U1469" s="3"/>
      <c r="V1469" s="3"/>
      <c r="W1469" s="3"/>
    </row>
    <row r="1470" spans="13:23" x14ac:dyDescent="0.25">
      <c r="M1470" s="2"/>
      <c r="N1470" s="3"/>
      <c r="O1470" s="3"/>
      <c r="P1470" s="3"/>
      <c r="Q1470" s="3"/>
      <c r="R1470" s="3"/>
      <c r="S1470" s="3"/>
      <c r="T1470" s="3"/>
      <c r="U1470" s="3"/>
      <c r="V1470" s="3"/>
      <c r="W1470" s="3"/>
    </row>
    <row r="1471" spans="13:23" x14ac:dyDescent="0.25">
      <c r="M1471" s="2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spans="13:23" x14ac:dyDescent="0.25">
      <c r="M1472" s="2"/>
      <c r="N1472" s="3"/>
      <c r="O1472" s="3"/>
      <c r="P1472" s="3"/>
      <c r="Q1472" s="3"/>
      <c r="R1472" s="3"/>
      <c r="S1472" s="3"/>
      <c r="T1472" s="3"/>
      <c r="U1472" s="3"/>
      <c r="V1472" s="3"/>
      <c r="W1472" s="3"/>
    </row>
    <row r="1473" spans="13:23" x14ac:dyDescent="0.25">
      <c r="M1473" s="2"/>
      <c r="N1473" s="3"/>
      <c r="O1473" s="3"/>
      <c r="P1473" s="3"/>
      <c r="Q1473" s="3"/>
      <c r="R1473" s="3"/>
      <c r="S1473" s="3"/>
      <c r="T1473" s="3"/>
      <c r="U1473" s="3"/>
      <c r="V1473" s="3"/>
      <c r="W1473" s="3"/>
    </row>
    <row r="1474" spans="13:23" x14ac:dyDescent="0.25">
      <c r="M1474" s="2"/>
      <c r="N1474" s="3"/>
      <c r="O1474" s="3"/>
      <c r="P1474" s="3"/>
      <c r="Q1474" s="3"/>
      <c r="R1474" s="3"/>
      <c r="S1474" s="3"/>
      <c r="T1474" s="3"/>
      <c r="U1474" s="3"/>
      <c r="V1474" s="3"/>
      <c r="W1474" s="3"/>
    </row>
    <row r="1475" spans="13:23" x14ac:dyDescent="0.25">
      <c r="M1475" s="2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spans="13:23" x14ac:dyDescent="0.25">
      <c r="M1476" s="2"/>
      <c r="N1476" s="3"/>
      <c r="O1476" s="3"/>
      <c r="P1476" s="3"/>
      <c r="Q1476" s="3"/>
      <c r="R1476" s="3"/>
      <c r="S1476" s="3"/>
      <c r="T1476" s="3"/>
      <c r="U1476" s="3"/>
      <c r="V1476" s="3"/>
      <c r="W147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FE83F22D-AAEE-4026-B34A-17691248F532}"/>
</file>

<file path=customXml/itemProps2.xml><?xml version="1.0" encoding="utf-8"?>
<ds:datastoreItem xmlns:ds="http://schemas.openxmlformats.org/officeDocument/2006/customXml" ds:itemID="{47EEC1D3-0936-48C7-81FA-FC8EE5BB3EFF}"/>
</file>

<file path=customXml/itemProps3.xml><?xml version="1.0" encoding="utf-8"?>
<ds:datastoreItem xmlns:ds="http://schemas.openxmlformats.org/officeDocument/2006/customXml" ds:itemID="{02FB4144-FE4F-45CF-857B-063E26909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2024-11-07T10:03:12Z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